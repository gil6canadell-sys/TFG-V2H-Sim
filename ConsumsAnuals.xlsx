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sari\Desktop\TFG\SimulacioGilC\"/>
    </mc:Choice>
  </mc:AlternateContent>
  <xr:revisionPtr revIDLastSave="0" documentId="13_ncr:1_{D21495F8-48BD-4C62-9A48-ACB2DCC72E98}" xr6:coauthVersionLast="47" xr6:coauthVersionMax="47" xr10:uidLastSave="{00000000-0000-0000-0000-000000000000}"/>
  <bookViews>
    <workbookView minimized="1" xWindow="29670" yWindow="1035" windowWidth="2580" windowHeight="1290" xr2:uid="{D4851D78-5738-49CD-B7E8-81A7CC504BF7}"/>
  </bookViews>
  <sheets>
    <sheet name="ConsumPis25" sheetId="1" r:id="rId1"/>
    <sheet name="ConsumCasa25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28" i="2" l="1"/>
  <c r="AB28" i="1"/>
  <c r="AP2" i="1"/>
  <c r="AQ2" i="1"/>
  <c r="AP3" i="1"/>
  <c r="AQ3" i="1"/>
  <c r="AP4" i="1"/>
  <c r="AQ4" i="1"/>
  <c r="AP5" i="1"/>
  <c r="AQ5" i="1"/>
  <c r="AP6" i="1"/>
  <c r="AQ6" i="1"/>
  <c r="AP7" i="1"/>
  <c r="AQ7" i="1"/>
  <c r="AP8" i="1"/>
  <c r="AQ8" i="1"/>
  <c r="AP9" i="1"/>
  <c r="AQ9" i="1"/>
  <c r="AP10" i="1"/>
  <c r="AQ10" i="1"/>
  <c r="AP11" i="1"/>
  <c r="AQ11" i="1"/>
  <c r="AP12" i="1"/>
  <c r="AQ12" i="1"/>
  <c r="AP13" i="1"/>
  <c r="AQ13" i="1"/>
  <c r="AP14" i="1"/>
  <c r="AQ14" i="1"/>
  <c r="AP15" i="1"/>
  <c r="AQ15" i="1"/>
  <c r="AP16" i="1"/>
  <c r="AQ16" i="1"/>
  <c r="AP17" i="1"/>
  <c r="AQ17" i="1"/>
  <c r="AP18" i="1"/>
  <c r="AQ18" i="1"/>
  <c r="AP19" i="1"/>
  <c r="AQ19" i="1"/>
  <c r="AP20" i="1"/>
  <c r="AQ20" i="1"/>
  <c r="AP21" i="1"/>
  <c r="AQ21" i="1"/>
  <c r="AP22" i="1"/>
  <c r="AQ22" i="1"/>
  <c r="AP23" i="1"/>
  <c r="AQ23" i="1"/>
  <c r="AP24" i="1"/>
  <c r="AQ24" i="1"/>
  <c r="AP25" i="1"/>
  <c r="AQ25" i="1"/>
  <c r="U2" i="1"/>
  <c r="V2" i="1"/>
  <c r="W2" i="1"/>
  <c r="U3" i="1"/>
  <c r="V3" i="1"/>
  <c r="W3" i="1"/>
  <c r="U4" i="1"/>
  <c r="V4" i="1"/>
  <c r="W4" i="1"/>
  <c r="U5" i="1"/>
  <c r="V5" i="1"/>
  <c r="W5" i="1"/>
  <c r="U6" i="1"/>
  <c r="V6" i="1"/>
  <c r="W6" i="1"/>
  <c r="U7" i="1"/>
  <c r="V7" i="1"/>
  <c r="W7" i="1"/>
  <c r="U8" i="1"/>
  <c r="V8" i="1"/>
  <c r="W8" i="1"/>
  <c r="U9" i="1"/>
  <c r="V9" i="1"/>
  <c r="W9" i="1"/>
  <c r="U10" i="1"/>
  <c r="V10" i="1"/>
  <c r="W10" i="1"/>
  <c r="U11" i="1"/>
  <c r="V11" i="1"/>
  <c r="W11" i="1"/>
  <c r="U12" i="1"/>
  <c r="V12" i="1"/>
  <c r="W12" i="1"/>
  <c r="U13" i="1"/>
  <c r="V13" i="1"/>
  <c r="W13" i="1"/>
  <c r="U14" i="1"/>
  <c r="V14" i="1"/>
  <c r="W14" i="1"/>
  <c r="U15" i="1"/>
  <c r="V15" i="1"/>
  <c r="W15" i="1"/>
  <c r="U16" i="1"/>
  <c r="V16" i="1"/>
  <c r="W16" i="1"/>
  <c r="U17" i="1"/>
  <c r="V17" i="1"/>
  <c r="W17" i="1"/>
  <c r="U18" i="1"/>
  <c r="V18" i="1"/>
  <c r="W18" i="1"/>
  <c r="U19" i="1"/>
  <c r="V19" i="1"/>
  <c r="W19" i="1"/>
  <c r="U20" i="1"/>
  <c r="V20" i="1"/>
  <c r="W20" i="1"/>
  <c r="U21" i="1"/>
  <c r="V21" i="1"/>
  <c r="W21" i="1"/>
  <c r="U22" i="1"/>
  <c r="V22" i="1"/>
  <c r="W22" i="1"/>
  <c r="U23" i="1"/>
  <c r="V23" i="1"/>
  <c r="W23" i="1"/>
  <c r="U24" i="1"/>
  <c r="V24" i="1"/>
  <c r="W24" i="1"/>
  <c r="U25" i="1"/>
  <c r="V25" i="1"/>
  <c r="W25" i="1"/>
  <c r="AP2" i="2"/>
  <c r="AQ2" i="2"/>
  <c r="AP3" i="2"/>
  <c r="AQ3" i="2"/>
  <c r="AP4" i="2"/>
  <c r="AQ4" i="2"/>
  <c r="AP5" i="2"/>
  <c r="AQ5" i="2"/>
  <c r="AP6" i="2"/>
  <c r="AQ6" i="2"/>
  <c r="AP7" i="2"/>
  <c r="AQ7" i="2"/>
  <c r="AP8" i="2"/>
  <c r="AQ8" i="2"/>
  <c r="AP9" i="2"/>
  <c r="AQ9" i="2"/>
  <c r="AP10" i="2"/>
  <c r="AQ10" i="2"/>
  <c r="AP11" i="2"/>
  <c r="AQ11" i="2"/>
  <c r="AP12" i="2"/>
  <c r="AQ12" i="2"/>
  <c r="AP13" i="2"/>
  <c r="AQ13" i="2"/>
  <c r="AP14" i="2"/>
  <c r="AQ14" i="2"/>
  <c r="AP15" i="2"/>
  <c r="AQ15" i="2"/>
  <c r="AP16" i="2"/>
  <c r="AQ16" i="2"/>
  <c r="AP17" i="2"/>
  <c r="AQ17" i="2"/>
  <c r="AP18" i="2"/>
  <c r="AQ18" i="2"/>
  <c r="AP19" i="2"/>
  <c r="AQ19" i="2"/>
  <c r="AP20" i="2"/>
  <c r="AQ20" i="2"/>
  <c r="AP21" i="2"/>
  <c r="AQ21" i="2"/>
  <c r="AP22" i="2"/>
  <c r="AQ22" i="2"/>
  <c r="AP23" i="2"/>
  <c r="AQ23" i="2"/>
  <c r="AP24" i="2"/>
  <c r="AQ24" i="2"/>
  <c r="AP25" i="2"/>
  <c r="AQ25" i="2"/>
  <c r="U2" i="2"/>
  <c r="V2" i="2"/>
  <c r="W2" i="2"/>
  <c r="U3" i="2"/>
  <c r="V3" i="2"/>
  <c r="W3" i="2"/>
  <c r="U4" i="2"/>
  <c r="V4" i="2"/>
  <c r="W4" i="2"/>
  <c r="U5" i="2"/>
  <c r="V5" i="2"/>
  <c r="W5" i="2"/>
  <c r="U6" i="2"/>
  <c r="V6" i="2"/>
  <c r="W6" i="2"/>
  <c r="U7" i="2"/>
  <c r="V7" i="2"/>
  <c r="W7" i="2"/>
  <c r="U8" i="2"/>
  <c r="V8" i="2"/>
  <c r="W8" i="2"/>
  <c r="U9" i="2"/>
  <c r="V9" i="2"/>
  <c r="W9" i="2"/>
  <c r="U10" i="2"/>
  <c r="V10" i="2"/>
  <c r="W10" i="2"/>
  <c r="U11" i="2"/>
  <c r="V11" i="2"/>
  <c r="W11" i="2"/>
  <c r="U12" i="2"/>
  <c r="V12" i="2"/>
  <c r="W12" i="2"/>
  <c r="U13" i="2"/>
  <c r="V13" i="2"/>
  <c r="W13" i="2"/>
  <c r="U14" i="2"/>
  <c r="V14" i="2"/>
  <c r="W14" i="2"/>
  <c r="U15" i="2"/>
  <c r="V15" i="2"/>
  <c r="W15" i="2"/>
  <c r="U16" i="2"/>
  <c r="V16" i="2"/>
  <c r="W16" i="2"/>
  <c r="U17" i="2"/>
  <c r="V17" i="2"/>
  <c r="W17" i="2"/>
  <c r="U18" i="2"/>
  <c r="V18" i="2"/>
  <c r="W18" i="2"/>
  <c r="U19" i="2"/>
  <c r="V19" i="2"/>
  <c r="W19" i="2"/>
  <c r="U20" i="2"/>
  <c r="V20" i="2"/>
  <c r="W20" i="2"/>
  <c r="U21" i="2"/>
  <c r="V21" i="2"/>
  <c r="W21" i="2"/>
  <c r="U22" i="2"/>
  <c r="V22" i="2"/>
  <c r="W22" i="2"/>
  <c r="U23" i="2"/>
  <c r="V23" i="2"/>
  <c r="W23" i="2"/>
  <c r="U24" i="2"/>
  <c r="V24" i="2"/>
  <c r="W24" i="2"/>
  <c r="U25" i="2"/>
  <c r="V25" i="2"/>
  <c r="W25" i="2"/>
  <c r="Y53" i="2"/>
  <c r="Z53" i="2"/>
  <c r="AA53" i="2"/>
  <c r="AB53" i="2"/>
  <c r="AC53" i="2"/>
  <c r="Y54" i="2"/>
  <c r="Z54" i="2"/>
  <c r="AA54" i="2"/>
  <c r="AB54" i="2"/>
  <c r="AC54" i="2"/>
  <c r="Y55" i="2"/>
  <c r="Z55" i="2"/>
  <c r="AA55" i="2"/>
  <c r="AB55" i="2"/>
  <c r="AC55" i="2"/>
  <c r="Y56" i="2"/>
  <c r="Z56" i="2"/>
  <c r="AA56" i="2"/>
  <c r="AB56" i="2"/>
  <c r="AC56" i="2"/>
  <c r="Y57" i="2"/>
  <c r="Z57" i="2"/>
  <c r="AA57" i="2"/>
  <c r="AB57" i="2"/>
  <c r="AC57" i="2"/>
  <c r="Y58" i="2"/>
  <c r="Z58" i="2"/>
  <c r="AA58" i="2"/>
  <c r="AB58" i="2"/>
  <c r="AC58" i="2"/>
  <c r="Y59" i="2"/>
  <c r="Z59" i="2"/>
  <c r="AA59" i="2"/>
  <c r="AB59" i="2"/>
  <c r="AC59" i="2"/>
  <c r="Y60" i="2"/>
  <c r="Z60" i="2"/>
  <c r="AA60" i="2"/>
  <c r="AB60" i="2"/>
  <c r="AC60" i="2"/>
  <c r="Y61" i="2"/>
  <c r="Z61" i="2"/>
  <c r="AA61" i="2"/>
  <c r="AB61" i="2"/>
  <c r="AC61" i="2"/>
  <c r="Y62" i="2"/>
  <c r="Z62" i="2"/>
  <c r="AA62" i="2"/>
  <c r="AB62" i="2"/>
  <c r="AC62" i="2"/>
  <c r="Y63" i="2"/>
  <c r="Z63" i="2"/>
  <c r="AA63" i="2"/>
  <c r="AB63" i="2"/>
  <c r="AC63" i="2"/>
  <c r="Y64" i="2"/>
  <c r="Z64" i="2"/>
  <c r="AA64" i="2"/>
  <c r="AB64" i="2"/>
  <c r="AC64" i="2"/>
  <c r="Y65" i="2"/>
  <c r="Z65" i="2"/>
  <c r="AA65" i="2"/>
  <c r="AB65" i="2"/>
  <c r="AC65" i="2"/>
  <c r="Y66" i="2"/>
  <c r="Z66" i="2"/>
  <c r="AA66" i="2"/>
  <c r="AB66" i="2"/>
  <c r="AC66" i="2"/>
  <c r="Y67" i="2"/>
  <c r="Z67" i="2"/>
  <c r="AA67" i="2"/>
  <c r="AB67" i="2"/>
  <c r="AC67" i="2"/>
  <c r="Y68" i="2"/>
  <c r="Z68" i="2"/>
  <c r="AA68" i="2"/>
  <c r="AB68" i="2"/>
  <c r="AC68" i="2"/>
  <c r="Y69" i="2"/>
  <c r="Z69" i="2"/>
  <c r="AA69" i="2"/>
  <c r="AB69" i="2"/>
  <c r="AC69" i="2"/>
  <c r="Y70" i="2"/>
  <c r="Z70" i="2"/>
  <c r="AA70" i="2"/>
  <c r="AB70" i="2"/>
  <c r="AC70" i="2"/>
  <c r="Y71" i="2"/>
  <c r="Z71" i="2"/>
  <c r="AA71" i="2"/>
  <c r="AB71" i="2"/>
  <c r="AC71" i="2"/>
  <c r="Y72" i="2"/>
  <c r="Z72" i="2"/>
  <c r="AA72" i="2"/>
  <c r="AB72" i="2"/>
  <c r="AC72" i="2"/>
  <c r="Y73" i="2"/>
  <c r="Z73" i="2"/>
  <c r="AA73" i="2"/>
  <c r="AB73" i="2"/>
  <c r="AC73" i="2"/>
  <c r="Y74" i="2"/>
  <c r="Z74" i="2"/>
  <c r="AA74" i="2"/>
  <c r="AB74" i="2"/>
  <c r="AC74" i="2"/>
  <c r="Y75" i="2"/>
  <c r="Z75" i="2"/>
  <c r="AA75" i="2"/>
  <c r="AB75" i="2"/>
  <c r="AC75" i="2"/>
  <c r="Y76" i="2"/>
  <c r="Z76" i="2"/>
  <c r="AA76" i="2"/>
  <c r="AB76" i="2"/>
  <c r="AC76" i="2"/>
  <c r="Z46" i="2"/>
  <c r="Y47" i="2"/>
  <c r="Z47" i="2" s="1"/>
  <c r="Y46" i="2"/>
  <c r="Y50" i="2" s="1"/>
  <c r="Y45" i="2"/>
  <c r="Z45" i="2" s="1"/>
  <c r="L2" i="2"/>
  <c r="M2" i="2"/>
  <c r="N2" i="2"/>
  <c r="O2" i="2"/>
  <c r="P2" i="2"/>
  <c r="Q2" i="2"/>
  <c r="R2" i="2"/>
  <c r="S2" i="2"/>
  <c r="T2" i="2"/>
  <c r="L3" i="2"/>
  <c r="M3" i="2"/>
  <c r="N3" i="2"/>
  <c r="O3" i="2"/>
  <c r="P3" i="2"/>
  <c r="Q3" i="2"/>
  <c r="R3" i="2"/>
  <c r="S3" i="2"/>
  <c r="T3" i="2"/>
  <c r="L4" i="2"/>
  <c r="M4" i="2"/>
  <c r="N4" i="2"/>
  <c r="O4" i="2"/>
  <c r="P4" i="2"/>
  <c r="Q4" i="2"/>
  <c r="R4" i="2"/>
  <c r="S4" i="2"/>
  <c r="T4" i="2"/>
  <c r="L5" i="2"/>
  <c r="M5" i="2"/>
  <c r="N5" i="2"/>
  <c r="O5" i="2"/>
  <c r="P5" i="2"/>
  <c r="Q5" i="2"/>
  <c r="R5" i="2"/>
  <c r="S5" i="2"/>
  <c r="T5" i="2"/>
  <c r="L6" i="2"/>
  <c r="M6" i="2"/>
  <c r="N6" i="2"/>
  <c r="O6" i="2"/>
  <c r="P6" i="2"/>
  <c r="Q6" i="2"/>
  <c r="R6" i="2"/>
  <c r="S6" i="2"/>
  <c r="T6" i="2"/>
  <c r="L7" i="2"/>
  <c r="M7" i="2"/>
  <c r="N7" i="2"/>
  <c r="O7" i="2"/>
  <c r="P7" i="2"/>
  <c r="Q7" i="2"/>
  <c r="R7" i="2"/>
  <c r="S7" i="2"/>
  <c r="T7" i="2"/>
  <c r="L8" i="2"/>
  <c r="M8" i="2"/>
  <c r="N8" i="2"/>
  <c r="O8" i="2"/>
  <c r="P8" i="2"/>
  <c r="Q8" i="2"/>
  <c r="R8" i="2"/>
  <c r="S8" i="2"/>
  <c r="T8" i="2"/>
  <c r="L9" i="2"/>
  <c r="M9" i="2"/>
  <c r="N9" i="2"/>
  <c r="O9" i="2"/>
  <c r="P9" i="2"/>
  <c r="Q9" i="2"/>
  <c r="R9" i="2"/>
  <c r="S9" i="2"/>
  <c r="T9" i="2"/>
  <c r="L10" i="2"/>
  <c r="M10" i="2"/>
  <c r="N10" i="2"/>
  <c r="O10" i="2"/>
  <c r="P10" i="2"/>
  <c r="Q10" i="2"/>
  <c r="R10" i="2"/>
  <c r="S10" i="2"/>
  <c r="T10" i="2"/>
  <c r="L11" i="2"/>
  <c r="M11" i="2"/>
  <c r="N11" i="2"/>
  <c r="O11" i="2"/>
  <c r="P11" i="2"/>
  <c r="Q11" i="2"/>
  <c r="R11" i="2"/>
  <c r="S11" i="2"/>
  <c r="T11" i="2"/>
  <c r="L12" i="2"/>
  <c r="M12" i="2"/>
  <c r="N12" i="2"/>
  <c r="O12" i="2"/>
  <c r="P12" i="2"/>
  <c r="Q12" i="2"/>
  <c r="R12" i="2"/>
  <c r="S12" i="2"/>
  <c r="T12" i="2"/>
  <c r="L13" i="2"/>
  <c r="M13" i="2"/>
  <c r="N13" i="2"/>
  <c r="O13" i="2"/>
  <c r="P13" i="2"/>
  <c r="Q13" i="2"/>
  <c r="R13" i="2"/>
  <c r="S13" i="2"/>
  <c r="T13" i="2"/>
  <c r="L14" i="2"/>
  <c r="M14" i="2"/>
  <c r="N14" i="2"/>
  <c r="O14" i="2"/>
  <c r="P14" i="2"/>
  <c r="Q14" i="2"/>
  <c r="R14" i="2"/>
  <c r="S14" i="2"/>
  <c r="T14" i="2"/>
  <c r="L15" i="2"/>
  <c r="M15" i="2"/>
  <c r="N15" i="2"/>
  <c r="O15" i="2"/>
  <c r="P15" i="2"/>
  <c r="Q15" i="2"/>
  <c r="R15" i="2"/>
  <c r="S15" i="2"/>
  <c r="T15" i="2"/>
  <c r="L16" i="2"/>
  <c r="M16" i="2"/>
  <c r="N16" i="2"/>
  <c r="O16" i="2"/>
  <c r="P16" i="2"/>
  <c r="Q16" i="2"/>
  <c r="R16" i="2"/>
  <c r="S16" i="2"/>
  <c r="T16" i="2"/>
  <c r="L17" i="2"/>
  <c r="M17" i="2"/>
  <c r="N17" i="2"/>
  <c r="O17" i="2"/>
  <c r="P17" i="2"/>
  <c r="Q17" i="2"/>
  <c r="R17" i="2"/>
  <c r="S17" i="2"/>
  <c r="T17" i="2"/>
  <c r="L18" i="2"/>
  <c r="M18" i="2"/>
  <c r="N18" i="2"/>
  <c r="O18" i="2"/>
  <c r="P18" i="2"/>
  <c r="Q18" i="2"/>
  <c r="R18" i="2"/>
  <c r="S18" i="2"/>
  <c r="T18" i="2"/>
  <c r="L19" i="2"/>
  <c r="M19" i="2"/>
  <c r="N19" i="2"/>
  <c r="O19" i="2"/>
  <c r="P19" i="2"/>
  <c r="Q19" i="2"/>
  <c r="R19" i="2"/>
  <c r="S19" i="2"/>
  <c r="T19" i="2"/>
  <c r="L20" i="2"/>
  <c r="M20" i="2"/>
  <c r="N20" i="2"/>
  <c r="O20" i="2"/>
  <c r="P20" i="2"/>
  <c r="Q20" i="2"/>
  <c r="R20" i="2"/>
  <c r="S20" i="2"/>
  <c r="T20" i="2"/>
  <c r="L21" i="2"/>
  <c r="M21" i="2"/>
  <c r="N21" i="2"/>
  <c r="O21" i="2"/>
  <c r="P21" i="2"/>
  <c r="Q21" i="2"/>
  <c r="R21" i="2"/>
  <c r="S21" i="2"/>
  <c r="T21" i="2"/>
  <c r="L22" i="2"/>
  <c r="M22" i="2"/>
  <c r="N22" i="2"/>
  <c r="O22" i="2"/>
  <c r="P22" i="2"/>
  <c r="Q22" i="2"/>
  <c r="R22" i="2"/>
  <c r="S22" i="2"/>
  <c r="T22" i="2"/>
  <c r="L23" i="2"/>
  <c r="M23" i="2"/>
  <c r="N23" i="2"/>
  <c r="O23" i="2"/>
  <c r="P23" i="2"/>
  <c r="Q23" i="2"/>
  <c r="R23" i="2"/>
  <c r="S23" i="2"/>
  <c r="T23" i="2"/>
  <c r="L24" i="2"/>
  <c r="M24" i="2"/>
  <c r="N24" i="2"/>
  <c r="O24" i="2"/>
  <c r="P24" i="2"/>
  <c r="Q24" i="2"/>
  <c r="R24" i="2"/>
  <c r="S24" i="2"/>
  <c r="T24" i="2"/>
  <c r="L25" i="2"/>
  <c r="M25" i="2"/>
  <c r="N25" i="2"/>
  <c r="O25" i="2"/>
  <c r="P25" i="2"/>
  <c r="Q25" i="2"/>
  <c r="R25" i="2"/>
  <c r="S25" i="2"/>
  <c r="T25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L2" i="1"/>
  <c r="M2" i="1"/>
  <c r="N2" i="1"/>
  <c r="O2" i="1"/>
  <c r="P2" i="1"/>
  <c r="Q2" i="1"/>
  <c r="R2" i="1"/>
  <c r="S2" i="1"/>
  <c r="T2" i="1"/>
  <c r="L3" i="1"/>
  <c r="M3" i="1"/>
  <c r="N3" i="1"/>
  <c r="O3" i="1"/>
  <c r="P3" i="1"/>
  <c r="Q3" i="1"/>
  <c r="R3" i="1"/>
  <c r="S3" i="1"/>
  <c r="T3" i="1"/>
  <c r="L4" i="1"/>
  <c r="M4" i="1"/>
  <c r="N4" i="1"/>
  <c r="O4" i="1"/>
  <c r="P4" i="1"/>
  <c r="Q4" i="1"/>
  <c r="R4" i="1"/>
  <c r="S4" i="1"/>
  <c r="T4" i="1"/>
  <c r="L5" i="1"/>
  <c r="M5" i="1"/>
  <c r="N5" i="1"/>
  <c r="O5" i="1"/>
  <c r="P5" i="1"/>
  <c r="Q5" i="1"/>
  <c r="R5" i="1"/>
  <c r="S5" i="1"/>
  <c r="T5" i="1"/>
  <c r="L6" i="1"/>
  <c r="M6" i="1"/>
  <c r="N6" i="1"/>
  <c r="O6" i="1"/>
  <c r="P6" i="1"/>
  <c r="Q6" i="1"/>
  <c r="R6" i="1"/>
  <c r="S6" i="1"/>
  <c r="T6" i="1"/>
  <c r="L7" i="1"/>
  <c r="M7" i="1"/>
  <c r="N7" i="1"/>
  <c r="O7" i="1"/>
  <c r="P7" i="1"/>
  <c r="Q7" i="1"/>
  <c r="R7" i="1"/>
  <c r="S7" i="1"/>
  <c r="T7" i="1"/>
  <c r="L8" i="1"/>
  <c r="M8" i="1"/>
  <c r="N8" i="1"/>
  <c r="O8" i="1"/>
  <c r="P8" i="1"/>
  <c r="Q8" i="1"/>
  <c r="R8" i="1"/>
  <c r="S8" i="1"/>
  <c r="T8" i="1"/>
  <c r="L9" i="1"/>
  <c r="M9" i="1"/>
  <c r="N9" i="1"/>
  <c r="O9" i="1"/>
  <c r="P9" i="1"/>
  <c r="Q9" i="1"/>
  <c r="R9" i="1"/>
  <c r="S9" i="1"/>
  <c r="T9" i="1"/>
  <c r="L10" i="1"/>
  <c r="M10" i="1"/>
  <c r="N10" i="1"/>
  <c r="O10" i="1"/>
  <c r="P10" i="1"/>
  <c r="Q10" i="1"/>
  <c r="R10" i="1"/>
  <c r="S10" i="1"/>
  <c r="T10" i="1"/>
  <c r="L11" i="1"/>
  <c r="M11" i="1"/>
  <c r="N11" i="1"/>
  <c r="O11" i="1"/>
  <c r="P11" i="1"/>
  <c r="Q11" i="1"/>
  <c r="R11" i="1"/>
  <c r="S11" i="1"/>
  <c r="T11" i="1"/>
  <c r="L12" i="1"/>
  <c r="M12" i="1"/>
  <c r="N12" i="1"/>
  <c r="O12" i="1"/>
  <c r="P12" i="1"/>
  <c r="Q12" i="1"/>
  <c r="R12" i="1"/>
  <c r="S12" i="1"/>
  <c r="T12" i="1"/>
  <c r="L13" i="1"/>
  <c r="M13" i="1"/>
  <c r="N13" i="1"/>
  <c r="O13" i="1"/>
  <c r="P13" i="1"/>
  <c r="Q13" i="1"/>
  <c r="R13" i="1"/>
  <c r="S13" i="1"/>
  <c r="T13" i="1"/>
  <c r="L14" i="1"/>
  <c r="M14" i="1"/>
  <c r="N14" i="1"/>
  <c r="O14" i="1"/>
  <c r="P14" i="1"/>
  <c r="Q14" i="1"/>
  <c r="R14" i="1"/>
  <c r="S14" i="1"/>
  <c r="T14" i="1"/>
  <c r="L15" i="1"/>
  <c r="M15" i="1"/>
  <c r="N15" i="1"/>
  <c r="O15" i="1"/>
  <c r="P15" i="1"/>
  <c r="Q15" i="1"/>
  <c r="R15" i="1"/>
  <c r="S15" i="1"/>
  <c r="T15" i="1"/>
  <c r="L16" i="1"/>
  <c r="M16" i="1"/>
  <c r="N16" i="1"/>
  <c r="O16" i="1"/>
  <c r="P16" i="1"/>
  <c r="Q16" i="1"/>
  <c r="R16" i="1"/>
  <c r="S16" i="1"/>
  <c r="T16" i="1"/>
  <c r="L17" i="1"/>
  <c r="M17" i="1"/>
  <c r="N17" i="1"/>
  <c r="O17" i="1"/>
  <c r="P17" i="1"/>
  <c r="Q17" i="1"/>
  <c r="R17" i="1"/>
  <c r="S17" i="1"/>
  <c r="T17" i="1"/>
  <c r="L18" i="1"/>
  <c r="M18" i="1"/>
  <c r="N18" i="1"/>
  <c r="O18" i="1"/>
  <c r="P18" i="1"/>
  <c r="Q18" i="1"/>
  <c r="R18" i="1"/>
  <c r="S18" i="1"/>
  <c r="T18" i="1"/>
  <c r="L19" i="1"/>
  <c r="M19" i="1"/>
  <c r="N19" i="1"/>
  <c r="O19" i="1"/>
  <c r="P19" i="1"/>
  <c r="Q19" i="1"/>
  <c r="R19" i="1"/>
  <c r="S19" i="1"/>
  <c r="T19" i="1"/>
  <c r="L20" i="1"/>
  <c r="M20" i="1"/>
  <c r="N20" i="1"/>
  <c r="O20" i="1"/>
  <c r="P20" i="1"/>
  <c r="Q20" i="1"/>
  <c r="R20" i="1"/>
  <c r="S20" i="1"/>
  <c r="T20" i="1"/>
  <c r="L21" i="1"/>
  <c r="M21" i="1"/>
  <c r="N21" i="1"/>
  <c r="O21" i="1"/>
  <c r="P21" i="1"/>
  <c r="Q21" i="1"/>
  <c r="R21" i="1"/>
  <c r="S21" i="1"/>
  <c r="T21" i="1"/>
  <c r="L22" i="1"/>
  <c r="M22" i="1"/>
  <c r="N22" i="1"/>
  <c r="O22" i="1"/>
  <c r="P22" i="1"/>
  <c r="Q22" i="1"/>
  <c r="R22" i="1"/>
  <c r="S22" i="1"/>
  <c r="T22" i="1"/>
  <c r="L23" i="1"/>
  <c r="M23" i="1"/>
  <c r="N23" i="1"/>
  <c r="O23" i="1"/>
  <c r="P23" i="1"/>
  <c r="Q23" i="1"/>
  <c r="R23" i="1"/>
  <c r="S23" i="1"/>
  <c r="T23" i="1"/>
  <c r="L24" i="1"/>
  <c r="M24" i="1"/>
  <c r="N24" i="1"/>
  <c r="O24" i="1"/>
  <c r="P24" i="1"/>
  <c r="Q24" i="1"/>
  <c r="R24" i="1"/>
  <c r="S24" i="1"/>
  <c r="T24" i="1"/>
  <c r="L25" i="1"/>
  <c r="M25" i="1"/>
  <c r="N25" i="1"/>
  <c r="O25" i="1"/>
  <c r="P25" i="1"/>
  <c r="Q25" i="1"/>
  <c r="R25" i="1"/>
  <c r="S25" i="1"/>
  <c r="T25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AA79" i="2" l="1"/>
  <c r="AB79" i="2"/>
  <c r="Y79" i="2"/>
  <c r="Z79" i="2"/>
  <c r="Y49" i="2"/>
  <c r="AC79" i="2"/>
</calcChain>
</file>

<file path=xl/sharedStrings.xml><?xml version="1.0" encoding="utf-8"?>
<sst xmlns="http://schemas.openxmlformats.org/spreadsheetml/2006/main" count="35116" uniqueCount="43">
  <si>
    <t>CUPS</t>
  </si>
  <si>
    <t>Data</t>
  </si>
  <si>
    <t>Hora</t>
  </si>
  <si>
    <t>AE_kWh</t>
  </si>
  <si>
    <t>LECTURA REAL/ESTIMADA</t>
  </si>
  <si>
    <t>ES0031405456296022TG0F</t>
  </si>
  <si>
    <t>R</t>
  </si>
  <si>
    <t>Hour</t>
  </si>
  <si>
    <t>Avg kWh</t>
  </si>
  <si>
    <t>Hour \ 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</si>
  <si>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</si>
  <si>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</si>
  <si>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</si>
  <si>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</si>
  <si>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</si>
  <si>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</si>
  <si>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</si>
  <si>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</si>
  <si>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</si>
  <si>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</si>
  <si>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</si>
  <si>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</si>
  <si>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ES0031448164234001WL0F</t>
  </si>
  <si>
    <t>E</t>
  </si>
  <si>
    <t>Overnight analysis (hours 1-7)</t>
  </si>
  <si>
    <t>Avg kWh/h</t>
  </si>
  <si>
    <t>Est. kWh/night (7h)</t>
  </si>
  <si>
    <t>Notes</t>
  </si>
  <si>
    <t>Winter overnight (Dec-Feb)</t>
  </si>
  <si>
    <t>heating ON</t>
  </si>
  <si>
    <t>Summer overnight (Jun-Aug)</t>
  </si>
  <si>
    <t>heating OFF (true baseline + AC if any)</t>
  </si>
  <si>
    <t>Shoulder (Mar-May, Sep-Nov)</t>
  </si>
  <si>
    <t>mild heating</t>
  </si>
  <si>
    <t>Heating share of overnight (Winter - Summer)</t>
  </si>
  <si>
    <t>True baseline (summer overnight)</t>
  </si>
  <si>
    <t>Min hour (baseline)</t>
  </si>
  <si>
    <t>Winter (Dec-Feb)</t>
  </si>
  <si>
    <t>Summer (Jun-Aug)</t>
  </si>
  <si>
    <t>Tarifa</t>
  </si>
  <si>
    <t>Consum total Abril 2025 (kWh)</t>
  </si>
  <si>
    <t>tCO2 eq./KWh</t>
  </si>
  <si>
    <t>GeneracióFV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</si>
</sst>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16" fillId="0" borderId="0" xfId="0" applyFont="1"/>
    <xf numFmtId="0" fontId="16" fillId="0" borderId="0" xfId="0" applyFont="1" applyAlignment="1">
      <alignment horizontal="center"/>
    </xf>
    <xf numFmtId="164" fontId="0" fillId="0" borderId="0" xfId="0" applyNumberFormat="1"/>
    <xf numFmtId="2" fontId="0" fillId="0" borderId="0" xfId="0" applyNumberFormat="1"/>
    <xf numFmtId="0" fontId="16" fillId="0" borderId="0" xfId="0" applyFont="1" applyAlignment="1">
      <alignment wrapText="1"/>
    </xf>
  </cellXfs>
  <cellStyles count="42">
    <cellStyle name="20% - Èmfasi1" xfId="19" builtinId="30" customBuiltin="1"/>
    <cellStyle name="20% - Èmfasi2" xfId="23" builtinId="34" customBuiltin="1"/>
    <cellStyle name="20% - Èmfasi3" xfId="27" builtinId="38" customBuiltin="1"/>
    <cellStyle name="20% - Èmfasi4" xfId="31" builtinId="42" customBuiltin="1"/>
    <cellStyle name="20% - Èmfasi5" xfId="35" builtinId="46" customBuiltin="1"/>
    <cellStyle name="20% - Èmfasi6" xfId="39" builtinId="50" customBuiltin="1"/>
    <cellStyle name="40% - Èmfasi1" xfId="20" builtinId="31" customBuiltin="1"/>
    <cellStyle name="40% - Èmfasi2" xfId="24" builtinId="35" customBuiltin="1"/>
    <cellStyle name="40% - Èmfasi3" xfId="28" builtinId="39" customBuiltin="1"/>
    <cellStyle name="40% - Èmfasi4" xfId="32" builtinId="43" customBuiltin="1"/>
    <cellStyle name="40% - Èmfasi5" xfId="36" builtinId="47" customBuiltin="1"/>
    <cellStyle name="40% - Èmfasi6" xfId="40" builtinId="51" customBuiltin="1"/>
    <cellStyle name="60% - Èmfasi1" xfId="21" builtinId="32" customBuiltin="1"/>
    <cellStyle name="60% - Èmfasi2" xfId="25" builtinId="36" customBuiltin="1"/>
    <cellStyle name="60% - Èmfasi3" xfId="29" builtinId="40" customBuiltin="1"/>
    <cellStyle name="60% - Èmfasi4" xfId="33" builtinId="44" customBuiltin="1"/>
    <cellStyle name="60% - Èmfasi5" xfId="37" builtinId="48" customBuiltin="1"/>
    <cellStyle name="60% - Èmfasi6" xfId="41" builtinId="52" customBuiltin="1"/>
    <cellStyle name="Bé" xfId="6" builtinId="26" customBuiltin="1"/>
    <cellStyle name="Càlcul" xfId="11" builtinId="22" customBuiltin="1"/>
    <cellStyle name="Cel·la de comprovació" xfId="13" builtinId="23" customBuiltin="1"/>
    <cellStyle name="Cel·la enllaçada" xfId="12" builtinId="24" customBuiltin="1"/>
    <cellStyle name="Èmfasi1" xfId="18" builtinId="29" customBuiltin="1"/>
    <cellStyle name="Èmfasi2" xfId="22" builtinId="33" customBuiltin="1"/>
    <cellStyle name="Èmfasi3" xfId="26" builtinId="37" customBuiltin="1"/>
    <cellStyle name="Èmfasi4" xfId="30" builtinId="41" customBuiltin="1"/>
    <cellStyle name="Èmfasi5" xfId="34" builtinId="45" customBuiltin="1"/>
    <cellStyle name="Èmfasi6" xfId="38" builtinId="49" customBuiltin="1"/>
    <cellStyle name="Entrada" xfId="9" builtinId="20" customBuiltin="1"/>
    <cellStyle name="Incorrecte" xfId="7" builtinId="27" customBuiltin="1"/>
    <cellStyle name="Neutral" xfId="8" builtinId="28" customBuiltin="1"/>
    <cellStyle name="Normal" xfId="0" builtinId="0"/>
    <cellStyle name="Nota" xfId="15" builtinId="10" customBuiltin="1"/>
    <cellStyle name="Resultat" xfId="10" builtinId="21" customBuiltin="1"/>
    <cellStyle name="Text d'advertiment" xfId="14" builtinId="11" customBuiltin="1"/>
    <cellStyle name="Text explicatiu" xfId="16" builtinId="53" customBuiltin="1"/>
    <cellStyle name="Títol" xfId="1" builtinId="15" customBuiltin="1"/>
    <cellStyle name="Títol 1" xfId="2" builtinId="16" customBuiltin="1"/>
    <cellStyle name="Títol 2" xfId="3" builtinId="17" customBuiltin="1"/>
    <cellStyle name="Títol 3" xfId="4" builtinId="18" customBuiltin="1"/>
    <cellStyle name="Títol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a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Consumption Profile by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ConsumPis25!$L$1</c:f>
              <c:strCache>
                <c:ptCount val="1"/>
                <c:pt idx="0">
                  <c:v>Jan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ConsumPis25!$K$2:$K$25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ConsumPis25!$L$2:$L$25</c:f>
              <c:numCache>
                <c:formatCode>0.000</c:formatCode>
                <c:ptCount val="24"/>
                <c:pt idx="0">
                  <c:v>0.18445161290322579</c:v>
                </c:pt>
                <c:pt idx="1">
                  <c:v>0.15635483870967737</c:v>
                </c:pt>
                <c:pt idx="2">
                  <c:v>0.11874193548387094</c:v>
                </c:pt>
                <c:pt idx="3">
                  <c:v>0.11758064516129033</c:v>
                </c:pt>
                <c:pt idx="4">
                  <c:v>0.1024193548387097</c:v>
                </c:pt>
                <c:pt idx="5">
                  <c:v>9.561290322580647E-2</c:v>
                </c:pt>
                <c:pt idx="6">
                  <c:v>0.10083870967741936</c:v>
                </c:pt>
                <c:pt idx="7">
                  <c:v>0.11916129032258065</c:v>
                </c:pt>
                <c:pt idx="8">
                  <c:v>0.13074193548387095</c:v>
                </c:pt>
                <c:pt idx="9">
                  <c:v>0.13022580645161291</c:v>
                </c:pt>
                <c:pt idx="10">
                  <c:v>0.14648387096774196</c:v>
                </c:pt>
                <c:pt idx="11">
                  <c:v>0.11938709677419355</c:v>
                </c:pt>
                <c:pt idx="12">
                  <c:v>0.12325806451612907</c:v>
                </c:pt>
                <c:pt idx="13">
                  <c:v>0.18406451612903219</c:v>
                </c:pt>
                <c:pt idx="14">
                  <c:v>0.19241935483870964</c:v>
                </c:pt>
                <c:pt idx="15">
                  <c:v>0.22938709677419364</c:v>
                </c:pt>
                <c:pt idx="16">
                  <c:v>0.12925806451612909</c:v>
                </c:pt>
                <c:pt idx="17">
                  <c:v>0.13077419354838707</c:v>
                </c:pt>
                <c:pt idx="18">
                  <c:v>0.16196774193548383</c:v>
                </c:pt>
                <c:pt idx="19">
                  <c:v>0.20893548387096772</c:v>
                </c:pt>
                <c:pt idx="20">
                  <c:v>0.21580645161290321</c:v>
                </c:pt>
                <c:pt idx="21">
                  <c:v>0.2311290322580645</c:v>
                </c:pt>
                <c:pt idx="22">
                  <c:v>0.19377419354838704</c:v>
                </c:pt>
                <c:pt idx="23">
                  <c:v>0.23012903225806447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2C-4582-851E-4C5C129FB773}"/>
            </c:ext>
          </c:extLst>
        </c:ser>
        <c:ser>
          <c:idx val="1"/>
          <c:order val="1"/>
          <c:tx>
            <c:strRef>
              <c:f>ConsumPis25!$M$1</c:f>
              <c:strCache>
                <c:ptCount val="1"/>
                <c:pt idx="0">
                  <c:v>Feb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ConsumPis25!$K$2:$K$25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ConsumPis25!$M$2:$M$25</c:f>
              <c:numCache>
                <c:formatCode>0.000</c:formatCode>
                <c:ptCount val="24"/>
                <c:pt idx="0">
                  <c:v>0.2658928571428571</c:v>
                </c:pt>
                <c:pt idx="1">
                  <c:v>0.18657142857142855</c:v>
                </c:pt>
                <c:pt idx="2">
                  <c:v>0.15439285714285714</c:v>
                </c:pt>
                <c:pt idx="3">
                  <c:v>0.13060714285714284</c:v>
                </c:pt>
                <c:pt idx="4">
                  <c:v>0.10917857142857147</c:v>
                </c:pt>
                <c:pt idx="5">
                  <c:v>0.13042857142857142</c:v>
                </c:pt>
                <c:pt idx="6">
                  <c:v>0.11457142857142856</c:v>
                </c:pt>
                <c:pt idx="7">
                  <c:v>0.15425</c:v>
                </c:pt>
                <c:pt idx="8">
                  <c:v>0.15857142857142856</c:v>
                </c:pt>
                <c:pt idx="9">
                  <c:v>0.19035714285714289</c:v>
                </c:pt>
                <c:pt idx="10">
                  <c:v>0.15589285714285711</c:v>
                </c:pt>
                <c:pt idx="11">
                  <c:v>0.10964285714285718</c:v>
                </c:pt>
                <c:pt idx="12">
                  <c:v>0.12449999999999996</c:v>
                </c:pt>
                <c:pt idx="13">
                  <c:v>0.18096428571428572</c:v>
                </c:pt>
                <c:pt idx="14">
                  <c:v>0.23117857142857143</c:v>
                </c:pt>
                <c:pt idx="15">
                  <c:v>0.1837857142857143</c:v>
                </c:pt>
                <c:pt idx="16">
                  <c:v>0.21278571428571436</c:v>
                </c:pt>
                <c:pt idx="17">
                  <c:v>0.1652142857142857</c:v>
                </c:pt>
                <c:pt idx="18">
                  <c:v>0.20210714285714285</c:v>
                </c:pt>
                <c:pt idx="19">
                  <c:v>0.2589642857142857</c:v>
                </c:pt>
                <c:pt idx="20">
                  <c:v>0.35178571428571426</c:v>
                </c:pt>
                <c:pt idx="21">
                  <c:v>0.3585714285714286</c:v>
                </c:pt>
                <c:pt idx="22">
                  <c:v>0.31128571428571428</c:v>
                </c:pt>
                <c:pt idx="23">
                  <c:v>0.27232142857142855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2C-4582-851E-4C5C129FB773}"/>
            </c:ext>
          </c:extLst>
        </c:ser>
        <c:ser>
          <c:idx val="2"/>
          <c:order val="2"/>
          <c:tx>
            <c:strRef>
              <c:f>ConsumPis25!$N$1</c:f>
              <c:strCache>
                <c:ptCount val="1"/>
                <c:pt idx="0">
                  <c:v>Mar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ConsumPis25!$K$2:$K$25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ConsumPis25!$N$2:$N$25</c:f>
              <c:numCache>
                <c:formatCode>0.000</c:formatCode>
                <c:ptCount val="24"/>
                <c:pt idx="0">
                  <c:v>0.28058064516129033</c:v>
                </c:pt>
                <c:pt idx="1">
                  <c:v>0.16351612903225812</c:v>
                </c:pt>
                <c:pt idx="2">
                  <c:v>0.10964516129032259</c:v>
                </c:pt>
                <c:pt idx="3">
                  <c:v>9.3774193548387078E-2</c:v>
                </c:pt>
                <c:pt idx="4">
                  <c:v>8.9870967741935481E-2</c:v>
                </c:pt>
                <c:pt idx="5">
                  <c:v>9.2322580645161273E-2</c:v>
                </c:pt>
                <c:pt idx="6">
                  <c:v>9.31935483870968E-2</c:v>
                </c:pt>
                <c:pt idx="7">
                  <c:v>0.14025806451612902</c:v>
                </c:pt>
                <c:pt idx="8">
                  <c:v>0.12490322580645158</c:v>
                </c:pt>
                <c:pt idx="9">
                  <c:v>0.1583225806451613</c:v>
                </c:pt>
                <c:pt idx="10">
                  <c:v>0.15945161290322582</c:v>
                </c:pt>
                <c:pt idx="11">
                  <c:v>9.2612903225806467E-2</c:v>
                </c:pt>
                <c:pt idx="12">
                  <c:v>0.1027741935483871</c:v>
                </c:pt>
                <c:pt idx="13">
                  <c:v>0.11025806451612902</c:v>
                </c:pt>
                <c:pt idx="14">
                  <c:v>0.15167741935483875</c:v>
                </c:pt>
                <c:pt idx="15">
                  <c:v>0.22393548387096768</c:v>
                </c:pt>
                <c:pt idx="16">
                  <c:v>0.23109677419354843</c:v>
                </c:pt>
                <c:pt idx="17">
                  <c:v>0.20416129032258062</c:v>
                </c:pt>
                <c:pt idx="18">
                  <c:v>0.21000000000000008</c:v>
                </c:pt>
                <c:pt idx="19">
                  <c:v>0.20551612903225805</c:v>
                </c:pt>
                <c:pt idx="20">
                  <c:v>0.25625806451612904</c:v>
                </c:pt>
                <c:pt idx="21">
                  <c:v>0.4208064516129032</c:v>
                </c:pt>
                <c:pt idx="22">
                  <c:v>0.36287096774193545</c:v>
                </c:pt>
                <c:pt idx="23">
                  <c:v>0.33659999999999995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2C-4582-851E-4C5C129FB773}"/>
            </c:ext>
          </c:extLst>
        </c:ser>
        <c:ser>
          <c:idx val="3"/>
          <c:order val="3"/>
          <c:tx>
            <c:strRef>
              <c:f>ConsumPis25!$O$1</c:f>
              <c:strCache>
                <c:ptCount val="1"/>
                <c:pt idx="0">
                  <c:v>Apr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ConsumPis25!$K$2:$K$25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ConsumPis25!$O$2:$O$25</c:f>
              <c:numCache>
                <c:formatCode>0.000</c:formatCode>
                <c:ptCount val="24"/>
                <c:pt idx="0">
                  <c:v>0.19386666666666671</c:v>
                </c:pt>
                <c:pt idx="1">
                  <c:v>0.11870000000000001</c:v>
                </c:pt>
                <c:pt idx="2">
                  <c:v>0.10286666666666669</c:v>
                </c:pt>
                <c:pt idx="3">
                  <c:v>8.4433333333333319E-2</c:v>
                </c:pt>
                <c:pt idx="4">
                  <c:v>8.646666666666665E-2</c:v>
                </c:pt>
                <c:pt idx="5">
                  <c:v>9.6266666666666681E-2</c:v>
                </c:pt>
                <c:pt idx="6">
                  <c:v>0.11623333333333333</c:v>
                </c:pt>
                <c:pt idx="7">
                  <c:v>0.12086666666666669</c:v>
                </c:pt>
                <c:pt idx="8">
                  <c:v>9.743333333333333E-2</c:v>
                </c:pt>
                <c:pt idx="9">
                  <c:v>0.1389</c:v>
                </c:pt>
                <c:pt idx="10">
                  <c:v>0.11356666666666665</c:v>
                </c:pt>
                <c:pt idx="11">
                  <c:v>9.3599999999999975E-2</c:v>
                </c:pt>
                <c:pt idx="12">
                  <c:v>0.10113333333333333</c:v>
                </c:pt>
                <c:pt idx="13">
                  <c:v>0.13</c:v>
                </c:pt>
                <c:pt idx="14">
                  <c:v>0.13399999999999998</c:v>
                </c:pt>
                <c:pt idx="15">
                  <c:v>0.12393333333333335</c:v>
                </c:pt>
                <c:pt idx="16">
                  <c:v>0.13593333333333335</c:v>
                </c:pt>
                <c:pt idx="17">
                  <c:v>0.17846666666666666</c:v>
                </c:pt>
                <c:pt idx="18">
                  <c:v>0.1479</c:v>
                </c:pt>
                <c:pt idx="19">
                  <c:v>0.17093333333333333</c:v>
                </c:pt>
                <c:pt idx="20">
                  <c:v>0.25176666666666664</c:v>
                </c:pt>
                <c:pt idx="21">
                  <c:v>0.30919999999999997</c:v>
                </c:pt>
                <c:pt idx="22">
                  <c:v>0.24143333333333336</c:v>
                </c:pt>
                <c:pt idx="23">
                  <c:v>0.20913333333333337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2C-4582-851E-4C5C129FB773}"/>
            </c:ext>
          </c:extLst>
        </c:ser>
        <c:ser>
          <c:idx val="4"/>
          <c:order val="4"/>
          <c:tx>
            <c:strRef>
              <c:f>ConsumPis25!$P$1</c:f>
              <c:strCache>
                <c:ptCount val="1"/>
                <c:pt idx="0">
                  <c:v>May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ConsumPis25!$K$2:$K$25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ConsumPis25!$P$2:$P$25</c:f>
              <c:numCache>
                <c:formatCode>0.000</c:formatCode>
                <c:ptCount val="24"/>
                <c:pt idx="0">
                  <c:v>0.29977419354838708</c:v>
                </c:pt>
                <c:pt idx="1">
                  <c:v>0.17029032258064519</c:v>
                </c:pt>
                <c:pt idx="2">
                  <c:v>0.11799999999999999</c:v>
                </c:pt>
                <c:pt idx="3">
                  <c:v>0.10764516129032259</c:v>
                </c:pt>
                <c:pt idx="4">
                  <c:v>0.1063225806451613</c:v>
                </c:pt>
                <c:pt idx="5">
                  <c:v>0.11970967741935483</c:v>
                </c:pt>
                <c:pt idx="6">
                  <c:v>0.12606451612903224</c:v>
                </c:pt>
                <c:pt idx="7">
                  <c:v>0.14116129032258062</c:v>
                </c:pt>
                <c:pt idx="8">
                  <c:v>0.14003225806451614</c:v>
                </c:pt>
                <c:pt idx="9">
                  <c:v>0.14483870967741935</c:v>
                </c:pt>
                <c:pt idx="10">
                  <c:v>0.13329032258064519</c:v>
                </c:pt>
                <c:pt idx="11">
                  <c:v>0.1061290322580645</c:v>
                </c:pt>
                <c:pt idx="12">
                  <c:v>0.12435483870967744</c:v>
                </c:pt>
                <c:pt idx="13">
                  <c:v>0.14941935483870969</c:v>
                </c:pt>
                <c:pt idx="14">
                  <c:v>0.1583225806451613</c:v>
                </c:pt>
                <c:pt idx="15">
                  <c:v>0.25380645161290322</c:v>
                </c:pt>
                <c:pt idx="16">
                  <c:v>0.21041935483870972</c:v>
                </c:pt>
                <c:pt idx="17">
                  <c:v>0.23267741935483868</c:v>
                </c:pt>
                <c:pt idx="18">
                  <c:v>0.23280645161290325</c:v>
                </c:pt>
                <c:pt idx="19">
                  <c:v>0.20832258064516129</c:v>
                </c:pt>
                <c:pt idx="20">
                  <c:v>0.35783870967741949</c:v>
                </c:pt>
                <c:pt idx="21">
                  <c:v>0.42035483870967738</c:v>
                </c:pt>
                <c:pt idx="22">
                  <c:v>0.47464516129032247</c:v>
                </c:pt>
                <c:pt idx="23">
                  <c:v>0.33348387096774196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2C-4582-851E-4C5C129FB773}"/>
            </c:ext>
          </c:extLst>
        </c:ser>
        <c:ser>
          <c:idx val="5"/>
          <c:order val="5"/>
          <c:tx>
            <c:strRef>
              <c:f>ConsumPis25!$Q$1</c:f>
              <c:strCache>
                <c:ptCount val="1"/>
                <c:pt idx="0">
                  <c:v>Jun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ConsumPis25!$K$2:$K$25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ConsumPis25!$Q$2:$Q$25</c:f>
              <c:numCache>
                <c:formatCode>0.000</c:formatCode>
                <c:ptCount val="24"/>
                <c:pt idx="0">
                  <c:v>0.19440000000000002</c:v>
                </c:pt>
                <c:pt idx="1">
                  <c:v>0.13836666666666664</c:v>
                </c:pt>
                <c:pt idx="2">
                  <c:v>0.13203333333333334</c:v>
                </c:pt>
                <c:pt idx="3">
                  <c:v>0.13010000000000002</c:v>
                </c:pt>
                <c:pt idx="4">
                  <c:v>0.13116666666666671</c:v>
                </c:pt>
                <c:pt idx="5">
                  <c:v>0.13023333333333334</c:v>
                </c:pt>
                <c:pt idx="6">
                  <c:v>0.13233333333333336</c:v>
                </c:pt>
                <c:pt idx="7">
                  <c:v>0.13573333333333334</c:v>
                </c:pt>
                <c:pt idx="8">
                  <c:v>0.1355666666666667</c:v>
                </c:pt>
                <c:pt idx="9">
                  <c:v>0.19603333333333331</c:v>
                </c:pt>
                <c:pt idx="10">
                  <c:v>0.2669333333333333</c:v>
                </c:pt>
                <c:pt idx="11">
                  <c:v>0.3168999999999999</c:v>
                </c:pt>
                <c:pt idx="12">
                  <c:v>0.25540000000000002</c:v>
                </c:pt>
                <c:pt idx="13">
                  <c:v>0.24926666666666666</c:v>
                </c:pt>
                <c:pt idx="14">
                  <c:v>0.22080000000000002</c:v>
                </c:pt>
                <c:pt idx="15">
                  <c:v>0.24190000000000003</c:v>
                </c:pt>
                <c:pt idx="16">
                  <c:v>0.30649999999999999</c:v>
                </c:pt>
                <c:pt idx="17">
                  <c:v>0.3048333333333334</c:v>
                </c:pt>
                <c:pt idx="18">
                  <c:v>0.31519999999999998</c:v>
                </c:pt>
                <c:pt idx="19">
                  <c:v>0.41396666666666676</c:v>
                </c:pt>
                <c:pt idx="20">
                  <c:v>0.47026666666666678</c:v>
                </c:pt>
                <c:pt idx="21">
                  <c:v>0.46713333333333346</c:v>
                </c:pt>
                <c:pt idx="22">
                  <c:v>0.46006666666666673</c:v>
                </c:pt>
                <c:pt idx="23">
                  <c:v>0.34866666666666662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2C-4582-851E-4C5C129FB773}"/>
            </c:ext>
          </c:extLst>
        </c:ser>
        <c:ser>
          <c:idx val="6"/>
          <c:order val="6"/>
          <c:tx>
            <c:strRef>
              <c:f>ConsumPis25!$R$1</c:f>
              <c:strCache>
                <c:ptCount val="1"/>
                <c:pt idx="0">
                  <c:v>Jul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ConsumPis25!$K$2:$K$25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ConsumPis25!$R$2:$R$25</c:f>
              <c:numCache>
                <c:formatCode>0.000</c:formatCode>
                <c:ptCount val="24"/>
                <c:pt idx="0">
                  <c:v>0.12038709677419356</c:v>
                </c:pt>
                <c:pt idx="1">
                  <c:v>0.11251612903225809</c:v>
                </c:pt>
                <c:pt idx="2">
                  <c:v>8.0870967741935473E-2</c:v>
                </c:pt>
                <c:pt idx="3">
                  <c:v>7.751612903225806E-2</c:v>
                </c:pt>
                <c:pt idx="4">
                  <c:v>7.5096774193548377E-2</c:v>
                </c:pt>
                <c:pt idx="5">
                  <c:v>7.0064516129032264E-2</c:v>
                </c:pt>
                <c:pt idx="6">
                  <c:v>7.5064516129032283E-2</c:v>
                </c:pt>
                <c:pt idx="7">
                  <c:v>7.1935483870967751E-2</c:v>
                </c:pt>
                <c:pt idx="8">
                  <c:v>7.2838709677419358E-2</c:v>
                </c:pt>
                <c:pt idx="9">
                  <c:v>7.0354838709677431E-2</c:v>
                </c:pt>
                <c:pt idx="10">
                  <c:v>6.9645161290322555E-2</c:v>
                </c:pt>
                <c:pt idx="11">
                  <c:v>7.17741935483871E-2</c:v>
                </c:pt>
                <c:pt idx="12">
                  <c:v>6.6580645161290336E-2</c:v>
                </c:pt>
                <c:pt idx="13">
                  <c:v>7.164516129032257E-2</c:v>
                </c:pt>
                <c:pt idx="14">
                  <c:v>7.2258064516129039E-2</c:v>
                </c:pt>
                <c:pt idx="15">
                  <c:v>6.7258064516129035E-2</c:v>
                </c:pt>
                <c:pt idx="16">
                  <c:v>0.11899999999999998</c:v>
                </c:pt>
                <c:pt idx="17">
                  <c:v>7.651612903225806E-2</c:v>
                </c:pt>
                <c:pt idx="18">
                  <c:v>9.9322580645161293E-2</c:v>
                </c:pt>
                <c:pt idx="19">
                  <c:v>0.12906451612903222</c:v>
                </c:pt>
                <c:pt idx="20">
                  <c:v>0.13251612903225804</c:v>
                </c:pt>
                <c:pt idx="21">
                  <c:v>0.11545161290322579</c:v>
                </c:pt>
                <c:pt idx="22">
                  <c:v>0.1715161290322581</c:v>
                </c:pt>
                <c:pt idx="23">
                  <c:v>0.15254838709677424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52C-4582-851E-4C5C129FB773}"/>
            </c:ext>
          </c:extLst>
        </c:ser>
        <c:ser>
          <c:idx val="7"/>
          <c:order val="7"/>
          <c:tx>
            <c:strRef>
              <c:f>ConsumPis25!$S$1</c:f>
              <c:strCache>
                <c:ptCount val="1"/>
                <c:pt idx="0">
                  <c:v>Aug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ConsumPis25!$K$2:$K$25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ConsumPis25!$S$2:$S$25</c:f>
              <c:numCache>
                <c:formatCode>0.000</c:formatCode>
                <c:ptCount val="24"/>
                <c:pt idx="0">
                  <c:v>7.4774193548387102E-2</c:v>
                </c:pt>
                <c:pt idx="1">
                  <c:v>7.0548387096774176E-2</c:v>
                </c:pt>
                <c:pt idx="2">
                  <c:v>7.1677419354838706E-2</c:v>
                </c:pt>
                <c:pt idx="3">
                  <c:v>7.2999999999999995E-2</c:v>
                </c:pt>
                <c:pt idx="4">
                  <c:v>6.7838709677419326E-2</c:v>
                </c:pt>
                <c:pt idx="5">
                  <c:v>6.8516129032258052E-2</c:v>
                </c:pt>
                <c:pt idx="6">
                  <c:v>7.2290322580645175E-2</c:v>
                </c:pt>
                <c:pt idx="7">
                  <c:v>6.9258064516129036E-2</c:v>
                </c:pt>
                <c:pt idx="8">
                  <c:v>6.9258064516129036E-2</c:v>
                </c:pt>
                <c:pt idx="9">
                  <c:v>7.361290322580645E-2</c:v>
                </c:pt>
                <c:pt idx="10">
                  <c:v>6.9129032258064507E-2</c:v>
                </c:pt>
                <c:pt idx="11">
                  <c:v>6.7612903225806459E-2</c:v>
                </c:pt>
                <c:pt idx="12">
                  <c:v>7.4935483870967753E-2</c:v>
                </c:pt>
                <c:pt idx="13">
                  <c:v>6.8741935483870975E-2</c:v>
                </c:pt>
                <c:pt idx="14">
                  <c:v>6.8258064516129036E-2</c:v>
                </c:pt>
                <c:pt idx="15">
                  <c:v>7.4548387096774194E-2</c:v>
                </c:pt>
                <c:pt idx="16">
                  <c:v>6.9225806451612915E-2</c:v>
                </c:pt>
                <c:pt idx="17">
                  <c:v>7.1000000000000008E-2</c:v>
                </c:pt>
                <c:pt idx="18">
                  <c:v>7.2774193548387101E-2</c:v>
                </c:pt>
                <c:pt idx="19">
                  <c:v>6.7354838709677414E-2</c:v>
                </c:pt>
                <c:pt idx="20">
                  <c:v>7.3935483870967753E-2</c:v>
                </c:pt>
                <c:pt idx="21">
                  <c:v>8.9935483870967739E-2</c:v>
                </c:pt>
                <c:pt idx="22">
                  <c:v>8.9612903225806478E-2</c:v>
                </c:pt>
                <c:pt idx="23">
                  <c:v>8.0580645161290321E-2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52C-4582-851E-4C5C129FB773}"/>
            </c:ext>
          </c:extLst>
        </c:ser>
        <c:ser>
          <c:idx val="8"/>
          <c:order val="8"/>
          <c:tx>
            <c:strRef>
              <c:f>ConsumPis25!$T$1</c:f>
              <c:strCache>
                <c:ptCount val="1"/>
                <c:pt idx="0">
                  <c:v>Sep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ConsumPis25!$K$2:$K$25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ConsumPis25!$T$2:$T$25</c:f>
              <c:numCache>
                <c:formatCode>0.000</c:formatCode>
                <c:ptCount val="24"/>
                <c:pt idx="0">
                  <c:v>0.23423333333333338</c:v>
                </c:pt>
                <c:pt idx="1">
                  <c:v>0.18176666666666669</c:v>
                </c:pt>
                <c:pt idx="2">
                  <c:v>0.14530000000000001</c:v>
                </c:pt>
                <c:pt idx="3">
                  <c:v>0.12543333333333334</c:v>
                </c:pt>
                <c:pt idx="4">
                  <c:v>0.12626666666666667</c:v>
                </c:pt>
                <c:pt idx="5">
                  <c:v>0.12336666666666667</c:v>
                </c:pt>
                <c:pt idx="6">
                  <c:v>0.12393333333333331</c:v>
                </c:pt>
                <c:pt idx="7">
                  <c:v>0.12203333333333331</c:v>
                </c:pt>
                <c:pt idx="8">
                  <c:v>0.11783333333333337</c:v>
                </c:pt>
                <c:pt idx="9">
                  <c:v>0.13186666666666666</c:v>
                </c:pt>
                <c:pt idx="10">
                  <c:v>0.15743333333333329</c:v>
                </c:pt>
                <c:pt idx="11">
                  <c:v>0.18146666666666664</c:v>
                </c:pt>
                <c:pt idx="12">
                  <c:v>0.23856666666666668</c:v>
                </c:pt>
                <c:pt idx="13">
                  <c:v>0.23903333333333338</c:v>
                </c:pt>
                <c:pt idx="14">
                  <c:v>0.38296666666666668</c:v>
                </c:pt>
                <c:pt idx="15">
                  <c:v>0.4297333333333333</c:v>
                </c:pt>
                <c:pt idx="16">
                  <c:v>0.31646666666666662</c:v>
                </c:pt>
                <c:pt idx="17">
                  <c:v>0.20616666666666669</c:v>
                </c:pt>
                <c:pt idx="18">
                  <c:v>0.1570333333333333</c:v>
                </c:pt>
                <c:pt idx="19">
                  <c:v>0.13443333333333332</c:v>
                </c:pt>
                <c:pt idx="20">
                  <c:v>0.31749999999999995</c:v>
                </c:pt>
                <c:pt idx="21">
                  <c:v>0.47316666666666679</c:v>
                </c:pt>
                <c:pt idx="22">
                  <c:v>0.38049999999999984</c:v>
                </c:pt>
                <c:pt idx="23">
                  <c:v>0.25510000000000005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52C-4582-851E-4C5C129FB7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2660432"/>
        <c:axId val="642651072"/>
        <c:extLst>
          <c:ext xmlns:c15="http://schemas.microsoft.com/office/drawing/2012/chart" uri="{02D57815-91ED-43cb-92C2-25804820EDAC}">
            <c15:filteredLineSeries>
              <c15:ser>
                <c:idx val="9"/>
                <c:order val="9"/>
                <c:tx>
                  <c:strRef>
                    <c:extLst>
                      <c:ext uri="{02D57815-91ED-43cb-92C2-25804820EDAC}">
                        <c15:formulaRef>
                          <c15:sqref>ConsumPis25!$U$1</c15:sqref>
                        </c15:formulaRef>
                      </c:ext>
                    </c:extLst>
                    <c:strCache>
                      <c:ptCount val="1"/>
                      <c:pt idx="0">
                        <c:v>Oct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ConsumPis25!$K$2:$K$25</c15:sqref>
                        </c15:formulaRef>
                      </c:ext>
                    </c:extLst>
                    <c:numCache>
                      <c:formatCode>General</c:formatCode>
                      <c:ptCount val="24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ConsumPis25!$U$2:$U$25</c15:sqref>
                        </c15:formulaRef>
                      </c:ext>
                    </c:extLst>
                    <c:numCache>
                      <c:formatCode>0.000</c:formatCode>
                      <c:ptCount val="24"/>
                      <c:pt idx="0">
                        <c:v>0.28493548387096773</c:v>
                      </c:pt>
                      <c:pt idx="1">
                        <c:v>0.23835483870967739</c:v>
                      </c:pt>
                      <c:pt idx="2">
                        <c:v>0.19122580645161297</c:v>
                      </c:pt>
                      <c:pt idx="3">
                        <c:v>0.14490322580645165</c:v>
                      </c:pt>
                      <c:pt idx="4">
                        <c:v>0.12361290322580649</c:v>
                      </c:pt>
                      <c:pt idx="5">
                        <c:v>0.12177419354838713</c:v>
                      </c:pt>
                      <c:pt idx="6">
                        <c:v>0.12232258064516131</c:v>
                      </c:pt>
                      <c:pt idx="7">
                        <c:v>0.13122580645161294</c:v>
                      </c:pt>
                      <c:pt idx="8">
                        <c:v>0.12990322580645158</c:v>
                      </c:pt>
                      <c:pt idx="9">
                        <c:v>0.14490322580645162</c:v>
                      </c:pt>
                      <c:pt idx="10">
                        <c:v>0.13461290322580649</c:v>
                      </c:pt>
                      <c:pt idx="11">
                        <c:v>0.14580645161290323</c:v>
                      </c:pt>
                      <c:pt idx="12">
                        <c:v>0.23080645161290322</c:v>
                      </c:pt>
                      <c:pt idx="13">
                        <c:v>0.28493548387096773</c:v>
                      </c:pt>
                      <c:pt idx="14">
                        <c:v>0.26390322580645159</c:v>
                      </c:pt>
                      <c:pt idx="15">
                        <c:v>0.20803225806451611</c:v>
                      </c:pt>
                      <c:pt idx="16">
                        <c:v>0.15861290322580654</c:v>
                      </c:pt>
                      <c:pt idx="17">
                        <c:v>0.1414516129032258</c:v>
                      </c:pt>
                      <c:pt idx="18">
                        <c:v>0.14035483870967738</c:v>
                      </c:pt>
                      <c:pt idx="19">
                        <c:v>0.16403225806451613</c:v>
                      </c:pt>
                      <c:pt idx="20">
                        <c:v>0.35145161290322574</c:v>
                      </c:pt>
                      <c:pt idx="21">
                        <c:v>0.41029032258064518</c:v>
                      </c:pt>
                      <c:pt idx="22">
                        <c:v>0.27270967741935487</c:v>
                      </c:pt>
                      <c:pt idx="23">
                        <c:v>0.24000000000000002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9-052C-4582-851E-4C5C129FB773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ConsumPis25!$V$1</c15:sqref>
                        </c15:formulaRef>
                      </c:ext>
                    </c:extLst>
                    <c:strCache>
                      <c:ptCount val="1"/>
                      <c:pt idx="0">
                        <c:v>Nov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ConsumPis25!$K$2:$K$25</c15:sqref>
                        </c15:formulaRef>
                      </c:ext>
                    </c:extLst>
                    <c:numCache>
                      <c:formatCode>General</c:formatCode>
                      <c:ptCount val="24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ConsumPis25!$V$2:$V$25</c15:sqref>
                        </c15:formulaRef>
                      </c:ext>
                    </c:extLst>
                    <c:numCache>
                      <c:formatCode>0.000</c:formatCode>
                      <c:ptCount val="24"/>
                      <c:pt idx="0">
                        <c:v>0.24063333333333331</c:v>
                      </c:pt>
                      <c:pt idx="1">
                        <c:v>0.1589666666666667</c:v>
                      </c:pt>
                      <c:pt idx="2">
                        <c:v>0.11893333333333334</c:v>
                      </c:pt>
                      <c:pt idx="3">
                        <c:v>0.1031</c:v>
                      </c:pt>
                      <c:pt idx="4">
                        <c:v>9.1233333333333333E-2</c:v>
                      </c:pt>
                      <c:pt idx="5">
                        <c:v>9.1366666666666665E-2</c:v>
                      </c:pt>
                      <c:pt idx="6">
                        <c:v>9.7866666666666685E-2</c:v>
                      </c:pt>
                      <c:pt idx="7">
                        <c:v>0.11486666666666667</c:v>
                      </c:pt>
                      <c:pt idx="8">
                        <c:v>0.1188</c:v>
                      </c:pt>
                      <c:pt idx="9">
                        <c:v>0.10390000000000001</c:v>
                      </c:pt>
                      <c:pt idx="10">
                        <c:v>0.12953333333333333</c:v>
                      </c:pt>
                      <c:pt idx="11">
                        <c:v>0.18863333333333332</c:v>
                      </c:pt>
                      <c:pt idx="12">
                        <c:v>0.27736666666666671</c:v>
                      </c:pt>
                      <c:pt idx="13">
                        <c:v>0.21963333333333337</c:v>
                      </c:pt>
                      <c:pt idx="14">
                        <c:v>0.20593333333333338</c:v>
                      </c:pt>
                      <c:pt idx="15">
                        <c:v>0.16653333333333334</c:v>
                      </c:pt>
                      <c:pt idx="16">
                        <c:v>0.20319999999999999</c:v>
                      </c:pt>
                      <c:pt idx="17">
                        <c:v>0.1525</c:v>
                      </c:pt>
                      <c:pt idx="18">
                        <c:v>0.16383333333333333</c:v>
                      </c:pt>
                      <c:pt idx="19">
                        <c:v>0.15053333333333327</c:v>
                      </c:pt>
                      <c:pt idx="20">
                        <c:v>0.18629999999999997</c:v>
                      </c:pt>
                      <c:pt idx="21">
                        <c:v>0.38100000000000006</c:v>
                      </c:pt>
                      <c:pt idx="22">
                        <c:v>0.31133333333333341</c:v>
                      </c:pt>
                      <c:pt idx="23">
                        <c:v>0.29089999999999999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052C-4582-851E-4C5C129FB773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ConsumPis25!$W$1</c15:sqref>
                        </c15:formulaRef>
                      </c:ext>
                    </c:extLst>
                    <c:strCache>
                      <c:ptCount val="1"/>
                      <c:pt idx="0">
                        <c:v>Dec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ConsumPis25!$K$2:$K$25</c15:sqref>
                        </c15:formulaRef>
                      </c:ext>
                    </c:extLst>
                    <c:numCache>
                      <c:formatCode>General</c:formatCode>
                      <c:ptCount val="24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ConsumPis25!$W$2:$W$25</c15:sqref>
                        </c15:formulaRef>
                      </c:ext>
                    </c:extLst>
                    <c:numCache>
                      <c:formatCode>0.000</c:formatCode>
                      <c:ptCount val="24"/>
                      <c:pt idx="0">
                        <c:v>0.16106451612903222</c:v>
                      </c:pt>
                      <c:pt idx="1">
                        <c:v>0.12345161290322582</c:v>
                      </c:pt>
                      <c:pt idx="2">
                        <c:v>8.9483870967741935E-2</c:v>
                      </c:pt>
                      <c:pt idx="3">
                        <c:v>8.7129032258064523E-2</c:v>
                      </c:pt>
                      <c:pt idx="4">
                        <c:v>8.2129032258064519E-2</c:v>
                      </c:pt>
                      <c:pt idx="5">
                        <c:v>8.2838709677419353E-2</c:v>
                      </c:pt>
                      <c:pt idx="6">
                        <c:v>8.2645161290322594E-2</c:v>
                      </c:pt>
                      <c:pt idx="7">
                        <c:v>8.7967741935483887E-2</c:v>
                      </c:pt>
                      <c:pt idx="8">
                        <c:v>9.4064516129032216E-2</c:v>
                      </c:pt>
                      <c:pt idx="9">
                        <c:v>0.13312903225806452</c:v>
                      </c:pt>
                      <c:pt idx="10">
                        <c:v>0.10854838709677418</c:v>
                      </c:pt>
                      <c:pt idx="11">
                        <c:v>0.12951612903225806</c:v>
                      </c:pt>
                      <c:pt idx="12">
                        <c:v>0.12877419354838709</c:v>
                      </c:pt>
                      <c:pt idx="13">
                        <c:v>0.18312903225806451</c:v>
                      </c:pt>
                      <c:pt idx="14">
                        <c:v>0.11732258064516134</c:v>
                      </c:pt>
                      <c:pt idx="15">
                        <c:v>0.10074193548387098</c:v>
                      </c:pt>
                      <c:pt idx="16">
                        <c:v>0.13632258064516131</c:v>
                      </c:pt>
                      <c:pt idx="17">
                        <c:v>0.12661290322580646</c:v>
                      </c:pt>
                      <c:pt idx="18">
                        <c:v>0.17425806451612907</c:v>
                      </c:pt>
                      <c:pt idx="19">
                        <c:v>0.12077419354838712</c:v>
                      </c:pt>
                      <c:pt idx="20">
                        <c:v>0.20935483870967742</c:v>
                      </c:pt>
                      <c:pt idx="21">
                        <c:v>0.24458064516129033</c:v>
                      </c:pt>
                      <c:pt idx="22">
                        <c:v>0.1583548387096774</c:v>
                      </c:pt>
                      <c:pt idx="23">
                        <c:v>0.17490322580645154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052C-4582-851E-4C5C129FB773}"/>
                  </c:ext>
                </c:extLst>
              </c15:ser>
            </c15:filteredLineSeries>
          </c:ext>
        </c:extLst>
      </c:lineChart>
      <c:catAx>
        <c:axId val="6426604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Hour of 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42651072"/>
        <c:crosses val="autoZero"/>
        <c:auto val="1"/>
        <c:lblAlgn val="ctr"/>
        <c:lblOffset val="100"/>
        <c:noMultiLvlLbl val="0"/>
      </c:catAx>
      <c:valAx>
        <c:axId val="64265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Avg 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42660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a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Hourly Consumption (2025)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ConsumPis25!$H$1</c:f>
              <c:strCache>
                <c:ptCount val="1"/>
                <c:pt idx="0">
                  <c:v>Avg kWh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ConsumPis25!$H$2:$H$25</c:f>
              <c:numCache>
                <c:formatCode>General</c:formatCode>
                <c:ptCount val="24"/>
                <c:pt idx="0">
                  <c:v>0.21075068493150706</c:v>
                </c:pt>
                <c:pt idx="1">
                  <c:v>0.15135342465753421</c:v>
                </c:pt>
                <c:pt idx="2">
                  <c:v>0.11908493150684947</c:v>
                </c:pt>
                <c:pt idx="3">
                  <c:v>0.10601917808219173</c:v>
                </c:pt>
                <c:pt idx="4">
                  <c:v>9.9115068493150701E-2</c:v>
                </c:pt>
                <c:pt idx="5">
                  <c:v>0.10154794520547951</c:v>
                </c:pt>
                <c:pt idx="6">
                  <c:v>0.10455890410958901</c:v>
                </c:pt>
                <c:pt idx="7">
                  <c:v>0.11702465753424661</c:v>
                </c:pt>
                <c:pt idx="8">
                  <c:v>0.11546027397260282</c:v>
                </c:pt>
                <c:pt idx="9">
                  <c:v>0.13415890410958894</c:v>
                </c:pt>
                <c:pt idx="10">
                  <c:v>0.13656164383561648</c:v>
                </c:pt>
                <c:pt idx="11">
                  <c:v>0.13481095890410963</c:v>
                </c:pt>
                <c:pt idx="12">
                  <c:v>0.15357808219178073</c:v>
                </c:pt>
                <c:pt idx="13">
                  <c:v>0.17211780821917796</c:v>
                </c:pt>
                <c:pt idx="14">
                  <c:v>0.18228219178082183</c:v>
                </c:pt>
                <c:pt idx="15">
                  <c:v>0.19150136986301378</c:v>
                </c:pt>
                <c:pt idx="16">
                  <c:v>0.18491232876712316</c:v>
                </c:pt>
                <c:pt idx="17">
                  <c:v>0.16538082191780837</c:v>
                </c:pt>
                <c:pt idx="18">
                  <c:v>0.17264109589041102</c:v>
                </c:pt>
                <c:pt idx="19">
                  <c:v>0.18512602739726028</c:v>
                </c:pt>
                <c:pt idx="20">
                  <c:v>0.26338904109589056</c:v>
                </c:pt>
                <c:pt idx="21">
                  <c:v>0.32565479452054774</c:v>
                </c:pt>
                <c:pt idx="22">
                  <c:v>0.28477808219178058</c:v>
                </c:pt>
                <c:pt idx="23">
                  <c:v>0.24285164835164841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397-4138-B938-3D6524E8CD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2656112"/>
        <c:axId val="64265755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ConsumPis25!$G$1</c15:sqref>
                        </c15:formulaRef>
                      </c:ext>
                    </c:extLst>
                    <c:strCache>
                      <c:ptCount val="1"/>
                      <c:pt idx="0">
                        <c:v>Hour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ConsumPis25!$G$2:$G$25</c15:sqref>
                        </c15:formulaRef>
                      </c:ext>
                    </c:extLst>
                    <c:numCache>
                      <c:formatCode>General</c:formatCode>
                      <c:ptCount val="24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9397-4138-B938-3D6524E8CD51}"/>
                  </c:ext>
                </c:extLst>
              </c15:ser>
            </c15:filteredLineSeries>
          </c:ext>
        </c:extLst>
      </c:lineChart>
      <c:catAx>
        <c:axId val="6426561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Hour of 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42657552"/>
        <c:crosses val="autoZero"/>
        <c:auto val="1"/>
        <c:lblAlgn val="ctr"/>
        <c:lblOffset val="100"/>
        <c:noMultiLvlLbl val="0"/>
      </c:catAx>
      <c:valAx>
        <c:axId val="642657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42656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a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Consumption: Winter vs Summer — Pis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ConsumPis25!$AP$1</c:f>
              <c:strCache>
                <c:ptCount val="1"/>
                <c:pt idx="0">
                  <c:v>Winter (Dec-Feb)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ConsumPis25!$AP$2:$AP$25</c:f>
              <c:numCache>
                <c:formatCode>0.000</c:formatCode>
                <c:ptCount val="24"/>
                <c:pt idx="0">
                  <c:v>0.20173333333333332</c:v>
                </c:pt>
                <c:pt idx="1">
                  <c:v>0.15442222222222224</c:v>
                </c:pt>
                <c:pt idx="2">
                  <c:v>0.11975555555555559</c:v>
                </c:pt>
                <c:pt idx="3">
                  <c:v>0.11114444444444446</c:v>
                </c:pt>
                <c:pt idx="4">
                  <c:v>9.7533333333333333E-2</c:v>
                </c:pt>
                <c:pt idx="5">
                  <c:v>0.10204444444444445</c:v>
                </c:pt>
                <c:pt idx="6">
                  <c:v>9.8844444444444457E-2</c:v>
                </c:pt>
                <c:pt idx="7">
                  <c:v>0.11933333333333333</c:v>
                </c:pt>
                <c:pt idx="8">
                  <c:v>0.12676666666666664</c:v>
                </c:pt>
                <c:pt idx="9">
                  <c:v>0.14993333333333336</c:v>
                </c:pt>
                <c:pt idx="10">
                  <c:v>0.13634444444444446</c:v>
                </c:pt>
                <c:pt idx="11">
                  <c:v>0.11984444444444442</c:v>
                </c:pt>
                <c:pt idx="12">
                  <c:v>0.12554444444444446</c:v>
                </c:pt>
                <c:pt idx="13">
                  <c:v>0.18277777777777782</c:v>
                </c:pt>
                <c:pt idx="14">
                  <c:v>0.17861111111111114</c:v>
                </c:pt>
                <c:pt idx="15">
                  <c:v>0.17088888888888892</c:v>
                </c:pt>
                <c:pt idx="16">
                  <c:v>0.15767777777777778</c:v>
                </c:pt>
                <c:pt idx="17">
                  <c:v>0.14005555555555557</c:v>
                </c:pt>
                <c:pt idx="18">
                  <c:v>0.17868888888888881</c:v>
                </c:pt>
                <c:pt idx="19">
                  <c:v>0.1941333333333333</c:v>
                </c:pt>
                <c:pt idx="20">
                  <c:v>0.25588888888888883</c:v>
                </c:pt>
                <c:pt idx="21">
                  <c:v>0.27541111111111116</c:v>
                </c:pt>
                <c:pt idx="22">
                  <c:v>0.21813333333333323</c:v>
                </c:pt>
                <c:pt idx="23">
                  <c:v>0.22423333333333331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7C3-4B87-B849-971BCA2A416E}"/>
            </c:ext>
          </c:extLst>
        </c:ser>
        <c:ser>
          <c:idx val="2"/>
          <c:order val="2"/>
          <c:tx>
            <c:strRef>
              <c:f>ConsumPis25!$AQ$1</c:f>
              <c:strCache>
                <c:ptCount val="1"/>
                <c:pt idx="0">
                  <c:v>Summer (Jun-Aug)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ConsumPis25!$AQ$2:$AQ$25</c:f>
              <c:numCache>
                <c:formatCode>0.000</c:formatCode>
                <c:ptCount val="24"/>
                <c:pt idx="0">
                  <c:v>0.12915217391304351</c:v>
                </c:pt>
                <c:pt idx="1">
                  <c:v>0.10680434782608686</c:v>
                </c:pt>
                <c:pt idx="2">
                  <c:v>9.4456521739130467E-2</c:v>
                </c:pt>
                <c:pt idx="3">
                  <c:v>9.3141304347826137E-2</c:v>
                </c:pt>
                <c:pt idx="4">
                  <c:v>9.0934782608695669E-2</c:v>
                </c:pt>
                <c:pt idx="5">
                  <c:v>8.9163043478260887E-2</c:v>
                </c:pt>
                <c:pt idx="6">
                  <c:v>9.2804347826086958E-2</c:v>
                </c:pt>
                <c:pt idx="7">
                  <c:v>9.1836956521739108E-2</c:v>
                </c:pt>
                <c:pt idx="8">
                  <c:v>9.2086956521739163E-2</c:v>
                </c:pt>
                <c:pt idx="9">
                  <c:v>0.11243478260869569</c:v>
                </c:pt>
                <c:pt idx="10">
                  <c:v>0.13380434782608694</c:v>
                </c:pt>
                <c:pt idx="11">
                  <c:v>0.1503043478260869</c:v>
                </c:pt>
                <c:pt idx="12">
                  <c:v>0.13096739130434784</c:v>
                </c:pt>
                <c:pt idx="13">
                  <c:v>0.1285869565217391</c:v>
                </c:pt>
                <c:pt idx="14">
                  <c:v>0.1193478260869565</c:v>
                </c:pt>
                <c:pt idx="15">
                  <c:v>0.12666304347826088</c:v>
                </c:pt>
                <c:pt idx="16">
                  <c:v>0.16336956521739127</c:v>
                </c:pt>
                <c:pt idx="17">
                  <c:v>0.14910869565217399</c:v>
                </c:pt>
                <c:pt idx="18">
                  <c:v>0.16077173913043477</c:v>
                </c:pt>
                <c:pt idx="19">
                  <c:v>0.20117391304347829</c:v>
                </c:pt>
                <c:pt idx="20">
                  <c:v>0.22291304347826094</c:v>
                </c:pt>
                <c:pt idx="21">
                  <c:v>0.22153260869565236</c:v>
                </c:pt>
                <c:pt idx="22">
                  <c:v>0.23801086956521733</c:v>
                </c:pt>
                <c:pt idx="23">
                  <c:v>0.19224999999999989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7C3-4B87-B849-971BCA2A41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2713344"/>
        <c:axId val="30271262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ConsumPis25!$AO$1</c15:sqref>
                        </c15:formulaRef>
                      </c:ext>
                    </c:extLst>
                    <c:strCache>
                      <c:ptCount val="1"/>
                      <c:pt idx="0">
                        <c:v>Hour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ConsumPis25!$AO$2:$AO$25</c15:sqref>
                        </c15:formulaRef>
                      </c:ext>
                    </c:extLst>
                    <c:numCache>
                      <c:formatCode>General</c:formatCode>
                      <c:ptCount val="24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37C3-4B87-B849-971BCA2A416E}"/>
                  </c:ext>
                </c:extLst>
              </c15:ser>
            </c15:filteredLineSeries>
          </c:ext>
        </c:extLst>
      </c:lineChart>
      <c:catAx>
        <c:axId val="302713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Hour of 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02712624"/>
        <c:crosses val="autoZero"/>
        <c:auto val="1"/>
        <c:lblAlgn val="ctr"/>
        <c:lblOffset val="100"/>
        <c:noMultiLvlLbl val="0"/>
      </c:catAx>
      <c:valAx>
        <c:axId val="302712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Avg 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02713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a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Hourly Consumption (2025)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ConsumCasa25!$H$1</c:f>
              <c:strCache>
                <c:ptCount val="1"/>
                <c:pt idx="0">
                  <c:v>Avg kWh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ConsumCasa25!$H$2:$H$25</c:f>
              <c:numCache>
                <c:formatCode>General</c:formatCode>
                <c:ptCount val="24"/>
                <c:pt idx="0">
                  <c:v>1.0615917808219175</c:v>
                </c:pt>
                <c:pt idx="1">
                  <c:v>1.0892356164383561</c:v>
                </c:pt>
                <c:pt idx="2">
                  <c:v>1.1037643835616444</c:v>
                </c:pt>
                <c:pt idx="3">
                  <c:v>1.157775342465752</c:v>
                </c:pt>
                <c:pt idx="4">
                  <c:v>1.2767260273972598</c:v>
                </c:pt>
                <c:pt idx="5">
                  <c:v>1.4044712328767137</c:v>
                </c:pt>
                <c:pt idx="6">
                  <c:v>1.4620712328767116</c:v>
                </c:pt>
                <c:pt idx="7">
                  <c:v>1.6382904109589047</c:v>
                </c:pt>
                <c:pt idx="8">
                  <c:v>1.3460109589041096</c:v>
                </c:pt>
                <c:pt idx="9">
                  <c:v>1.0853260273972609</c:v>
                </c:pt>
                <c:pt idx="10">
                  <c:v>0.80486575342465783</c:v>
                </c:pt>
                <c:pt idx="11">
                  <c:v>0.58647945205479479</c:v>
                </c:pt>
                <c:pt idx="12">
                  <c:v>0.6869753424657532</c:v>
                </c:pt>
                <c:pt idx="13">
                  <c:v>0.8043616438356167</c:v>
                </c:pt>
                <c:pt idx="14">
                  <c:v>0.82104657534246561</c:v>
                </c:pt>
                <c:pt idx="15">
                  <c:v>0.76754246575342455</c:v>
                </c:pt>
                <c:pt idx="16">
                  <c:v>0.98063835616438344</c:v>
                </c:pt>
                <c:pt idx="17">
                  <c:v>0.84277260273972643</c:v>
                </c:pt>
                <c:pt idx="18">
                  <c:v>0.98496438356164373</c:v>
                </c:pt>
                <c:pt idx="19">
                  <c:v>1.1673506849315076</c:v>
                </c:pt>
                <c:pt idx="20">
                  <c:v>1.4227479452054803</c:v>
                </c:pt>
                <c:pt idx="21">
                  <c:v>1.4431917808219181</c:v>
                </c:pt>
                <c:pt idx="22">
                  <c:v>1.2354301369863021</c:v>
                </c:pt>
                <c:pt idx="23">
                  <c:v>1.1402884615384632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13-4AB8-8AD4-BBCFDEE6C3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2143008"/>
        <c:axId val="63214372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ConsumCasa25!$G$1</c15:sqref>
                        </c15:formulaRef>
                      </c:ext>
                    </c:extLst>
                    <c:strCache>
                      <c:ptCount val="1"/>
                      <c:pt idx="0">
                        <c:v>Hour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ConsumCasa25!$G$2:$G$25</c15:sqref>
                        </c15:formulaRef>
                      </c:ext>
                    </c:extLst>
                    <c:numCache>
                      <c:formatCode>General</c:formatCode>
                      <c:ptCount val="24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3F13-4AB8-8AD4-BBCFDEE6C365}"/>
                  </c:ext>
                </c:extLst>
              </c15:ser>
            </c15:filteredLineSeries>
          </c:ext>
        </c:extLst>
      </c:lineChart>
      <c:catAx>
        <c:axId val="6321430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Hour of 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32143728"/>
        <c:crosses val="autoZero"/>
        <c:auto val="1"/>
        <c:lblAlgn val="ctr"/>
        <c:lblOffset val="100"/>
        <c:noMultiLvlLbl val="0"/>
      </c:catAx>
      <c:valAx>
        <c:axId val="632143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32143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a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Consumption Profile by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ConsumCasa25!$L$1</c:f>
              <c:strCache>
                <c:ptCount val="1"/>
                <c:pt idx="0">
                  <c:v>Jan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ConsumCasa25!$K$2:$K$25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ConsumCasa25!$L$2:$L$25</c:f>
              <c:numCache>
                <c:formatCode>0.000</c:formatCode>
                <c:ptCount val="24"/>
                <c:pt idx="0">
                  <c:v>1.6720322580645162</c:v>
                </c:pt>
                <c:pt idx="1">
                  <c:v>1.7916129032258059</c:v>
                </c:pt>
                <c:pt idx="2">
                  <c:v>1.9750645161290319</c:v>
                </c:pt>
                <c:pt idx="3">
                  <c:v>2.2236451612903227</c:v>
                </c:pt>
                <c:pt idx="4">
                  <c:v>2.9224516129032261</c:v>
                </c:pt>
                <c:pt idx="5">
                  <c:v>3.2110967741935492</c:v>
                </c:pt>
                <c:pt idx="6">
                  <c:v>3.339064516129032</c:v>
                </c:pt>
                <c:pt idx="7">
                  <c:v>3.4891290322580639</c:v>
                </c:pt>
                <c:pt idx="8">
                  <c:v>3.1723225806451616</c:v>
                </c:pt>
                <c:pt idx="9">
                  <c:v>1.9807741935483869</c:v>
                </c:pt>
                <c:pt idx="10">
                  <c:v>1.0828387096774192</c:v>
                </c:pt>
                <c:pt idx="11">
                  <c:v>0.56409677419354842</c:v>
                </c:pt>
                <c:pt idx="12">
                  <c:v>1.0708064516129032</c:v>
                </c:pt>
                <c:pt idx="13">
                  <c:v>1.0703225806451611</c:v>
                </c:pt>
                <c:pt idx="14">
                  <c:v>0.90512903225806451</c:v>
                </c:pt>
                <c:pt idx="15">
                  <c:v>0.64725806451612899</c:v>
                </c:pt>
                <c:pt idx="16">
                  <c:v>0.9066774193548387</c:v>
                </c:pt>
                <c:pt idx="17">
                  <c:v>0.82038709677419364</c:v>
                </c:pt>
                <c:pt idx="18">
                  <c:v>0.98599999999999999</c:v>
                </c:pt>
                <c:pt idx="19">
                  <c:v>1.8425483870967747</c:v>
                </c:pt>
                <c:pt idx="20">
                  <c:v>2.406677419354839</c:v>
                </c:pt>
                <c:pt idx="21">
                  <c:v>1.853258064516129</c:v>
                </c:pt>
                <c:pt idx="22">
                  <c:v>1.6763225806451612</c:v>
                </c:pt>
                <c:pt idx="23">
                  <c:v>1.7835161290322576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78-4629-8891-D7B23AA1ED1A}"/>
            </c:ext>
          </c:extLst>
        </c:ser>
        <c:ser>
          <c:idx val="1"/>
          <c:order val="1"/>
          <c:tx>
            <c:strRef>
              <c:f>ConsumCasa25!$M$1</c:f>
              <c:strCache>
                <c:ptCount val="1"/>
                <c:pt idx="0">
                  <c:v>Feb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ConsumCasa25!$K$2:$K$25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ConsumCasa25!$M$2:$M$25</c:f>
              <c:numCache>
                <c:formatCode>0.000</c:formatCode>
                <c:ptCount val="24"/>
                <c:pt idx="0">
                  <c:v>1.4760714285714289</c:v>
                </c:pt>
                <c:pt idx="1">
                  <c:v>1.5120714285714283</c:v>
                </c:pt>
                <c:pt idx="2">
                  <c:v>1.545071428571428</c:v>
                </c:pt>
                <c:pt idx="3">
                  <c:v>1.4413214285714286</c:v>
                </c:pt>
                <c:pt idx="4">
                  <c:v>1.7642500000000001</c:v>
                </c:pt>
                <c:pt idx="5">
                  <c:v>2.3072142857142852</c:v>
                </c:pt>
                <c:pt idx="6">
                  <c:v>2.5742857142857143</c:v>
                </c:pt>
                <c:pt idx="7">
                  <c:v>3.1903571428571427</c:v>
                </c:pt>
                <c:pt idx="8">
                  <c:v>2.8760357142857145</c:v>
                </c:pt>
                <c:pt idx="9">
                  <c:v>1.9572857142857145</c:v>
                </c:pt>
                <c:pt idx="10">
                  <c:v>0.98732142857142868</c:v>
                </c:pt>
                <c:pt idx="11">
                  <c:v>0.75935714285714284</c:v>
                </c:pt>
                <c:pt idx="12">
                  <c:v>0.99310714285714297</c:v>
                </c:pt>
                <c:pt idx="13">
                  <c:v>0.9011785714285715</c:v>
                </c:pt>
                <c:pt idx="14">
                  <c:v>0.86810714285714297</c:v>
                </c:pt>
                <c:pt idx="15">
                  <c:v>1.2147142857142856</c:v>
                </c:pt>
                <c:pt idx="16">
                  <c:v>1.2952499999999998</c:v>
                </c:pt>
                <c:pt idx="17">
                  <c:v>1.3648571428571423</c:v>
                </c:pt>
                <c:pt idx="18">
                  <c:v>1.5049285714285714</c:v>
                </c:pt>
                <c:pt idx="19">
                  <c:v>1.6366071428571425</c:v>
                </c:pt>
                <c:pt idx="20">
                  <c:v>2.0792857142857142</c:v>
                </c:pt>
                <c:pt idx="21">
                  <c:v>2.0136428571428566</c:v>
                </c:pt>
                <c:pt idx="22">
                  <c:v>1.6638214285714283</c:v>
                </c:pt>
                <c:pt idx="23">
                  <c:v>1.4457857142857142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78-4629-8891-D7B23AA1ED1A}"/>
            </c:ext>
          </c:extLst>
        </c:ser>
        <c:ser>
          <c:idx val="2"/>
          <c:order val="2"/>
          <c:tx>
            <c:strRef>
              <c:f>ConsumCasa25!$N$1</c:f>
              <c:strCache>
                <c:ptCount val="1"/>
                <c:pt idx="0">
                  <c:v>Mar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ConsumCasa25!$K$2:$K$25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ConsumCasa25!$N$2:$N$25</c:f>
              <c:numCache>
                <c:formatCode>0.000</c:formatCode>
                <c:ptCount val="24"/>
                <c:pt idx="0">
                  <c:v>1.3380645161290323</c:v>
                </c:pt>
                <c:pt idx="1">
                  <c:v>1.4227419354838711</c:v>
                </c:pt>
                <c:pt idx="2">
                  <c:v>1.451774193548387</c:v>
                </c:pt>
                <c:pt idx="3">
                  <c:v>1.5988709677419357</c:v>
                </c:pt>
                <c:pt idx="4">
                  <c:v>1.8441612903225804</c:v>
                </c:pt>
                <c:pt idx="5">
                  <c:v>2.1794516129032258</c:v>
                </c:pt>
                <c:pt idx="6">
                  <c:v>2.2945161290322575</c:v>
                </c:pt>
                <c:pt idx="7">
                  <c:v>2.2984516129032255</c:v>
                </c:pt>
                <c:pt idx="8">
                  <c:v>1.8102903225806448</c:v>
                </c:pt>
                <c:pt idx="9">
                  <c:v>1.3611935483870967</c:v>
                </c:pt>
                <c:pt idx="10">
                  <c:v>1.3095806451612904</c:v>
                </c:pt>
                <c:pt idx="11">
                  <c:v>1.2709354838709681</c:v>
                </c:pt>
                <c:pt idx="12">
                  <c:v>1.5651290322580644</c:v>
                </c:pt>
                <c:pt idx="13">
                  <c:v>1.4256129032258067</c:v>
                </c:pt>
                <c:pt idx="14">
                  <c:v>1.2261935483870967</c:v>
                </c:pt>
                <c:pt idx="15">
                  <c:v>1.1079677419354836</c:v>
                </c:pt>
                <c:pt idx="16">
                  <c:v>1.3380967741935481</c:v>
                </c:pt>
                <c:pt idx="17">
                  <c:v>1.3207741935483872</c:v>
                </c:pt>
                <c:pt idx="18">
                  <c:v>1.5842903225806448</c:v>
                </c:pt>
                <c:pt idx="19">
                  <c:v>1.7543548387096777</c:v>
                </c:pt>
                <c:pt idx="20">
                  <c:v>2.229483870967742</c:v>
                </c:pt>
                <c:pt idx="21">
                  <c:v>2.008516129032258</c:v>
                </c:pt>
                <c:pt idx="22">
                  <c:v>1.5020967741935485</c:v>
                </c:pt>
                <c:pt idx="23">
                  <c:v>1.4309333333333332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D78-4629-8891-D7B23AA1ED1A}"/>
            </c:ext>
          </c:extLst>
        </c:ser>
        <c:ser>
          <c:idx val="3"/>
          <c:order val="3"/>
          <c:tx>
            <c:strRef>
              <c:f>ConsumCasa25!$O$1</c:f>
              <c:strCache>
                <c:ptCount val="1"/>
                <c:pt idx="0">
                  <c:v>Apr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ConsumCasa25!$K$2:$K$25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ConsumCasa25!$O$2:$O$25</c:f>
              <c:numCache>
                <c:formatCode>0.000</c:formatCode>
                <c:ptCount val="24"/>
                <c:pt idx="0">
                  <c:v>1.1547666666666665</c:v>
                </c:pt>
                <c:pt idx="1">
                  <c:v>1.4546666666666661</c:v>
                </c:pt>
                <c:pt idx="2">
                  <c:v>1.4584333333333332</c:v>
                </c:pt>
                <c:pt idx="3">
                  <c:v>1.5202000000000002</c:v>
                </c:pt>
                <c:pt idx="4">
                  <c:v>1.4528333333333336</c:v>
                </c:pt>
                <c:pt idx="5">
                  <c:v>1.4648333333333337</c:v>
                </c:pt>
                <c:pt idx="6">
                  <c:v>1.5995999999999999</c:v>
                </c:pt>
                <c:pt idx="7">
                  <c:v>1.7533666666666661</c:v>
                </c:pt>
                <c:pt idx="8">
                  <c:v>1.2525000000000004</c:v>
                </c:pt>
                <c:pt idx="9">
                  <c:v>0.75790000000000002</c:v>
                </c:pt>
                <c:pt idx="10">
                  <c:v>0.53306666666666658</c:v>
                </c:pt>
                <c:pt idx="11">
                  <c:v>0.29743333333333333</c:v>
                </c:pt>
                <c:pt idx="12">
                  <c:v>0.21216666666666664</c:v>
                </c:pt>
                <c:pt idx="13">
                  <c:v>0.61086666666666678</c:v>
                </c:pt>
                <c:pt idx="14">
                  <c:v>0.53636666666666666</c:v>
                </c:pt>
                <c:pt idx="15">
                  <c:v>0.26283333333333336</c:v>
                </c:pt>
                <c:pt idx="16">
                  <c:v>0.32269999999999999</c:v>
                </c:pt>
                <c:pt idx="17">
                  <c:v>0.22820000000000001</c:v>
                </c:pt>
                <c:pt idx="18">
                  <c:v>0.30990000000000001</c:v>
                </c:pt>
                <c:pt idx="19">
                  <c:v>0.35830000000000006</c:v>
                </c:pt>
                <c:pt idx="20">
                  <c:v>0.89039999999999997</c:v>
                </c:pt>
                <c:pt idx="21">
                  <c:v>1.2142999999999999</c:v>
                </c:pt>
                <c:pt idx="22">
                  <c:v>1.0758999999999999</c:v>
                </c:pt>
                <c:pt idx="23">
                  <c:v>1.0647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D78-4629-8891-D7B23AA1ED1A}"/>
            </c:ext>
          </c:extLst>
        </c:ser>
        <c:ser>
          <c:idx val="4"/>
          <c:order val="4"/>
          <c:tx>
            <c:strRef>
              <c:f>ConsumCasa25!$P$1</c:f>
              <c:strCache>
                <c:ptCount val="1"/>
                <c:pt idx="0">
                  <c:v>May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ConsumCasa25!$K$2:$K$25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ConsumCasa25!$P$2:$P$25</c:f>
              <c:numCache>
                <c:formatCode>0.000</c:formatCode>
                <c:ptCount val="24"/>
                <c:pt idx="0">
                  <c:v>0.71041935483870999</c:v>
                </c:pt>
                <c:pt idx="1">
                  <c:v>0.67393548387096769</c:v>
                </c:pt>
                <c:pt idx="2">
                  <c:v>0.70922580645161293</c:v>
                </c:pt>
                <c:pt idx="3">
                  <c:v>0.77167741935483869</c:v>
                </c:pt>
                <c:pt idx="4">
                  <c:v>0.81993548387096782</c:v>
                </c:pt>
                <c:pt idx="5">
                  <c:v>0.86964516129032265</c:v>
                </c:pt>
                <c:pt idx="6">
                  <c:v>0.83083870967741957</c:v>
                </c:pt>
                <c:pt idx="7">
                  <c:v>1.0836129032258064</c:v>
                </c:pt>
                <c:pt idx="8">
                  <c:v>0.49858064516129025</c:v>
                </c:pt>
                <c:pt idx="9">
                  <c:v>0.5248387096774193</c:v>
                </c:pt>
                <c:pt idx="10">
                  <c:v>0.46512903225806451</c:v>
                </c:pt>
                <c:pt idx="11">
                  <c:v>0.3936129032258065</c:v>
                </c:pt>
                <c:pt idx="12">
                  <c:v>0.67787096774193534</c:v>
                </c:pt>
                <c:pt idx="13">
                  <c:v>0.79345161290322574</c:v>
                </c:pt>
                <c:pt idx="14">
                  <c:v>0.75070967741935479</c:v>
                </c:pt>
                <c:pt idx="15">
                  <c:v>0.66716129032258076</c:v>
                </c:pt>
                <c:pt idx="16">
                  <c:v>0.44306451612903225</c:v>
                </c:pt>
                <c:pt idx="17">
                  <c:v>0.39629032258064517</c:v>
                </c:pt>
                <c:pt idx="18">
                  <c:v>0.40470967741935482</c:v>
                </c:pt>
                <c:pt idx="19">
                  <c:v>0.57045161290322588</c:v>
                </c:pt>
                <c:pt idx="20">
                  <c:v>0.83025806451612905</c:v>
                </c:pt>
                <c:pt idx="21">
                  <c:v>1.0737419354838711</c:v>
                </c:pt>
                <c:pt idx="22">
                  <c:v>1.0450322580645162</c:v>
                </c:pt>
                <c:pt idx="23">
                  <c:v>0.75235483870967768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D78-4629-8891-D7B23AA1ED1A}"/>
            </c:ext>
          </c:extLst>
        </c:ser>
        <c:ser>
          <c:idx val="5"/>
          <c:order val="5"/>
          <c:tx>
            <c:strRef>
              <c:f>ConsumCasa25!$Q$1</c:f>
              <c:strCache>
                <c:ptCount val="1"/>
                <c:pt idx="0">
                  <c:v>Jun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ConsumCasa25!$K$2:$K$25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ConsumCasa25!$Q$2:$Q$25</c:f>
              <c:numCache>
                <c:formatCode>0.000</c:formatCode>
                <c:ptCount val="24"/>
                <c:pt idx="0">
                  <c:v>0.46129999999999993</c:v>
                </c:pt>
                <c:pt idx="1">
                  <c:v>0.42323333333333335</c:v>
                </c:pt>
                <c:pt idx="2">
                  <c:v>0.47070000000000006</c:v>
                </c:pt>
                <c:pt idx="3">
                  <c:v>0.37883333333333336</c:v>
                </c:pt>
                <c:pt idx="4">
                  <c:v>0.41623333333333329</c:v>
                </c:pt>
                <c:pt idx="5">
                  <c:v>0.48209999999999997</c:v>
                </c:pt>
                <c:pt idx="6">
                  <c:v>0.35283333333333322</c:v>
                </c:pt>
                <c:pt idx="7">
                  <c:v>0.41843333333333343</c:v>
                </c:pt>
                <c:pt idx="8">
                  <c:v>0.67270000000000008</c:v>
                </c:pt>
                <c:pt idx="9">
                  <c:v>0.8112666666666668</c:v>
                </c:pt>
                <c:pt idx="10">
                  <c:v>0.70176666666666665</c:v>
                </c:pt>
                <c:pt idx="11">
                  <c:v>0.60773333333333324</c:v>
                </c:pt>
                <c:pt idx="12">
                  <c:v>0.72609999999999997</c:v>
                </c:pt>
                <c:pt idx="13">
                  <c:v>1.1977666666666669</c:v>
                </c:pt>
                <c:pt idx="14">
                  <c:v>1.4024666666666668</c:v>
                </c:pt>
                <c:pt idx="15">
                  <c:v>0.89113333333333322</c:v>
                </c:pt>
                <c:pt idx="16">
                  <c:v>0.49099999999999999</c:v>
                </c:pt>
                <c:pt idx="17">
                  <c:v>0.39369999999999999</c:v>
                </c:pt>
                <c:pt idx="18">
                  <c:v>0.55506666666666671</c:v>
                </c:pt>
                <c:pt idx="19">
                  <c:v>0.77180000000000004</c:v>
                </c:pt>
                <c:pt idx="20">
                  <c:v>0.86333333333333351</c:v>
                </c:pt>
                <c:pt idx="21">
                  <c:v>1.0927333333333331</c:v>
                </c:pt>
                <c:pt idx="22">
                  <c:v>0.93743333333333345</c:v>
                </c:pt>
                <c:pt idx="23">
                  <c:v>0.77603333333333346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D78-4629-8891-D7B23AA1ED1A}"/>
            </c:ext>
          </c:extLst>
        </c:ser>
        <c:ser>
          <c:idx val="6"/>
          <c:order val="6"/>
          <c:tx>
            <c:strRef>
              <c:f>ConsumCasa25!$R$1</c:f>
              <c:strCache>
                <c:ptCount val="1"/>
                <c:pt idx="0">
                  <c:v>Jul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ConsumCasa25!$K$2:$K$25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ConsumCasa25!$R$2:$R$25</c:f>
              <c:numCache>
                <c:formatCode>0.000</c:formatCode>
                <c:ptCount val="24"/>
                <c:pt idx="0">
                  <c:v>0.6569354838709679</c:v>
                </c:pt>
                <c:pt idx="1">
                  <c:v>0.57522580645161281</c:v>
                </c:pt>
                <c:pt idx="2">
                  <c:v>0.55248387096774176</c:v>
                </c:pt>
                <c:pt idx="3">
                  <c:v>0.53425806451612901</c:v>
                </c:pt>
                <c:pt idx="4">
                  <c:v>0.58841935483870977</c:v>
                </c:pt>
                <c:pt idx="5">
                  <c:v>0.52335483870967736</c:v>
                </c:pt>
                <c:pt idx="6">
                  <c:v>0.52829032258064512</c:v>
                </c:pt>
                <c:pt idx="7">
                  <c:v>0.38077419354838721</c:v>
                </c:pt>
                <c:pt idx="8">
                  <c:v>0.39790322580645165</c:v>
                </c:pt>
                <c:pt idx="9">
                  <c:v>0.32538709677419358</c:v>
                </c:pt>
                <c:pt idx="10">
                  <c:v>0.22832258064516128</c:v>
                </c:pt>
                <c:pt idx="11">
                  <c:v>0.17087096774193547</c:v>
                </c:pt>
                <c:pt idx="12">
                  <c:v>0.17003225806451613</c:v>
                </c:pt>
                <c:pt idx="13">
                  <c:v>0.39787096774193553</c:v>
                </c:pt>
                <c:pt idx="14">
                  <c:v>0.43748387096774194</c:v>
                </c:pt>
                <c:pt idx="15">
                  <c:v>0.41458064516129034</c:v>
                </c:pt>
                <c:pt idx="16">
                  <c:v>0.34458064516129028</c:v>
                </c:pt>
                <c:pt idx="17">
                  <c:v>0.28554838709677421</c:v>
                </c:pt>
                <c:pt idx="18">
                  <c:v>0.53964516129032269</c:v>
                </c:pt>
                <c:pt idx="19">
                  <c:v>0.89370967741935503</c:v>
                </c:pt>
                <c:pt idx="20">
                  <c:v>0.93351612903225833</c:v>
                </c:pt>
                <c:pt idx="21">
                  <c:v>0.99441935483870958</c:v>
                </c:pt>
                <c:pt idx="22">
                  <c:v>0.83645161290322589</c:v>
                </c:pt>
                <c:pt idx="23">
                  <c:v>0.735709677419355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D78-4629-8891-D7B23AA1ED1A}"/>
            </c:ext>
          </c:extLst>
        </c:ser>
        <c:ser>
          <c:idx val="7"/>
          <c:order val="7"/>
          <c:tx>
            <c:strRef>
              <c:f>ConsumCasa25!$S$1</c:f>
              <c:strCache>
                <c:ptCount val="1"/>
                <c:pt idx="0">
                  <c:v>Aug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ConsumCasa25!$K$2:$K$25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ConsumCasa25!$S$2:$S$25</c:f>
              <c:numCache>
                <c:formatCode>0.000</c:formatCode>
                <c:ptCount val="24"/>
                <c:pt idx="0">
                  <c:v>0.69851612903225824</c:v>
                </c:pt>
                <c:pt idx="1">
                  <c:v>0.61474193548387102</c:v>
                </c:pt>
                <c:pt idx="2">
                  <c:v>0.55883870967741933</c:v>
                </c:pt>
                <c:pt idx="3">
                  <c:v>0.58264516129032251</c:v>
                </c:pt>
                <c:pt idx="4">
                  <c:v>0.58109677419354844</c:v>
                </c:pt>
                <c:pt idx="5">
                  <c:v>0.55074193548387107</c:v>
                </c:pt>
                <c:pt idx="6">
                  <c:v>0.51196774193548367</c:v>
                </c:pt>
                <c:pt idx="7">
                  <c:v>0.46790322580645172</c:v>
                </c:pt>
                <c:pt idx="8">
                  <c:v>0.19393548387096773</c:v>
                </c:pt>
                <c:pt idx="9">
                  <c:v>0.5169999999999999</c:v>
                </c:pt>
                <c:pt idx="10">
                  <c:v>0.50325806451612909</c:v>
                </c:pt>
                <c:pt idx="11">
                  <c:v>0.48680645161290326</c:v>
                </c:pt>
                <c:pt idx="12">
                  <c:v>0.60477419354838713</c:v>
                </c:pt>
                <c:pt idx="13">
                  <c:v>0.6917741935483871</c:v>
                </c:pt>
                <c:pt idx="14">
                  <c:v>0.88729032258064533</c:v>
                </c:pt>
                <c:pt idx="15">
                  <c:v>0.64519354838709686</c:v>
                </c:pt>
                <c:pt idx="16">
                  <c:v>0.5974838709677418</c:v>
                </c:pt>
                <c:pt idx="17">
                  <c:v>0.3881935483870968</c:v>
                </c:pt>
                <c:pt idx="18">
                  <c:v>0.42241935483870968</c:v>
                </c:pt>
                <c:pt idx="19">
                  <c:v>0.67303225806451616</c:v>
                </c:pt>
                <c:pt idx="20">
                  <c:v>0.7338709677419355</c:v>
                </c:pt>
                <c:pt idx="21">
                  <c:v>0.7889354838709679</c:v>
                </c:pt>
                <c:pt idx="22">
                  <c:v>0.76109677419354838</c:v>
                </c:pt>
                <c:pt idx="23">
                  <c:v>0.73445161290322569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D78-4629-8891-D7B23AA1ED1A}"/>
            </c:ext>
          </c:extLst>
        </c:ser>
        <c:ser>
          <c:idx val="8"/>
          <c:order val="8"/>
          <c:tx>
            <c:strRef>
              <c:f>ConsumCasa25!$T$1</c:f>
              <c:strCache>
                <c:ptCount val="1"/>
                <c:pt idx="0">
                  <c:v>Sep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ConsumCasa25!$K$2:$K$25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ConsumCasa25!$T$2:$T$25</c:f>
              <c:numCache>
                <c:formatCode>0.000</c:formatCode>
                <c:ptCount val="24"/>
                <c:pt idx="0">
                  <c:v>0.40190000000000009</c:v>
                </c:pt>
                <c:pt idx="1">
                  <c:v>0.31613333333333332</c:v>
                </c:pt>
                <c:pt idx="2">
                  <c:v>0.28856666666666669</c:v>
                </c:pt>
                <c:pt idx="3">
                  <c:v>0.35160000000000002</c:v>
                </c:pt>
                <c:pt idx="4">
                  <c:v>0.36776666666666669</c:v>
                </c:pt>
                <c:pt idx="5">
                  <c:v>0.33066666666666666</c:v>
                </c:pt>
                <c:pt idx="6">
                  <c:v>0.34133333333333332</c:v>
                </c:pt>
                <c:pt idx="7">
                  <c:v>0.6329999999999999</c:v>
                </c:pt>
                <c:pt idx="8">
                  <c:v>0.33066666666666661</c:v>
                </c:pt>
                <c:pt idx="9">
                  <c:v>0.87839999999999985</c:v>
                </c:pt>
                <c:pt idx="10">
                  <c:v>0.82139999999999991</c:v>
                </c:pt>
                <c:pt idx="11">
                  <c:v>0.60576666666666656</c:v>
                </c:pt>
                <c:pt idx="12">
                  <c:v>0.53336666666666654</c:v>
                </c:pt>
                <c:pt idx="13">
                  <c:v>0.81863333333333321</c:v>
                </c:pt>
                <c:pt idx="14">
                  <c:v>0.97286666666666655</c:v>
                </c:pt>
                <c:pt idx="15">
                  <c:v>1.1129999999999998</c:v>
                </c:pt>
                <c:pt idx="16">
                  <c:v>0.53216666666666668</c:v>
                </c:pt>
                <c:pt idx="17">
                  <c:v>0.58086666666666675</c:v>
                </c:pt>
                <c:pt idx="18">
                  <c:v>0.69846666666666657</c:v>
                </c:pt>
                <c:pt idx="19">
                  <c:v>0.78736666666666644</c:v>
                </c:pt>
                <c:pt idx="20">
                  <c:v>0.80876666666666663</c:v>
                </c:pt>
                <c:pt idx="21">
                  <c:v>0.8132666666666668</c:v>
                </c:pt>
                <c:pt idx="22">
                  <c:v>0.57563333333333355</c:v>
                </c:pt>
                <c:pt idx="23">
                  <c:v>0.46330000000000005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D78-4629-8891-D7B23AA1ED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2145168"/>
        <c:axId val="632146608"/>
        <c:extLst>
          <c:ext xmlns:c15="http://schemas.microsoft.com/office/drawing/2012/chart" uri="{02D57815-91ED-43cb-92C2-25804820EDAC}">
            <c15:filteredLineSeries>
              <c15:ser>
                <c:idx val="9"/>
                <c:order val="9"/>
                <c:tx>
                  <c:strRef>
                    <c:extLst>
                      <c:ext uri="{02D57815-91ED-43cb-92C2-25804820EDAC}">
                        <c15:formulaRef>
                          <c15:sqref>ConsumCasa25!$U$1</c15:sqref>
                        </c15:formulaRef>
                      </c:ext>
                    </c:extLst>
                    <c:strCache>
                      <c:ptCount val="1"/>
                      <c:pt idx="0">
                        <c:v>Oct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ConsumCasa25!$K$2:$K$25</c15:sqref>
                        </c15:formulaRef>
                      </c:ext>
                    </c:extLst>
                    <c:numCache>
                      <c:formatCode>General</c:formatCode>
                      <c:ptCount val="24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ConsumCasa25!$U$2:$U$25</c15:sqref>
                        </c15:formulaRef>
                      </c:ext>
                    </c:extLst>
                    <c:numCache>
                      <c:formatCode>0.000</c:formatCode>
                      <c:ptCount val="24"/>
                      <c:pt idx="0">
                        <c:v>0.58703225806451598</c:v>
                      </c:pt>
                      <c:pt idx="1">
                        <c:v>0.58587096774193548</c:v>
                      </c:pt>
                      <c:pt idx="2">
                        <c:v>0.62380645161290316</c:v>
                      </c:pt>
                      <c:pt idx="3">
                        <c:v>0.64864516129032257</c:v>
                      </c:pt>
                      <c:pt idx="4">
                        <c:v>0.69961290322580649</c:v>
                      </c:pt>
                      <c:pt idx="5">
                        <c:v>0.69151612903225801</c:v>
                      </c:pt>
                      <c:pt idx="6">
                        <c:v>0.7131935483870967</c:v>
                      </c:pt>
                      <c:pt idx="7">
                        <c:v>1.0496451612903226</c:v>
                      </c:pt>
                      <c:pt idx="8">
                        <c:v>0.95412903225806445</c:v>
                      </c:pt>
                      <c:pt idx="9">
                        <c:v>1.0772580645161294</c:v>
                      </c:pt>
                      <c:pt idx="10">
                        <c:v>0.94890322580645159</c:v>
                      </c:pt>
                      <c:pt idx="11">
                        <c:v>0.48964516129032265</c:v>
                      </c:pt>
                      <c:pt idx="12">
                        <c:v>0.19125806451612906</c:v>
                      </c:pt>
                      <c:pt idx="13">
                        <c:v>0.28783870967741937</c:v>
                      </c:pt>
                      <c:pt idx="14">
                        <c:v>0.42816129032258066</c:v>
                      </c:pt>
                      <c:pt idx="15">
                        <c:v>0.73764516129032265</c:v>
                      </c:pt>
                      <c:pt idx="16">
                        <c:v>0.78870967741935483</c:v>
                      </c:pt>
                      <c:pt idx="17">
                        <c:v>0.64490322580645165</c:v>
                      </c:pt>
                      <c:pt idx="18">
                        <c:v>0.62161290322580642</c:v>
                      </c:pt>
                      <c:pt idx="19">
                        <c:v>0.77651612903225808</c:v>
                      </c:pt>
                      <c:pt idx="20">
                        <c:v>0.90474193548387083</c:v>
                      </c:pt>
                      <c:pt idx="21">
                        <c:v>1.1074516129032259</c:v>
                      </c:pt>
                      <c:pt idx="22">
                        <c:v>0.82229032258064516</c:v>
                      </c:pt>
                      <c:pt idx="23">
                        <c:v>0.70116129032258045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9-3D78-4629-8891-D7B23AA1ED1A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ConsumCasa25!$V$1</c15:sqref>
                        </c15:formulaRef>
                      </c:ext>
                    </c:extLst>
                    <c:strCache>
                      <c:ptCount val="1"/>
                      <c:pt idx="0">
                        <c:v>Nov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ConsumCasa25!$K$2:$K$25</c15:sqref>
                        </c15:formulaRef>
                      </c:ext>
                    </c:extLst>
                    <c:numCache>
                      <c:formatCode>General</c:formatCode>
                      <c:ptCount val="24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ConsumCasa25!$V$2:$V$25</c15:sqref>
                        </c15:formulaRef>
                      </c:ext>
                    </c:extLst>
                    <c:numCache>
                      <c:formatCode>0.000</c:formatCode>
                      <c:ptCount val="24"/>
                      <c:pt idx="0">
                        <c:v>1.6746666666666667</c:v>
                      </c:pt>
                      <c:pt idx="1">
                        <c:v>1.8568333333333338</c:v>
                      </c:pt>
                      <c:pt idx="2">
                        <c:v>1.802</c:v>
                      </c:pt>
                      <c:pt idx="3">
                        <c:v>1.8720333333333337</c:v>
                      </c:pt>
                      <c:pt idx="4">
                        <c:v>1.9492666666666665</c:v>
                      </c:pt>
                      <c:pt idx="5">
                        <c:v>2.2280000000000002</c:v>
                      </c:pt>
                      <c:pt idx="6">
                        <c:v>2.1670666666666665</c:v>
                      </c:pt>
                      <c:pt idx="7">
                        <c:v>2.3566000000000003</c:v>
                      </c:pt>
                      <c:pt idx="8">
                        <c:v>1.6685333333333332</c:v>
                      </c:pt>
                      <c:pt idx="9">
                        <c:v>1.1032666666666666</c:v>
                      </c:pt>
                      <c:pt idx="10">
                        <c:v>0.66663333333333341</c:v>
                      </c:pt>
                      <c:pt idx="11">
                        <c:v>0.41289999999999988</c:v>
                      </c:pt>
                      <c:pt idx="12">
                        <c:v>0.16530000000000003</c:v>
                      </c:pt>
                      <c:pt idx="13">
                        <c:v>0.13999999999999999</c:v>
                      </c:pt>
                      <c:pt idx="14">
                        <c:v>0.30710000000000004</c:v>
                      </c:pt>
                      <c:pt idx="15">
                        <c:v>0.47573333333333334</c:v>
                      </c:pt>
                      <c:pt idx="16">
                        <c:v>1.9695666666666667</c:v>
                      </c:pt>
                      <c:pt idx="17">
                        <c:v>1.6569666666666667</c:v>
                      </c:pt>
                      <c:pt idx="18">
                        <c:v>2.0535999999999999</c:v>
                      </c:pt>
                      <c:pt idx="19">
                        <c:v>1.8233333333333335</c:v>
                      </c:pt>
                      <c:pt idx="20">
                        <c:v>2.057633333333333</c:v>
                      </c:pt>
                      <c:pt idx="21">
                        <c:v>2.0166333333333335</c:v>
                      </c:pt>
                      <c:pt idx="22">
                        <c:v>1.8004000000000004</c:v>
                      </c:pt>
                      <c:pt idx="23">
                        <c:v>1.7833333333333334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3D78-4629-8891-D7B23AA1ED1A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ConsumCasa25!$W$1</c15:sqref>
                        </c15:formulaRef>
                      </c:ext>
                    </c:extLst>
                    <c:strCache>
                      <c:ptCount val="1"/>
                      <c:pt idx="0">
                        <c:v>Dec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ConsumCasa25!$K$2:$K$25</c15:sqref>
                        </c15:formulaRef>
                      </c:ext>
                    </c:extLst>
                    <c:numCache>
                      <c:formatCode>General</c:formatCode>
                      <c:ptCount val="24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ConsumCasa25!$W$2:$W$25</c15:sqref>
                        </c15:formulaRef>
                      </c:ext>
                    </c:extLst>
                    <c:numCache>
                      <c:formatCode>0.000</c:formatCode>
                      <c:ptCount val="24"/>
                      <c:pt idx="0">
                        <c:v>1.9296451612903223</c:v>
                      </c:pt>
                      <c:pt idx="1">
                        <c:v>1.8748064516129037</c:v>
                      </c:pt>
                      <c:pt idx="2">
                        <c:v>1.8391612903225802</c:v>
                      </c:pt>
                      <c:pt idx="3">
                        <c:v>1.9806129032258066</c:v>
                      </c:pt>
                      <c:pt idx="4">
                        <c:v>1.9321612903225807</c:v>
                      </c:pt>
                      <c:pt idx="5">
                        <c:v>2.0665161290322582</c:v>
                      </c:pt>
                      <c:pt idx="6">
                        <c:v>2.3547419354838706</c:v>
                      </c:pt>
                      <c:pt idx="7">
                        <c:v>2.6435161290322582</c:v>
                      </c:pt>
                      <c:pt idx="8">
                        <c:v>2.4255161290322569</c:v>
                      </c:pt>
                      <c:pt idx="9">
                        <c:v>1.788225806451613</c:v>
                      </c:pt>
                      <c:pt idx="10">
                        <c:v>1.4118064516129032</c:v>
                      </c:pt>
                      <c:pt idx="11">
                        <c:v>0.981709677419355</c:v>
                      </c:pt>
                      <c:pt idx="12">
                        <c:v>1.3275806451612904</c:v>
                      </c:pt>
                      <c:pt idx="13">
                        <c:v>1.3118709677419356</c:v>
                      </c:pt>
                      <c:pt idx="14">
                        <c:v>1.1331290322580643</c:v>
                      </c:pt>
                      <c:pt idx="15">
                        <c:v>1.0660000000000001</c:v>
                      </c:pt>
                      <c:pt idx="16">
                        <c:v>2.7492258064516131</c:v>
                      </c:pt>
                      <c:pt idx="17">
                        <c:v>2.0666129032258067</c:v>
                      </c:pt>
                      <c:pt idx="18">
                        <c:v>2.1788387096774189</c:v>
                      </c:pt>
                      <c:pt idx="19">
                        <c:v>2.1356451612903227</c:v>
                      </c:pt>
                      <c:pt idx="20">
                        <c:v>2.3640000000000003</c:v>
                      </c:pt>
                      <c:pt idx="21">
                        <c:v>2.3760967741935484</c:v>
                      </c:pt>
                      <c:pt idx="22">
                        <c:v>2.1523225806451616</c:v>
                      </c:pt>
                      <c:pt idx="23">
                        <c:v>2.03583870967742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3D78-4629-8891-D7B23AA1ED1A}"/>
                  </c:ext>
                </c:extLst>
              </c15:ser>
            </c15:filteredLineSeries>
          </c:ext>
        </c:extLst>
      </c:lineChart>
      <c:catAx>
        <c:axId val="6321451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Hour of 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32146608"/>
        <c:crosses val="autoZero"/>
        <c:auto val="1"/>
        <c:lblAlgn val="ctr"/>
        <c:lblOffset val="100"/>
        <c:noMultiLvlLbl val="0"/>
      </c:catAx>
      <c:valAx>
        <c:axId val="632146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Avg 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32145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a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Summer Hourly Profile by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ConsumCasa25!$Y$52</c:f>
              <c:strCache>
                <c:ptCount val="1"/>
                <c:pt idx="0">
                  <c:v>May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ConsumCasa25!$X$53:$X$76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ConsumCasa25!$Y$53:$Y$76</c:f>
              <c:numCache>
                <c:formatCode>0.000</c:formatCode>
                <c:ptCount val="24"/>
                <c:pt idx="0">
                  <c:v>0.71041935483870999</c:v>
                </c:pt>
                <c:pt idx="1">
                  <c:v>0.67393548387096769</c:v>
                </c:pt>
                <c:pt idx="2">
                  <c:v>0.70922580645161293</c:v>
                </c:pt>
                <c:pt idx="3">
                  <c:v>0.77167741935483869</c:v>
                </c:pt>
                <c:pt idx="4">
                  <c:v>0.81993548387096782</c:v>
                </c:pt>
                <c:pt idx="5">
                  <c:v>0.86964516129032265</c:v>
                </c:pt>
                <c:pt idx="6">
                  <c:v>0.83083870967741957</c:v>
                </c:pt>
                <c:pt idx="7">
                  <c:v>1.0836129032258064</c:v>
                </c:pt>
                <c:pt idx="8">
                  <c:v>0.49858064516129025</c:v>
                </c:pt>
                <c:pt idx="9">
                  <c:v>0.5248387096774193</c:v>
                </c:pt>
                <c:pt idx="10">
                  <c:v>0.46512903225806451</c:v>
                </c:pt>
                <c:pt idx="11">
                  <c:v>0.3936129032258065</c:v>
                </c:pt>
                <c:pt idx="12">
                  <c:v>0.67787096774193534</c:v>
                </c:pt>
                <c:pt idx="13">
                  <c:v>0.79345161290322574</c:v>
                </c:pt>
                <c:pt idx="14">
                  <c:v>0.75070967741935479</c:v>
                </c:pt>
                <c:pt idx="15">
                  <c:v>0.66716129032258076</c:v>
                </c:pt>
                <c:pt idx="16">
                  <c:v>0.44306451612903225</c:v>
                </c:pt>
                <c:pt idx="17">
                  <c:v>0.39629032258064517</c:v>
                </c:pt>
                <c:pt idx="18">
                  <c:v>0.40470967741935482</c:v>
                </c:pt>
                <c:pt idx="19">
                  <c:v>0.57045161290322588</c:v>
                </c:pt>
                <c:pt idx="20">
                  <c:v>0.83025806451612905</c:v>
                </c:pt>
                <c:pt idx="21">
                  <c:v>1.0737419354838711</c:v>
                </c:pt>
                <c:pt idx="22">
                  <c:v>1.0450322580645162</c:v>
                </c:pt>
                <c:pt idx="23">
                  <c:v>0.75235483870967768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FC-44D2-BFF6-0AF72DD1BEFE}"/>
            </c:ext>
          </c:extLst>
        </c:ser>
        <c:ser>
          <c:idx val="1"/>
          <c:order val="1"/>
          <c:tx>
            <c:strRef>
              <c:f>ConsumCasa25!$Z$52</c:f>
              <c:strCache>
                <c:ptCount val="1"/>
                <c:pt idx="0">
                  <c:v>Jun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ConsumCasa25!$X$53:$X$76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ConsumCasa25!$Z$53:$Z$76</c:f>
              <c:numCache>
                <c:formatCode>0.000</c:formatCode>
                <c:ptCount val="24"/>
                <c:pt idx="0">
                  <c:v>0.46129999999999993</c:v>
                </c:pt>
                <c:pt idx="1">
                  <c:v>0.42323333333333335</c:v>
                </c:pt>
                <c:pt idx="2">
                  <c:v>0.47070000000000006</c:v>
                </c:pt>
                <c:pt idx="3">
                  <c:v>0.37883333333333336</c:v>
                </c:pt>
                <c:pt idx="4">
                  <c:v>0.41623333333333329</c:v>
                </c:pt>
                <c:pt idx="5">
                  <c:v>0.48209999999999997</c:v>
                </c:pt>
                <c:pt idx="6">
                  <c:v>0.35283333333333322</c:v>
                </c:pt>
                <c:pt idx="7">
                  <c:v>0.41843333333333343</c:v>
                </c:pt>
                <c:pt idx="8">
                  <c:v>0.67270000000000008</c:v>
                </c:pt>
                <c:pt idx="9">
                  <c:v>0.8112666666666668</c:v>
                </c:pt>
                <c:pt idx="10">
                  <c:v>0.70176666666666665</c:v>
                </c:pt>
                <c:pt idx="11">
                  <c:v>0.60773333333333324</c:v>
                </c:pt>
                <c:pt idx="12">
                  <c:v>0.72609999999999997</c:v>
                </c:pt>
                <c:pt idx="13">
                  <c:v>1.1977666666666669</c:v>
                </c:pt>
                <c:pt idx="14">
                  <c:v>1.4024666666666668</c:v>
                </c:pt>
                <c:pt idx="15">
                  <c:v>0.89113333333333322</c:v>
                </c:pt>
                <c:pt idx="16">
                  <c:v>0.49099999999999999</c:v>
                </c:pt>
                <c:pt idx="17">
                  <c:v>0.39369999999999999</c:v>
                </c:pt>
                <c:pt idx="18">
                  <c:v>0.55506666666666671</c:v>
                </c:pt>
                <c:pt idx="19">
                  <c:v>0.77180000000000004</c:v>
                </c:pt>
                <c:pt idx="20">
                  <c:v>0.86333333333333351</c:v>
                </c:pt>
                <c:pt idx="21">
                  <c:v>1.0927333333333331</c:v>
                </c:pt>
                <c:pt idx="22">
                  <c:v>0.93743333333333345</c:v>
                </c:pt>
                <c:pt idx="23">
                  <c:v>0.77603333333333346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FC-44D2-BFF6-0AF72DD1BEFE}"/>
            </c:ext>
          </c:extLst>
        </c:ser>
        <c:ser>
          <c:idx val="2"/>
          <c:order val="2"/>
          <c:tx>
            <c:strRef>
              <c:f>ConsumCasa25!$AA$52</c:f>
              <c:strCache>
                <c:ptCount val="1"/>
                <c:pt idx="0">
                  <c:v>Jul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ConsumCasa25!$X$53:$X$76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ConsumCasa25!$AA$53:$AA$76</c:f>
              <c:numCache>
                <c:formatCode>0.000</c:formatCode>
                <c:ptCount val="24"/>
                <c:pt idx="0">
                  <c:v>0.6569354838709679</c:v>
                </c:pt>
                <c:pt idx="1">
                  <c:v>0.57522580645161281</c:v>
                </c:pt>
                <c:pt idx="2">
                  <c:v>0.55248387096774176</c:v>
                </c:pt>
                <c:pt idx="3">
                  <c:v>0.53425806451612901</c:v>
                </c:pt>
                <c:pt idx="4">
                  <c:v>0.58841935483870977</c:v>
                </c:pt>
                <c:pt idx="5">
                  <c:v>0.52335483870967736</c:v>
                </c:pt>
                <c:pt idx="6">
                  <c:v>0.52829032258064512</c:v>
                </c:pt>
                <c:pt idx="7">
                  <c:v>0.38077419354838721</c:v>
                </c:pt>
                <c:pt idx="8">
                  <c:v>0.39790322580645165</c:v>
                </c:pt>
                <c:pt idx="9">
                  <c:v>0.32538709677419358</c:v>
                </c:pt>
                <c:pt idx="10">
                  <c:v>0.22832258064516128</c:v>
                </c:pt>
                <c:pt idx="11">
                  <c:v>0.17087096774193547</c:v>
                </c:pt>
                <c:pt idx="12">
                  <c:v>0.17003225806451613</c:v>
                </c:pt>
                <c:pt idx="13">
                  <c:v>0.39787096774193553</c:v>
                </c:pt>
                <c:pt idx="14">
                  <c:v>0.43748387096774194</c:v>
                </c:pt>
                <c:pt idx="15">
                  <c:v>0.41458064516129034</c:v>
                </c:pt>
                <c:pt idx="16">
                  <c:v>0.34458064516129028</c:v>
                </c:pt>
                <c:pt idx="17">
                  <c:v>0.28554838709677421</c:v>
                </c:pt>
                <c:pt idx="18">
                  <c:v>0.53964516129032269</c:v>
                </c:pt>
                <c:pt idx="19">
                  <c:v>0.89370967741935503</c:v>
                </c:pt>
                <c:pt idx="20">
                  <c:v>0.93351612903225833</c:v>
                </c:pt>
                <c:pt idx="21">
                  <c:v>0.99441935483870958</c:v>
                </c:pt>
                <c:pt idx="22">
                  <c:v>0.83645161290322589</c:v>
                </c:pt>
                <c:pt idx="23">
                  <c:v>0.735709677419355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6FC-44D2-BFF6-0AF72DD1BEFE}"/>
            </c:ext>
          </c:extLst>
        </c:ser>
        <c:ser>
          <c:idx val="3"/>
          <c:order val="3"/>
          <c:tx>
            <c:strRef>
              <c:f>ConsumCasa25!$AB$52</c:f>
              <c:strCache>
                <c:ptCount val="1"/>
                <c:pt idx="0">
                  <c:v>Aug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ConsumCasa25!$X$53:$X$76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ConsumCasa25!$AB$53:$AB$76</c:f>
              <c:numCache>
                <c:formatCode>0.000</c:formatCode>
                <c:ptCount val="24"/>
                <c:pt idx="0">
                  <c:v>0.69851612903225824</c:v>
                </c:pt>
                <c:pt idx="1">
                  <c:v>0.61474193548387102</c:v>
                </c:pt>
                <c:pt idx="2">
                  <c:v>0.55883870967741933</c:v>
                </c:pt>
                <c:pt idx="3">
                  <c:v>0.58264516129032251</c:v>
                </c:pt>
                <c:pt idx="4">
                  <c:v>0.58109677419354844</c:v>
                </c:pt>
                <c:pt idx="5">
                  <c:v>0.55074193548387107</c:v>
                </c:pt>
                <c:pt idx="6">
                  <c:v>0.51196774193548367</c:v>
                </c:pt>
                <c:pt idx="7">
                  <c:v>0.46790322580645172</c:v>
                </c:pt>
                <c:pt idx="8">
                  <c:v>0.19393548387096773</c:v>
                </c:pt>
                <c:pt idx="9">
                  <c:v>0.5169999999999999</c:v>
                </c:pt>
                <c:pt idx="10">
                  <c:v>0.50325806451612909</c:v>
                </c:pt>
                <c:pt idx="11">
                  <c:v>0.48680645161290326</c:v>
                </c:pt>
                <c:pt idx="12">
                  <c:v>0.60477419354838713</c:v>
                </c:pt>
                <c:pt idx="13">
                  <c:v>0.6917741935483871</c:v>
                </c:pt>
                <c:pt idx="14">
                  <c:v>0.88729032258064533</c:v>
                </c:pt>
                <c:pt idx="15">
                  <c:v>0.64519354838709686</c:v>
                </c:pt>
                <c:pt idx="16">
                  <c:v>0.5974838709677418</c:v>
                </c:pt>
                <c:pt idx="17">
                  <c:v>0.3881935483870968</c:v>
                </c:pt>
                <c:pt idx="18">
                  <c:v>0.42241935483870968</c:v>
                </c:pt>
                <c:pt idx="19">
                  <c:v>0.67303225806451616</c:v>
                </c:pt>
                <c:pt idx="20">
                  <c:v>0.7338709677419355</c:v>
                </c:pt>
                <c:pt idx="21">
                  <c:v>0.7889354838709679</c:v>
                </c:pt>
                <c:pt idx="22">
                  <c:v>0.76109677419354838</c:v>
                </c:pt>
                <c:pt idx="23">
                  <c:v>0.73445161290322569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6FC-44D2-BFF6-0AF72DD1BEFE}"/>
            </c:ext>
          </c:extLst>
        </c:ser>
        <c:ser>
          <c:idx val="4"/>
          <c:order val="4"/>
          <c:tx>
            <c:strRef>
              <c:f>ConsumCasa25!$AC$52</c:f>
              <c:strCache>
                <c:ptCount val="1"/>
                <c:pt idx="0">
                  <c:v>Sep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ConsumCasa25!$X$53:$X$76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ConsumCasa25!$AC$53:$AC$76</c:f>
              <c:numCache>
                <c:formatCode>0.000</c:formatCode>
                <c:ptCount val="24"/>
                <c:pt idx="0">
                  <c:v>0.40190000000000009</c:v>
                </c:pt>
                <c:pt idx="1">
                  <c:v>0.31613333333333332</c:v>
                </c:pt>
                <c:pt idx="2">
                  <c:v>0.28856666666666669</c:v>
                </c:pt>
                <c:pt idx="3">
                  <c:v>0.35160000000000002</c:v>
                </c:pt>
                <c:pt idx="4">
                  <c:v>0.36776666666666669</c:v>
                </c:pt>
                <c:pt idx="5">
                  <c:v>0.33066666666666666</c:v>
                </c:pt>
                <c:pt idx="6">
                  <c:v>0.34133333333333332</c:v>
                </c:pt>
                <c:pt idx="7">
                  <c:v>0.6329999999999999</c:v>
                </c:pt>
                <c:pt idx="8">
                  <c:v>0.33066666666666661</c:v>
                </c:pt>
                <c:pt idx="9">
                  <c:v>0.87839999999999985</c:v>
                </c:pt>
                <c:pt idx="10">
                  <c:v>0.82139999999999991</c:v>
                </c:pt>
                <c:pt idx="11">
                  <c:v>0.60576666666666656</c:v>
                </c:pt>
                <c:pt idx="12">
                  <c:v>0.53336666666666654</c:v>
                </c:pt>
                <c:pt idx="13">
                  <c:v>0.81863333333333321</c:v>
                </c:pt>
                <c:pt idx="14">
                  <c:v>0.97286666666666655</c:v>
                </c:pt>
                <c:pt idx="15">
                  <c:v>1.1129999999999998</c:v>
                </c:pt>
                <c:pt idx="16">
                  <c:v>0.53216666666666668</c:v>
                </c:pt>
                <c:pt idx="17">
                  <c:v>0.58086666666666675</c:v>
                </c:pt>
                <c:pt idx="18">
                  <c:v>0.69846666666666657</c:v>
                </c:pt>
                <c:pt idx="19">
                  <c:v>0.78736666666666644</c:v>
                </c:pt>
                <c:pt idx="20">
                  <c:v>0.80876666666666663</c:v>
                </c:pt>
                <c:pt idx="21">
                  <c:v>0.8132666666666668</c:v>
                </c:pt>
                <c:pt idx="22">
                  <c:v>0.57563333333333355</c:v>
                </c:pt>
                <c:pt idx="23">
                  <c:v>0.46330000000000005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6FC-44D2-BFF6-0AF72DD1BE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2645312"/>
        <c:axId val="642642072"/>
      </c:lineChart>
      <c:catAx>
        <c:axId val="6426453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Hour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42642072"/>
        <c:crosses val="autoZero"/>
        <c:auto val="1"/>
        <c:lblAlgn val="ctr"/>
        <c:lblOffset val="100"/>
        <c:noMultiLvlLbl val="0"/>
      </c:catAx>
      <c:valAx>
        <c:axId val="642642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Avg 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42645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a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Consumption: Winter vs Summer — Casa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ConsumCasa25!$AP$1</c:f>
              <c:strCache>
                <c:ptCount val="1"/>
                <c:pt idx="0">
                  <c:v>Winter (Dec-Feb)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ConsumCasa25!$AP$2:$AP$25</c:f>
              <c:numCache>
                <c:formatCode>0.000</c:formatCode>
                <c:ptCount val="24"/>
                <c:pt idx="0">
                  <c:v>1.6997999999999993</c:v>
                </c:pt>
                <c:pt idx="1">
                  <c:v>1.7333000000000001</c:v>
                </c:pt>
                <c:pt idx="2">
                  <c:v>1.7944777777777776</c:v>
                </c:pt>
                <c:pt idx="3">
                  <c:v>1.8965444444444444</c:v>
                </c:pt>
                <c:pt idx="4">
                  <c:v>2.221022222222222</c:v>
                </c:pt>
                <c:pt idx="5">
                  <c:v>2.5356444444444453</c:v>
                </c:pt>
                <c:pt idx="6">
                  <c:v>2.7620888888888886</c:v>
                </c:pt>
                <c:pt idx="7">
                  <c:v>3.1049111111111114</c:v>
                </c:pt>
                <c:pt idx="8">
                  <c:v>2.8229111111111114</c:v>
                </c:pt>
                <c:pt idx="9">
                  <c:v>1.9071444444444441</c:v>
                </c:pt>
                <c:pt idx="10">
                  <c:v>1.1664333333333332</c:v>
                </c:pt>
                <c:pt idx="11">
                  <c:v>0.76868888888888887</c:v>
                </c:pt>
                <c:pt idx="12">
                  <c:v>1.1350777777777779</c:v>
                </c:pt>
                <c:pt idx="13">
                  <c:v>1.1009</c:v>
                </c:pt>
                <c:pt idx="14">
                  <c:v>0.97214444444444426</c:v>
                </c:pt>
                <c:pt idx="15">
                  <c:v>0.96803333333333319</c:v>
                </c:pt>
                <c:pt idx="16">
                  <c:v>1.6622222222222223</c:v>
                </c:pt>
                <c:pt idx="17">
                  <c:v>1.4190333333333336</c:v>
                </c:pt>
                <c:pt idx="18">
                  <c:v>1.558311111111111</c:v>
                </c:pt>
                <c:pt idx="19">
                  <c:v>1.8794333333333333</c:v>
                </c:pt>
                <c:pt idx="20">
                  <c:v>2.2901222222222222</c:v>
                </c:pt>
                <c:pt idx="21">
                  <c:v>2.0832444444444445</c:v>
                </c:pt>
                <c:pt idx="22">
                  <c:v>1.8363888888888886</c:v>
                </c:pt>
                <c:pt idx="23">
                  <c:v>1.7653555555555556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560-4E8D-8594-587651572EB8}"/>
            </c:ext>
          </c:extLst>
        </c:ser>
        <c:ser>
          <c:idx val="2"/>
          <c:order val="2"/>
          <c:tx>
            <c:strRef>
              <c:f>ConsumCasa25!$AQ$1</c:f>
              <c:strCache>
                <c:ptCount val="1"/>
                <c:pt idx="0">
                  <c:v>Summer (Jun-Aug)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ConsumCasa25!$AQ$2:$AQ$25</c:f>
              <c:numCache>
                <c:formatCode>0.000</c:formatCode>
                <c:ptCount val="24"/>
                <c:pt idx="0">
                  <c:v>0.60715217391304377</c:v>
                </c:pt>
                <c:pt idx="1">
                  <c:v>0.53897826086956535</c:v>
                </c:pt>
                <c:pt idx="2">
                  <c:v>0.52795652173913044</c:v>
                </c:pt>
                <c:pt idx="3">
                  <c:v>0.49988043478260857</c:v>
                </c:pt>
                <c:pt idx="4">
                  <c:v>0.5298043478260871</c:v>
                </c:pt>
                <c:pt idx="5">
                  <c:v>0.51913043478260856</c:v>
                </c:pt>
                <c:pt idx="6">
                  <c:v>0.4655760869565217</c:v>
                </c:pt>
                <c:pt idx="7">
                  <c:v>0.42241304347826086</c:v>
                </c:pt>
                <c:pt idx="8">
                  <c:v>0.41878260869565231</c:v>
                </c:pt>
                <c:pt idx="9">
                  <c:v>0.54839130434782601</c:v>
                </c:pt>
                <c:pt idx="10">
                  <c:v>0.47534782608695642</c:v>
                </c:pt>
                <c:pt idx="11">
                  <c:v>0.41978260869565215</c:v>
                </c:pt>
                <c:pt idx="12">
                  <c:v>0.4978478260869566</c:v>
                </c:pt>
                <c:pt idx="13">
                  <c:v>0.75773913043478269</c:v>
                </c:pt>
                <c:pt idx="14">
                  <c:v>0.90371739130434781</c:v>
                </c:pt>
                <c:pt idx="15">
                  <c:v>0.64768478260869566</c:v>
                </c:pt>
                <c:pt idx="16">
                  <c:v>0.47754347826086951</c:v>
                </c:pt>
                <c:pt idx="17">
                  <c:v>0.35540217391304352</c:v>
                </c:pt>
                <c:pt idx="18">
                  <c:v>0.50517391304347825</c:v>
                </c:pt>
                <c:pt idx="19">
                  <c:v>0.77959782608695638</c:v>
                </c:pt>
                <c:pt idx="20">
                  <c:v>0.8433586956521737</c:v>
                </c:pt>
                <c:pt idx="21">
                  <c:v>0.95723913043478237</c:v>
                </c:pt>
                <c:pt idx="22">
                  <c:v>0.84398913043478252</c:v>
                </c:pt>
                <c:pt idx="23">
                  <c:v>0.74843478260869556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560-4E8D-8594-587651572E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1189800"/>
        <c:axId val="73119232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ConsumCasa25!$AO$1</c15:sqref>
                        </c15:formulaRef>
                      </c:ext>
                    </c:extLst>
                    <c:strCache>
                      <c:ptCount val="1"/>
                      <c:pt idx="0">
                        <c:v>Hour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ConsumCasa25!$AO$2:$AO$25</c15:sqref>
                        </c15:formulaRef>
                      </c:ext>
                    </c:extLst>
                    <c:numCache>
                      <c:formatCode>General</c:formatCode>
                      <c:ptCount val="24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1560-4E8D-8594-587651572EB8}"/>
                  </c:ext>
                </c:extLst>
              </c15:ser>
            </c15:filteredLineSeries>
          </c:ext>
        </c:extLst>
      </c:lineChart>
      <c:catAx>
        <c:axId val="7311898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Hour of 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31192320"/>
        <c:crosses val="autoZero"/>
        <c:auto val="1"/>
        <c:lblAlgn val="ctr"/>
        <c:lblOffset val="100"/>
        <c:noMultiLvlLbl val="0"/>
      </c:catAx>
      <c:valAx>
        <c:axId val="731192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Avg 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31189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0</xdr:colOff>
      <xdr:row>0</xdr:row>
      <xdr:rowOff>0</xdr:rowOff>
    </xdr:from>
    <xdr:to>
      <xdr:col>32</xdr:col>
      <xdr:colOff>0</xdr:colOff>
      <xdr:row>20</xdr:row>
      <xdr:rowOff>0</xdr:rowOff>
    </xdr:to>
    <xdr:graphicFrame macro="">
      <xdr:nvGraphicFramePr>
        <xdr:cNvPr id="6" name="Gràfic 5">
          <a:extLst>
            <a:ext uri="{FF2B5EF4-FFF2-40B4-BE49-F238E27FC236}">
              <a16:creationId xmlns:a16="http://schemas.microsoft.com/office/drawing/2014/main" id="{58BD0114-7635-7735-9C34-DB80EB0C65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419108</xdr:colOff>
      <xdr:row>31</xdr:row>
      <xdr:rowOff>52524</xdr:rowOff>
    </xdr:from>
    <xdr:to>
      <xdr:col>30</xdr:col>
      <xdr:colOff>506550</xdr:colOff>
      <xdr:row>50</xdr:row>
      <xdr:rowOff>52524</xdr:rowOff>
    </xdr:to>
    <xdr:graphicFrame macro="">
      <xdr:nvGraphicFramePr>
        <xdr:cNvPr id="7" name="Gràfic 6">
          <a:extLst>
            <a:ext uri="{FF2B5EF4-FFF2-40B4-BE49-F238E27FC236}">
              <a16:creationId xmlns:a16="http://schemas.microsoft.com/office/drawing/2014/main" id="{7C502D93-7ECF-E8F3-912D-FF0FB49966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32</xdr:col>
      <xdr:colOff>134470</xdr:colOff>
      <xdr:row>27</xdr:row>
      <xdr:rowOff>104588</xdr:rowOff>
    </xdr:from>
    <xdr:to>
      <xdr:col>41</xdr:col>
      <xdr:colOff>134471</xdr:colOff>
      <xdr:row>47</xdr:row>
      <xdr:rowOff>104587</xdr:rowOff>
    </xdr:to>
    <xdr:graphicFrame macro="">
      <xdr:nvGraphicFramePr>
        <xdr:cNvPr id="9" name="Gràfic 8">
          <a:extLst>
            <a:ext uri="{FF2B5EF4-FFF2-40B4-BE49-F238E27FC236}">
              <a16:creationId xmlns:a16="http://schemas.microsoft.com/office/drawing/2014/main" id="{0DC086B8-C3E6-81F1-7C58-383C1F9B9D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</xdr:colOff>
      <xdr:row>0</xdr:row>
      <xdr:rowOff>0</xdr:rowOff>
    </xdr:from>
    <xdr:to>
      <xdr:col>32</xdr:col>
      <xdr:colOff>1</xdr:colOff>
      <xdr:row>20</xdr:row>
      <xdr:rowOff>0</xdr:rowOff>
    </xdr:to>
    <xdr:graphicFrame macro="">
      <xdr:nvGraphicFramePr>
        <xdr:cNvPr id="2" name="Gràfic 1">
          <a:extLst>
            <a:ext uri="{FF2B5EF4-FFF2-40B4-BE49-F238E27FC236}">
              <a16:creationId xmlns:a16="http://schemas.microsoft.com/office/drawing/2014/main" id="{3B885DAD-8762-140A-C85F-A17FCCCA0D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1</xdr:colOff>
      <xdr:row>20</xdr:row>
      <xdr:rowOff>182879</xdr:rowOff>
    </xdr:from>
    <xdr:to>
      <xdr:col>32</xdr:col>
      <xdr:colOff>1</xdr:colOff>
      <xdr:row>40</xdr:row>
      <xdr:rowOff>182879</xdr:rowOff>
    </xdr:to>
    <xdr:graphicFrame macro="">
      <xdr:nvGraphicFramePr>
        <xdr:cNvPr id="3" name="Gràfic 2">
          <a:extLst>
            <a:ext uri="{FF2B5EF4-FFF2-40B4-BE49-F238E27FC236}">
              <a16:creationId xmlns:a16="http://schemas.microsoft.com/office/drawing/2014/main" id="{6492A325-71BB-6CCD-C4E8-62FEB85522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30</xdr:col>
      <xdr:colOff>0</xdr:colOff>
      <xdr:row>50</xdr:row>
      <xdr:rowOff>182879</xdr:rowOff>
    </xdr:from>
    <xdr:to>
      <xdr:col>39</xdr:col>
      <xdr:colOff>0</xdr:colOff>
      <xdr:row>69</xdr:row>
      <xdr:rowOff>182879</xdr:rowOff>
    </xdr:to>
    <xdr:graphicFrame macro="">
      <xdr:nvGraphicFramePr>
        <xdr:cNvPr id="4" name="Gràfic 3">
          <a:extLst>
            <a:ext uri="{FF2B5EF4-FFF2-40B4-BE49-F238E27FC236}">
              <a16:creationId xmlns:a16="http://schemas.microsoft.com/office/drawing/2014/main" id="{9422B1C9-C29C-C350-9DDD-C70A36ACBA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44</xdr:col>
      <xdr:colOff>0</xdr:colOff>
      <xdr:row>0</xdr:row>
      <xdr:rowOff>0</xdr:rowOff>
    </xdr:from>
    <xdr:to>
      <xdr:col>53</xdr:col>
      <xdr:colOff>0</xdr:colOff>
      <xdr:row>20</xdr:row>
      <xdr:rowOff>0</xdr:rowOff>
    </xdr:to>
    <xdr:graphicFrame macro="">
      <xdr:nvGraphicFramePr>
        <xdr:cNvPr id="6" name="Gràfic 5">
          <a:extLst>
            <a:ext uri="{FF2B5EF4-FFF2-40B4-BE49-F238E27FC236}">
              <a16:creationId xmlns:a16="http://schemas.microsoft.com/office/drawing/2014/main" id="{0D449C67-3CB5-2EA2-B1B6-C1A0AE9069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l'Office">
  <a:themeElements>
    <a:clrScheme name="Ofici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ici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ici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56D5D96-C6CD-4400-92EF-EB57DF981877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0054dee3-8dc1-48db-809e-8d84602896c4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335B2-42D0-494C-A12F-8B0DAFC2C232}">
  <dimension ref="A1:AQ8761"/>
  <sheetViews>
    <sheetView tabSelected="1" zoomScale="60" zoomScaleNormal="60" workbookViewId="0">
      <selection activeCell="J11" sqref="J11"/>
    </sheetView>
  </sheetViews>
  <sheetFormatPr defaultRowHeight="14.4" x14ac:dyDescent="0.3"/>
  <cols>
    <col min="2" max="2" width="12.5546875" customWidth="1"/>
    <col min="6" max="6" width="10.109375" customWidth="1"/>
    <col min="9" max="9" width="13.44140625" bestFit="1" customWidth="1"/>
  </cols>
  <sheetData>
    <row r="1" spans="1:43" ht="38.4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39</v>
      </c>
      <c r="G1" s="2" t="s">
        <v>7</v>
      </c>
      <c r="H1" s="6" t="s">
        <v>8</v>
      </c>
      <c r="I1" s="2" t="s">
        <v>41</v>
      </c>
      <c r="K1" s="2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AO1" s="2" t="s">
        <v>7</v>
      </c>
      <c r="AP1" s="2" t="s">
        <v>37</v>
      </c>
      <c r="AQ1" s="2" t="s">
        <v>38</v>
      </c>
    </row>
    <row r="2" spans="1:43" x14ac:dyDescent="0.3">
      <c r="A2" t="s">
        <v>5</v>
      </c>
      <c r="B2" s="1">
        <v>45658</v>
      </c>
      <c r="C2">
        <v>1</v>
      </c>
      <c r="D2">
        <v>0.06</v>
      </c>
      <c r="E2" t="s">
        <v>6</v>
      </c>
      <c r="F2">
        <v>0.18278999999999998</v>
      </c>
      <c r="G2">
        <v>1</v>
      </c>
      <c r="H2">
        <f t="shared" ref="H2:H25" si="0">AVERAGEIF($C$2:$C$8761,G2,$D$2:$D$8761)</f>
        <v>0.21075068493150706</v>
      </c>
      <c r="I2">
        <v>1.3300000000000001E-4</v>
      </c>
      <c r="K2">
        <v>1</v>
      </c>
      <c r="L2" s="4">
        <f t="shared" ref="L2:L25" si="1">AVERAGEIFS($D$2:$D$8761,$C$2:$C$8761,$K2,$B$2:$B$8761,"&gt;="&amp;DATE(2025,1,1),$B$2:$B$8761,"&lt;"&amp;DATE(2025,2,1))</f>
        <v>0.18445161290322579</v>
      </c>
      <c r="M2" s="4">
        <f t="shared" ref="M2:M25" si="2">AVERAGEIFS($D$2:$D$8761,$C$2:$C$8761,$K2,$B$2:$B$8761,"&gt;="&amp;DATE(2025,2,1),$B$2:$B$8761,"&lt;"&amp;DATE(2025,3,1))</f>
        <v>0.2658928571428571</v>
      </c>
      <c r="N2" s="4">
        <f t="shared" ref="N2:N25" si="3">AVERAGEIFS($D$2:$D$8761,$C$2:$C$8761,$K2,$B$2:$B$8761,"&gt;="&amp;DATE(2025,3,1),$B$2:$B$8761,"&lt;"&amp;DATE(2025,4,1))</f>
        <v>0.28058064516129033</v>
      </c>
      <c r="O2" s="4">
        <f t="shared" ref="O2:O25" si="4">AVERAGEIFS($D$2:$D$8761,$C$2:$C$8761,$K2,$B$2:$B$8761,"&gt;="&amp;DATE(2025,4,1),$B$2:$B$8761,"&lt;"&amp;DATE(2025,5,1))</f>
        <v>0.19386666666666671</v>
      </c>
      <c r="P2" s="4">
        <f t="shared" ref="P2:P25" si="5">AVERAGEIFS($D$2:$D$8761,$C$2:$C$8761,$K2,$B$2:$B$8761,"&gt;="&amp;DATE(2025,5,1),$B$2:$B$8761,"&lt;"&amp;DATE(2025,6,1))</f>
        <v>0.29977419354838708</v>
      </c>
      <c r="Q2" s="4">
        <f t="shared" ref="Q2:Q25" si="6">AVERAGEIFS($D$2:$D$8761,$C$2:$C$8761,$K2,$B$2:$B$8761,"&gt;="&amp;DATE(2025,6,1),$B$2:$B$8761,"&lt;"&amp;DATE(2025,7,1))</f>
        <v>0.19440000000000002</v>
      </c>
      <c r="R2" s="4">
        <f t="shared" ref="R2:R25" si="7">AVERAGEIFS($D$2:$D$8761,$C$2:$C$8761,$K2,$B$2:$B$8761,"&gt;="&amp;DATE(2025,7,1),$B$2:$B$8761,"&lt;"&amp;DATE(2025,8,1))</f>
        <v>0.12038709677419356</v>
      </c>
      <c r="S2" s="4">
        <f t="shared" ref="S2:S25" si="8">AVERAGEIFS($D$2:$D$8761,$C$2:$C$8761,$K2,$B$2:$B$8761,"&gt;="&amp;DATE(2025,8,1),$B$2:$B$8761,"&lt;"&amp;DATE(2025,9,1))</f>
        <v>7.4774193548387102E-2</v>
      </c>
      <c r="T2" s="4">
        <f t="shared" ref="T2:T25" si="9">AVERAGEIFS($D$2:$D$8761,$C$2:$C$8761,$K2,$B$2:$B$8761,"&gt;="&amp;DATE(2025,9,1),$B$2:$B$8761,"&lt;"&amp;DATE(2025,10,1))</f>
        <v>0.23423333333333338</v>
      </c>
      <c r="U2" s="4">
        <f t="shared" ref="U2:U25" si="10">AVERAGEIFS($D$2:$D$8761,$C$2:$C$8761,$K2,$B$2:$B$8761,"&gt;="&amp;DATE(2025,10,1),$B$2:$B$8761,"&lt;"&amp;DATE(2025,11,1))</f>
        <v>0.28493548387096773</v>
      </c>
      <c r="V2" s="4">
        <f t="shared" ref="V2:V25" si="11">AVERAGEIFS($D$2:$D$8761,$C$2:$C$8761,$K2,$B$2:$B$8761,"&gt;="&amp;DATE(2025,11,1),$B$2:$B$8761,"&lt;"&amp;DATE(2025,12,1))</f>
        <v>0.24063333333333331</v>
      </c>
      <c r="W2" s="4">
        <f t="shared" ref="W2:W25" si="12">AVERAGEIFS($D$2:$D$8761,$C$2:$C$8761,$K2,$B$2:$B$8761,"&gt;="&amp;DATE(2025,12,1),$B$2:$B$8761,"&lt;"&amp;DATE(2025,13,1))</f>
        <v>0.16106451612903222</v>
      </c>
      <c r="AO2">
        <v>1</v>
      </c>
      <c r="AP2" s="4">
        <f>(SUMIFS($D$2:$D$8761,$C$2:$C$8761,1,$B$2:$B$8761,"&gt;="&amp;DATE(2025,1,1),$B$2:$B$8761,"&lt;"&amp;DATE(2025,3,1))+SUMIFS($D$2:$D$8761,$C$2:$C$8761,1,$B$2:$B$8761,"&gt;="&amp;DATE(2025,12,1),$B$2:$B$8761,"&lt;"&amp;DATE(2026,1,1)))/(COUNTIFS($C$2:$C$8761,1,$B$2:$B$8761,"&gt;="&amp;DATE(2025,1,1),$B$2:$B$8761,"&lt;"&amp;DATE(2025,3,1))+COUNTIFS($C$2:$C$8761,1,$B$2:$B$8761,"&gt;="&amp;DATE(2025,12,1),$B$2:$B$8761,"&lt;"&amp;DATE(2026,1,1)))</f>
        <v>0.20173333333333332</v>
      </c>
      <c r="AQ2" s="4">
        <f>AVERAGEIFS($D$2:$D$8761,$C$2:$C$8761,1,$B$2:$B$8761,"&gt;="&amp;DATE(2025,6,1),$B$2:$B$8761,"&lt;"&amp;DATE(2025,9,1))</f>
        <v>0.12915217391304351</v>
      </c>
    </row>
    <row r="3" spans="1:43" x14ac:dyDescent="0.3">
      <c r="A3" t="s">
        <v>5</v>
      </c>
      <c r="B3" s="1">
        <v>45658</v>
      </c>
      <c r="C3">
        <v>2</v>
      </c>
      <c r="D3">
        <v>6.7000000000000004E-2</v>
      </c>
      <c r="E3" t="s">
        <v>6</v>
      </c>
      <c r="F3">
        <v>0.18318999999999999</v>
      </c>
      <c r="G3">
        <v>2</v>
      </c>
      <c r="H3">
        <f t="shared" si="0"/>
        <v>0.15135342465753421</v>
      </c>
      <c r="I3">
        <v>1.2799999999999999E-4</v>
      </c>
      <c r="K3">
        <v>2</v>
      </c>
      <c r="L3" s="4">
        <f t="shared" si="1"/>
        <v>0.15635483870967737</v>
      </c>
      <c r="M3" s="4">
        <f t="shared" si="2"/>
        <v>0.18657142857142855</v>
      </c>
      <c r="N3" s="4">
        <f t="shared" si="3"/>
        <v>0.16351612903225812</v>
      </c>
      <c r="O3" s="4">
        <f t="shared" si="4"/>
        <v>0.11870000000000001</v>
      </c>
      <c r="P3" s="4">
        <f t="shared" si="5"/>
        <v>0.17029032258064519</v>
      </c>
      <c r="Q3" s="4">
        <f t="shared" si="6"/>
        <v>0.13836666666666664</v>
      </c>
      <c r="R3" s="4">
        <f t="shared" si="7"/>
        <v>0.11251612903225809</v>
      </c>
      <c r="S3" s="4">
        <f t="shared" si="8"/>
        <v>7.0548387096774176E-2</v>
      </c>
      <c r="T3" s="4">
        <f t="shared" si="9"/>
        <v>0.18176666666666669</v>
      </c>
      <c r="U3" s="4">
        <f t="shared" si="10"/>
        <v>0.23835483870967739</v>
      </c>
      <c r="V3" s="4">
        <f t="shared" si="11"/>
        <v>0.1589666666666667</v>
      </c>
      <c r="W3" s="4">
        <f t="shared" si="12"/>
        <v>0.12345161290322582</v>
      </c>
      <c r="AO3">
        <v>2</v>
      </c>
      <c r="AP3" s="4">
        <f>(SUMIFS($D$2:$D$8761,$C$2:$C$8761,2,$B$2:$B$8761,"&gt;="&amp;DATE(2025,1,1),$B$2:$B$8761,"&lt;"&amp;DATE(2025,3,1))+SUMIFS($D$2:$D$8761,$C$2:$C$8761,2,$B$2:$B$8761,"&gt;="&amp;DATE(2025,12,1),$B$2:$B$8761,"&lt;"&amp;DATE(2026,1,1)))/(COUNTIFS($C$2:$C$8761,2,$B$2:$B$8761,"&gt;="&amp;DATE(2025,1,1),$B$2:$B$8761,"&lt;"&amp;DATE(2025,3,1))+COUNTIFS($C$2:$C$8761,2,$B$2:$B$8761,"&gt;="&amp;DATE(2025,12,1),$B$2:$B$8761,"&lt;"&amp;DATE(2026,1,1)))</f>
        <v>0.15442222222222224</v>
      </c>
      <c r="AQ3" s="4">
        <f>AVERAGEIFS($D$2:$D$8761,$C$2:$C$8761,2,$B$2:$B$8761,"&gt;="&amp;DATE(2025,6,1),$B$2:$B$8761,"&lt;"&amp;DATE(2025,9,1))</f>
        <v>0.10680434782608686</v>
      </c>
    </row>
    <row r="4" spans="1:43" x14ac:dyDescent="0.3">
      <c r="A4" t="s">
        <v>5</v>
      </c>
      <c r="B4" s="1">
        <v>45658</v>
      </c>
      <c r="C4">
        <v>3</v>
      </c>
      <c r="D4">
        <v>7.1999999999999995E-2</v>
      </c>
      <c r="E4" t="s">
        <v>6</v>
      </c>
      <c r="F4">
        <v>0.18874000000000002</v>
      </c>
      <c r="G4">
        <v>3</v>
      </c>
      <c r="H4">
        <f t="shared" si="0"/>
        <v>0.11908493150684947</v>
      </c>
      <c r="I4">
        <v>9.1000000000000003E-5</v>
      </c>
      <c r="K4">
        <v>3</v>
      </c>
      <c r="L4" s="4">
        <f t="shared" si="1"/>
        <v>0.11874193548387094</v>
      </c>
      <c r="M4" s="4">
        <f t="shared" si="2"/>
        <v>0.15439285714285714</v>
      </c>
      <c r="N4" s="4">
        <f t="shared" si="3"/>
        <v>0.10964516129032259</v>
      </c>
      <c r="O4" s="4">
        <f t="shared" si="4"/>
        <v>0.10286666666666669</v>
      </c>
      <c r="P4" s="4">
        <f t="shared" si="5"/>
        <v>0.11799999999999999</v>
      </c>
      <c r="Q4" s="4">
        <f t="shared" si="6"/>
        <v>0.13203333333333334</v>
      </c>
      <c r="R4" s="4">
        <f t="shared" si="7"/>
        <v>8.0870967741935473E-2</v>
      </c>
      <c r="S4" s="4">
        <f t="shared" si="8"/>
        <v>7.1677419354838706E-2</v>
      </c>
      <c r="T4" s="4">
        <f t="shared" si="9"/>
        <v>0.14530000000000001</v>
      </c>
      <c r="U4" s="4">
        <f t="shared" si="10"/>
        <v>0.19122580645161297</v>
      </c>
      <c r="V4" s="4">
        <f t="shared" si="11"/>
        <v>0.11893333333333334</v>
      </c>
      <c r="W4" s="4">
        <f t="shared" si="12"/>
        <v>8.9483870967741935E-2</v>
      </c>
      <c r="AO4">
        <v>3</v>
      </c>
      <c r="AP4" s="4">
        <f>(SUMIFS($D$2:$D$8761,$C$2:$C$8761,3,$B$2:$B$8761,"&gt;="&amp;DATE(2025,1,1),$B$2:$B$8761,"&lt;"&amp;DATE(2025,3,1))+SUMIFS($D$2:$D$8761,$C$2:$C$8761,3,$B$2:$B$8761,"&gt;="&amp;DATE(2025,12,1),$B$2:$B$8761,"&lt;"&amp;DATE(2026,1,1)))/(COUNTIFS($C$2:$C$8761,3,$B$2:$B$8761,"&gt;="&amp;DATE(2025,1,1),$B$2:$B$8761,"&lt;"&amp;DATE(2025,3,1))+COUNTIFS($C$2:$C$8761,3,$B$2:$B$8761,"&gt;="&amp;DATE(2025,12,1),$B$2:$B$8761,"&lt;"&amp;DATE(2026,1,1)))</f>
        <v>0.11975555555555559</v>
      </c>
      <c r="AQ4" s="4">
        <f>AVERAGEIFS($D$2:$D$8761,$C$2:$C$8761,3,$B$2:$B$8761,"&gt;="&amp;DATE(2025,6,1),$B$2:$B$8761,"&lt;"&amp;DATE(2025,9,1))</f>
        <v>9.4456521739130467E-2</v>
      </c>
    </row>
    <row r="5" spans="1:43" x14ac:dyDescent="0.3">
      <c r="A5" t="s">
        <v>5</v>
      </c>
      <c r="B5" s="1">
        <v>45658</v>
      </c>
      <c r="C5">
        <v>4</v>
      </c>
      <c r="D5">
        <v>5.8999999999999997E-2</v>
      </c>
      <c r="E5" t="s">
        <v>6</v>
      </c>
      <c r="F5">
        <v>0.18777000000000002</v>
      </c>
      <c r="G5">
        <v>4</v>
      </c>
      <c r="H5">
        <f t="shared" si="0"/>
        <v>0.10601917808219173</v>
      </c>
      <c r="I5">
        <v>9.2E-5</v>
      </c>
      <c r="K5">
        <v>4</v>
      </c>
      <c r="L5" s="4">
        <f t="shared" si="1"/>
        <v>0.11758064516129033</v>
      </c>
      <c r="M5" s="4">
        <f t="shared" si="2"/>
        <v>0.13060714285714284</v>
      </c>
      <c r="N5" s="4">
        <f t="shared" si="3"/>
        <v>9.3774193548387078E-2</v>
      </c>
      <c r="O5" s="4">
        <f t="shared" si="4"/>
        <v>8.4433333333333319E-2</v>
      </c>
      <c r="P5" s="4">
        <f t="shared" si="5"/>
        <v>0.10764516129032259</v>
      </c>
      <c r="Q5" s="4">
        <f t="shared" si="6"/>
        <v>0.13010000000000002</v>
      </c>
      <c r="R5" s="4">
        <f t="shared" si="7"/>
        <v>7.751612903225806E-2</v>
      </c>
      <c r="S5" s="4">
        <f t="shared" si="8"/>
        <v>7.2999999999999995E-2</v>
      </c>
      <c r="T5" s="4">
        <f t="shared" si="9"/>
        <v>0.12543333333333334</v>
      </c>
      <c r="U5" s="4">
        <f t="shared" si="10"/>
        <v>0.14490322580645165</v>
      </c>
      <c r="V5" s="4">
        <f t="shared" si="11"/>
        <v>0.1031</v>
      </c>
      <c r="W5" s="4">
        <f t="shared" si="12"/>
        <v>8.7129032258064523E-2</v>
      </c>
      <c r="AO5">
        <v>4</v>
      </c>
      <c r="AP5" s="4">
        <f>(SUMIFS($D$2:$D$8761,$C$2:$C$8761,4,$B$2:$B$8761,"&gt;="&amp;DATE(2025,1,1),$B$2:$B$8761,"&lt;"&amp;DATE(2025,3,1))+SUMIFS($D$2:$D$8761,$C$2:$C$8761,4,$B$2:$B$8761,"&gt;="&amp;DATE(2025,12,1),$B$2:$B$8761,"&lt;"&amp;DATE(2026,1,1)))/(COUNTIFS($C$2:$C$8761,4,$B$2:$B$8761,"&gt;="&amp;DATE(2025,1,1),$B$2:$B$8761,"&lt;"&amp;DATE(2025,3,1))+COUNTIFS($C$2:$C$8761,4,$B$2:$B$8761,"&gt;="&amp;DATE(2025,12,1),$B$2:$B$8761,"&lt;"&amp;DATE(2026,1,1)))</f>
        <v>0.11114444444444446</v>
      </c>
      <c r="AQ5" s="4">
        <f>AVERAGEIFS($D$2:$D$8761,$C$2:$C$8761,4,$B$2:$B$8761,"&gt;="&amp;DATE(2025,6,1),$B$2:$B$8761,"&lt;"&amp;DATE(2025,9,1))</f>
        <v>9.3141304347826137E-2</v>
      </c>
    </row>
    <row r="6" spans="1:43" x14ac:dyDescent="0.3">
      <c r="A6" t="s">
        <v>5</v>
      </c>
      <c r="B6" s="1">
        <v>45658</v>
      </c>
      <c r="C6">
        <v>5</v>
      </c>
      <c r="D6">
        <v>7.6999999999999999E-2</v>
      </c>
      <c r="E6" t="s">
        <v>6</v>
      </c>
      <c r="F6">
        <v>0.18018999999999999</v>
      </c>
      <c r="G6">
        <v>5</v>
      </c>
      <c r="H6">
        <f t="shared" si="0"/>
        <v>9.9115068493150701E-2</v>
      </c>
      <c r="I6">
        <v>7.2999999999999999E-5</v>
      </c>
      <c r="K6">
        <v>5</v>
      </c>
      <c r="L6" s="4">
        <f t="shared" si="1"/>
        <v>0.1024193548387097</v>
      </c>
      <c r="M6" s="4">
        <f t="shared" si="2"/>
        <v>0.10917857142857147</v>
      </c>
      <c r="N6" s="4">
        <f t="shared" si="3"/>
        <v>8.9870967741935481E-2</v>
      </c>
      <c r="O6" s="4">
        <f t="shared" si="4"/>
        <v>8.646666666666665E-2</v>
      </c>
      <c r="P6" s="4">
        <f t="shared" si="5"/>
        <v>0.1063225806451613</v>
      </c>
      <c r="Q6" s="4">
        <f t="shared" si="6"/>
        <v>0.13116666666666671</v>
      </c>
      <c r="R6" s="4">
        <f t="shared" si="7"/>
        <v>7.5096774193548377E-2</v>
      </c>
      <c r="S6" s="4">
        <f t="shared" si="8"/>
        <v>6.7838709677419326E-2</v>
      </c>
      <c r="T6" s="4">
        <f t="shared" si="9"/>
        <v>0.12626666666666667</v>
      </c>
      <c r="U6" s="4">
        <f t="shared" si="10"/>
        <v>0.12361290322580649</v>
      </c>
      <c r="V6" s="4">
        <f t="shared" si="11"/>
        <v>9.1233333333333333E-2</v>
      </c>
      <c r="W6" s="4">
        <f t="shared" si="12"/>
        <v>8.2129032258064519E-2</v>
      </c>
      <c r="AO6">
        <v>5</v>
      </c>
      <c r="AP6" s="4">
        <f>(SUMIFS($D$2:$D$8761,$C$2:$C$8761,5,$B$2:$B$8761,"&gt;="&amp;DATE(2025,1,1),$B$2:$B$8761,"&lt;"&amp;DATE(2025,3,1))+SUMIFS($D$2:$D$8761,$C$2:$C$8761,5,$B$2:$B$8761,"&gt;="&amp;DATE(2025,12,1),$B$2:$B$8761,"&lt;"&amp;DATE(2026,1,1)))/(COUNTIFS($C$2:$C$8761,5,$B$2:$B$8761,"&gt;="&amp;DATE(2025,1,1),$B$2:$B$8761,"&lt;"&amp;DATE(2025,3,1))+COUNTIFS($C$2:$C$8761,5,$B$2:$B$8761,"&gt;="&amp;DATE(2025,12,1),$B$2:$B$8761,"&lt;"&amp;DATE(2026,1,1)))</f>
        <v>9.7533333333333333E-2</v>
      </c>
      <c r="AQ6" s="4">
        <f>AVERAGEIFS($D$2:$D$8761,$C$2:$C$8761,5,$B$2:$B$8761,"&gt;="&amp;DATE(2025,6,1),$B$2:$B$8761,"&lt;"&amp;DATE(2025,9,1))</f>
        <v>9.0934782608695669E-2</v>
      </c>
    </row>
    <row r="7" spans="1:43" x14ac:dyDescent="0.3">
      <c r="A7" t="s">
        <v>5</v>
      </c>
      <c r="B7" s="1">
        <v>45658</v>
      </c>
      <c r="C7">
        <v>6</v>
      </c>
      <c r="D7">
        <v>6.3E-2</v>
      </c>
      <c r="E7" t="s">
        <v>6</v>
      </c>
      <c r="F7">
        <v>0.17230000000000001</v>
      </c>
      <c r="G7">
        <v>6</v>
      </c>
      <c r="H7">
        <f t="shared" si="0"/>
        <v>0.10154794520547951</v>
      </c>
      <c r="I7">
        <v>7.4999999999999993E-5</v>
      </c>
      <c r="K7">
        <v>6</v>
      </c>
      <c r="L7" s="4">
        <f t="shared" si="1"/>
        <v>9.561290322580647E-2</v>
      </c>
      <c r="M7" s="4">
        <f t="shared" si="2"/>
        <v>0.13042857142857142</v>
      </c>
      <c r="N7" s="4">
        <f t="shared" si="3"/>
        <v>9.2322580645161273E-2</v>
      </c>
      <c r="O7" s="4">
        <f t="shared" si="4"/>
        <v>9.6266666666666681E-2</v>
      </c>
      <c r="P7" s="4">
        <f t="shared" si="5"/>
        <v>0.11970967741935483</v>
      </c>
      <c r="Q7" s="4">
        <f t="shared" si="6"/>
        <v>0.13023333333333334</v>
      </c>
      <c r="R7" s="4">
        <f t="shared" si="7"/>
        <v>7.0064516129032264E-2</v>
      </c>
      <c r="S7" s="4">
        <f t="shared" si="8"/>
        <v>6.8516129032258052E-2</v>
      </c>
      <c r="T7" s="4">
        <f t="shared" si="9"/>
        <v>0.12336666666666667</v>
      </c>
      <c r="U7" s="4">
        <f t="shared" si="10"/>
        <v>0.12177419354838713</v>
      </c>
      <c r="V7" s="4">
        <f t="shared" si="11"/>
        <v>9.1366666666666665E-2</v>
      </c>
      <c r="W7" s="4">
        <f t="shared" si="12"/>
        <v>8.2838709677419353E-2</v>
      </c>
      <c r="AO7">
        <v>6</v>
      </c>
      <c r="AP7" s="4">
        <f>(SUMIFS($D$2:$D$8761,$C$2:$C$8761,6,$B$2:$B$8761,"&gt;="&amp;DATE(2025,1,1),$B$2:$B$8761,"&lt;"&amp;DATE(2025,3,1))+SUMIFS($D$2:$D$8761,$C$2:$C$8761,6,$B$2:$B$8761,"&gt;="&amp;DATE(2025,12,1),$B$2:$B$8761,"&lt;"&amp;DATE(2026,1,1)))/(COUNTIFS($C$2:$C$8761,6,$B$2:$B$8761,"&gt;="&amp;DATE(2025,1,1),$B$2:$B$8761,"&lt;"&amp;DATE(2025,3,1))+COUNTIFS($C$2:$C$8761,6,$B$2:$B$8761,"&gt;="&amp;DATE(2025,12,1),$B$2:$B$8761,"&lt;"&amp;DATE(2026,1,1)))</f>
        <v>0.10204444444444445</v>
      </c>
      <c r="AQ7" s="4">
        <f>AVERAGEIFS($D$2:$D$8761,$C$2:$C$8761,6,$B$2:$B$8761,"&gt;="&amp;DATE(2025,6,1),$B$2:$B$8761,"&lt;"&amp;DATE(2025,9,1))</f>
        <v>8.9163043478260887E-2</v>
      </c>
    </row>
    <row r="8" spans="1:43" x14ac:dyDescent="0.3">
      <c r="A8" t="s">
        <v>5</v>
      </c>
      <c r="B8" s="1">
        <v>45658</v>
      </c>
      <c r="C8">
        <v>7</v>
      </c>
      <c r="D8">
        <v>5.8999999999999997E-2</v>
      </c>
      <c r="E8" t="s">
        <v>6</v>
      </c>
      <c r="F8">
        <v>0.17127999999999999</v>
      </c>
      <c r="G8">
        <v>7</v>
      </c>
      <c r="H8">
        <f t="shared" si="0"/>
        <v>0.10455890410958901</v>
      </c>
      <c r="I8">
        <v>8.4000000000000009E-5</v>
      </c>
      <c r="K8">
        <v>7</v>
      </c>
      <c r="L8" s="4">
        <f t="shared" si="1"/>
        <v>0.10083870967741936</v>
      </c>
      <c r="M8" s="4">
        <f t="shared" si="2"/>
        <v>0.11457142857142856</v>
      </c>
      <c r="N8" s="4">
        <f t="shared" si="3"/>
        <v>9.31935483870968E-2</v>
      </c>
      <c r="O8" s="4">
        <f t="shared" si="4"/>
        <v>0.11623333333333333</v>
      </c>
      <c r="P8" s="4">
        <f t="shared" si="5"/>
        <v>0.12606451612903224</v>
      </c>
      <c r="Q8" s="4">
        <f t="shared" si="6"/>
        <v>0.13233333333333336</v>
      </c>
      <c r="R8" s="4">
        <f t="shared" si="7"/>
        <v>7.5064516129032283E-2</v>
      </c>
      <c r="S8" s="4">
        <f t="shared" si="8"/>
        <v>7.2290322580645175E-2</v>
      </c>
      <c r="T8" s="4">
        <f t="shared" si="9"/>
        <v>0.12393333333333331</v>
      </c>
      <c r="U8" s="4">
        <f t="shared" si="10"/>
        <v>0.12232258064516131</v>
      </c>
      <c r="V8" s="4">
        <f t="shared" si="11"/>
        <v>9.7866666666666685E-2</v>
      </c>
      <c r="W8" s="4">
        <f t="shared" si="12"/>
        <v>8.2645161290322594E-2</v>
      </c>
      <c r="AO8">
        <v>7</v>
      </c>
      <c r="AP8" s="4">
        <f>(SUMIFS($D$2:$D$8761,$C$2:$C$8761,7,$B$2:$B$8761,"&gt;="&amp;DATE(2025,1,1),$B$2:$B$8761,"&lt;"&amp;DATE(2025,3,1))+SUMIFS($D$2:$D$8761,$C$2:$C$8761,7,$B$2:$B$8761,"&gt;="&amp;DATE(2025,12,1),$B$2:$B$8761,"&lt;"&amp;DATE(2026,1,1)))/(COUNTIFS($C$2:$C$8761,7,$B$2:$B$8761,"&gt;="&amp;DATE(2025,1,1),$B$2:$B$8761,"&lt;"&amp;DATE(2025,3,1))+COUNTIFS($C$2:$C$8761,7,$B$2:$B$8761,"&gt;="&amp;DATE(2025,12,1),$B$2:$B$8761,"&lt;"&amp;DATE(2026,1,1)))</f>
        <v>9.8844444444444457E-2</v>
      </c>
      <c r="AQ8" s="4">
        <f>AVERAGEIFS($D$2:$D$8761,$C$2:$C$8761,7,$B$2:$B$8761,"&gt;="&amp;DATE(2025,6,1),$B$2:$B$8761,"&lt;"&amp;DATE(2025,9,1))</f>
        <v>9.2804347826086958E-2</v>
      </c>
    </row>
    <row r="9" spans="1:43" x14ac:dyDescent="0.3">
      <c r="A9" t="s">
        <v>5</v>
      </c>
      <c r="B9" s="1">
        <v>45658</v>
      </c>
      <c r="C9">
        <v>8</v>
      </c>
      <c r="D9">
        <v>7.9000000000000001E-2</v>
      </c>
      <c r="E9" t="s">
        <v>6</v>
      </c>
      <c r="F9">
        <v>0.16789999999999999</v>
      </c>
      <c r="G9">
        <v>8</v>
      </c>
      <c r="H9">
        <f t="shared" si="0"/>
        <v>0.11702465753424661</v>
      </c>
      <c r="I9">
        <v>8.2000000000000001E-5</v>
      </c>
      <c r="K9">
        <v>8</v>
      </c>
      <c r="L9" s="4">
        <f t="shared" si="1"/>
        <v>0.11916129032258065</v>
      </c>
      <c r="M9" s="4">
        <f t="shared" si="2"/>
        <v>0.15425</v>
      </c>
      <c r="N9" s="4">
        <f t="shared" si="3"/>
        <v>0.14025806451612902</v>
      </c>
      <c r="O9" s="4">
        <f t="shared" si="4"/>
        <v>0.12086666666666669</v>
      </c>
      <c r="P9" s="4">
        <f t="shared" si="5"/>
        <v>0.14116129032258062</v>
      </c>
      <c r="Q9" s="4">
        <f t="shared" si="6"/>
        <v>0.13573333333333334</v>
      </c>
      <c r="R9" s="4">
        <f t="shared" si="7"/>
        <v>7.1935483870967751E-2</v>
      </c>
      <c r="S9" s="4">
        <f t="shared" si="8"/>
        <v>6.9258064516129036E-2</v>
      </c>
      <c r="T9" s="4">
        <f t="shared" si="9"/>
        <v>0.12203333333333331</v>
      </c>
      <c r="U9" s="4">
        <f t="shared" si="10"/>
        <v>0.13122580645161294</v>
      </c>
      <c r="V9" s="4">
        <f t="shared" si="11"/>
        <v>0.11486666666666667</v>
      </c>
      <c r="W9" s="4">
        <f t="shared" si="12"/>
        <v>8.7967741935483887E-2</v>
      </c>
      <c r="AO9">
        <v>8</v>
      </c>
      <c r="AP9" s="4">
        <f>(SUMIFS($D$2:$D$8761,$C$2:$C$8761,8,$B$2:$B$8761,"&gt;="&amp;DATE(2025,1,1),$B$2:$B$8761,"&lt;"&amp;DATE(2025,3,1))+SUMIFS($D$2:$D$8761,$C$2:$C$8761,8,$B$2:$B$8761,"&gt;="&amp;DATE(2025,12,1),$B$2:$B$8761,"&lt;"&amp;DATE(2026,1,1)))/(COUNTIFS($C$2:$C$8761,8,$B$2:$B$8761,"&gt;="&amp;DATE(2025,1,1),$B$2:$B$8761,"&lt;"&amp;DATE(2025,3,1))+COUNTIFS($C$2:$C$8761,8,$B$2:$B$8761,"&gt;="&amp;DATE(2025,12,1),$B$2:$B$8761,"&lt;"&amp;DATE(2026,1,1)))</f>
        <v>0.11933333333333333</v>
      </c>
      <c r="AQ9" s="4">
        <f>AVERAGEIFS($D$2:$D$8761,$C$2:$C$8761,8,$B$2:$B$8761,"&gt;="&amp;DATE(2025,6,1),$B$2:$B$8761,"&lt;"&amp;DATE(2025,9,1))</f>
        <v>9.1836956521739108E-2</v>
      </c>
    </row>
    <row r="10" spans="1:43" x14ac:dyDescent="0.3">
      <c r="A10" t="s">
        <v>5</v>
      </c>
      <c r="B10" s="1">
        <v>45658</v>
      </c>
      <c r="C10">
        <v>9</v>
      </c>
      <c r="D10">
        <v>5.8999999999999997E-2</v>
      </c>
      <c r="E10" t="s">
        <v>6</v>
      </c>
      <c r="F10">
        <v>0.16597999999999999</v>
      </c>
      <c r="G10">
        <v>9</v>
      </c>
      <c r="H10">
        <f t="shared" si="0"/>
        <v>0.11546027397260282</v>
      </c>
      <c r="I10">
        <v>8.0000000000000007E-5</v>
      </c>
      <c r="K10">
        <v>9</v>
      </c>
      <c r="L10" s="4">
        <f t="shared" si="1"/>
        <v>0.13074193548387095</v>
      </c>
      <c r="M10" s="4">
        <f t="shared" si="2"/>
        <v>0.15857142857142856</v>
      </c>
      <c r="N10" s="4">
        <f t="shared" si="3"/>
        <v>0.12490322580645158</v>
      </c>
      <c r="O10" s="4">
        <f t="shared" si="4"/>
        <v>9.743333333333333E-2</v>
      </c>
      <c r="P10" s="4">
        <f t="shared" si="5"/>
        <v>0.14003225806451614</v>
      </c>
      <c r="Q10" s="4">
        <f t="shared" si="6"/>
        <v>0.1355666666666667</v>
      </c>
      <c r="R10" s="4">
        <f t="shared" si="7"/>
        <v>7.2838709677419358E-2</v>
      </c>
      <c r="S10" s="4">
        <f t="shared" si="8"/>
        <v>6.9258064516129036E-2</v>
      </c>
      <c r="T10" s="4">
        <f t="shared" si="9"/>
        <v>0.11783333333333337</v>
      </c>
      <c r="U10" s="4">
        <f t="shared" si="10"/>
        <v>0.12990322580645158</v>
      </c>
      <c r="V10" s="4">
        <f t="shared" si="11"/>
        <v>0.1188</v>
      </c>
      <c r="W10" s="4">
        <f t="shared" si="12"/>
        <v>9.4064516129032216E-2</v>
      </c>
      <c r="AO10">
        <v>9</v>
      </c>
      <c r="AP10" s="4">
        <f>(SUMIFS($D$2:$D$8761,$C$2:$C$8761,9,$B$2:$B$8761,"&gt;="&amp;DATE(2025,1,1),$B$2:$B$8761,"&lt;"&amp;DATE(2025,3,1))+SUMIFS($D$2:$D$8761,$C$2:$C$8761,9,$B$2:$B$8761,"&gt;="&amp;DATE(2025,12,1),$B$2:$B$8761,"&lt;"&amp;DATE(2026,1,1)))/(COUNTIFS($C$2:$C$8761,9,$B$2:$B$8761,"&gt;="&amp;DATE(2025,1,1),$B$2:$B$8761,"&lt;"&amp;DATE(2025,3,1))+COUNTIFS($C$2:$C$8761,9,$B$2:$B$8761,"&gt;="&amp;DATE(2025,12,1),$B$2:$B$8761,"&lt;"&amp;DATE(2026,1,1)))</f>
        <v>0.12676666666666664</v>
      </c>
      <c r="AQ10" s="4">
        <f>AVERAGEIFS($D$2:$D$8761,$C$2:$C$8761,9,$B$2:$B$8761,"&gt;="&amp;DATE(2025,6,1),$B$2:$B$8761,"&lt;"&amp;DATE(2025,9,1))</f>
        <v>9.2086956521739163E-2</v>
      </c>
    </row>
    <row r="11" spans="1:43" x14ac:dyDescent="0.3">
      <c r="A11" t="s">
        <v>5</v>
      </c>
      <c r="B11" s="1">
        <v>45658</v>
      </c>
      <c r="C11">
        <v>10</v>
      </c>
      <c r="D11">
        <v>6.8000000000000005E-2</v>
      </c>
      <c r="E11" t="s">
        <v>6</v>
      </c>
      <c r="F11">
        <v>0.42314999999999997</v>
      </c>
      <c r="G11">
        <v>10</v>
      </c>
      <c r="H11">
        <f t="shared" si="0"/>
        <v>0.13415890410958894</v>
      </c>
      <c r="I11">
        <v>8.8999999999999995E-5</v>
      </c>
      <c r="K11">
        <v>10</v>
      </c>
      <c r="L11" s="4">
        <f t="shared" si="1"/>
        <v>0.13022580645161291</v>
      </c>
      <c r="M11" s="4">
        <f t="shared" si="2"/>
        <v>0.19035714285714289</v>
      </c>
      <c r="N11" s="4">
        <f t="shared" si="3"/>
        <v>0.1583225806451613</v>
      </c>
      <c r="O11" s="4">
        <f t="shared" si="4"/>
        <v>0.1389</v>
      </c>
      <c r="P11" s="4">
        <f t="shared" si="5"/>
        <v>0.14483870967741935</v>
      </c>
      <c r="Q11" s="4">
        <f t="shared" si="6"/>
        <v>0.19603333333333331</v>
      </c>
      <c r="R11" s="4">
        <f t="shared" si="7"/>
        <v>7.0354838709677431E-2</v>
      </c>
      <c r="S11" s="4">
        <f t="shared" si="8"/>
        <v>7.361290322580645E-2</v>
      </c>
      <c r="T11" s="4">
        <f t="shared" si="9"/>
        <v>0.13186666666666666</v>
      </c>
      <c r="U11" s="4">
        <f t="shared" si="10"/>
        <v>0.14490322580645162</v>
      </c>
      <c r="V11" s="4">
        <f t="shared" si="11"/>
        <v>0.10390000000000001</v>
      </c>
      <c r="W11" s="4">
        <f t="shared" si="12"/>
        <v>0.13312903225806452</v>
      </c>
      <c r="AO11">
        <v>10</v>
      </c>
      <c r="AP11" s="4">
        <f>(SUMIFS($D$2:$D$8761,$C$2:$C$8761,10,$B$2:$B$8761,"&gt;="&amp;DATE(2025,1,1),$B$2:$B$8761,"&lt;"&amp;DATE(2025,3,1))+SUMIFS($D$2:$D$8761,$C$2:$C$8761,10,$B$2:$B$8761,"&gt;="&amp;DATE(2025,12,1),$B$2:$B$8761,"&lt;"&amp;DATE(2026,1,1)))/(COUNTIFS($C$2:$C$8761,10,$B$2:$B$8761,"&gt;="&amp;DATE(2025,1,1),$B$2:$B$8761,"&lt;"&amp;DATE(2025,3,1))+COUNTIFS($C$2:$C$8761,10,$B$2:$B$8761,"&gt;="&amp;DATE(2025,12,1),$B$2:$B$8761,"&lt;"&amp;DATE(2026,1,1)))</f>
        <v>0.14993333333333336</v>
      </c>
      <c r="AQ11" s="4">
        <f>AVERAGEIFS($D$2:$D$8761,$C$2:$C$8761,10,$B$2:$B$8761,"&gt;="&amp;DATE(2025,6,1),$B$2:$B$8761,"&lt;"&amp;DATE(2025,9,1))</f>
        <v>0.11243478260869569</v>
      </c>
    </row>
    <row r="12" spans="1:43" x14ac:dyDescent="0.3">
      <c r="A12" t="s">
        <v>5</v>
      </c>
      <c r="B12" s="1">
        <v>45658</v>
      </c>
      <c r="C12">
        <v>11</v>
      </c>
      <c r="D12">
        <v>7.0000000000000007E-2</v>
      </c>
      <c r="E12" t="s">
        <v>6</v>
      </c>
      <c r="F12">
        <v>7.4950000000000003E-2</v>
      </c>
      <c r="G12">
        <v>11</v>
      </c>
      <c r="H12">
        <f t="shared" si="0"/>
        <v>0.13656164383561648</v>
      </c>
      <c r="I12">
        <v>7.6000000000000004E-5</v>
      </c>
      <c r="K12">
        <v>11</v>
      </c>
      <c r="L12" s="4">
        <f t="shared" si="1"/>
        <v>0.14648387096774196</v>
      </c>
      <c r="M12" s="4">
        <f t="shared" si="2"/>
        <v>0.15589285714285711</v>
      </c>
      <c r="N12" s="4">
        <f t="shared" si="3"/>
        <v>0.15945161290322582</v>
      </c>
      <c r="O12" s="4">
        <f t="shared" si="4"/>
        <v>0.11356666666666665</v>
      </c>
      <c r="P12" s="4">
        <f t="shared" si="5"/>
        <v>0.13329032258064519</v>
      </c>
      <c r="Q12" s="4">
        <f t="shared" si="6"/>
        <v>0.2669333333333333</v>
      </c>
      <c r="R12" s="4">
        <f t="shared" si="7"/>
        <v>6.9645161290322555E-2</v>
      </c>
      <c r="S12" s="4">
        <f t="shared" si="8"/>
        <v>6.9129032258064507E-2</v>
      </c>
      <c r="T12" s="4">
        <f t="shared" si="9"/>
        <v>0.15743333333333329</v>
      </c>
      <c r="U12" s="4">
        <f t="shared" si="10"/>
        <v>0.13461290322580649</v>
      </c>
      <c r="V12" s="4">
        <f t="shared" si="11"/>
        <v>0.12953333333333333</v>
      </c>
      <c r="W12" s="4">
        <f t="shared" si="12"/>
        <v>0.10854838709677418</v>
      </c>
      <c r="AO12">
        <v>11</v>
      </c>
      <c r="AP12" s="4">
        <f>(SUMIFS($D$2:$D$8761,$C$2:$C$8761,11,$B$2:$B$8761,"&gt;="&amp;DATE(2025,1,1),$B$2:$B$8761,"&lt;"&amp;DATE(2025,3,1))+SUMIFS($D$2:$D$8761,$C$2:$C$8761,11,$B$2:$B$8761,"&gt;="&amp;DATE(2025,12,1),$B$2:$B$8761,"&lt;"&amp;DATE(2026,1,1)))/(COUNTIFS($C$2:$C$8761,11,$B$2:$B$8761,"&gt;="&amp;DATE(2025,1,1),$B$2:$B$8761,"&lt;"&amp;DATE(2025,3,1))+COUNTIFS($C$2:$C$8761,11,$B$2:$B$8761,"&gt;="&amp;DATE(2025,12,1),$B$2:$B$8761,"&lt;"&amp;DATE(2026,1,1)))</f>
        <v>0.13634444444444446</v>
      </c>
      <c r="AQ12" s="4">
        <f>AVERAGEIFS($D$2:$D$8761,$C$2:$C$8761,11,$B$2:$B$8761,"&gt;="&amp;DATE(2025,6,1),$B$2:$B$8761,"&lt;"&amp;DATE(2025,9,1))</f>
        <v>0.13380434782608694</v>
      </c>
    </row>
    <row r="13" spans="1:43" x14ac:dyDescent="0.3">
      <c r="A13" t="s">
        <v>5</v>
      </c>
      <c r="B13" s="1">
        <v>45658</v>
      </c>
      <c r="C13">
        <v>12</v>
      </c>
      <c r="D13">
        <v>5.8000000000000003E-2</v>
      </c>
      <c r="E13" t="s">
        <v>6</v>
      </c>
      <c r="F13">
        <v>4.9750000000000003E-2</v>
      </c>
      <c r="G13">
        <v>12</v>
      </c>
      <c r="H13">
        <f t="shared" si="0"/>
        <v>0.13481095890410963</v>
      </c>
      <c r="I13">
        <v>7.8999999999999996E-5</v>
      </c>
      <c r="K13">
        <v>12</v>
      </c>
      <c r="L13" s="4">
        <f t="shared" si="1"/>
        <v>0.11938709677419355</v>
      </c>
      <c r="M13" s="4">
        <f t="shared" si="2"/>
        <v>0.10964285714285718</v>
      </c>
      <c r="N13" s="4">
        <f t="shared" si="3"/>
        <v>9.2612903225806467E-2</v>
      </c>
      <c r="O13" s="4">
        <f t="shared" si="4"/>
        <v>9.3599999999999975E-2</v>
      </c>
      <c r="P13" s="4">
        <f t="shared" si="5"/>
        <v>0.1061290322580645</v>
      </c>
      <c r="Q13" s="4">
        <f t="shared" si="6"/>
        <v>0.3168999999999999</v>
      </c>
      <c r="R13" s="4">
        <f t="shared" si="7"/>
        <v>7.17741935483871E-2</v>
      </c>
      <c r="S13" s="4">
        <f t="shared" si="8"/>
        <v>6.7612903225806459E-2</v>
      </c>
      <c r="T13" s="4">
        <f t="shared" si="9"/>
        <v>0.18146666666666664</v>
      </c>
      <c r="U13" s="4">
        <f t="shared" si="10"/>
        <v>0.14580645161290323</v>
      </c>
      <c r="V13" s="4">
        <f t="shared" si="11"/>
        <v>0.18863333333333332</v>
      </c>
      <c r="W13" s="4">
        <f t="shared" si="12"/>
        <v>0.12951612903225806</v>
      </c>
      <c r="AO13">
        <v>12</v>
      </c>
      <c r="AP13" s="4">
        <f>(SUMIFS($D$2:$D$8761,$C$2:$C$8761,12,$B$2:$B$8761,"&gt;="&amp;DATE(2025,1,1),$B$2:$B$8761,"&lt;"&amp;DATE(2025,3,1))+SUMIFS($D$2:$D$8761,$C$2:$C$8761,12,$B$2:$B$8761,"&gt;="&amp;DATE(2025,12,1),$B$2:$B$8761,"&lt;"&amp;DATE(2026,1,1)))/(COUNTIFS($C$2:$C$8761,12,$B$2:$B$8761,"&gt;="&amp;DATE(2025,1,1),$B$2:$B$8761,"&lt;"&amp;DATE(2025,3,1))+COUNTIFS($C$2:$C$8761,12,$B$2:$B$8761,"&gt;="&amp;DATE(2025,12,1),$B$2:$B$8761,"&lt;"&amp;DATE(2026,1,1)))</f>
        <v>0.11984444444444442</v>
      </c>
      <c r="AQ13" s="4">
        <f>AVERAGEIFS($D$2:$D$8761,$C$2:$C$8761,12,$B$2:$B$8761,"&gt;="&amp;DATE(2025,6,1),$B$2:$B$8761,"&lt;"&amp;DATE(2025,9,1))</f>
        <v>0.1503043478260869</v>
      </c>
    </row>
    <row r="14" spans="1:43" x14ac:dyDescent="0.3">
      <c r="A14" t="s">
        <v>5</v>
      </c>
      <c r="B14" s="1">
        <v>45658</v>
      </c>
      <c r="C14">
        <v>13</v>
      </c>
      <c r="D14">
        <v>7.5999999999999998E-2</v>
      </c>
      <c r="E14" t="s">
        <v>6</v>
      </c>
      <c r="F14">
        <v>4.5810000000000003E-2</v>
      </c>
      <c r="G14">
        <v>13</v>
      </c>
      <c r="H14">
        <f t="shared" si="0"/>
        <v>0.15357808219178073</v>
      </c>
      <c r="I14">
        <v>1.03E-4</v>
      </c>
      <c r="K14">
        <v>13</v>
      </c>
      <c r="L14" s="4">
        <f t="shared" si="1"/>
        <v>0.12325806451612907</v>
      </c>
      <c r="M14" s="4">
        <f t="shared" si="2"/>
        <v>0.12449999999999996</v>
      </c>
      <c r="N14" s="4">
        <f t="shared" si="3"/>
        <v>0.1027741935483871</v>
      </c>
      <c r="O14" s="4">
        <f t="shared" si="4"/>
        <v>0.10113333333333333</v>
      </c>
      <c r="P14" s="4">
        <f t="shared" si="5"/>
        <v>0.12435483870967744</v>
      </c>
      <c r="Q14" s="4">
        <f t="shared" si="6"/>
        <v>0.25540000000000002</v>
      </c>
      <c r="R14" s="4">
        <f t="shared" si="7"/>
        <v>6.6580645161290336E-2</v>
      </c>
      <c r="S14" s="4">
        <f t="shared" si="8"/>
        <v>7.4935483870967753E-2</v>
      </c>
      <c r="T14" s="4">
        <f t="shared" si="9"/>
        <v>0.23856666666666668</v>
      </c>
      <c r="U14" s="4">
        <f t="shared" si="10"/>
        <v>0.23080645161290322</v>
      </c>
      <c r="V14" s="4">
        <f t="shared" si="11"/>
        <v>0.27736666666666671</v>
      </c>
      <c r="W14" s="4">
        <f t="shared" si="12"/>
        <v>0.12877419354838709</v>
      </c>
      <c r="AO14">
        <v>13</v>
      </c>
      <c r="AP14" s="4">
        <f>(SUMIFS($D$2:$D$8761,$C$2:$C$8761,13,$B$2:$B$8761,"&gt;="&amp;DATE(2025,1,1),$B$2:$B$8761,"&lt;"&amp;DATE(2025,3,1))+SUMIFS($D$2:$D$8761,$C$2:$C$8761,13,$B$2:$B$8761,"&gt;="&amp;DATE(2025,12,1),$B$2:$B$8761,"&lt;"&amp;DATE(2026,1,1)))/(COUNTIFS($C$2:$C$8761,13,$B$2:$B$8761,"&gt;="&amp;DATE(2025,1,1),$B$2:$B$8761,"&lt;"&amp;DATE(2025,3,1))+COUNTIFS($C$2:$C$8761,13,$B$2:$B$8761,"&gt;="&amp;DATE(2025,12,1),$B$2:$B$8761,"&lt;"&amp;DATE(2026,1,1)))</f>
        <v>0.12554444444444446</v>
      </c>
      <c r="AQ14" s="4">
        <f>AVERAGEIFS($D$2:$D$8761,$C$2:$C$8761,13,$B$2:$B$8761,"&gt;="&amp;DATE(2025,6,1),$B$2:$B$8761,"&lt;"&amp;DATE(2025,9,1))</f>
        <v>0.13096739130434784</v>
      </c>
    </row>
    <row r="15" spans="1:43" x14ac:dyDescent="0.3">
      <c r="A15" t="s">
        <v>5</v>
      </c>
      <c r="B15" s="1">
        <v>45658</v>
      </c>
      <c r="C15">
        <v>14</v>
      </c>
      <c r="D15">
        <v>6.2E-2</v>
      </c>
      <c r="E15" t="s">
        <v>6</v>
      </c>
      <c r="F15">
        <v>5.1569999999999998E-2</v>
      </c>
      <c r="G15">
        <v>14</v>
      </c>
      <c r="H15">
        <f t="shared" si="0"/>
        <v>0.17211780821917796</v>
      </c>
      <c r="I15">
        <v>1.46E-4</v>
      </c>
      <c r="K15">
        <v>14</v>
      </c>
      <c r="L15" s="4">
        <f t="shared" si="1"/>
        <v>0.18406451612903219</v>
      </c>
      <c r="M15" s="4">
        <f t="shared" si="2"/>
        <v>0.18096428571428572</v>
      </c>
      <c r="N15" s="4">
        <f t="shared" si="3"/>
        <v>0.11025806451612902</v>
      </c>
      <c r="O15" s="4">
        <f t="shared" si="4"/>
        <v>0.13</v>
      </c>
      <c r="P15" s="4">
        <f t="shared" si="5"/>
        <v>0.14941935483870969</v>
      </c>
      <c r="Q15" s="4">
        <f t="shared" si="6"/>
        <v>0.24926666666666666</v>
      </c>
      <c r="R15" s="4">
        <f t="shared" si="7"/>
        <v>7.164516129032257E-2</v>
      </c>
      <c r="S15" s="4">
        <f t="shared" si="8"/>
        <v>6.8741935483870975E-2</v>
      </c>
      <c r="T15" s="4">
        <f t="shared" si="9"/>
        <v>0.23903333333333338</v>
      </c>
      <c r="U15" s="4">
        <f t="shared" si="10"/>
        <v>0.28493548387096773</v>
      </c>
      <c r="V15" s="4">
        <f t="shared" si="11"/>
        <v>0.21963333333333337</v>
      </c>
      <c r="W15" s="4">
        <f t="shared" si="12"/>
        <v>0.18312903225806451</v>
      </c>
      <c r="AO15">
        <v>14</v>
      </c>
      <c r="AP15" s="4">
        <f>(SUMIFS($D$2:$D$8761,$C$2:$C$8761,14,$B$2:$B$8761,"&gt;="&amp;DATE(2025,1,1),$B$2:$B$8761,"&lt;"&amp;DATE(2025,3,1))+SUMIFS($D$2:$D$8761,$C$2:$C$8761,14,$B$2:$B$8761,"&gt;="&amp;DATE(2025,12,1),$B$2:$B$8761,"&lt;"&amp;DATE(2026,1,1)))/(COUNTIFS($C$2:$C$8761,14,$B$2:$B$8761,"&gt;="&amp;DATE(2025,1,1),$B$2:$B$8761,"&lt;"&amp;DATE(2025,3,1))+COUNTIFS($C$2:$C$8761,14,$B$2:$B$8761,"&gt;="&amp;DATE(2025,12,1),$B$2:$B$8761,"&lt;"&amp;DATE(2026,1,1)))</f>
        <v>0.18277777777777782</v>
      </c>
      <c r="AQ15" s="4">
        <f>AVERAGEIFS($D$2:$D$8761,$C$2:$C$8761,14,$B$2:$B$8761,"&gt;="&amp;DATE(2025,6,1),$B$2:$B$8761,"&lt;"&amp;DATE(2025,9,1))</f>
        <v>0.1285869565217391</v>
      </c>
    </row>
    <row r="16" spans="1:43" x14ac:dyDescent="0.3">
      <c r="A16" t="s">
        <v>5</v>
      </c>
      <c r="B16" s="1">
        <v>45658</v>
      </c>
      <c r="C16">
        <v>15</v>
      </c>
      <c r="D16">
        <v>5.8999999999999997E-2</v>
      </c>
      <c r="E16" t="s">
        <v>6</v>
      </c>
      <c r="F16">
        <v>4.1729999999999996E-2</v>
      </c>
      <c r="G16">
        <v>15</v>
      </c>
      <c r="H16">
        <f t="shared" si="0"/>
        <v>0.18228219178082183</v>
      </c>
      <c r="I16">
        <v>1.36E-4</v>
      </c>
      <c r="K16">
        <v>15</v>
      </c>
      <c r="L16" s="4">
        <f t="shared" si="1"/>
        <v>0.19241935483870964</v>
      </c>
      <c r="M16" s="4">
        <f t="shared" si="2"/>
        <v>0.23117857142857143</v>
      </c>
      <c r="N16" s="4">
        <f t="shared" si="3"/>
        <v>0.15167741935483875</v>
      </c>
      <c r="O16" s="4">
        <f t="shared" si="4"/>
        <v>0.13399999999999998</v>
      </c>
      <c r="P16" s="4">
        <f t="shared" si="5"/>
        <v>0.1583225806451613</v>
      </c>
      <c r="Q16" s="4">
        <f t="shared" si="6"/>
        <v>0.22080000000000002</v>
      </c>
      <c r="R16" s="4">
        <f t="shared" si="7"/>
        <v>7.2258064516129039E-2</v>
      </c>
      <c r="S16" s="4">
        <f t="shared" si="8"/>
        <v>6.8258064516129036E-2</v>
      </c>
      <c r="T16" s="4">
        <f t="shared" si="9"/>
        <v>0.38296666666666668</v>
      </c>
      <c r="U16" s="4">
        <f t="shared" si="10"/>
        <v>0.26390322580645159</v>
      </c>
      <c r="V16" s="4">
        <f t="shared" si="11"/>
        <v>0.20593333333333338</v>
      </c>
      <c r="W16" s="4">
        <f t="shared" si="12"/>
        <v>0.11732258064516134</v>
      </c>
      <c r="AO16">
        <v>15</v>
      </c>
      <c r="AP16" s="4">
        <f>(SUMIFS($D$2:$D$8761,$C$2:$C$8761,15,$B$2:$B$8761,"&gt;="&amp;DATE(2025,1,1),$B$2:$B$8761,"&lt;"&amp;DATE(2025,3,1))+SUMIFS($D$2:$D$8761,$C$2:$C$8761,15,$B$2:$B$8761,"&gt;="&amp;DATE(2025,12,1),$B$2:$B$8761,"&lt;"&amp;DATE(2026,1,1)))/(COUNTIFS($C$2:$C$8761,15,$B$2:$B$8761,"&gt;="&amp;DATE(2025,1,1),$B$2:$B$8761,"&lt;"&amp;DATE(2025,3,1))+COUNTIFS($C$2:$C$8761,15,$B$2:$B$8761,"&gt;="&amp;DATE(2025,12,1),$B$2:$B$8761,"&lt;"&amp;DATE(2026,1,1)))</f>
        <v>0.17861111111111114</v>
      </c>
      <c r="AQ16" s="4">
        <f>AVERAGEIFS($D$2:$D$8761,$C$2:$C$8761,15,$B$2:$B$8761,"&gt;="&amp;DATE(2025,6,1),$B$2:$B$8761,"&lt;"&amp;DATE(2025,9,1))</f>
        <v>0.1193478260869565</v>
      </c>
    </row>
    <row r="17" spans="1:43" x14ac:dyDescent="0.3">
      <c r="A17" t="s">
        <v>5</v>
      </c>
      <c r="B17" s="1">
        <v>45658</v>
      </c>
      <c r="C17">
        <v>16</v>
      </c>
      <c r="D17">
        <v>7.9000000000000001E-2</v>
      </c>
      <c r="E17" t="s">
        <v>6</v>
      </c>
      <c r="F17">
        <v>2.912E-2</v>
      </c>
      <c r="G17">
        <v>16</v>
      </c>
      <c r="H17">
        <f t="shared" si="0"/>
        <v>0.19150136986301378</v>
      </c>
      <c r="I17">
        <v>1.27E-4</v>
      </c>
      <c r="K17">
        <v>16</v>
      </c>
      <c r="L17" s="4">
        <f t="shared" si="1"/>
        <v>0.22938709677419364</v>
      </c>
      <c r="M17" s="4">
        <f t="shared" si="2"/>
        <v>0.1837857142857143</v>
      </c>
      <c r="N17" s="4">
        <f t="shared" si="3"/>
        <v>0.22393548387096768</v>
      </c>
      <c r="O17" s="4">
        <f t="shared" si="4"/>
        <v>0.12393333333333335</v>
      </c>
      <c r="P17" s="4">
        <f t="shared" si="5"/>
        <v>0.25380645161290322</v>
      </c>
      <c r="Q17" s="4">
        <f t="shared" si="6"/>
        <v>0.24190000000000003</v>
      </c>
      <c r="R17" s="4">
        <f t="shared" si="7"/>
        <v>6.7258064516129035E-2</v>
      </c>
      <c r="S17" s="4">
        <f t="shared" si="8"/>
        <v>7.4548387096774194E-2</v>
      </c>
      <c r="T17" s="4">
        <f t="shared" si="9"/>
        <v>0.4297333333333333</v>
      </c>
      <c r="U17" s="4">
        <f t="shared" si="10"/>
        <v>0.20803225806451611</v>
      </c>
      <c r="V17" s="4">
        <f t="shared" si="11"/>
        <v>0.16653333333333334</v>
      </c>
      <c r="W17" s="4">
        <f t="shared" si="12"/>
        <v>0.10074193548387098</v>
      </c>
      <c r="AO17">
        <v>16</v>
      </c>
      <c r="AP17" s="4">
        <f>(SUMIFS($D$2:$D$8761,$C$2:$C$8761,16,$B$2:$B$8761,"&gt;="&amp;DATE(2025,1,1),$B$2:$B$8761,"&lt;"&amp;DATE(2025,3,1))+SUMIFS($D$2:$D$8761,$C$2:$C$8761,16,$B$2:$B$8761,"&gt;="&amp;DATE(2025,12,1),$B$2:$B$8761,"&lt;"&amp;DATE(2026,1,1)))/(COUNTIFS($C$2:$C$8761,16,$B$2:$B$8761,"&gt;="&amp;DATE(2025,1,1),$B$2:$B$8761,"&lt;"&amp;DATE(2025,3,1))+COUNTIFS($C$2:$C$8761,16,$B$2:$B$8761,"&gt;="&amp;DATE(2025,12,1),$B$2:$B$8761,"&lt;"&amp;DATE(2026,1,1)))</f>
        <v>0.17088888888888892</v>
      </c>
      <c r="AQ17" s="4">
        <f>AVERAGEIFS($D$2:$D$8761,$C$2:$C$8761,16,$B$2:$B$8761,"&gt;="&amp;DATE(2025,6,1),$B$2:$B$8761,"&lt;"&amp;DATE(2025,9,1))</f>
        <v>0.12666304347826088</v>
      </c>
    </row>
    <row r="18" spans="1:43" x14ac:dyDescent="0.3">
      <c r="A18" t="s">
        <v>5</v>
      </c>
      <c r="B18" s="1">
        <v>45658</v>
      </c>
      <c r="C18">
        <v>17</v>
      </c>
      <c r="D18">
        <v>5.8999999999999997E-2</v>
      </c>
      <c r="E18" t="s">
        <v>6</v>
      </c>
      <c r="F18">
        <v>0.14906</v>
      </c>
      <c r="G18">
        <v>17</v>
      </c>
      <c r="H18">
        <f t="shared" si="0"/>
        <v>0.18491232876712316</v>
      </c>
      <c r="I18">
        <v>1.4099999999999998E-4</v>
      </c>
      <c r="K18">
        <v>17</v>
      </c>
      <c r="L18" s="4">
        <f t="shared" si="1"/>
        <v>0.12925806451612909</v>
      </c>
      <c r="M18" s="4">
        <f t="shared" si="2"/>
        <v>0.21278571428571436</v>
      </c>
      <c r="N18" s="4">
        <f t="shared" si="3"/>
        <v>0.23109677419354843</v>
      </c>
      <c r="O18" s="4">
        <f t="shared" si="4"/>
        <v>0.13593333333333335</v>
      </c>
      <c r="P18" s="4">
        <f t="shared" si="5"/>
        <v>0.21041935483870972</v>
      </c>
      <c r="Q18" s="4">
        <f t="shared" si="6"/>
        <v>0.30649999999999999</v>
      </c>
      <c r="R18" s="4">
        <f t="shared" si="7"/>
        <v>0.11899999999999998</v>
      </c>
      <c r="S18" s="4">
        <f t="shared" si="8"/>
        <v>6.9225806451612915E-2</v>
      </c>
      <c r="T18" s="4">
        <f t="shared" si="9"/>
        <v>0.31646666666666662</v>
      </c>
      <c r="U18" s="4">
        <f t="shared" si="10"/>
        <v>0.15861290322580654</v>
      </c>
      <c r="V18" s="4">
        <f t="shared" si="11"/>
        <v>0.20319999999999999</v>
      </c>
      <c r="W18" s="4">
        <f t="shared" si="12"/>
        <v>0.13632258064516131</v>
      </c>
      <c r="AO18">
        <v>17</v>
      </c>
      <c r="AP18" s="4">
        <f>(SUMIFS($D$2:$D$8761,$C$2:$C$8761,17,$B$2:$B$8761,"&gt;="&amp;DATE(2025,1,1),$B$2:$B$8761,"&lt;"&amp;DATE(2025,3,1))+SUMIFS($D$2:$D$8761,$C$2:$C$8761,17,$B$2:$B$8761,"&gt;="&amp;DATE(2025,12,1),$B$2:$B$8761,"&lt;"&amp;DATE(2026,1,1)))/(COUNTIFS($C$2:$C$8761,17,$B$2:$B$8761,"&gt;="&amp;DATE(2025,1,1),$B$2:$B$8761,"&lt;"&amp;DATE(2025,3,1))+COUNTIFS($C$2:$C$8761,17,$B$2:$B$8761,"&gt;="&amp;DATE(2025,12,1),$B$2:$B$8761,"&lt;"&amp;DATE(2026,1,1)))</f>
        <v>0.15767777777777778</v>
      </c>
      <c r="AQ18" s="4">
        <f>AVERAGEIFS($D$2:$D$8761,$C$2:$C$8761,17,$B$2:$B$8761,"&gt;="&amp;DATE(2025,6,1),$B$2:$B$8761,"&lt;"&amp;DATE(2025,9,1))</f>
        <v>0.16336956521739127</v>
      </c>
    </row>
    <row r="19" spans="1:43" x14ac:dyDescent="0.3">
      <c r="A19" t="s">
        <v>5</v>
      </c>
      <c r="B19" s="1">
        <v>45658</v>
      </c>
      <c r="C19">
        <v>18</v>
      </c>
      <c r="D19">
        <v>6.9000000000000006E-2</v>
      </c>
      <c r="E19" t="s">
        <v>6</v>
      </c>
      <c r="F19">
        <v>0.27285999999999999</v>
      </c>
      <c r="G19">
        <v>18</v>
      </c>
      <c r="H19">
        <f t="shared" si="0"/>
        <v>0.16538082191780837</v>
      </c>
      <c r="I19">
        <v>1.3900000000000002E-4</v>
      </c>
      <c r="K19">
        <v>18</v>
      </c>
      <c r="L19" s="4">
        <f t="shared" si="1"/>
        <v>0.13077419354838707</v>
      </c>
      <c r="M19" s="4">
        <f t="shared" si="2"/>
        <v>0.1652142857142857</v>
      </c>
      <c r="N19" s="4">
        <f t="shared" si="3"/>
        <v>0.20416129032258062</v>
      </c>
      <c r="O19" s="4">
        <f t="shared" si="4"/>
        <v>0.17846666666666666</v>
      </c>
      <c r="P19" s="4">
        <f t="shared" si="5"/>
        <v>0.23267741935483868</v>
      </c>
      <c r="Q19" s="4">
        <f t="shared" si="6"/>
        <v>0.3048333333333334</v>
      </c>
      <c r="R19" s="4">
        <f t="shared" si="7"/>
        <v>7.651612903225806E-2</v>
      </c>
      <c r="S19" s="4">
        <f t="shared" si="8"/>
        <v>7.1000000000000008E-2</v>
      </c>
      <c r="T19" s="4">
        <f t="shared" si="9"/>
        <v>0.20616666666666669</v>
      </c>
      <c r="U19" s="4">
        <f t="shared" si="10"/>
        <v>0.1414516129032258</v>
      </c>
      <c r="V19" s="4">
        <f t="shared" si="11"/>
        <v>0.1525</v>
      </c>
      <c r="W19" s="4">
        <f t="shared" si="12"/>
        <v>0.12661290322580646</v>
      </c>
      <c r="AO19">
        <v>18</v>
      </c>
      <c r="AP19" s="4">
        <f>(SUMIFS($D$2:$D$8761,$C$2:$C$8761,18,$B$2:$B$8761,"&gt;="&amp;DATE(2025,1,1),$B$2:$B$8761,"&lt;"&amp;DATE(2025,3,1))+SUMIFS($D$2:$D$8761,$C$2:$C$8761,18,$B$2:$B$8761,"&gt;="&amp;DATE(2025,12,1),$B$2:$B$8761,"&lt;"&amp;DATE(2026,1,1)))/(COUNTIFS($C$2:$C$8761,18,$B$2:$B$8761,"&gt;="&amp;DATE(2025,1,1),$B$2:$B$8761,"&lt;"&amp;DATE(2025,3,1))+COUNTIFS($C$2:$C$8761,18,$B$2:$B$8761,"&gt;="&amp;DATE(2025,12,1),$B$2:$B$8761,"&lt;"&amp;DATE(2026,1,1)))</f>
        <v>0.14005555555555557</v>
      </c>
      <c r="AQ19" s="4">
        <f>AVERAGEIFS($D$2:$D$8761,$C$2:$C$8761,18,$B$2:$B$8761,"&gt;="&amp;DATE(2025,6,1),$B$2:$B$8761,"&lt;"&amp;DATE(2025,9,1))</f>
        <v>0.14910869565217399</v>
      </c>
    </row>
    <row r="20" spans="1:43" x14ac:dyDescent="0.3">
      <c r="A20" t="s">
        <v>5</v>
      </c>
      <c r="B20" s="1">
        <v>45658</v>
      </c>
      <c r="C20">
        <v>19</v>
      </c>
      <c r="D20">
        <v>7.0000000000000007E-2</v>
      </c>
      <c r="E20" t="s">
        <v>6</v>
      </c>
      <c r="F20">
        <v>0.19118000000000002</v>
      </c>
      <c r="G20">
        <v>19</v>
      </c>
      <c r="H20">
        <f t="shared" si="0"/>
        <v>0.17264109589041102</v>
      </c>
      <c r="I20">
        <v>1.25E-4</v>
      </c>
      <c r="K20">
        <v>19</v>
      </c>
      <c r="L20" s="4">
        <f t="shared" si="1"/>
        <v>0.16196774193548383</v>
      </c>
      <c r="M20" s="4">
        <f t="shared" si="2"/>
        <v>0.20210714285714285</v>
      </c>
      <c r="N20" s="4">
        <f t="shared" si="3"/>
        <v>0.21000000000000008</v>
      </c>
      <c r="O20" s="4">
        <f t="shared" si="4"/>
        <v>0.1479</v>
      </c>
      <c r="P20" s="4">
        <f t="shared" si="5"/>
        <v>0.23280645161290325</v>
      </c>
      <c r="Q20" s="4">
        <f t="shared" si="6"/>
        <v>0.31519999999999998</v>
      </c>
      <c r="R20" s="4">
        <f t="shared" si="7"/>
        <v>9.9322580645161293E-2</v>
      </c>
      <c r="S20" s="4">
        <f t="shared" si="8"/>
        <v>7.2774193548387101E-2</v>
      </c>
      <c r="T20" s="4">
        <f t="shared" si="9"/>
        <v>0.1570333333333333</v>
      </c>
      <c r="U20" s="4">
        <f t="shared" si="10"/>
        <v>0.14035483870967738</v>
      </c>
      <c r="V20" s="4">
        <f t="shared" si="11"/>
        <v>0.16383333333333333</v>
      </c>
      <c r="W20" s="4">
        <f t="shared" si="12"/>
        <v>0.17425806451612907</v>
      </c>
      <c r="AO20">
        <v>19</v>
      </c>
      <c r="AP20" s="4">
        <f>(SUMIFS($D$2:$D$8761,$C$2:$C$8761,19,$B$2:$B$8761,"&gt;="&amp;DATE(2025,1,1),$B$2:$B$8761,"&lt;"&amp;DATE(2025,3,1))+SUMIFS($D$2:$D$8761,$C$2:$C$8761,19,$B$2:$B$8761,"&gt;="&amp;DATE(2025,12,1),$B$2:$B$8761,"&lt;"&amp;DATE(2026,1,1)))/(COUNTIFS($C$2:$C$8761,19,$B$2:$B$8761,"&gt;="&amp;DATE(2025,1,1),$B$2:$B$8761,"&lt;"&amp;DATE(2025,3,1))+COUNTIFS($C$2:$C$8761,19,$B$2:$B$8761,"&gt;="&amp;DATE(2025,12,1),$B$2:$B$8761,"&lt;"&amp;DATE(2026,1,1)))</f>
        <v>0.17868888888888881</v>
      </c>
      <c r="AQ20" s="4">
        <f>AVERAGEIFS($D$2:$D$8761,$C$2:$C$8761,19,$B$2:$B$8761,"&gt;="&amp;DATE(2025,6,1),$B$2:$B$8761,"&lt;"&amp;DATE(2025,9,1))</f>
        <v>0.16077173913043477</v>
      </c>
    </row>
    <row r="21" spans="1:43" x14ac:dyDescent="0.3">
      <c r="A21" t="s">
        <v>5</v>
      </c>
      <c r="B21" s="1">
        <v>45658</v>
      </c>
      <c r="C21">
        <v>20</v>
      </c>
      <c r="D21">
        <v>5.8999999999999997E-2</v>
      </c>
      <c r="E21" t="s">
        <v>6</v>
      </c>
      <c r="F21">
        <v>0.19156999999999999</v>
      </c>
      <c r="G21">
        <v>20</v>
      </c>
      <c r="H21">
        <f t="shared" si="0"/>
        <v>0.18512602739726028</v>
      </c>
      <c r="I21">
        <v>1.7999999999999998E-4</v>
      </c>
      <c r="K21">
        <v>20</v>
      </c>
      <c r="L21" s="4">
        <f t="shared" si="1"/>
        <v>0.20893548387096772</v>
      </c>
      <c r="M21" s="4">
        <f t="shared" si="2"/>
        <v>0.2589642857142857</v>
      </c>
      <c r="N21" s="4">
        <f t="shared" si="3"/>
        <v>0.20551612903225805</v>
      </c>
      <c r="O21" s="4">
        <f t="shared" si="4"/>
        <v>0.17093333333333333</v>
      </c>
      <c r="P21" s="4">
        <f t="shared" si="5"/>
        <v>0.20832258064516129</v>
      </c>
      <c r="Q21" s="4">
        <f t="shared" si="6"/>
        <v>0.41396666666666676</v>
      </c>
      <c r="R21" s="4">
        <f t="shared" si="7"/>
        <v>0.12906451612903222</v>
      </c>
      <c r="S21" s="4">
        <f t="shared" si="8"/>
        <v>6.7354838709677414E-2</v>
      </c>
      <c r="T21" s="4">
        <f t="shared" si="9"/>
        <v>0.13443333333333332</v>
      </c>
      <c r="U21" s="4">
        <f t="shared" si="10"/>
        <v>0.16403225806451613</v>
      </c>
      <c r="V21" s="4">
        <f t="shared" si="11"/>
        <v>0.15053333333333327</v>
      </c>
      <c r="W21" s="4">
        <f t="shared" si="12"/>
        <v>0.12077419354838712</v>
      </c>
      <c r="AO21">
        <v>20</v>
      </c>
      <c r="AP21" s="4">
        <f>(SUMIFS($D$2:$D$8761,$C$2:$C$8761,20,$B$2:$B$8761,"&gt;="&amp;DATE(2025,1,1),$B$2:$B$8761,"&lt;"&amp;DATE(2025,3,1))+SUMIFS($D$2:$D$8761,$C$2:$C$8761,20,$B$2:$B$8761,"&gt;="&amp;DATE(2025,12,1),$B$2:$B$8761,"&lt;"&amp;DATE(2026,1,1)))/(COUNTIFS($C$2:$C$8761,20,$B$2:$B$8761,"&gt;="&amp;DATE(2025,1,1),$B$2:$B$8761,"&lt;"&amp;DATE(2025,3,1))+COUNTIFS($C$2:$C$8761,20,$B$2:$B$8761,"&gt;="&amp;DATE(2025,12,1),$B$2:$B$8761,"&lt;"&amp;DATE(2026,1,1)))</f>
        <v>0.1941333333333333</v>
      </c>
      <c r="AQ21" s="4">
        <f>AVERAGEIFS($D$2:$D$8761,$C$2:$C$8761,20,$B$2:$B$8761,"&gt;="&amp;DATE(2025,6,1),$B$2:$B$8761,"&lt;"&amp;DATE(2025,9,1))</f>
        <v>0.20117391304347829</v>
      </c>
    </row>
    <row r="22" spans="1:43" x14ac:dyDescent="0.3">
      <c r="A22" t="s">
        <v>5</v>
      </c>
      <c r="B22" s="1">
        <v>45658</v>
      </c>
      <c r="C22">
        <v>21</v>
      </c>
      <c r="D22">
        <v>7.5999999999999998E-2</v>
      </c>
      <c r="E22" t="s">
        <v>6</v>
      </c>
      <c r="F22">
        <v>0.19405</v>
      </c>
      <c r="G22">
        <v>21</v>
      </c>
      <c r="H22">
        <f t="shared" si="0"/>
        <v>0.26338904109589056</v>
      </c>
      <c r="I22">
        <v>1.4999999999999999E-4</v>
      </c>
      <c r="K22">
        <v>21</v>
      </c>
      <c r="L22" s="4">
        <f t="shared" si="1"/>
        <v>0.21580645161290321</v>
      </c>
      <c r="M22" s="4">
        <f t="shared" si="2"/>
        <v>0.35178571428571426</v>
      </c>
      <c r="N22" s="4">
        <f t="shared" si="3"/>
        <v>0.25625806451612904</v>
      </c>
      <c r="O22" s="4">
        <f t="shared" si="4"/>
        <v>0.25176666666666664</v>
      </c>
      <c r="P22" s="4">
        <f t="shared" si="5"/>
        <v>0.35783870967741949</v>
      </c>
      <c r="Q22" s="4">
        <f t="shared" si="6"/>
        <v>0.47026666666666678</v>
      </c>
      <c r="R22" s="4">
        <f t="shared" si="7"/>
        <v>0.13251612903225804</v>
      </c>
      <c r="S22" s="4">
        <f t="shared" si="8"/>
        <v>7.3935483870967753E-2</v>
      </c>
      <c r="T22" s="4">
        <f t="shared" si="9"/>
        <v>0.31749999999999995</v>
      </c>
      <c r="U22" s="4">
        <f t="shared" si="10"/>
        <v>0.35145161290322574</v>
      </c>
      <c r="V22" s="4">
        <f t="shared" si="11"/>
        <v>0.18629999999999997</v>
      </c>
      <c r="W22" s="4">
        <f t="shared" si="12"/>
        <v>0.20935483870967742</v>
      </c>
      <c r="AO22">
        <v>21</v>
      </c>
      <c r="AP22" s="4">
        <f>(SUMIFS($D$2:$D$8761,$C$2:$C$8761,21,$B$2:$B$8761,"&gt;="&amp;DATE(2025,1,1),$B$2:$B$8761,"&lt;"&amp;DATE(2025,3,1))+SUMIFS($D$2:$D$8761,$C$2:$C$8761,21,$B$2:$B$8761,"&gt;="&amp;DATE(2025,12,1),$B$2:$B$8761,"&lt;"&amp;DATE(2026,1,1)))/(COUNTIFS($C$2:$C$8761,21,$B$2:$B$8761,"&gt;="&amp;DATE(2025,1,1),$B$2:$B$8761,"&lt;"&amp;DATE(2025,3,1))+COUNTIFS($C$2:$C$8761,21,$B$2:$B$8761,"&gt;="&amp;DATE(2025,12,1),$B$2:$B$8761,"&lt;"&amp;DATE(2026,1,1)))</f>
        <v>0.25588888888888883</v>
      </c>
      <c r="AQ22" s="4">
        <f>AVERAGEIFS($D$2:$D$8761,$C$2:$C$8761,21,$B$2:$B$8761,"&gt;="&amp;DATE(2025,6,1),$B$2:$B$8761,"&lt;"&amp;DATE(2025,9,1))</f>
        <v>0.22291304347826094</v>
      </c>
    </row>
    <row r="23" spans="1:43" x14ac:dyDescent="0.3">
      <c r="A23" t="s">
        <v>5</v>
      </c>
      <c r="B23" s="1">
        <v>45658</v>
      </c>
      <c r="C23">
        <v>22</v>
      </c>
      <c r="D23">
        <v>6.3E-2</v>
      </c>
      <c r="E23" t="s">
        <v>6</v>
      </c>
      <c r="F23">
        <v>0.19587000000000002</v>
      </c>
      <c r="G23">
        <v>22</v>
      </c>
      <c r="H23">
        <f t="shared" si="0"/>
        <v>0.32565479452054774</v>
      </c>
      <c r="I23">
        <v>1.1700000000000001E-4</v>
      </c>
      <c r="K23">
        <v>22</v>
      </c>
      <c r="L23" s="4">
        <f t="shared" si="1"/>
        <v>0.2311290322580645</v>
      </c>
      <c r="M23" s="4">
        <f t="shared" si="2"/>
        <v>0.3585714285714286</v>
      </c>
      <c r="N23" s="4">
        <f t="shared" si="3"/>
        <v>0.4208064516129032</v>
      </c>
      <c r="O23" s="4">
        <f t="shared" si="4"/>
        <v>0.30919999999999997</v>
      </c>
      <c r="P23" s="4">
        <f t="shared" si="5"/>
        <v>0.42035483870967738</v>
      </c>
      <c r="Q23" s="4">
        <f t="shared" si="6"/>
        <v>0.46713333333333346</v>
      </c>
      <c r="R23" s="4">
        <f t="shared" si="7"/>
        <v>0.11545161290322579</v>
      </c>
      <c r="S23" s="4">
        <f t="shared" si="8"/>
        <v>8.9935483870967739E-2</v>
      </c>
      <c r="T23" s="4">
        <f t="shared" si="9"/>
        <v>0.47316666666666679</v>
      </c>
      <c r="U23" s="4">
        <f t="shared" si="10"/>
        <v>0.41029032258064518</v>
      </c>
      <c r="V23" s="4">
        <f t="shared" si="11"/>
        <v>0.38100000000000006</v>
      </c>
      <c r="W23" s="4">
        <f t="shared" si="12"/>
        <v>0.24458064516129033</v>
      </c>
      <c r="AO23">
        <v>22</v>
      </c>
      <c r="AP23" s="4">
        <f>(SUMIFS($D$2:$D$8761,$C$2:$C$8761,22,$B$2:$B$8761,"&gt;="&amp;DATE(2025,1,1),$B$2:$B$8761,"&lt;"&amp;DATE(2025,3,1))+SUMIFS($D$2:$D$8761,$C$2:$C$8761,22,$B$2:$B$8761,"&gt;="&amp;DATE(2025,12,1),$B$2:$B$8761,"&lt;"&amp;DATE(2026,1,1)))/(COUNTIFS($C$2:$C$8761,22,$B$2:$B$8761,"&gt;="&amp;DATE(2025,1,1),$B$2:$B$8761,"&lt;"&amp;DATE(2025,3,1))+COUNTIFS($C$2:$C$8761,22,$B$2:$B$8761,"&gt;="&amp;DATE(2025,12,1),$B$2:$B$8761,"&lt;"&amp;DATE(2026,1,1)))</f>
        <v>0.27541111111111116</v>
      </c>
      <c r="AQ23" s="4">
        <f>AVERAGEIFS($D$2:$D$8761,$C$2:$C$8761,22,$B$2:$B$8761,"&gt;="&amp;DATE(2025,6,1),$B$2:$B$8761,"&lt;"&amp;DATE(2025,9,1))</f>
        <v>0.22153260869565236</v>
      </c>
    </row>
    <row r="24" spans="1:43" x14ac:dyDescent="0.3">
      <c r="A24" t="s">
        <v>5</v>
      </c>
      <c r="B24" s="1">
        <v>45658</v>
      </c>
      <c r="C24">
        <v>23</v>
      </c>
      <c r="D24">
        <v>5.8999999999999997E-2</v>
      </c>
      <c r="E24" t="s">
        <v>6</v>
      </c>
      <c r="F24">
        <v>0.19300999999999999</v>
      </c>
      <c r="G24">
        <v>23</v>
      </c>
      <c r="H24">
        <f t="shared" si="0"/>
        <v>0.28477808219178058</v>
      </c>
      <c r="I24">
        <v>1.3000000000000002E-4</v>
      </c>
      <c r="K24">
        <v>23</v>
      </c>
      <c r="L24" s="4">
        <f t="shared" si="1"/>
        <v>0.19377419354838704</v>
      </c>
      <c r="M24" s="4">
        <f t="shared" si="2"/>
        <v>0.31128571428571428</v>
      </c>
      <c r="N24" s="4">
        <f t="shared" si="3"/>
        <v>0.36287096774193545</v>
      </c>
      <c r="O24" s="4">
        <f t="shared" si="4"/>
        <v>0.24143333333333336</v>
      </c>
      <c r="P24" s="4">
        <f t="shared" si="5"/>
        <v>0.47464516129032247</v>
      </c>
      <c r="Q24" s="4">
        <f t="shared" si="6"/>
        <v>0.46006666666666673</v>
      </c>
      <c r="R24" s="4">
        <f t="shared" si="7"/>
        <v>0.1715161290322581</v>
      </c>
      <c r="S24" s="4">
        <f t="shared" si="8"/>
        <v>8.9612903225806478E-2</v>
      </c>
      <c r="T24" s="4">
        <f t="shared" si="9"/>
        <v>0.38049999999999984</v>
      </c>
      <c r="U24" s="4">
        <f t="shared" si="10"/>
        <v>0.27270967741935487</v>
      </c>
      <c r="V24" s="4">
        <f t="shared" si="11"/>
        <v>0.31133333333333341</v>
      </c>
      <c r="W24" s="4">
        <f t="shared" si="12"/>
        <v>0.1583548387096774</v>
      </c>
      <c r="AO24">
        <v>23</v>
      </c>
      <c r="AP24" s="4">
        <f>(SUMIFS($D$2:$D$8761,$C$2:$C$8761,23,$B$2:$B$8761,"&gt;="&amp;DATE(2025,1,1),$B$2:$B$8761,"&lt;"&amp;DATE(2025,3,1))+SUMIFS($D$2:$D$8761,$C$2:$C$8761,23,$B$2:$B$8761,"&gt;="&amp;DATE(2025,12,1),$B$2:$B$8761,"&lt;"&amp;DATE(2026,1,1)))/(COUNTIFS($C$2:$C$8761,23,$B$2:$B$8761,"&gt;="&amp;DATE(2025,1,1),$B$2:$B$8761,"&lt;"&amp;DATE(2025,3,1))+COUNTIFS($C$2:$C$8761,23,$B$2:$B$8761,"&gt;="&amp;DATE(2025,12,1),$B$2:$B$8761,"&lt;"&amp;DATE(2026,1,1)))</f>
        <v>0.21813333333333323</v>
      </c>
      <c r="AQ24" s="4">
        <f>AVERAGEIFS($D$2:$D$8761,$C$2:$C$8761,23,$B$2:$B$8761,"&gt;="&amp;DATE(2025,6,1),$B$2:$B$8761,"&lt;"&amp;DATE(2025,9,1))</f>
        <v>0.23801086956521733</v>
      </c>
    </row>
    <row r="25" spans="1:43" x14ac:dyDescent="0.3">
      <c r="A25" t="s">
        <v>5</v>
      </c>
      <c r="B25" s="1">
        <v>45658</v>
      </c>
      <c r="C25">
        <v>24</v>
      </c>
      <c r="D25">
        <v>0.08</v>
      </c>
      <c r="E25" t="s">
        <v>6</v>
      </c>
      <c r="F25">
        <v>0.18124999999999999</v>
      </c>
      <c r="G25">
        <v>24</v>
      </c>
      <c r="H25">
        <f t="shared" si="0"/>
        <v>0.24285164835164841</v>
      </c>
      <c r="I25">
        <v>8.8999999999999995E-5</v>
      </c>
      <c r="K25">
        <v>24</v>
      </c>
      <c r="L25" s="4">
        <f t="shared" si="1"/>
        <v>0.23012903225806447</v>
      </c>
      <c r="M25" s="4">
        <f t="shared" si="2"/>
        <v>0.27232142857142855</v>
      </c>
      <c r="N25" s="4">
        <f t="shared" si="3"/>
        <v>0.33659999999999995</v>
      </c>
      <c r="O25" s="4">
        <f t="shared" si="4"/>
        <v>0.20913333333333337</v>
      </c>
      <c r="P25" s="4">
        <f t="shared" si="5"/>
        <v>0.33348387096774196</v>
      </c>
      <c r="Q25" s="4">
        <f t="shared" si="6"/>
        <v>0.34866666666666662</v>
      </c>
      <c r="R25" s="4">
        <f t="shared" si="7"/>
        <v>0.15254838709677424</v>
      </c>
      <c r="S25" s="4">
        <f t="shared" si="8"/>
        <v>8.0580645161290321E-2</v>
      </c>
      <c r="T25" s="4">
        <f t="shared" si="9"/>
        <v>0.25510000000000005</v>
      </c>
      <c r="U25" s="4">
        <f t="shared" si="10"/>
        <v>0.24000000000000002</v>
      </c>
      <c r="V25" s="4">
        <f t="shared" si="11"/>
        <v>0.29089999999999999</v>
      </c>
      <c r="W25" s="4">
        <f t="shared" si="12"/>
        <v>0.17490322580645154</v>
      </c>
      <c r="AO25">
        <v>24</v>
      </c>
      <c r="AP25" s="4">
        <f>(SUMIFS($D$2:$D$8761,$C$2:$C$8761,24,$B$2:$B$8761,"&gt;="&amp;DATE(2025,1,1),$B$2:$B$8761,"&lt;"&amp;DATE(2025,3,1))+SUMIFS($D$2:$D$8761,$C$2:$C$8761,24,$B$2:$B$8761,"&gt;="&amp;DATE(2025,12,1),$B$2:$B$8761,"&lt;"&amp;DATE(2026,1,1)))/(COUNTIFS($C$2:$C$8761,24,$B$2:$B$8761,"&gt;="&amp;DATE(2025,1,1),$B$2:$B$8761,"&lt;"&amp;DATE(2025,3,1))+COUNTIFS($C$2:$C$8761,24,$B$2:$B$8761,"&gt;="&amp;DATE(2025,12,1),$B$2:$B$8761,"&lt;"&amp;DATE(2026,1,1)))</f>
        <v>0.22423333333333331</v>
      </c>
      <c r="AQ25" s="4">
        <f>AVERAGEIFS($D$2:$D$8761,$C$2:$C$8761,24,$B$2:$B$8761,"&gt;="&amp;DATE(2025,6,1),$B$2:$B$8761,"&lt;"&amp;DATE(2025,9,1))</f>
        <v>0.19224999999999989</v>
      </c>
    </row>
    <row r="26" spans="1:43" x14ac:dyDescent="0.3">
      <c r="A26" t="s">
        <v>5</v>
      </c>
      <c r="B26" s="1">
        <v>45659</v>
      </c>
      <c r="C26">
        <v>1</v>
      </c>
      <c r="D26">
        <v>0.06</v>
      </c>
      <c r="E26" t="s">
        <v>6</v>
      </c>
      <c r="F26">
        <v>0.16849</v>
      </c>
      <c r="I26">
        <v>7.0000000000000007E-5</v>
      </c>
    </row>
    <row r="27" spans="1:43" x14ac:dyDescent="0.3">
      <c r="A27" t="s">
        <v>5</v>
      </c>
      <c r="B27" s="1">
        <v>45659</v>
      </c>
      <c r="C27">
        <v>2</v>
      </c>
      <c r="D27">
        <v>6.7000000000000004E-2</v>
      </c>
      <c r="E27" t="s">
        <v>6</v>
      </c>
      <c r="F27">
        <v>0.15603</v>
      </c>
      <c r="I27">
        <v>6.7000000000000002E-5</v>
      </c>
    </row>
    <row r="28" spans="1:43" x14ac:dyDescent="0.3">
      <c r="A28" t="s">
        <v>5</v>
      </c>
      <c r="B28" s="1">
        <v>45659</v>
      </c>
      <c r="C28">
        <v>3</v>
      </c>
      <c r="D28">
        <v>7.1999999999999995E-2</v>
      </c>
      <c r="E28" t="s">
        <v>6</v>
      </c>
      <c r="F28">
        <v>0.14168</v>
      </c>
      <c r="I28">
        <v>5.9999999999999995E-5</v>
      </c>
      <c r="AA28" s="2" t="s">
        <v>40</v>
      </c>
      <c r="AB28" s="5">
        <f>SUMIFS($D$2:$D$8761,$B$2:$B$8761,"&gt;="&amp;DATE(2025,4,1),$B$2:$B$8761,"&lt;"&amp;DATE(2025,5,1))</f>
        <v>104.91099999999999</v>
      </c>
    </row>
    <row r="29" spans="1:43" x14ac:dyDescent="0.3">
      <c r="A29" t="s">
        <v>5</v>
      </c>
      <c r="B29" s="1">
        <v>45659</v>
      </c>
      <c r="C29">
        <v>4</v>
      </c>
      <c r="D29">
        <v>6.0999999999999999E-2</v>
      </c>
      <c r="E29" t="s">
        <v>6</v>
      </c>
      <c r="F29">
        <v>0.14258000000000001</v>
      </c>
      <c r="I29">
        <v>5.3000000000000001E-5</v>
      </c>
    </row>
    <row r="30" spans="1:43" x14ac:dyDescent="0.3">
      <c r="A30" t="s">
        <v>5</v>
      </c>
      <c r="B30" s="1">
        <v>45659</v>
      </c>
      <c r="C30">
        <v>5</v>
      </c>
      <c r="D30">
        <v>7.3999999999999996E-2</v>
      </c>
      <c r="E30" t="s">
        <v>6</v>
      </c>
      <c r="F30">
        <v>0.14257</v>
      </c>
      <c r="I30">
        <v>7.1999999999999988E-5</v>
      </c>
    </row>
    <row r="31" spans="1:43" x14ac:dyDescent="0.3">
      <c r="A31" t="s">
        <v>5</v>
      </c>
      <c r="B31" s="1">
        <v>45659</v>
      </c>
      <c r="C31">
        <v>6</v>
      </c>
      <c r="D31">
        <v>6.5000000000000002E-2</v>
      </c>
      <c r="E31" t="s">
        <v>6</v>
      </c>
      <c r="F31">
        <v>0.14071</v>
      </c>
      <c r="I31">
        <v>6.7000000000000002E-5</v>
      </c>
    </row>
    <row r="32" spans="1:43" x14ac:dyDescent="0.3">
      <c r="A32" t="s">
        <v>5</v>
      </c>
      <c r="B32" s="1">
        <v>45659</v>
      </c>
      <c r="C32">
        <v>7</v>
      </c>
      <c r="D32">
        <v>5.8999999999999997E-2</v>
      </c>
      <c r="E32" t="s">
        <v>6</v>
      </c>
      <c r="F32">
        <v>0.16172999999999998</v>
      </c>
      <c r="I32">
        <v>8.599999999999999E-5</v>
      </c>
    </row>
    <row r="33" spans="1:9" x14ac:dyDescent="0.3">
      <c r="A33" t="s">
        <v>5</v>
      </c>
      <c r="B33" s="1">
        <v>45659</v>
      </c>
      <c r="C33">
        <v>8</v>
      </c>
      <c r="D33">
        <v>7.8E-2</v>
      </c>
      <c r="E33" t="s">
        <v>6</v>
      </c>
      <c r="F33">
        <v>0.16818</v>
      </c>
      <c r="I33">
        <v>8.7999999999999998E-5</v>
      </c>
    </row>
    <row r="34" spans="1:9" x14ac:dyDescent="0.3">
      <c r="A34" t="s">
        <v>5</v>
      </c>
      <c r="B34" s="1">
        <v>45659</v>
      </c>
      <c r="C34">
        <v>9</v>
      </c>
      <c r="D34">
        <v>5.8999999999999997E-2</v>
      </c>
      <c r="E34" t="s">
        <v>6</v>
      </c>
      <c r="F34">
        <v>0.20194000000000001</v>
      </c>
      <c r="I34">
        <v>1.02E-4</v>
      </c>
    </row>
    <row r="35" spans="1:9" x14ac:dyDescent="0.3">
      <c r="A35" t="s">
        <v>5</v>
      </c>
      <c r="B35" s="1">
        <v>45659</v>
      </c>
      <c r="C35">
        <v>10</v>
      </c>
      <c r="D35">
        <v>6.2E-2</v>
      </c>
      <c r="E35" t="s">
        <v>6</v>
      </c>
      <c r="F35">
        <v>0.20046</v>
      </c>
      <c r="I35">
        <v>1.27E-4</v>
      </c>
    </row>
    <row r="36" spans="1:9" x14ac:dyDescent="0.3">
      <c r="A36" t="s">
        <v>5</v>
      </c>
      <c r="B36" s="1">
        <v>45659</v>
      </c>
      <c r="C36">
        <v>11</v>
      </c>
      <c r="D36">
        <v>7.4999999999999997E-2</v>
      </c>
      <c r="E36" t="s">
        <v>6</v>
      </c>
      <c r="F36">
        <v>0.24115999999999999</v>
      </c>
      <c r="I36">
        <v>1.4399999999999998E-4</v>
      </c>
    </row>
    <row r="37" spans="1:9" x14ac:dyDescent="0.3">
      <c r="A37" t="s">
        <v>5</v>
      </c>
      <c r="B37" s="1">
        <v>45659</v>
      </c>
      <c r="C37">
        <v>12</v>
      </c>
      <c r="D37">
        <v>5.8999999999999997E-2</v>
      </c>
      <c r="E37" t="s">
        <v>6</v>
      </c>
      <c r="F37">
        <v>0.23854</v>
      </c>
      <c r="I37">
        <v>1.15E-4</v>
      </c>
    </row>
    <row r="38" spans="1:9" x14ac:dyDescent="0.3">
      <c r="A38" t="s">
        <v>5</v>
      </c>
      <c r="B38" s="1">
        <v>45659</v>
      </c>
      <c r="C38">
        <v>13</v>
      </c>
      <c r="D38">
        <v>6.8000000000000005E-2</v>
      </c>
      <c r="E38" t="s">
        <v>6</v>
      </c>
      <c r="F38">
        <v>0.23588000000000001</v>
      </c>
      <c r="I38">
        <v>1.4099999999999998E-4</v>
      </c>
    </row>
    <row r="39" spans="1:9" x14ac:dyDescent="0.3">
      <c r="A39" t="s">
        <v>5</v>
      </c>
      <c r="B39" s="1">
        <v>45659</v>
      </c>
      <c r="C39">
        <v>14</v>
      </c>
      <c r="D39">
        <v>7.0000000000000007E-2</v>
      </c>
      <c r="E39" t="s">
        <v>6</v>
      </c>
      <c r="F39">
        <v>0.22645999999999999</v>
      </c>
      <c r="I39">
        <v>1.0499999999999999E-4</v>
      </c>
    </row>
    <row r="40" spans="1:9" x14ac:dyDescent="0.3">
      <c r="A40" t="s">
        <v>5</v>
      </c>
      <c r="B40" s="1">
        <v>45659</v>
      </c>
      <c r="C40">
        <v>15</v>
      </c>
      <c r="D40">
        <v>5.8999999999999997E-2</v>
      </c>
      <c r="E40" t="s">
        <v>6</v>
      </c>
      <c r="F40">
        <v>0.16744999999999999</v>
      </c>
      <c r="I40">
        <v>9.5000000000000005E-5</v>
      </c>
    </row>
    <row r="41" spans="1:9" x14ac:dyDescent="0.3">
      <c r="A41" t="s">
        <v>5</v>
      </c>
      <c r="B41" s="1">
        <v>45659</v>
      </c>
      <c r="C41">
        <v>16</v>
      </c>
      <c r="D41">
        <v>7.4999999999999997E-2</v>
      </c>
      <c r="E41" t="s">
        <v>6</v>
      </c>
      <c r="F41">
        <v>0.17530000000000001</v>
      </c>
      <c r="I41">
        <v>1E-4</v>
      </c>
    </row>
    <row r="42" spans="1:9" x14ac:dyDescent="0.3">
      <c r="A42" t="s">
        <v>5</v>
      </c>
      <c r="B42" s="1">
        <v>45659</v>
      </c>
      <c r="C42">
        <v>17</v>
      </c>
      <c r="D42">
        <v>6.4000000000000001E-2</v>
      </c>
      <c r="E42" t="s">
        <v>6</v>
      </c>
      <c r="F42">
        <v>0.18656999999999999</v>
      </c>
      <c r="I42">
        <v>1.2799999999999999E-4</v>
      </c>
    </row>
    <row r="43" spans="1:9" x14ac:dyDescent="0.3">
      <c r="A43" t="s">
        <v>5</v>
      </c>
      <c r="B43" s="1">
        <v>45659</v>
      </c>
      <c r="C43">
        <v>18</v>
      </c>
      <c r="D43">
        <v>5.8999999999999997E-2</v>
      </c>
      <c r="E43" t="s">
        <v>6</v>
      </c>
      <c r="F43">
        <v>0.19969999999999999</v>
      </c>
      <c r="I43">
        <v>1.0899999999999999E-4</v>
      </c>
    </row>
    <row r="44" spans="1:9" x14ac:dyDescent="0.3">
      <c r="A44" t="s">
        <v>5</v>
      </c>
      <c r="B44" s="1">
        <v>45659</v>
      </c>
      <c r="C44">
        <v>19</v>
      </c>
      <c r="D44">
        <v>7.9000000000000001E-2</v>
      </c>
      <c r="E44" t="s">
        <v>6</v>
      </c>
      <c r="F44">
        <v>0.27439999999999998</v>
      </c>
      <c r="I44">
        <v>1.02E-4</v>
      </c>
    </row>
    <row r="45" spans="1:9" x14ac:dyDescent="0.3">
      <c r="A45" t="s">
        <v>5</v>
      </c>
      <c r="B45" s="1">
        <v>45659</v>
      </c>
      <c r="C45">
        <v>20</v>
      </c>
      <c r="D45">
        <v>0.06</v>
      </c>
      <c r="E45" t="s">
        <v>6</v>
      </c>
      <c r="F45">
        <v>0.27723999999999999</v>
      </c>
      <c r="I45">
        <v>1.0499999999999999E-4</v>
      </c>
    </row>
    <row r="46" spans="1:9" x14ac:dyDescent="0.3">
      <c r="A46" t="s">
        <v>5</v>
      </c>
      <c r="B46" s="1">
        <v>45659</v>
      </c>
      <c r="C46">
        <v>21</v>
      </c>
      <c r="D46">
        <v>6.2E-2</v>
      </c>
      <c r="E46" t="s">
        <v>6</v>
      </c>
      <c r="F46">
        <v>0.27806000000000003</v>
      </c>
      <c r="I46">
        <v>1.11E-4</v>
      </c>
    </row>
    <row r="47" spans="1:9" x14ac:dyDescent="0.3">
      <c r="A47" t="s">
        <v>5</v>
      </c>
      <c r="B47" s="1">
        <v>45659</v>
      </c>
      <c r="C47">
        <v>22</v>
      </c>
      <c r="D47">
        <v>7.4999999999999997E-2</v>
      </c>
      <c r="E47" t="s">
        <v>6</v>
      </c>
      <c r="F47">
        <v>0.27491000000000004</v>
      </c>
      <c r="I47">
        <v>9.5000000000000005E-5</v>
      </c>
    </row>
    <row r="48" spans="1:9" x14ac:dyDescent="0.3">
      <c r="A48" t="s">
        <v>5</v>
      </c>
      <c r="B48" s="1">
        <v>45659</v>
      </c>
      <c r="C48">
        <v>23</v>
      </c>
      <c r="D48">
        <v>0.06</v>
      </c>
      <c r="E48" t="s">
        <v>6</v>
      </c>
      <c r="F48">
        <v>0.20380000000000001</v>
      </c>
      <c r="I48">
        <v>1E-4</v>
      </c>
    </row>
    <row r="49" spans="1:9" x14ac:dyDescent="0.3">
      <c r="A49" t="s">
        <v>5</v>
      </c>
      <c r="B49" s="1">
        <v>45659</v>
      </c>
      <c r="C49">
        <v>24</v>
      </c>
      <c r="D49">
        <v>6.8000000000000005E-2</v>
      </c>
      <c r="E49" t="s">
        <v>6</v>
      </c>
      <c r="F49">
        <v>0.19099000000000002</v>
      </c>
      <c r="I49">
        <v>1.27E-4</v>
      </c>
    </row>
    <row r="50" spans="1:9" x14ac:dyDescent="0.3">
      <c r="A50" t="s">
        <v>5</v>
      </c>
      <c r="B50" s="1">
        <v>45660</v>
      </c>
      <c r="C50">
        <v>1</v>
      </c>
      <c r="D50">
        <v>7.0999999999999994E-2</v>
      </c>
      <c r="E50" t="s">
        <v>6</v>
      </c>
      <c r="F50">
        <v>0.15455000000000002</v>
      </c>
      <c r="I50">
        <v>9.800000000000001E-5</v>
      </c>
    </row>
    <row r="51" spans="1:9" x14ac:dyDescent="0.3">
      <c r="A51" t="s">
        <v>5</v>
      </c>
      <c r="B51" s="1">
        <v>45660</v>
      </c>
      <c r="C51">
        <v>2</v>
      </c>
      <c r="D51">
        <v>5.8999999999999997E-2</v>
      </c>
      <c r="E51" t="s">
        <v>6</v>
      </c>
      <c r="F51">
        <v>0.14133999999999999</v>
      </c>
      <c r="I51">
        <v>1.1999999999999999E-4</v>
      </c>
    </row>
    <row r="52" spans="1:9" x14ac:dyDescent="0.3">
      <c r="A52" t="s">
        <v>5</v>
      </c>
      <c r="B52" s="1">
        <v>45660</v>
      </c>
      <c r="C52">
        <v>3</v>
      </c>
      <c r="D52">
        <v>7.2999999999999995E-2</v>
      </c>
      <c r="E52" t="s">
        <v>6</v>
      </c>
      <c r="F52">
        <v>0.13485</v>
      </c>
      <c r="I52">
        <v>1.01E-4</v>
      </c>
    </row>
    <row r="53" spans="1:9" x14ac:dyDescent="0.3">
      <c r="A53" t="s">
        <v>5</v>
      </c>
      <c r="B53" s="1">
        <v>45660</v>
      </c>
      <c r="C53">
        <v>4</v>
      </c>
      <c r="D53">
        <v>6.5000000000000002E-2</v>
      </c>
      <c r="E53" t="s">
        <v>6</v>
      </c>
      <c r="F53">
        <v>0.13153999999999999</v>
      </c>
      <c r="I53">
        <v>8.1000000000000004E-5</v>
      </c>
    </row>
    <row r="54" spans="1:9" x14ac:dyDescent="0.3">
      <c r="A54" t="s">
        <v>5</v>
      </c>
      <c r="B54" s="1">
        <v>45660</v>
      </c>
      <c r="C54">
        <v>5</v>
      </c>
      <c r="D54">
        <v>5.8999999999999997E-2</v>
      </c>
      <c r="E54" t="s">
        <v>6</v>
      </c>
      <c r="F54">
        <v>0.12683</v>
      </c>
      <c r="I54">
        <v>9.3999999999999994E-5</v>
      </c>
    </row>
    <row r="55" spans="1:9" x14ac:dyDescent="0.3">
      <c r="A55" t="s">
        <v>5</v>
      </c>
      <c r="B55" s="1">
        <v>45660</v>
      </c>
      <c r="C55">
        <v>6</v>
      </c>
      <c r="D55">
        <v>7.6999999999999999E-2</v>
      </c>
      <c r="E55" t="s">
        <v>6</v>
      </c>
      <c r="F55">
        <v>0.12922</v>
      </c>
      <c r="I55">
        <v>8.9999999999999992E-5</v>
      </c>
    </row>
    <row r="56" spans="1:9" x14ac:dyDescent="0.3">
      <c r="A56" t="s">
        <v>5</v>
      </c>
      <c r="B56" s="1">
        <v>45660</v>
      </c>
      <c r="C56">
        <v>7</v>
      </c>
      <c r="D56">
        <v>0.06</v>
      </c>
      <c r="E56" t="s">
        <v>6</v>
      </c>
      <c r="F56">
        <v>0.13741</v>
      </c>
      <c r="I56">
        <v>8.7000000000000001E-5</v>
      </c>
    </row>
    <row r="57" spans="1:9" x14ac:dyDescent="0.3">
      <c r="A57" t="s">
        <v>5</v>
      </c>
      <c r="B57" s="1">
        <v>45660</v>
      </c>
      <c r="C57">
        <v>8</v>
      </c>
      <c r="D57">
        <v>5.8999999999999997E-2</v>
      </c>
      <c r="E57" t="s">
        <v>6</v>
      </c>
      <c r="F57">
        <v>0.15662999999999999</v>
      </c>
      <c r="I57">
        <v>9.1000000000000003E-5</v>
      </c>
    </row>
    <row r="58" spans="1:9" x14ac:dyDescent="0.3">
      <c r="A58" t="s">
        <v>5</v>
      </c>
      <c r="B58" s="1">
        <v>45660</v>
      </c>
      <c r="C58">
        <v>9</v>
      </c>
      <c r="D58">
        <v>7.8E-2</v>
      </c>
      <c r="E58" t="s">
        <v>6</v>
      </c>
      <c r="F58">
        <v>0.19359999999999999</v>
      </c>
      <c r="I58">
        <v>1.0899999999999999E-4</v>
      </c>
    </row>
    <row r="59" spans="1:9" x14ac:dyDescent="0.3">
      <c r="A59" t="s">
        <v>5</v>
      </c>
      <c r="B59" s="1">
        <v>45660</v>
      </c>
      <c r="C59">
        <v>10</v>
      </c>
      <c r="D59">
        <v>5.8000000000000003E-2</v>
      </c>
      <c r="E59" t="s">
        <v>6</v>
      </c>
      <c r="F59">
        <v>0.19066</v>
      </c>
      <c r="I59">
        <v>1.3800000000000002E-4</v>
      </c>
    </row>
    <row r="60" spans="1:9" x14ac:dyDescent="0.3">
      <c r="A60" t="s">
        <v>5</v>
      </c>
      <c r="B60" s="1">
        <v>45660</v>
      </c>
      <c r="C60">
        <v>11</v>
      </c>
      <c r="D60">
        <v>6.2E-2</v>
      </c>
      <c r="E60" t="s">
        <v>6</v>
      </c>
      <c r="F60">
        <v>0.25137999999999999</v>
      </c>
      <c r="I60">
        <v>1.0499999999999999E-4</v>
      </c>
    </row>
    <row r="61" spans="1:9" x14ac:dyDescent="0.3">
      <c r="A61" t="s">
        <v>5</v>
      </c>
      <c r="B61" s="1">
        <v>45660</v>
      </c>
      <c r="C61">
        <v>12</v>
      </c>
      <c r="D61">
        <v>7.4999999999999997E-2</v>
      </c>
      <c r="E61" t="s">
        <v>6</v>
      </c>
      <c r="F61">
        <v>0.24031</v>
      </c>
      <c r="I61">
        <v>7.0999999999999991E-5</v>
      </c>
    </row>
    <row r="62" spans="1:9" x14ac:dyDescent="0.3">
      <c r="A62" t="s">
        <v>5</v>
      </c>
      <c r="B62" s="1">
        <v>45660</v>
      </c>
      <c r="C62">
        <v>13</v>
      </c>
      <c r="D62">
        <v>5.8000000000000003E-2</v>
      </c>
      <c r="E62" t="s">
        <v>6</v>
      </c>
      <c r="F62">
        <v>0.22716</v>
      </c>
      <c r="I62">
        <v>8.7000000000000001E-5</v>
      </c>
    </row>
    <row r="63" spans="1:9" x14ac:dyDescent="0.3">
      <c r="A63" t="s">
        <v>5</v>
      </c>
      <c r="B63" s="1">
        <v>45660</v>
      </c>
      <c r="C63">
        <v>14</v>
      </c>
      <c r="D63">
        <v>6.7000000000000004E-2</v>
      </c>
      <c r="E63" t="s">
        <v>6</v>
      </c>
      <c r="F63">
        <v>0.21850999999999998</v>
      </c>
      <c r="I63">
        <v>1.01E-4</v>
      </c>
    </row>
    <row r="64" spans="1:9" x14ac:dyDescent="0.3">
      <c r="A64" t="s">
        <v>5</v>
      </c>
      <c r="B64" s="1">
        <v>45660</v>
      </c>
      <c r="C64">
        <v>15</v>
      </c>
      <c r="D64">
        <v>7.1999999999999995E-2</v>
      </c>
      <c r="E64" t="s">
        <v>6</v>
      </c>
      <c r="F64">
        <v>0.15250999999999998</v>
      </c>
      <c r="I64">
        <v>8.8999999999999995E-5</v>
      </c>
    </row>
    <row r="65" spans="1:9" x14ac:dyDescent="0.3">
      <c r="A65" t="s">
        <v>5</v>
      </c>
      <c r="B65" s="1">
        <v>45660</v>
      </c>
      <c r="C65">
        <v>16</v>
      </c>
      <c r="D65">
        <v>5.8999999999999997E-2</v>
      </c>
      <c r="E65" t="s">
        <v>6</v>
      </c>
      <c r="F65">
        <v>0.15828999999999999</v>
      </c>
      <c r="I65">
        <v>9.1000000000000003E-5</v>
      </c>
    </row>
    <row r="66" spans="1:9" x14ac:dyDescent="0.3">
      <c r="A66" t="s">
        <v>5</v>
      </c>
      <c r="B66" s="1">
        <v>45660</v>
      </c>
      <c r="C66">
        <v>17</v>
      </c>
      <c r="D66">
        <v>7.0000000000000007E-2</v>
      </c>
      <c r="E66" t="s">
        <v>6</v>
      </c>
      <c r="F66">
        <v>0.17630000000000001</v>
      </c>
      <c r="I66">
        <v>9.3999999999999994E-5</v>
      </c>
    </row>
    <row r="67" spans="1:9" x14ac:dyDescent="0.3">
      <c r="A67" t="s">
        <v>5</v>
      </c>
      <c r="B67" s="1">
        <v>45660</v>
      </c>
      <c r="C67">
        <v>18</v>
      </c>
      <c r="D67">
        <v>6.8000000000000005E-2</v>
      </c>
      <c r="E67" t="s">
        <v>6</v>
      </c>
      <c r="F67">
        <v>0.19841999999999999</v>
      </c>
      <c r="I67">
        <v>8.0000000000000007E-5</v>
      </c>
    </row>
    <row r="68" spans="1:9" x14ac:dyDescent="0.3">
      <c r="A68" t="s">
        <v>5</v>
      </c>
      <c r="B68" s="1">
        <v>45660</v>
      </c>
      <c r="C68">
        <v>19</v>
      </c>
      <c r="D68">
        <v>5.8999999999999997E-2</v>
      </c>
      <c r="E68" t="s">
        <v>6</v>
      </c>
      <c r="F68">
        <v>0.26973000000000003</v>
      </c>
      <c r="I68">
        <v>6.5000000000000008E-5</v>
      </c>
    </row>
    <row r="69" spans="1:9" x14ac:dyDescent="0.3">
      <c r="A69" t="s">
        <v>5</v>
      </c>
      <c r="B69" s="1">
        <v>45660</v>
      </c>
      <c r="C69">
        <v>20</v>
      </c>
      <c r="D69">
        <v>7.3999999999999996E-2</v>
      </c>
      <c r="E69" t="s">
        <v>6</v>
      </c>
      <c r="F69">
        <v>0.27138999999999996</v>
      </c>
      <c r="I69">
        <v>8.9999999999999992E-5</v>
      </c>
    </row>
    <row r="70" spans="1:9" x14ac:dyDescent="0.3">
      <c r="A70" t="s">
        <v>5</v>
      </c>
      <c r="B70" s="1">
        <v>45660</v>
      </c>
      <c r="C70">
        <v>21</v>
      </c>
      <c r="D70">
        <v>6.5000000000000002E-2</v>
      </c>
      <c r="E70" t="s">
        <v>6</v>
      </c>
      <c r="F70">
        <v>0.27165</v>
      </c>
      <c r="I70">
        <v>1.0499999999999999E-4</v>
      </c>
    </row>
    <row r="71" spans="1:9" x14ac:dyDescent="0.3">
      <c r="A71" t="s">
        <v>5</v>
      </c>
      <c r="B71" s="1">
        <v>45660</v>
      </c>
      <c r="C71">
        <v>22</v>
      </c>
      <c r="D71">
        <v>5.8000000000000003E-2</v>
      </c>
      <c r="E71" t="s">
        <v>6</v>
      </c>
      <c r="F71">
        <v>0.27022000000000002</v>
      </c>
      <c r="I71">
        <v>1.01E-4</v>
      </c>
    </row>
    <row r="72" spans="1:9" x14ac:dyDescent="0.3">
      <c r="A72" t="s">
        <v>5</v>
      </c>
      <c r="B72" s="1">
        <v>45660</v>
      </c>
      <c r="C72">
        <v>23</v>
      </c>
      <c r="D72">
        <v>7.6999999999999999E-2</v>
      </c>
      <c r="E72" t="s">
        <v>6</v>
      </c>
      <c r="F72">
        <v>0.20113999999999999</v>
      </c>
      <c r="I72">
        <v>9.800000000000001E-5</v>
      </c>
    </row>
    <row r="73" spans="1:9" x14ac:dyDescent="0.3">
      <c r="A73" t="s">
        <v>5</v>
      </c>
      <c r="B73" s="1">
        <v>45660</v>
      </c>
      <c r="C73">
        <v>24</v>
      </c>
      <c r="D73">
        <v>6.0999999999999999E-2</v>
      </c>
      <c r="E73" t="s">
        <v>6</v>
      </c>
      <c r="F73">
        <v>0.19338</v>
      </c>
      <c r="I73">
        <v>1.0399999999999999E-4</v>
      </c>
    </row>
    <row r="74" spans="1:9" x14ac:dyDescent="0.3">
      <c r="A74" t="s">
        <v>5</v>
      </c>
      <c r="B74" s="1">
        <v>45661</v>
      </c>
      <c r="C74">
        <v>1</v>
      </c>
      <c r="D74">
        <v>5.8999999999999997E-2</v>
      </c>
      <c r="E74" t="s">
        <v>6</v>
      </c>
      <c r="F74">
        <v>0.14627000000000001</v>
      </c>
      <c r="I74">
        <v>8.5000000000000006E-5</v>
      </c>
    </row>
    <row r="75" spans="1:9" x14ac:dyDescent="0.3">
      <c r="A75" t="s">
        <v>5</v>
      </c>
      <c r="B75" s="1">
        <v>45661</v>
      </c>
      <c r="C75">
        <v>2</v>
      </c>
      <c r="D75">
        <v>7.9000000000000001E-2</v>
      </c>
      <c r="E75" t="s">
        <v>6</v>
      </c>
      <c r="F75">
        <v>0.14041000000000001</v>
      </c>
      <c r="I75">
        <v>8.2000000000000001E-5</v>
      </c>
    </row>
    <row r="76" spans="1:9" x14ac:dyDescent="0.3">
      <c r="A76" t="s">
        <v>5</v>
      </c>
      <c r="B76" s="1">
        <v>45661</v>
      </c>
      <c r="C76">
        <v>3</v>
      </c>
      <c r="D76">
        <v>0.06</v>
      </c>
      <c r="E76" t="s">
        <v>6</v>
      </c>
      <c r="F76">
        <v>0.13808999999999999</v>
      </c>
      <c r="I76">
        <v>9.1000000000000003E-5</v>
      </c>
    </row>
    <row r="77" spans="1:9" x14ac:dyDescent="0.3">
      <c r="A77" t="s">
        <v>5</v>
      </c>
      <c r="B77" s="1">
        <v>45661</v>
      </c>
      <c r="C77">
        <v>4</v>
      </c>
      <c r="D77">
        <v>0.06</v>
      </c>
      <c r="E77" t="s">
        <v>6</v>
      </c>
      <c r="F77">
        <v>0.13371</v>
      </c>
      <c r="I77">
        <v>1.0399999999999999E-4</v>
      </c>
    </row>
    <row r="78" spans="1:9" x14ac:dyDescent="0.3">
      <c r="A78" t="s">
        <v>5</v>
      </c>
      <c r="B78" s="1">
        <v>45661</v>
      </c>
      <c r="C78">
        <v>5</v>
      </c>
      <c r="D78">
        <v>7.8E-2</v>
      </c>
      <c r="E78" t="s">
        <v>6</v>
      </c>
      <c r="F78">
        <v>0.13716</v>
      </c>
      <c r="I78">
        <v>8.5000000000000006E-5</v>
      </c>
    </row>
    <row r="79" spans="1:9" x14ac:dyDescent="0.3">
      <c r="A79" t="s">
        <v>5</v>
      </c>
      <c r="B79" s="1">
        <v>45661</v>
      </c>
      <c r="C79">
        <v>6</v>
      </c>
      <c r="D79">
        <v>5.8999999999999997E-2</v>
      </c>
      <c r="E79" t="s">
        <v>6</v>
      </c>
      <c r="F79">
        <v>0.14493</v>
      </c>
      <c r="I79">
        <v>7.0000000000000007E-5</v>
      </c>
    </row>
    <row r="80" spans="1:9" x14ac:dyDescent="0.3">
      <c r="A80" t="s">
        <v>5</v>
      </c>
      <c r="B80" s="1">
        <v>45661</v>
      </c>
      <c r="C80">
        <v>7</v>
      </c>
      <c r="D80">
        <v>6.2E-2</v>
      </c>
      <c r="E80" t="s">
        <v>6</v>
      </c>
      <c r="F80">
        <v>0.15130000000000002</v>
      </c>
      <c r="I80">
        <v>6.5000000000000008E-5</v>
      </c>
    </row>
    <row r="81" spans="1:9" x14ac:dyDescent="0.3">
      <c r="A81" t="s">
        <v>5</v>
      </c>
      <c r="B81" s="1">
        <v>45661</v>
      </c>
      <c r="C81">
        <v>8</v>
      </c>
      <c r="D81">
        <v>7.4999999999999997E-2</v>
      </c>
      <c r="E81" t="s">
        <v>6</v>
      </c>
      <c r="F81">
        <v>0.15436000000000002</v>
      </c>
      <c r="I81">
        <v>6.2000000000000003E-5</v>
      </c>
    </row>
    <row r="82" spans="1:9" x14ac:dyDescent="0.3">
      <c r="A82" t="s">
        <v>5</v>
      </c>
      <c r="B82" s="1">
        <v>45661</v>
      </c>
      <c r="C82">
        <v>9</v>
      </c>
      <c r="D82">
        <v>5.8999999999999997E-2</v>
      </c>
      <c r="E82" t="s">
        <v>6</v>
      </c>
      <c r="F82">
        <v>0.16136</v>
      </c>
      <c r="I82">
        <v>6.0999999999999999E-5</v>
      </c>
    </row>
    <row r="83" spans="1:9" x14ac:dyDescent="0.3">
      <c r="A83" t="s">
        <v>5</v>
      </c>
      <c r="B83" s="1">
        <v>45661</v>
      </c>
      <c r="C83">
        <v>10</v>
      </c>
      <c r="D83">
        <v>6.4000000000000001E-2</v>
      </c>
      <c r="E83" t="s">
        <v>6</v>
      </c>
      <c r="F83">
        <v>0.16727</v>
      </c>
      <c r="I83">
        <v>7.1999999999999988E-5</v>
      </c>
    </row>
    <row r="84" spans="1:9" x14ac:dyDescent="0.3">
      <c r="A84" t="s">
        <v>5</v>
      </c>
      <c r="B84" s="1">
        <v>45661</v>
      </c>
      <c r="C84">
        <v>11</v>
      </c>
      <c r="D84">
        <v>7.2999999999999995E-2</v>
      </c>
      <c r="E84" t="s">
        <v>6</v>
      </c>
      <c r="F84">
        <v>0.15093000000000001</v>
      </c>
      <c r="I84">
        <v>8.1000000000000004E-5</v>
      </c>
    </row>
    <row r="85" spans="1:9" x14ac:dyDescent="0.3">
      <c r="A85" t="s">
        <v>5</v>
      </c>
      <c r="B85" s="1">
        <v>45661</v>
      </c>
      <c r="C85">
        <v>12</v>
      </c>
      <c r="D85">
        <v>5.8999999999999997E-2</v>
      </c>
      <c r="E85" t="s">
        <v>6</v>
      </c>
      <c r="F85">
        <v>0.12806999999999999</v>
      </c>
      <c r="I85">
        <v>8.2000000000000001E-5</v>
      </c>
    </row>
    <row r="86" spans="1:9" x14ac:dyDescent="0.3">
      <c r="A86" t="s">
        <v>5</v>
      </c>
      <c r="B86" s="1">
        <v>45661</v>
      </c>
      <c r="C86">
        <v>13</v>
      </c>
      <c r="D86">
        <v>6.7000000000000004E-2</v>
      </c>
      <c r="E86" t="s">
        <v>6</v>
      </c>
      <c r="F86">
        <v>0.10762000000000001</v>
      </c>
      <c r="I86">
        <v>7.8999999999999996E-5</v>
      </c>
    </row>
    <row r="87" spans="1:9" x14ac:dyDescent="0.3">
      <c r="A87" t="s">
        <v>5</v>
      </c>
      <c r="B87" s="1">
        <v>45661</v>
      </c>
      <c r="C87">
        <v>14</v>
      </c>
      <c r="D87">
        <v>7.0000000000000007E-2</v>
      </c>
      <c r="E87" t="s">
        <v>6</v>
      </c>
      <c r="F87">
        <v>0.10712999999999999</v>
      </c>
      <c r="I87">
        <v>8.1000000000000004E-5</v>
      </c>
    </row>
    <row r="88" spans="1:9" x14ac:dyDescent="0.3">
      <c r="A88" t="s">
        <v>5</v>
      </c>
      <c r="B88" s="1">
        <v>45661</v>
      </c>
      <c r="C88">
        <v>15</v>
      </c>
      <c r="D88">
        <v>0.06</v>
      </c>
      <c r="E88" t="s">
        <v>6</v>
      </c>
      <c r="F88">
        <v>0.11503000000000001</v>
      </c>
      <c r="I88">
        <v>7.4999999999999993E-5</v>
      </c>
    </row>
    <row r="89" spans="1:9" x14ac:dyDescent="0.3">
      <c r="A89" t="s">
        <v>5</v>
      </c>
      <c r="B89" s="1">
        <v>45661</v>
      </c>
      <c r="C89">
        <v>16</v>
      </c>
      <c r="D89">
        <v>7.0000000000000007E-2</v>
      </c>
      <c r="E89" t="s">
        <v>6</v>
      </c>
      <c r="F89">
        <v>0.12784999999999999</v>
      </c>
      <c r="I89">
        <v>6.3999999999999997E-5</v>
      </c>
    </row>
    <row r="90" spans="1:9" x14ac:dyDescent="0.3">
      <c r="A90" t="s">
        <v>5</v>
      </c>
      <c r="B90" s="1">
        <v>45661</v>
      </c>
      <c r="C90">
        <v>17</v>
      </c>
      <c r="D90">
        <v>6.8000000000000005E-2</v>
      </c>
      <c r="E90" t="s">
        <v>6</v>
      </c>
      <c r="F90">
        <v>0.15784999999999999</v>
      </c>
      <c r="I90">
        <v>6.7999999999999999E-5</v>
      </c>
    </row>
    <row r="91" spans="1:9" x14ac:dyDescent="0.3">
      <c r="A91" t="s">
        <v>5</v>
      </c>
      <c r="B91" s="1">
        <v>45661</v>
      </c>
      <c r="C91">
        <v>18</v>
      </c>
      <c r="D91">
        <v>0.06</v>
      </c>
      <c r="E91" t="s">
        <v>6</v>
      </c>
      <c r="F91">
        <v>0.17448</v>
      </c>
      <c r="I91">
        <v>8.8999999999999995E-5</v>
      </c>
    </row>
    <row r="92" spans="1:9" x14ac:dyDescent="0.3">
      <c r="A92" t="s">
        <v>5</v>
      </c>
      <c r="B92" s="1">
        <v>45661</v>
      </c>
      <c r="C92">
        <v>19</v>
      </c>
      <c r="D92">
        <v>7.1999999999999995E-2</v>
      </c>
      <c r="E92" t="s">
        <v>6</v>
      </c>
      <c r="F92">
        <v>0.17756</v>
      </c>
      <c r="I92">
        <v>1.03E-4</v>
      </c>
    </row>
    <row r="93" spans="1:9" x14ac:dyDescent="0.3">
      <c r="A93" t="s">
        <v>5</v>
      </c>
      <c r="B93" s="1">
        <v>45661</v>
      </c>
      <c r="C93">
        <v>20</v>
      </c>
      <c r="D93">
        <v>6.6000000000000003E-2</v>
      </c>
      <c r="E93" t="s">
        <v>6</v>
      </c>
      <c r="F93">
        <v>0.16941000000000001</v>
      </c>
      <c r="I93">
        <v>8.9999999999999992E-5</v>
      </c>
    </row>
    <row r="94" spans="1:9" x14ac:dyDescent="0.3">
      <c r="A94" t="s">
        <v>5</v>
      </c>
      <c r="B94" s="1">
        <v>45661</v>
      </c>
      <c r="C94">
        <v>21</v>
      </c>
      <c r="D94">
        <v>5.8999999999999997E-2</v>
      </c>
      <c r="E94" t="s">
        <v>6</v>
      </c>
      <c r="F94">
        <v>0.15893000000000002</v>
      </c>
      <c r="I94">
        <v>7.7999999999999999E-5</v>
      </c>
    </row>
    <row r="95" spans="1:9" x14ac:dyDescent="0.3">
      <c r="A95" t="s">
        <v>5</v>
      </c>
      <c r="B95" s="1">
        <v>45661</v>
      </c>
      <c r="C95">
        <v>22</v>
      </c>
      <c r="D95">
        <v>7.4999999999999997E-2</v>
      </c>
      <c r="E95" t="s">
        <v>6</v>
      </c>
      <c r="F95">
        <v>0.15439</v>
      </c>
      <c r="I95">
        <v>7.7000000000000001E-5</v>
      </c>
    </row>
    <row r="96" spans="1:9" x14ac:dyDescent="0.3">
      <c r="A96" t="s">
        <v>5</v>
      </c>
      <c r="B96" s="1">
        <v>45661</v>
      </c>
      <c r="C96">
        <v>23</v>
      </c>
      <c r="D96">
        <v>6.3E-2</v>
      </c>
      <c r="E96" t="s">
        <v>6</v>
      </c>
      <c r="F96">
        <v>0.15045</v>
      </c>
      <c r="I96">
        <v>8.0000000000000007E-5</v>
      </c>
    </row>
    <row r="97" spans="1:9" x14ac:dyDescent="0.3">
      <c r="A97" t="s">
        <v>5</v>
      </c>
      <c r="B97" s="1">
        <v>45661</v>
      </c>
      <c r="C97">
        <v>24</v>
      </c>
      <c r="D97">
        <v>0.06</v>
      </c>
      <c r="E97" t="s">
        <v>6</v>
      </c>
      <c r="F97">
        <v>0.14383000000000001</v>
      </c>
      <c r="I97">
        <v>9.1000000000000003E-5</v>
      </c>
    </row>
    <row r="98" spans="1:9" x14ac:dyDescent="0.3">
      <c r="A98" t="s">
        <v>5</v>
      </c>
      <c r="B98" s="1">
        <v>45662</v>
      </c>
      <c r="C98">
        <v>1</v>
      </c>
      <c r="D98">
        <v>7.6999999999999999E-2</v>
      </c>
      <c r="E98" t="s">
        <v>6</v>
      </c>
      <c r="F98">
        <v>0.16202</v>
      </c>
      <c r="I98">
        <v>9.5000000000000005E-5</v>
      </c>
    </row>
    <row r="99" spans="1:9" x14ac:dyDescent="0.3">
      <c r="A99" t="s">
        <v>5</v>
      </c>
      <c r="B99" s="1">
        <v>45662</v>
      </c>
      <c r="C99">
        <v>2</v>
      </c>
      <c r="D99">
        <v>6.0999999999999999E-2</v>
      </c>
      <c r="E99" t="s">
        <v>6</v>
      </c>
      <c r="F99">
        <v>0.13150000000000001</v>
      </c>
      <c r="I99">
        <v>9.5000000000000005E-5</v>
      </c>
    </row>
    <row r="100" spans="1:9" x14ac:dyDescent="0.3">
      <c r="A100" t="s">
        <v>5</v>
      </c>
      <c r="B100" s="1">
        <v>45662</v>
      </c>
      <c r="C100">
        <v>3</v>
      </c>
      <c r="D100">
        <v>0.06</v>
      </c>
      <c r="E100" t="s">
        <v>6</v>
      </c>
      <c r="F100">
        <v>0.12795000000000001</v>
      </c>
      <c r="I100">
        <v>9.3999999999999994E-5</v>
      </c>
    </row>
    <row r="101" spans="1:9" x14ac:dyDescent="0.3">
      <c r="A101" t="s">
        <v>5</v>
      </c>
      <c r="B101" s="1">
        <v>45662</v>
      </c>
      <c r="C101">
        <v>4</v>
      </c>
      <c r="D101">
        <v>7.8E-2</v>
      </c>
      <c r="E101" t="s">
        <v>6</v>
      </c>
      <c r="F101">
        <v>0.11012999999999999</v>
      </c>
      <c r="I101">
        <v>8.1000000000000004E-5</v>
      </c>
    </row>
    <row r="102" spans="1:9" x14ac:dyDescent="0.3">
      <c r="A102" t="s">
        <v>5</v>
      </c>
      <c r="B102" s="1">
        <v>45662</v>
      </c>
      <c r="C102">
        <v>5</v>
      </c>
      <c r="D102">
        <v>0.06</v>
      </c>
      <c r="E102" t="s">
        <v>6</v>
      </c>
      <c r="F102">
        <v>0.10735</v>
      </c>
      <c r="I102">
        <v>8.599999999999999E-5</v>
      </c>
    </row>
    <row r="103" spans="1:9" x14ac:dyDescent="0.3">
      <c r="A103" t="s">
        <v>5</v>
      </c>
      <c r="B103" s="1">
        <v>45662</v>
      </c>
      <c r="C103">
        <v>6</v>
      </c>
      <c r="D103">
        <v>5.8999999999999997E-2</v>
      </c>
      <c r="E103" t="s">
        <v>6</v>
      </c>
      <c r="F103">
        <v>9.8799999999999999E-2</v>
      </c>
      <c r="I103">
        <v>1.0399999999999999E-4</v>
      </c>
    </row>
    <row r="104" spans="1:9" x14ac:dyDescent="0.3">
      <c r="A104" t="s">
        <v>5</v>
      </c>
      <c r="B104" s="1">
        <v>45662</v>
      </c>
      <c r="C104">
        <v>7</v>
      </c>
      <c r="D104">
        <v>7.9000000000000001E-2</v>
      </c>
      <c r="E104" t="s">
        <v>6</v>
      </c>
      <c r="F104">
        <v>9.4340000000000007E-2</v>
      </c>
      <c r="I104">
        <v>1.02E-4</v>
      </c>
    </row>
    <row r="105" spans="1:9" x14ac:dyDescent="0.3">
      <c r="A105" t="s">
        <v>5</v>
      </c>
      <c r="B105" s="1">
        <v>45662</v>
      </c>
      <c r="C105">
        <v>8</v>
      </c>
      <c r="D105">
        <v>5.8999999999999997E-2</v>
      </c>
      <c r="E105" t="s">
        <v>6</v>
      </c>
      <c r="F105">
        <v>0.10338</v>
      </c>
      <c r="I105">
        <v>8.599999999999999E-5</v>
      </c>
    </row>
    <row r="106" spans="1:9" x14ac:dyDescent="0.3">
      <c r="A106" t="s">
        <v>5</v>
      </c>
      <c r="B106" s="1">
        <v>45662</v>
      </c>
      <c r="C106">
        <v>9</v>
      </c>
      <c r="D106">
        <v>5.8999999999999997E-2</v>
      </c>
      <c r="E106" t="s">
        <v>6</v>
      </c>
      <c r="F106">
        <v>0.10773000000000001</v>
      </c>
      <c r="I106">
        <v>7.4999999999999993E-5</v>
      </c>
    </row>
    <row r="107" spans="1:9" x14ac:dyDescent="0.3">
      <c r="A107" t="s">
        <v>5</v>
      </c>
      <c r="B107" s="1">
        <v>45662</v>
      </c>
      <c r="C107">
        <v>10</v>
      </c>
      <c r="D107">
        <v>7.9000000000000001E-2</v>
      </c>
      <c r="E107" t="s">
        <v>6</v>
      </c>
      <c r="F107">
        <v>0.16372999999999999</v>
      </c>
      <c r="I107">
        <v>7.1999999999999988E-5</v>
      </c>
    </row>
    <row r="108" spans="1:9" x14ac:dyDescent="0.3">
      <c r="A108" t="s">
        <v>5</v>
      </c>
      <c r="B108" s="1">
        <v>45662</v>
      </c>
      <c r="C108">
        <v>11</v>
      </c>
      <c r="D108">
        <v>5.8999999999999997E-2</v>
      </c>
      <c r="E108" t="s">
        <v>6</v>
      </c>
      <c r="F108">
        <v>0.1145</v>
      </c>
      <c r="I108">
        <v>8.4000000000000009E-5</v>
      </c>
    </row>
    <row r="109" spans="1:9" x14ac:dyDescent="0.3">
      <c r="A109" t="s">
        <v>5</v>
      </c>
      <c r="B109" s="1">
        <v>45662</v>
      </c>
      <c r="C109">
        <v>12</v>
      </c>
      <c r="D109">
        <v>5.8000000000000003E-2</v>
      </c>
      <c r="E109" t="s">
        <v>6</v>
      </c>
      <c r="F109">
        <v>8.965999999999999E-2</v>
      </c>
      <c r="I109">
        <v>9.7E-5</v>
      </c>
    </row>
    <row r="110" spans="1:9" x14ac:dyDescent="0.3">
      <c r="A110" t="s">
        <v>5</v>
      </c>
      <c r="B110" s="1">
        <v>45662</v>
      </c>
      <c r="C110">
        <v>13</v>
      </c>
      <c r="D110">
        <v>7.9000000000000001E-2</v>
      </c>
      <c r="E110" t="s">
        <v>6</v>
      </c>
      <c r="F110">
        <v>8.4879999999999997E-2</v>
      </c>
      <c r="I110">
        <v>8.7000000000000001E-5</v>
      </c>
    </row>
    <row r="111" spans="1:9" x14ac:dyDescent="0.3">
      <c r="A111" t="s">
        <v>5</v>
      </c>
      <c r="B111" s="1">
        <v>45662</v>
      </c>
      <c r="C111">
        <v>14</v>
      </c>
      <c r="D111">
        <v>5.8999999999999997E-2</v>
      </c>
      <c r="E111" t="s">
        <v>6</v>
      </c>
      <c r="F111">
        <v>7.392E-2</v>
      </c>
      <c r="I111">
        <v>9.800000000000001E-5</v>
      </c>
    </row>
    <row r="112" spans="1:9" x14ac:dyDescent="0.3">
      <c r="A112" t="s">
        <v>5</v>
      </c>
      <c r="B112" s="1">
        <v>45662</v>
      </c>
      <c r="C112">
        <v>15</v>
      </c>
      <c r="D112">
        <v>0.06</v>
      </c>
      <c r="E112" t="s">
        <v>6</v>
      </c>
      <c r="F112">
        <v>6.787E-2</v>
      </c>
      <c r="I112">
        <v>1E-4</v>
      </c>
    </row>
    <row r="113" spans="1:9" x14ac:dyDescent="0.3">
      <c r="A113" t="s">
        <v>5</v>
      </c>
      <c r="B113" s="1">
        <v>45662</v>
      </c>
      <c r="C113">
        <v>16</v>
      </c>
      <c r="D113">
        <v>7.9000000000000001E-2</v>
      </c>
      <c r="E113" t="s">
        <v>6</v>
      </c>
      <c r="F113">
        <v>6.8849999999999995E-2</v>
      </c>
      <c r="I113">
        <v>9.800000000000001E-5</v>
      </c>
    </row>
    <row r="114" spans="1:9" x14ac:dyDescent="0.3">
      <c r="A114" t="s">
        <v>5</v>
      </c>
      <c r="B114" s="1">
        <v>45662</v>
      </c>
      <c r="C114">
        <v>17</v>
      </c>
      <c r="D114">
        <v>5.8999999999999997E-2</v>
      </c>
      <c r="E114" t="s">
        <v>6</v>
      </c>
      <c r="F114">
        <v>0.10296</v>
      </c>
      <c r="I114">
        <v>8.599999999999999E-5</v>
      </c>
    </row>
    <row r="115" spans="1:9" x14ac:dyDescent="0.3">
      <c r="A115" t="s">
        <v>5</v>
      </c>
      <c r="B115" s="1">
        <v>45662</v>
      </c>
      <c r="C115">
        <v>18</v>
      </c>
      <c r="D115">
        <v>0.06</v>
      </c>
      <c r="E115" t="s">
        <v>6</v>
      </c>
      <c r="F115">
        <v>0.10651999999999999</v>
      </c>
      <c r="I115">
        <v>8.7000000000000001E-5</v>
      </c>
    </row>
    <row r="116" spans="1:9" x14ac:dyDescent="0.3">
      <c r="A116" t="s">
        <v>5</v>
      </c>
      <c r="B116" s="1">
        <v>45662</v>
      </c>
      <c r="C116">
        <v>19</v>
      </c>
      <c r="D116">
        <v>7.9000000000000001E-2</v>
      </c>
      <c r="E116" t="s">
        <v>6</v>
      </c>
      <c r="F116">
        <v>0.10912000000000001</v>
      </c>
      <c r="I116">
        <v>9.2E-5</v>
      </c>
    </row>
    <row r="117" spans="1:9" x14ac:dyDescent="0.3">
      <c r="A117" t="s">
        <v>5</v>
      </c>
      <c r="B117" s="1">
        <v>45662</v>
      </c>
      <c r="C117">
        <v>20</v>
      </c>
      <c r="D117">
        <v>5.8999999999999997E-2</v>
      </c>
      <c r="E117" t="s">
        <v>6</v>
      </c>
      <c r="F117">
        <v>0.10745</v>
      </c>
      <c r="I117">
        <v>7.0999999999999991E-5</v>
      </c>
    </row>
    <row r="118" spans="1:9" x14ac:dyDescent="0.3">
      <c r="A118" t="s">
        <v>5</v>
      </c>
      <c r="B118" s="1">
        <v>45662</v>
      </c>
      <c r="C118">
        <v>21</v>
      </c>
      <c r="D118">
        <v>5.8999999999999997E-2</v>
      </c>
      <c r="E118" t="s">
        <v>6</v>
      </c>
      <c r="F118">
        <v>0.10773999999999999</v>
      </c>
      <c r="I118">
        <v>9.2999999999999997E-5</v>
      </c>
    </row>
    <row r="119" spans="1:9" x14ac:dyDescent="0.3">
      <c r="A119" t="s">
        <v>5</v>
      </c>
      <c r="B119" s="1">
        <v>45662</v>
      </c>
      <c r="C119">
        <v>22</v>
      </c>
      <c r="D119">
        <v>7.9000000000000001E-2</v>
      </c>
      <c r="E119" t="s">
        <v>6</v>
      </c>
      <c r="F119">
        <v>0.11539000000000001</v>
      </c>
      <c r="I119">
        <v>1.3000000000000002E-4</v>
      </c>
    </row>
    <row r="120" spans="1:9" x14ac:dyDescent="0.3">
      <c r="A120" t="s">
        <v>5</v>
      </c>
      <c r="B120" s="1">
        <v>45662</v>
      </c>
      <c r="C120">
        <v>23</v>
      </c>
      <c r="D120">
        <v>5.8999999999999997E-2</v>
      </c>
      <c r="E120" t="s">
        <v>6</v>
      </c>
      <c r="F120">
        <v>0.10382</v>
      </c>
      <c r="I120">
        <v>1.7199999999999998E-4</v>
      </c>
    </row>
    <row r="121" spans="1:9" x14ac:dyDescent="0.3">
      <c r="A121" t="s">
        <v>5</v>
      </c>
      <c r="B121" s="1">
        <v>45662</v>
      </c>
      <c r="C121">
        <v>24</v>
      </c>
      <c r="D121">
        <v>0.06</v>
      </c>
      <c r="E121" t="s">
        <v>6</v>
      </c>
      <c r="F121">
        <v>8.5269999999999999E-2</v>
      </c>
      <c r="I121">
        <v>1.12E-4</v>
      </c>
    </row>
    <row r="122" spans="1:9" x14ac:dyDescent="0.3">
      <c r="A122" t="s">
        <v>5</v>
      </c>
      <c r="B122" s="1">
        <v>45663</v>
      </c>
      <c r="C122">
        <v>1</v>
      </c>
      <c r="D122">
        <v>7.9000000000000001E-2</v>
      </c>
      <c r="E122" t="s">
        <v>6</v>
      </c>
      <c r="F122">
        <v>6.8860000000000005E-2</v>
      </c>
      <c r="I122">
        <v>1.21E-4</v>
      </c>
    </row>
    <row r="123" spans="1:9" x14ac:dyDescent="0.3">
      <c r="A123" t="s">
        <v>5</v>
      </c>
      <c r="B123" s="1">
        <v>45663</v>
      </c>
      <c r="C123">
        <v>2</v>
      </c>
      <c r="D123">
        <v>5.8999999999999997E-2</v>
      </c>
      <c r="E123" t="s">
        <v>6</v>
      </c>
      <c r="F123">
        <v>6.6400000000000001E-2</v>
      </c>
      <c r="I123">
        <v>1.25E-4</v>
      </c>
    </row>
    <row r="124" spans="1:9" x14ac:dyDescent="0.3">
      <c r="A124" t="s">
        <v>5</v>
      </c>
      <c r="B124" s="1">
        <v>45663</v>
      </c>
      <c r="C124">
        <v>3</v>
      </c>
      <c r="D124">
        <v>0.06</v>
      </c>
      <c r="E124" t="s">
        <v>6</v>
      </c>
      <c r="F124">
        <v>6.4840000000000009E-2</v>
      </c>
      <c r="I124">
        <v>1.3000000000000002E-4</v>
      </c>
    </row>
    <row r="125" spans="1:9" x14ac:dyDescent="0.3">
      <c r="A125" t="s">
        <v>5</v>
      </c>
      <c r="B125" s="1">
        <v>45663</v>
      </c>
      <c r="C125">
        <v>4</v>
      </c>
      <c r="D125">
        <v>7.9000000000000001E-2</v>
      </c>
      <c r="E125" t="s">
        <v>6</v>
      </c>
      <c r="F125">
        <v>6.411E-2</v>
      </c>
      <c r="I125">
        <v>1.27E-4</v>
      </c>
    </row>
    <row r="126" spans="1:9" x14ac:dyDescent="0.3">
      <c r="A126" t="s">
        <v>5</v>
      </c>
      <c r="B126" s="1">
        <v>45663</v>
      </c>
      <c r="C126">
        <v>5</v>
      </c>
      <c r="D126">
        <v>5.8999999999999997E-2</v>
      </c>
      <c r="E126" t="s">
        <v>6</v>
      </c>
      <c r="F126">
        <v>6.5349999999999991E-2</v>
      </c>
      <c r="I126">
        <v>1.07E-4</v>
      </c>
    </row>
    <row r="127" spans="1:9" x14ac:dyDescent="0.3">
      <c r="A127" t="s">
        <v>5</v>
      </c>
      <c r="B127" s="1">
        <v>45663</v>
      </c>
      <c r="C127">
        <v>6</v>
      </c>
      <c r="D127">
        <v>5.8999999999999997E-2</v>
      </c>
      <c r="E127" t="s">
        <v>6</v>
      </c>
      <c r="F127">
        <v>6.8879999999999997E-2</v>
      </c>
      <c r="I127">
        <v>1.03E-4</v>
      </c>
    </row>
    <row r="128" spans="1:9" x14ac:dyDescent="0.3">
      <c r="A128" t="s">
        <v>5</v>
      </c>
      <c r="B128" s="1">
        <v>45663</v>
      </c>
      <c r="C128">
        <v>7</v>
      </c>
      <c r="D128">
        <v>7.8E-2</v>
      </c>
      <c r="E128" t="s">
        <v>6</v>
      </c>
      <c r="F128">
        <v>7.3999999999999996E-2</v>
      </c>
      <c r="I128">
        <v>1E-4</v>
      </c>
    </row>
    <row r="129" spans="1:9" x14ac:dyDescent="0.3">
      <c r="A129" t="s">
        <v>5</v>
      </c>
      <c r="B129" s="1">
        <v>45663</v>
      </c>
      <c r="C129">
        <v>8</v>
      </c>
      <c r="D129">
        <v>0.06</v>
      </c>
      <c r="E129" t="s">
        <v>6</v>
      </c>
      <c r="F129">
        <v>0.10268000000000001</v>
      </c>
      <c r="I129">
        <v>1.12E-4</v>
      </c>
    </row>
    <row r="130" spans="1:9" x14ac:dyDescent="0.3">
      <c r="A130" t="s">
        <v>5</v>
      </c>
      <c r="B130" s="1">
        <v>45663</v>
      </c>
      <c r="C130">
        <v>9</v>
      </c>
      <c r="D130">
        <v>5.8999999999999997E-2</v>
      </c>
      <c r="E130" t="s">
        <v>6</v>
      </c>
      <c r="F130">
        <v>0.12079000000000001</v>
      </c>
      <c r="I130">
        <v>1.0499999999999999E-4</v>
      </c>
    </row>
    <row r="131" spans="1:9" x14ac:dyDescent="0.3">
      <c r="A131" t="s">
        <v>5</v>
      </c>
      <c r="B131" s="1">
        <v>45663</v>
      </c>
      <c r="C131">
        <v>10</v>
      </c>
      <c r="D131">
        <v>7.6999999999999999E-2</v>
      </c>
      <c r="E131" t="s">
        <v>6</v>
      </c>
      <c r="F131">
        <v>0.12001000000000001</v>
      </c>
      <c r="I131">
        <v>1.02E-4</v>
      </c>
    </row>
    <row r="132" spans="1:9" x14ac:dyDescent="0.3">
      <c r="A132" t="s">
        <v>5</v>
      </c>
      <c r="B132" s="1">
        <v>45663</v>
      </c>
      <c r="C132">
        <v>11</v>
      </c>
      <c r="D132">
        <v>6.0999999999999999E-2</v>
      </c>
      <c r="E132" t="s">
        <v>6</v>
      </c>
      <c r="F132">
        <v>9.5090000000000008E-2</v>
      </c>
      <c r="I132">
        <v>1.07E-4</v>
      </c>
    </row>
    <row r="133" spans="1:9" x14ac:dyDescent="0.3">
      <c r="A133" t="s">
        <v>5</v>
      </c>
      <c r="B133" s="1">
        <v>45663</v>
      </c>
      <c r="C133">
        <v>12</v>
      </c>
      <c r="D133">
        <v>5.8999999999999997E-2</v>
      </c>
      <c r="E133" t="s">
        <v>6</v>
      </c>
      <c r="F133">
        <v>8.020999999999999E-2</v>
      </c>
      <c r="I133">
        <v>1.02E-4</v>
      </c>
    </row>
    <row r="134" spans="1:9" x14ac:dyDescent="0.3">
      <c r="A134" t="s">
        <v>5</v>
      </c>
      <c r="B134" s="1">
        <v>45663</v>
      </c>
      <c r="C134">
        <v>13</v>
      </c>
      <c r="D134">
        <v>0.112</v>
      </c>
      <c r="E134" t="s">
        <v>6</v>
      </c>
      <c r="F134">
        <v>7.2300000000000003E-2</v>
      </c>
      <c r="I134">
        <v>1.12E-4</v>
      </c>
    </row>
    <row r="135" spans="1:9" x14ac:dyDescent="0.3">
      <c r="A135" t="s">
        <v>5</v>
      </c>
      <c r="B135" s="1">
        <v>45663</v>
      </c>
      <c r="C135">
        <v>14</v>
      </c>
      <c r="D135">
        <v>0.13300000000000001</v>
      </c>
      <c r="E135" t="s">
        <v>6</v>
      </c>
      <c r="F135">
        <v>6.2789999999999999E-2</v>
      </c>
      <c r="I135">
        <v>1.0499999999999999E-4</v>
      </c>
    </row>
    <row r="136" spans="1:9" x14ac:dyDescent="0.3">
      <c r="A136" t="s">
        <v>5</v>
      </c>
      <c r="B136" s="1">
        <v>45663</v>
      </c>
      <c r="C136">
        <v>15</v>
      </c>
      <c r="D136">
        <v>0.06</v>
      </c>
      <c r="E136" t="s">
        <v>6</v>
      </c>
      <c r="F136">
        <v>5.1549999999999999E-2</v>
      </c>
      <c r="I136">
        <v>8.8999999999999995E-5</v>
      </c>
    </row>
    <row r="137" spans="1:9" x14ac:dyDescent="0.3">
      <c r="A137" t="s">
        <v>5</v>
      </c>
      <c r="B137" s="1">
        <v>45663</v>
      </c>
      <c r="C137">
        <v>16</v>
      </c>
      <c r="D137">
        <v>7.4999999999999997E-2</v>
      </c>
      <c r="E137" t="s">
        <v>6</v>
      </c>
      <c r="F137">
        <v>5.2399999999999995E-2</v>
      </c>
      <c r="I137">
        <v>8.4000000000000009E-5</v>
      </c>
    </row>
    <row r="138" spans="1:9" x14ac:dyDescent="0.3">
      <c r="A138" t="s">
        <v>5</v>
      </c>
      <c r="B138" s="1">
        <v>45663</v>
      </c>
      <c r="C138">
        <v>17</v>
      </c>
      <c r="D138">
        <v>6.5000000000000002E-2</v>
      </c>
      <c r="E138" t="s">
        <v>6</v>
      </c>
      <c r="F138">
        <v>9.2049999999999993E-2</v>
      </c>
      <c r="I138">
        <v>1.0399999999999999E-4</v>
      </c>
    </row>
    <row r="139" spans="1:9" x14ac:dyDescent="0.3">
      <c r="A139" t="s">
        <v>5</v>
      </c>
      <c r="B139" s="1">
        <v>45663</v>
      </c>
      <c r="C139">
        <v>18</v>
      </c>
      <c r="D139">
        <v>5.8000000000000003E-2</v>
      </c>
      <c r="E139" t="s">
        <v>6</v>
      </c>
      <c r="F139">
        <v>0.12512000000000001</v>
      </c>
      <c r="I139">
        <v>1.02E-4</v>
      </c>
    </row>
    <row r="140" spans="1:9" x14ac:dyDescent="0.3">
      <c r="A140" t="s">
        <v>5</v>
      </c>
      <c r="B140" s="1">
        <v>45663</v>
      </c>
      <c r="C140">
        <v>19</v>
      </c>
      <c r="D140">
        <v>0.185</v>
      </c>
      <c r="E140" t="s">
        <v>6</v>
      </c>
      <c r="F140">
        <v>0.1454</v>
      </c>
      <c r="I140">
        <v>9.9000000000000008E-5</v>
      </c>
    </row>
    <row r="141" spans="1:9" x14ac:dyDescent="0.3">
      <c r="A141" t="s">
        <v>5</v>
      </c>
      <c r="B141" s="1">
        <v>45663</v>
      </c>
      <c r="C141">
        <v>20</v>
      </c>
      <c r="D141">
        <v>0.224</v>
      </c>
      <c r="E141" t="s">
        <v>6</v>
      </c>
      <c r="F141">
        <v>0.16563999999999998</v>
      </c>
      <c r="I141">
        <v>9.2E-5</v>
      </c>
    </row>
    <row r="142" spans="1:9" x14ac:dyDescent="0.3">
      <c r="A142" t="s">
        <v>5</v>
      </c>
      <c r="B142" s="1">
        <v>45663</v>
      </c>
      <c r="C142">
        <v>21</v>
      </c>
      <c r="D142">
        <v>0.19900000000000001</v>
      </c>
      <c r="E142" t="s">
        <v>6</v>
      </c>
      <c r="F142">
        <v>0.17299</v>
      </c>
      <c r="I142">
        <v>9.2999999999999997E-5</v>
      </c>
    </row>
    <row r="143" spans="1:9" x14ac:dyDescent="0.3">
      <c r="A143" t="s">
        <v>5</v>
      </c>
      <c r="B143" s="1">
        <v>45663</v>
      </c>
      <c r="C143">
        <v>22</v>
      </c>
      <c r="D143">
        <v>0.22700000000000001</v>
      </c>
      <c r="E143" t="s">
        <v>6</v>
      </c>
      <c r="F143">
        <v>0.17923</v>
      </c>
      <c r="I143">
        <v>8.1000000000000004E-5</v>
      </c>
    </row>
    <row r="144" spans="1:9" x14ac:dyDescent="0.3">
      <c r="A144" t="s">
        <v>5</v>
      </c>
      <c r="B144" s="1">
        <v>45663</v>
      </c>
      <c r="C144">
        <v>23</v>
      </c>
      <c r="D144">
        <v>0.22700000000000001</v>
      </c>
      <c r="E144" t="s">
        <v>6</v>
      </c>
      <c r="F144">
        <v>0.16600000000000001</v>
      </c>
      <c r="I144">
        <v>7.8999999999999996E-5</v>
      </c>
    </row>
    <row r="145" spans="1:9" x14ac:dyDescent="0.3">
      <c r="A145" t="s">
        <v>5</v>
      </c>
      <c r="B145" s="1">
        <v>45663</v>
      </c>
      <c r="C145">
        <v>24</v>
      </c>
      <c r="D145">
        <v>0.157</v>
      </c>
      <c r="E145" t="s">
        <v>6</v>
      </c>
      <c r="F145">
        <v>0.14848</v>
      </c>
      <c r="I145">
        <v>9.2999999999999997E-5</v>
      </c>
    </row>
    <row r="146" spans="1:9" x14ac:dyDescent="0.3">
      <c r="A146" t="s">
        <v>5</v>
      </c>
      <c r="B146" s="1">
        <v>45664</v>
      </c>
      <c r="C146">
        <v>1</v>
      </c>
      <c r="D146">
        <v>0.38800000000000001</v>
      </c>
      <c r="E146" t="s">
        <v>6</v>
      </c>
      <c r="F146">
        <v>0.11899999999999999</v>
      </c>
      <c r="I146">
        <v>1.1E-4</v>
      </c>
    </row>
    <row r="147" spans="1:9" x14ac:dyDescent="0.3">
      <c r="A147" t="s">
        <v>5</v>
      </c>
      <c r="B147" s="1">
        <v>45664</v>
      </c>
      <c r="C147">
        <v>2</v>
      </c>
      <c r="D147">
        <v>7.9000000000000001E-2</v>
      </c>
      <c r="E147" t="s">
        <v>6</v>
      </c>
      <c r="F147">
        <v>0.11242000000000001</v>
      </c>
      <c r="I147">
        <v>9.6000000000000002E-5</v>
      </c>
    </row>
    <row r="148" spans="1:9" x14ac:dyDescent="0.3">
      <c r="A148" t="s">
        <v>5</v>
      </c>
      <c r="B148" s="1">
        <v>45664</v>
      </c>
      <c r="C148">
        <v>3</v>
      </c>
      <c r="D148">
        <v>0.109</v>
      </c>
      <c r="E148" t="s">
        <v>6</v>
      </c>
      <c r="F148">
        <v>0.10252</v>
      </c>
      <c r="I148">
        <v>9.7E-5</v>
      </c>
    </row>
    <row r="149" spans="1:9" x14ac:dyDescent="0.3">
      <c r="A149" t="s">
        <v>5</v>
      </c>
      <c r="B149" s="1">
        <v>45664</v>
      </c>
      <c r="C149">
        <v>4</v>
      </c>
      <c r="D149">
        <v>8.7999999999999995E-2</v>
      </c>
      <c r="E149" t="s">
        <v>6</v>
      </c>
      <c r="F149">
        <v>8.9889999999999998E-2</v>
      </c>
      <c r="I149">
        <v>9.9000000000000008E-5</v>
      </c>
    </row>
    <row r="150" spans="1:9" x14ac:dyDescent="0.3">
      <c r="A150" t="s">
        <v>5</v>
      </c>
      <c r="B150" s="1">
        <v>45664</v>
      </c>
      <c r="C150">
        <v>5</v>
      </c>
      <c r="D150">
        <v>8.7999999999999995E-2</v>
      </c>
      <c r="E150" t="s">
        <v>6</v>
      </c>
      <c r="F150">
        <v>6.8409999999999999E-2</v>
      </c>
      <c r="I150">
        <v>1.02E-4</v>
      </c>
    </row>
    <row r="151" spans="1:9" x14ac:dyDescent="0.3">
      <c r="A151" t="s">
        <v>5</v>
      </c>
      <c r="B151" s="1">
        <v>45664</v>
      </c>
      <c r="C151">
        <v>6</v>
      </c>
      <c r="D151">
        <v>8.3000000000000004E-2</v>
      </c>
      <c r="E151" t="s">
        <v>6</v>
      </c>
      <c r="F151">
        <v>8.7739999999999999E-2</v>
      </c>
      <c r="I151">
        <v>1.02E-4</v>
      </c>
    </row>
    <row r="152" spans="1:9" x14ac:dyDescent="0.3">
      <c r="A152" t="s">
        <v>5</v>
      </c>
      <c r="B152" s="1">
        <v>45664</v>
      </c>
      <c r="C152">
        <v>7</v>
      </c>
      <c r="D152">
        <v>8.5000000000000006E-2</v>
      </c>
      <c r="E152" t="s">
        <v>6</v>
      </c>
      <c r="F152">
        <v>0.11305</v>
      </c>
      <c r="I152">
        <v>1E-4</v>
      </c>
    </row>
    <row r="153" spans="1:9" x14ac:dyDescent="0.3">
      <c r="A153" t="s">
        <v>5</v>
      </c>
      <c r="B153" s="1">
        <v>45664</v>
      </c>
      <c r="C153">
        <v>8</v>
      </c>
      <c r="D153">
        <v>8.7999999999999995E-2</v>
      </c>
      <c r="E153" t="s">
        <v>6</v>
      </c>
      <c r="F153">
        <v>0.13907</v>
      </c>
      <c r="I153">
        <v>1.02E-4</v>
      </c>
    </row>
    <row r="154" spans="1:9" x14ac:dyDescent="0.3">
      <c r="A154" t="s">
        <v>5</v>
      </c>
      <c r="B154" s="1">
        <v>45664</v>
      </c>
      <c r="C154">
        <v>9</v>
      </c>
      <c r="D154">
        <v>0.186</v>
      </c>
      <c r="E154" t="s">
        <v>6</v>
      </c>
      <c r="F154">
        <v>0.17846000000000001</v>
      </c>
      <c r="I154">
        <v>9.5000000000000005E-5</v>
      </c>
    </row>
    <row r="155" spans="1:9" x14ac:dyDescent="0.3">
      <c r="A155" t="s">
        <v>5</v>
      </c>
      <c r="B155" s="1">
        <v>45664</v>
      </c>
      <c r="C155">
        <v>10</v>
      </c>
      <c r="D155">
        <v>0.109</v>
      </c>
      <c r="E155" t="s">
        <v>6</v>
      </c>
      <c r="F155">
        <v>0.16978000000000001</v>
      </c>
      <c r="I155">
        <v>1.16E-4</v>
      </c>
    </row>
    <row r="156" spans="1:9" x14ac:dyDescent="0.3">
      <c r="A156" t="s">
        <v>5</v>
      </c>
      <c r="B156" s="1">
        <v>45664</v>
      </c>
      <c r="C156">
        <v>11</v>
      </c>
      <c r="D156">
        <v>0.10199999999999999</v>
      </c>
      <c r="E156" t="s">
        <v>6</v>
      </c>
      <c r="F156">
        <v>0.22203999999999999</v>
      </c>
      <c r="I156">
        <v>1.11E-4</v>
      </c>
    </row>
    <row r="157" spans="1:9" x14ac:dyDescent="0.3">
      <c r="A157" t="s">
        <v>5</v>
      </c>
      <c r="B157" s="1">
        <v>45664</v>
      </c>
      <c r="C157">
        <v>12</v>
      </c>
      <c r="D157">
        <v>0.17699999999999999</v>
      </c>
      <c r="E157" t="s">
        <v>6</v>
      </c>
      <c r="F157">
        <v>0.19957</v>
      </c>
      <c r="I157">
        <v>1.1700000000000001E-4</v>
      </c>
    </row>
    <row r="158" spans="1:9" x14ac:dyDescent="0.3">
      <c r="A158" t="s">
        <v>5</v>
      </c>
      <c r="B158" s="1">
        <v>45664</v>
      </c>
      <c r="C158">
        <v>13</v>
      </c>
      <c r="D158">
        <v>0.217</v>
      </c>
      <c r="E158" t="s">
        <v>6</v>
      </c>
      <c r="F158">
        <v>0.19400000000000001</v>
      </c>
      <c r="I158">
        <v>1.1899999999999999E-4</v>
      </c>
    </row>
    <row r="159" spans="1:9" x14ac:dyDescent="0.3">
      <c r="A159" t="s">
        <v>5</v>
      </c>
      <c r="B159" s="1">
        <v>45664</v>
      </c>
      <c r="C159">
        <v>14</v>
      </c>
      <c r="D159">
        <v>0.28199999999999997</v>
      </c>
      <c r="E159" t="s">
        <v>6</v>
      </c>
      <c r="F159">
        <v>0.1923</v>
      </c>
      <c r="I159">
        <v>1.16E-4</v>
      </c>
    </row>
    <row r="160" spans="1:9" x14ac:dyDescent="0.3">
      <c r="A160" t="s">
        <v>5</v>
      </c>
      <c r="B160" s="1">
        <v>45664</v>
      </c>
      <c r="C160">
        <v>15</v>
      </c>
      <c r="D160">
        <v>0.13700000000000001</v>
      </c>
      <c r="E160" t="s">
        <v>6</v>
      </c>
      <c r="F160">
        <v>0.12899000000000002</v>
      </c>
      <c r="I160">
        <v>1.1700000000000001E-4</v>
      </c>
    </row>
    <row r="161" spans="1:9" x14ac:dyDescent="0.3">
      <c r="A161" t="s">
        <v>5</v>
      </c>
      <c r="B161" s="1">
        <v>45664</v>
      </c>
      <c r="C161">
        <v>16</v>
      </c>
      <c r="D161">
        <v>0.182</v>
      </c>
      <c r="E161" t="s">
        <v>6</v>
      </c>
      <c r="F161">
        <v>0.14548</v>
      </c>
      <c r="I161">
        <v>1.1999999999999999E-4</v>
      </c>
    </row>
    <row r="162" spans="1:9" x14ac:dyDescent="0.3">
      <c r="A162" t="s">
        <v>5</v>
      </c>
      <c r="B162" s="1">
        <v>45664</v>
      </c>
      <c r="C162">
        <v>17</v>
      </c>
      <c r="D162">
        <v>0.126</v>
      </c>
      <c r="E162" t="s">
        <v>6</v>
      </c>
      <c r="F162">
        <v>0.16538</v>
      </c>
      <c r="I162">
        <v>1.27E-4</v>
      </c>
    </row>
    <row r="163" spans="1:9" x14ac:dyDescent="0.3">
      <c r="A163" t="s">
        <v>5</v>
      </c>
      <c r="B163" s="1">
        <v>45664</v>
      </c>
      <c r="C163">
        <v>18</v>
      </c>
      <c r="D163">
        <v>0.13500000000000001</v>
      </c>
      <c r="E163" t="s">
        <v>6</v>
      </c>
      <c r="F163">
        <v>0.18040999999999999</v>
      </c>
      <c r="I163">
        <v>1.22E-4</v>
      </c>
    </row>
    <row r="164" spans="1:9" x14ac:dyDescent="0.3">
      <c r="A164" t="s">
        <v>5</v>
      </c>
      <c r="B164" s="1">
        <v>45664</v>
      </c>
      <c r="C164">
        <v>19</v>
      </c>
      <c r="D164">
        <v>0.29699999999999999</v>
      </c>
      <c r="E164" t="s">
        <v>6</v>
      </c>
      <c r="F164">
        <v>0.25924999999999998</v>
      </c>
      <c r="I164">
        <v>1.1899999999999999E-4</v>
      </c>
    </row>
    <row r="165" spans="1:9" x14ac:dyDescent="0.3">
      <c r="A165" t="s">
        <v>5</v>
      </c>
      <c r="B165" s="1">
        <v>45664</v>
      </c>
      <c r="C165">
        <v>20</v>
      </c>
      <c r="D165">
        <v>0.26800000000000002</v>
      </c>
      <c r="E165" t="s">
        <v>6</v>
      </c>
      <c r="F165">
        <v>0.25414999999999999</v>
      </c>
      <c r="I165">
        <v>1.22E-4</v>
      </c>
    </row>
    <row r="166" spans="1:9" x14ac:dyDescent="0.3">
      <c r="A166" t="s">
        <v>5</v>
      </c>
      <c r="B166" s="1">
        <v>45664</v>
      </c>
      <c r="C166">
        <v>21</v>
      </c>
      <c r="D166">
        <v>0.20799999999999999</v>
      </c>
      <c r="E166" t="s">
        <v>6</v>
      </c>
      <c r="F166">
        <v>0.24198</v>
      </c>
      <c r="I166">
        <v>1.1700000000000001E-4</v>
      </c>
    </row>
    <row r="167" spans="1:9" x14ac:dyDescent="0.3">
      <c r="A167" t="s">
        <v>5</v>
      </c>
      <c r="B167" s="1">
        <v>45664</v>
      </c>
      <c r="C167">
        <v>22</v>
      </c>
      <c r="D167">
        <v>0.34499999999999997</v>
      </c>
      <c r="E167" t="s">
        <v>6</v>
      </c>
      <c r="F167">
        <v>0.23913999999999999</v>
      </c>
      <c r="I167">
        <v>9.3999999999999994E-5</v>
      </c>
    </row>
    <row r="168" spans="1:9" x14ac:dyDescent="0.3">
      <c r="A168" t="s">
        <v>5</v>
      </c>
      <c r="B168" s="1">
        <v>45664</v>
      </c>
      <c r="C168">
        <v>23</v>
      </c>
      <c r="D168">
        <v>0.248</v>
      </c>
      <c r="E168" t="s">
        <v>6</v>
      </c>
      <c r="F168">
        <v>0.16119999999999998</v>
      </c>
      <c r="I168">
        <v>1.0499999999999999E-4</v>
      </c>
    </row>
    <row r="169" spans="1:9" x14ac:dyDescent="0.3">
      <c r="A169" t="s">
        <v>5</v>
      </c>
      <c r="B169" s="1">
        <v>45664</v>
      </c>
      <c r="C169">
        <v>24</v>
      </c>
      <c r="D169">
        <v>0.247</v>
      </c>
      <c r="E169" t="s">
        <v>6</v>
      </c>
      <c r="F169">
        <v>0.15415000000000001</v>
      </c>
      <c r="I169">
        <v>1.2300000000000001E-4</v>
      </c>
    </row>
    <row r="170" spans="1:9" x14ac:dyDescent="0.3">
      <c r="A170" t="s">
        <v>5</v>
      </c>
      <c r="B170" s="1">
        <v>45665</v>
      </c>
      <c r="C170">
        <v>1</v>
      </c>
      <c r="D170">
        <v>9.9000000000000005E-2</v>
      </c>
      <c r="E170" t="s">
        <v>6</v>
      </c>
      <c r="F170">
        <v>0.10737999999999999</v>
      </c>
      <c r="I170">
        <v>1.4099999999999998E-4</v>
      </c>
    </row>
    <row r="171" spans="1:9" x14ac:dyDescent="0.3">
      <c r="A171" t="s">
        <v>5</v>
      </c>
      <c r="B171" s="1">
        <v>45665</v>
      </c>
      <c r="C171">
        <v>2</v>
      </c>
      <c r="D171">
        <v>0.115</v>
      </c>
      <c r="E171" t="s">
        <v>6</v>
      </c>
      <c r="F171">
        <v>0.10366</v>
      </c>
      <c r="I171">
        <v>1.4299999999999998E-4</v>
      </c>
    </row>
    <row r="172" spans="1:9" x14ac:dyDescent="0.3">
      <c r="A172" t="s">
        <v>5</v>
      </c>
      <c r="B172" s="1">
        <v>45665</v>
      </c>
      <c r="C172">
        <v>3</v>
      </c>
      <c r="D172">
        <v>9.9000000000000005E-2</v>
      </c>
      <c r="E172" t="s">
        <v>6</v>
      </c>
      <c r="F172">
        <v>9.820000000000001E-2</v>
      </c>
      <c r="I172">
        <v>1.3100000000000001E-4</v>
      </c>
    </row>
    <row r="173" spans="1:9" x14ac:dyDescent="0.3">
      <c r="A173" t="s">
        <v>5</v>
      </c>
      <c r="B173" s="1">
        <v>45665</v>
      </c>
      <c r="C173">
        <v>4</v>
      </c>
      <c r="D173">
        <v>0.1</v>
      </c>
      <c r="E173" t="s">
        <v>6</v>
      </c>
      <c r="F173">
        <v>8.8650000000000007E-2</v>
      </c>
      <c r="I173">
        <v>1.1400000000000001E-4</v>
      </c>
    </row>
    <row r="174" spans="1:9" x14ac:dyDescent="0.3">
      <c r="A174" t="s">
        <v>5</v>
      </c>
      <c r="B174" s="1">
        <v>45665</v>
      </c>
      <c r="C174">
        <v>5</v>
      </c>
      <c r="D174">
        <v>9.6000000000000002E-2</v>
      </c>
      <c r="E174" t="s">
        <v>6</v>
      </c>
      <c r="F174">
        <v>9.6379999999999993E-2</v>
      </c>
      <c r="I174">
        <v>1.03E-4</v>
      </c>
    </row>
    <row r="175" spans="1:9" x14ac:dyDescent="0.3">
      <c r="A175" t="s">
        <v>5</v>
      </c>
      <c r="B175" s="1">
        <v>45665</v>
      </c>
      <c r="C175">
        <v>6</v>
      </c>
      <c r="D175">
        <v>7.9000000000000001E-2</v>
      </c>
      <c r="E175" t="s">
        <v>6</v>
      </c>
      <c r="F175">
        <v>0.10818000000000001</v>
      </c>
      <c r="I175">
        <v>1.0499999999999999E-4</v>
      </c>
    </row>
    <row r="176" spans="1:9" x14ac:dyDescent="0.3">
      <c r="A176" t="s">
        <v>5</v>
      </c>
      <c r="B176" s="1">
        <v>45665</v>
      </c>
      <c r="C176">
        <v>7</v>
      </c>
      <c r="D176">
        <v>0.09</v>
      </c>
      <c r="E176" t="s">
        <v>6</v>
      </c>
      <c r="F176">
        <v>0.13424</v>
      </c>
      <c r="I176">
        <v>1.0499999999999999E-4</v>
      </c>
    </row>
    <row r="177" spans="1:9" x14ac:dyDescent="0.3">
      <c r="A177" t="s">
        <v>5</v>
      </c>
      <c r="B177" s="1">
        <v>45665</v>
      </c>
      <c r="C177">
        <v>8</v>
      </c>
      <c r="D177">
        <v>0.21</v>
      </c>
      <c r="E177" t="s">
        <v>6</v>
      </c>
      <c r="F177">
        <v>0.15853999999999999</v>
      </c>
      <c r="I177">
        <v>1.0499999999999999E-4</v>
      </c>
    </row>
    <row r="178" spans="1:9" x14ac:dyDescent="0.3">
      <c r="A178" t="s">
        <v>5</v>
      </c>
      <c r="B178" s="1">
        <v>45665</v>
      </c>
      <c r="C178">
        <v>9</v>
      </c>
      <c r="D178">
        <v>0.10299999999999999</v>
      </c>
      <c r="E178" t="s">
        <v>6</v>
      </c>
      <c r="F178">
        <v>0.19434999999999999</v>
      </c>
      <c r="I178">
        <v>1.08E-4</v>
      </c>
    </row>
    <row r="179" spans="1:9" x14ac:dyDescent="0.3">
      <c r="A179" t="s">
        <v>5</v>
      </c>
      <c r="B179" s="1">
        <v>45665</v>
      </c>
      <c r="C179">
        <v>10</v>
      </c>
      <c r="D179">
        <v>0.107</v>
      </c>
      <c r="E179" t="s">
        <v>6</v>
      </c>
      <c r="F179">
        <v>0.18888999999999997</v>
      </c>
      <c r="I179">
        <v>1.26E-4</v>
      </c>
    </row>
    <row r="180" spans="1:9" x14ac:dyDescent="0.3">
      <c r="A180" t="s">
        <v>5</v>
      </c>
      <c r="B180" s="1">
        <v>45665</v>
      </c>
      <c r="C180">
        <v>11</v>
      </c>
      <c r="D180">
        <v>0.122</v>
      </c>
      <c r="E180" t="s">
        <v>6</v>
      </c>
      <c r="F180">
        <v>0.23186000000000001</v>
      </c>
      <c r="I180">
        <v>1.18E-4</v>
      </c>
    </row>
    <row r="181" spans="1:9" x14ac:dyDescent="0.3">
      <c r="A181" t="s">
        <v>5</v>
      </c>
      <c r="B181" s="1">
        <v>45665</v>
      </c>
      <c r="C181">
        <v>12</v>
      </c>
      <c r="D181">
        <v>9.2999999999999999E-2</v>
      </c>
      <c r="E181" t="s">
        <v>6</v>
      </c>
      <c r="F181">
        <v>0.22796</v>
      </c>
      <c r="I181">
        <v>1.1899999999999999E-4</v>
      </c>
    </row>
    <row r="182" spans="1:9" x14ac:dyDescent="0.3">
      <c r="A182" t="s">
        <v>5</v>
      </c>
      <c r="B182" s="1">
        <v>45665</v>
      </c>
      <c r="C182">
        <v>13</v>
      </c>
      <c r="D182">
        <v>0.13100000000000001</v>
      </c>
      <c r="E182" t="s">
        <v>6</v>
      </c>
      <c r="F182">
        <v>0.21825</v>
      </c>
      <c r="I182">
        <v>1.4099999999999998E-4</v>
      </c>
    </row>
    <row r="183" spans="1:9" x14ac:dyDescent="0.3">
      <c r="A183" t="s">
        <v>5</v>
      </c>
      <c r="B183" s="1">
        <v>45665</v>
      </c>
      <c r="C183">
        <v>14</v>
      </c>
      <c r="D183">
        <v>0.221</v>
      </c>
      <c r="E183" t="s">
        <v>6</v>
      </c>
      <c r="F183">
        <v>0.20843</v>
      </c>
      <c r="I183">
        <v>1.5300000000000001E-4</v>
      </c>
    </row>
    <row r="184" spans="1:9" x14ac:dyDescent="0.3">
      <c r="A184" t="s">
        <v>5</v>
      </c>
      <c r="B184" s="1">
        <v>45665</v>
      </c>
      <c r="C184">
        <v>15</v>
      </c>
      <c r="D184">
        <v>0.16300000000000001</v>
      </c>
      <c r="E184" t="s">
        <v>6</v>
      </c>
      <c r="F184">
        <v>0.14252000000000001</v>
      </c>
      <c r="I184">
        <v>1.3300000000000001E-4</v>
      </c>
    </row>
    <row r="185" spans="1:9" x14ac:dyDescent="0.3">
      <c r="A185" t="s">
        <v>5</v>
      </c>
      <c r="B185" s="1">
        <v>45665</v>
      </c>
      <c r="C185">
        <v>16</v>
      </c>
      <c r="D185">
        <v>0.14499999999999999</v>
      </c>
      <c r="E185" t="s">
        <v>6</v>
      </c>
      <c r="F185">
        <v>0.14521000000000001</v>
      </c>
      <c r="I185">
        <v>1.1300000000000001E-4</v>
      </c>
    </row>
    <row r="186" spans="1:9" x14ac:dyDescent="0.3">
      <c r="A186" t="s">
        <v>5</v>
      </c>
      <c r="B186" s="1">
        <v>45665</v>
      </c>
      <c r="C186">
        <v>17</v>
      </c>
      <c r="D186">
        <v>7.4999999999999997E-2</v>
      </c>
      <c r="E186" t="s">
        <v>6</v>
      </c>
      <c r="F186">
        <v>0.16097999999999998</v>
      </c>
      <c r="I186">
        <v>1.22E-4</v>
      </c>
    </row>
    <row r="187" spans="1:9" x14ac:dyDescent="0.3">
      <c r="A187" t="s">
        <v>5</v>
      </c>
      <c r="B187" s="1">
        <v>45665</v>
      </c>
      <c r="C187">
        <v>18</v>
      </c>
      <c r="D187">
        <v>8.2000000000000003E-2</v>
      </c>
      <c r="E187" t="s">
        <v>6</v>
      </c>
      <c r="F187">
        <v>0.16761999999999999</v>
      </c>
      <c r="I187">
        <v>1.01E-4</v>
      </c>
    </row>
    <row r="188" spans="1:9" x14ac:dyDescent="0.3">
      <c r="A188" t="s">
        <v>5</v>
      </c>
      <c r="B188" s="1">
        <v>45665</v>
      </c>
      <c r="C188">
        <v>19</v>
      </c>
      <c r="D188">
        <v>9.7000000000000003E-2</v>
      </c>
      <c r="E188" t="s">
        <v>6</v>
      </c>
      <c r="F188">
        <v>0.24409999999999998</v>
      </c>
      <c r="I188">
        <v>1.03E-4</v>
      </c>
    </row>
    <row r="189" spans="1:9" x14ac:dyDescent="0.3">
      <c r="A189" t="s">
        <v>5</v>
      </c>
      <c r="B189" s="1">
        <v>45665</v>
      </c>
      <c r="C189">
        <v>20</v>
      </c>
      <c r="D189">
        <v>0.15</v>
      </c>
      <c r="E189" t="s">
        <v>6</v>
      </c>
      <c r="F189">
        <v>0.25502999999999998</v>
      </c>
      <c r="I189">
        <v>9.800000000000001E-5</v>
      </c>
    </row>
    <row r="190" spans="1:9" x14ac:dyDescent="0.3">
      <c r="A190" t="s">
        <v>5</v>
      </c>
      <c r="B190" s="1">
        <v>45665</v>
      </c>
      <c r="C190">
        <v>21</v>
      </c>
      <c r="D190">
        <v>0.20799999999999999</v>
      </c>
      <c r="E190" t="s">
        <v>6</v>
      </c>
      <c r="F190">
        <v>0.24828999999999998</v>
      </c>
      <c r="I190">
        <v>9.1000000000000003E-5</v>
      </c>
    </row>
    <row r="191" spans="1:9" x14ac:dyDescent="0.3">
      <c r="A191" t="s">
        <v>5</v>
      </c>
      <c r="B191" s="1">
        <v>45665</v>
      </c>
      <c r="C191">
        <v>22</v>
      </c>
      <c r="D191">
        <v>0.14000000000000001</v>
      </c>
      <c r="E191" t="s">
        <v>6</v>
      </c>
      <c r="F191">
        <v>0.23512</v>
      </c>
      <c r="I191">
        <v>1.21E-4</v>
      </c>
    </row>
    <row r="192" spans="1:9" x14ac:dyDescent="0.3">
      <c r="A192" t="s">
        <v>5</v>
      </c>
      <c r="B192" s="1">
        <v>45665</v>
      </c>
      <c r="C192">
        <v>23</v>
      </c>
      <c r="D192">
        <v>0.35499999999999998</v>
      </c>
      <c r="E192" t="s">
        <v>6</v>
      </c>
      <c r="F192">
        <v>0.17021</v>
      </c>
      <c r="I192">
        <v>1.3300000000000001E-4</v>
      </c>
    </row>
    <row r="193" spans="1:9" x14ac:dyDescent="0.3">
      <c r="A193" t="s">
        <v>5</v>
      </c>
      <c r="B193" s="1">
        <v>45665</v>
      </c>
      <c r="C193">
        <v>24</v>
      </c>
      <c r="D193">
        <v>0.82799999999999996</v>
      </c>
      <c r="E193" t="s">
        <v>6</v>
      </c>
      <c r="F193">
        <v>0.15674000000000002</v>
      </c>
      <c r="I193">
        <v>1.18E-4</v>
      </c>
    </row>
    <row r="194" spans="1:9" x14ac:dyDescent="0.3">
      <c r="A194" t="s">
        <v>5</v>
      </c>
      <c r="B194" s="1">
        <v>45666</v>
      </c>
      <c r="C194">
        <v>1</v>
      </c>
      <c r="D194">
        <v>0.35799999999999998</v>
      </c>
      <c r="E194" t="s">
        <v>6</v>
      </c>
      <c r="F194">
        <v>9.4069999999999987E-2</v>
      </c>
      <c r="I194">
        <v>1.1999999999999999E-4</v>
      </c>
    </row>
    <row r="195" spans="1:9" x14ac:dyDescent="0.3">
      <c r="A195" t="s">
        <v>5</v>
      </c>
      <c r="B195" s="1">
        <v>45666</v>
      </c>
      <c r="C195">
        <v>2</v>
      </c>
      <c r="D195">
        <v>0.72799999999999998</v>
      </c>
      <c r="E195" t="s">
        <v>6</v>
      </c>
      <c r="F195">
        <v>8.1119999999999998E-2</v>
      </c>
      <c r="I195">
        <v>1.0899999999999999E-4</v>
      </c>
    </row>
    <row r="196" spans="1:9" x14ac:dyDescent="0.3">
      <c r="A196" t="s">
        <v>5</v>
      </c>
      <c r="B196" s="1">
        <v>45666</v>
      </c>
      <c r="C196">
        <v>3</v>
      </c>
      <c r="D196">
        <v>8.5000000000000006E-2</v>
      </c>
      <c r="E196" t="s">
        <v>6</v>
      </c>
      <c r="F196">
        <v>7.1620000000000003E-2</v>
      </c>
      <c r="I196">
        <v>1.03E-4</v>
      </c>
    </row>
    <row r="197" spans="1:9" x14ac:dyDescent="0.3">
      <c r="A197" t="s">
        <v>5</v>
      </c>
      <c r="B197" s="1">
        <v>45666</v>
      </c>
      <c r="C197">
        <v>4</v>
      </c>
      <c r="D197">
        <v>0.113</v>
      </c>
      <c r="E197" t="s">
        <v>6</v>
      </c>
      <c r="F197">
        <v>5.1249999999999997E-2</v>
      </c>
      <c r="I197">
        <v>1.03E-4</v>
      </c>
    </row>
    <row r="198" spans="1:9" x14ac:dyDescent="0.3">
      <c r="A198" t="s">
        <v>5</v>
      </c>
      <c r="B198" s="1">
        <v>45666</v>
      </c>
      <c r="C198">
        <v>5</v>
      </c>
      <c r="D198">
        <v>0.10199999999999999</v>
      </c>
      <c r="E198" t="s">
        <v>6</v>
      </c>
      <c r="F198">
        <v>3.5139999999999998E-2</v>
      </c>
      <c r="I198">
        <v>1.21E-4</v>
      </c>
    </row>
    <row r="199" spans="1:9" x14ac:dyDescent="0.3">
      <c r="A199" t="s">
        <v>5</v>
      </c>
      <c r="B199" s="1">
        <v>45666</v>
      </c>
      <c r="C199">
        <v>6</v>
      </c>
      <c r="D199">
        <v>8.5999999999999993E-2</v>
      </c>
      <c r="E199" t="s">
        <v>6</v>
      </c>
      <c r="F199">
        <v>5.611E-2</v>
      </c>
      <c r="I199">
        <v>1.27E-4</v>
      </c>
    </row>
    <row r="200" spans="1:9" x14ac:dyDescent="0.3">
      <c r="A200" t="s">
        <v>5</v>
      </c>
      <c r="B200" s="1">
        <v>45666</v>
      </c>
      <c r="C200">
        <v>7</v>
      </c>
      <c r="D200">
        <v>0.115</v>
      </c>
      <c r="E200" t="s">
        <v>6</v>
      </c>
      <c r="F200">
        <v>9.3859999999999999E-2</v>
      </c>
      <c r="I200">
        <v>1.08E-4</v>
      </c>
    </row>
    <row r="201" spans="1:9" x14ac:dyDescent="0.3">
      <c r="A201" t="s">
        <v>5</v>
      </c>
      <c r="B201" s="1">
        <v>45666</v>
      </c>
      <c r="C201">
        <v>8</v>
      </c>
      <c r="D201">
        <v>0.16400000000000001</v>
      </c>
      <c r="E201" t="s">
        <v>6</v>
      </c>
      <c r="F201">
        <v>0.1265</v>
      </c>
      <c r="I201">
        <v>8.5000000000000006E-5</v>
      </c>
    </row>
    <row r="202" spans="1:9" x14ac:dyDescent="0.3">
      <c r="A202" t="s">
        <v>5</v>
      </c>
      <c r="B202" s="1">
        <v>45666</v>
      </c>
      <c r="C202">
        <v>9</v>
      </c>
      <c r="D202">
        <v>0.16800000000000001</v>
      </c>
      <c r="E202" t="s">
        <v>6</v>
      </c>
      <c r="F202">
        <v>0.15925999999999998</v>
      </c>
      <c r="I202">
        <v>8.0000000000000007E-5</v>
      </c>
    </row>
    <row r="203" spans="1:9" x14ac:dyDescent="0.3">
      <c r="A203" t="s">
        <v>5</v>
      </c>
      <c r="B203" s="1">
        <v>45666</v>
      </c>
      <c r="C203">
        <v>10</v>
      </c>
      <c r="D203">
        <v>9.1999999999999998E-2</v>
      </c>
      <c r="E203" t="s">
        <v>6</v>
      </c>
      <c r="F203">
        <v>0.16284000000000001</v>
      </c>
      <c r="I203">
        <v>9.2999999999999997E-5</v>
      </c>
    </row>
    <row r="204" spans="1:9" x14ac:dyDescent="0.3">
      <c r="A204" t="s">
        <v>5</v>
      </c>
      <c r="B204" s="1">
        <v>45666</v>
      </c>
      <c r="C204">
        <v>11</v>
      </c>
      <c r="D204">
        <v>9.9000000000000005E-2</v>
      </c>
      <c r="E204" t="s">
        <v>6</v>
      </c>
      <c r="F204">
        <v>0.22183</v>
      </c>
      <c r="I204">
        <v>1.06E-4</v>
      </c>
    </row>
    <row r="205" spans="1:9" x14ac:dyDescent="0.3">
      <c r="A205" t="s">
        <v>5</v>
      </c>
      <c r="B205" s="1">
        <v>45666</v>
      </c>
      <c r="C205">
        <v>12</v>
      </c>
      <c r="D205">
        <v>0.08</v>
      </c>
      <c r="E205" t="s">
        <v>6</v>
      </c>
      <c r="F205">
        <v>0.21418999999999999</v>
      </c>
      <c r="I205">
        <v>1.11E-4</v>
      </c>
    </row>
    <row r="206" spans="1:9" x14ac:dyDescent="0.3">
      <c r="A206" t="s">
        <v>5</v>
      </c>
      <c r="B206" s="1">
        <v>45666</v>
      </c>
      <c r="C206">
        <v>13</v>
      </c>
      <c r="D206">
        <v>7.8E-2</v>
      </c>
      <c r="E206" t="s">
        <v>6</v>
      </c>
      <c r="F206">
        <v>0.21237</v>
      </c>
      <c r="I206">
        <v>8.8999999999999995E-5</v>
      </c>
    </row>
    <row r="207" spans="1:9" x14ac:dyDescent="0.3">
      <c r="A207" t="s">
        <v>5</v>
      </c>
      <c r="B207" s="1">
        <v>45666</v>
      </c>
      <c r="C207">
        <v>14</v>
      </c>
      <c r="D207">
        <v>0.15</v>
      </c>
      <c r="E207" t="s">
        <v>6</v>
      </c>
      <c r="F207">
        <v>0.20068</v>
      </c>
      <c r="I207">
        <v>8.2999999999999998E-5</v>
      </c>
    </row>
    <row r="208" spans="1:9" x14ac:dyDescent="0.3">
      <c r="A208" t="s">
        <v>5</v>
      </c>
      <c r="B208" s="1">
        <v>45666</v>
      </c>
      <c r="C208">
        <v>15</v>
      </c>
      <c r="D208">
        <v>0.60499999999999998</v>
      </c>
      <c r="E208" t="s">
        <v>6</v>
      </c>
      <c r="F208">
        <v>0.1343</v>
      </c>
      <c r="I208">
        <v>8.2000000000000001E-5</v>
      </c>
    </row>
    <row r="209" spans="1:9" x14ac:dyDescent="0.3">
      <c r="A209" t="s">
        <v>5</v>
      </c>
      <c r="B209" s="1">
        <v>45666</v>
      </c>
      <c r="C209">
        <v>16</v>
      </c>
      <c r="D209">
        <v>0.182</v>
      </c>
      <c r="E209" t="s">
        <v>6</v>
      </c>
      <c r="F209">
        <v>0.14233999999999999</v>
      </c>
      <c r="I209">
        <v>8.7999999999999998E-5</v>
      </c>
    </row>
    <row r="210" spans="1:9" x14ac:dyDescent="0.3">
      <c r="A210" t="s">
        <v>5</v>
      </c>
      <c r="B210" s="1">
        <v>45666</v>
      </c>
      <c r="C210">
        <v>17</v>
      </c>
      <c r="D210">
        <v>0.124</v>
      </c>
      <c r="E210" t="s">
        <v>6</v>
      </c>
      <c r="F210">
        <v>0.17041000000000001</v>
      </c>
      <c r="I210">
        <v>8.1000000000000004E-5</v>
      </c>
    </row>
    <row r="211" spans="1:9" x14ac:dyDescent="0.3">
      <c r="A211" t="s">
        <v>5</v>
      </c>
      <c r="B211" s="1">
        <v>45666</v>
      </c>
      <c r="C211">
        <v>18</v>
      </c>
      <c r="D211">
        <v>0.26600000000000001</v>
      </c>
      <c r="E211" t="s">
        <v>6</v>
      </c>
      <c r="F211">
        <v>0.19205</v>
      </c>
      <c r="I211">
        <v>8.2000000000000001E-5</v>
      </c>
    </row>
    <row r="212" spans="1:9" x14ac:dyDescent="0.3">
      <c r="A212" t="s">
        <v>5</v>
      </c>
      <c r="B212" s="1">
        <v>45666</v>
      </c>
      <c r="C212">
        <v>19</v>
      </c>
      <c r="D212">
        <v>0.124</v>
      </c>
      <c r="E212" t="s">
        <v>6</v>
      </c>
      <c r="F212">
        <v>0.26441999999999999</v>
      </c>
      <c r="I212">
        <v>8.7999999999999998E-5</v>
      </c>
    </row>
    <row r="213" spans="1:9" x14ac:dyDescent="0.3">
      <c r="A213" t="s">
        <v>5</v>
      </c>
      <c r="B213" s="1">
        <v>45666</v>
      </c>
      <c r="C213">
        <v>20</v>
      </c>
      <c r="D213">
        <v>0.17</v>
      </c>
      <c r="E213" t="s">
        <v>6</v>
      </c>
      <c r="F213">
        <v>0.26511000000000001</v>
      </c>
      <c r="I213">
        <v>9.1000000000000003E-5</v>
      </c>
    </row>
    <row r="214" spans="1:9" x14ac:dyDescent="0.3">
      <c r="A214" t="s">
        <v>5</v>
      </c>
      <c r="B214" s="1">
        <v>45666</v>
      </c>
      <c r="C214">
        <v>21</v>
      </c>
      <c r="D214">
        <v>0.17199999999999999</v>
      </c>
      <c r="E214" t="s">
        <v>6</v>
      </c>
      <c r="F214">
        <v>0.27342</v>
      </c>
      <c r="I214">
        <v>9.3999999999999994E-5</v>
      </c>
    </row>
    <row r="215" spans="1:9" x14ac:dyDescent="0.3">
      <c r="A215" t="s">
        <v>5</v>
      </c>
      <c r="B215" s="1">
        <v>45666</v>
      </c>
      <c r="C215">
        <v>22</v>
      </c>
      <c r="D215">
        <v>0.182</v>
      </c>
      <c r="E215" t="s">
        <v>6</v>
      </c>
      <c r="F215">
        <v>0.26698</v>
      </c>
      <c r="I215">
        <v>8.5000000000000006E-5</v>
      </c>
    </row>
    <row r="216" spans="1:9" x14ac:dyDescent="0.3">
      <c r="A216" t="s">
        <v>5</v>
      </c>
      <c r="B216" s="1">
        <v>45666</v>
      </c>
      <c r="C216">
        <v>23</v>
      </c>
      <c r="D216">
        <v>0.105</v>
      </c>
      <c r="E216" t="s">
        <v>6</v>
      </c>
      <c r="F216">
        <v>0.17699000000000001</v>
      </c>
      <c r="I216">
        <v>8.4000000000000009E-5</v>
      </c>
    </row>
    <row r="217" spans="1:9" x14ac:dyDescent="0.3">
      <c r="A217" t="s">
        <v>5</v>
      </c>
      <c r="B217" s="1">
        <v>45666</v>
      </c>
      <c r="C217">
        <v>24</v>
      </c>
      <c r="D217">
        <v>0.13300000000000001</v>
      </c>
      <c r="E217" t="s">
        <v>6</v>
      </c>
      <c r="F217">
        <v>0.16465000000000002</v>
      </c>
      <c r="I217">
        <v>1.02E-4</v>
      </c>
    </row>
    <row r="218" spans="1:9" x14ac:dyDescent="0.3">
      <c r="A218" t="s">
        <v>5</v>
      </c>
      <c r="B218" s="1">
        <v>45667</v>
      </c>
      <c r="C218">
        <v>1</v>
      </c>
      <c r="D218">
        <v>7.5999999999999998E-2</v>
      </c>
      <c r="E218" t="s">
        <v>6</v>
      </c>
      <c r="F218">
        <v>0.13015000000000002</v>
      </c>
      <c r="I218">
        <v>9.1000000000000003E-5</v>
      </c>
    </row>
    <row r="219" spans="1:9" x14ac:dyDescent="0.3">
      <c r="A219" t="s">
        <v>5</v>
      </c>
      <c r="B219" s="1">
        <v>45667</v>
      </c>
      <c r="C219">
        <v>2</v>
      </c>
      <c r="D219">
        <v>0.108</v>
      </c>
      <c r="E219" t="s">
        <v>6</v>
      </c>
      <c r="F219">
        <v>0.11098000000000001</v>
      </c>
      <c r="I219">
        <v>1.12E-4</v>
      </c>
    </row>
    <row r="220" spans="1:9" x14ac:dyDescent="0.3">
      <c r="A220" t="s">
        <v>5</v>
      </c>
      <c r="B220" s="1">
        <v>45667</v>
      </c>
      <c r="C220">
        <v>3</v>
      </c>
      <c r="D220">
        <v>8.8999999999999996E-2</v>
      </c>
      <c r="E220" t="s">
        <v>6</v>
      </c>
      <c r="F220">
        <v>0.10463</v>
      </c>
      <c r="I220">
        <v>1.12E-4</v>
      </c>
    </row>
    <row r="221" spans="1:9" x14ac:dyDescent="0.3">
      <c r="A221" t="s">
        <v>5</v>
      </c>
      <c r="B221" s="1">
        <v>45667</v>
      </c>
      <c r="C221">
        <v>4</v>
      </c>
      <c r="D221">
        <v>6.5000000000000002E-2</v>
      </c>
      <c r="E221" t="s">
        <v>6</v>
      </c>
      <c r="F221">
        <v>0.10016</v>
      </c>
      <c r="I221">
        <v>1.0499999999999999E-4</v>
      </c>
    </row>
    <row r="222" spans="1:9" x14ac:dyDescent="0.3">
      <c r="A222" t="s">
        <v>5</v>
      </c>
      <c r="B222" s="1">
        <v>45667</v>
      </c>
      <c r="C222">
        <v>5</v>
      </c>
      <c r="D222">
        <v>0.112</v>
      </c>
      <c r="E222" t="s">
        <v>6</v>
      </c>
      <c r="F222">
        <v>0.10081999999999999</v>
      </c>
      <c r="I222">
        <v>1.03E-4</v>
      </c>
    </row>
    <row r="223" spans="1:9" x14ac:dyDescent="0.3">
      <c r="A223" t="s">
        <v>5</v>
      </c>
      <c r="B223" s="1">
        <v>45667</v>
      </c>
      <c r="C223">
        <v>6</v>
      </c>
      <c r="D223">
        <v>7.8E-2</v>
      </c>
      <c r="E223" t="s">
        <v>6</v>
      </c>
      <c r="F223">
        <v>0.11634</v>
      </c>
      <c r="I223">
        <v>1.03E-4</v>
      </c>
    </row>
    <row r="224" spans="1:9" x14ac:dyDescent="0.3">
      <c r="A224" t="s">
        <v>5</v>
      </c>
      <c r="B224" s="1">
        <v>45667</v>
      </c>
      <c r="C224">
        <v>7</v>
      </c>
      <c r="D224">
        <v>6.9000000000000006E-2</v>
      </c>
      <c r="E224" t="s">
        <v>6</v>
      </c>
      <c r="F224">
        <v>0.13525000000000001</v>
      </c>
      <c r="I224">
        <v>1.1999999999999999E-4</v>
      </c>
    </row>
    <row r="225" spans="1:9" x14ac:dyDescent="0.3">
      <c r="A225" t="s">
        <v>5</v>
      </c>
      <c r="B225" s="1">
        <v>45667</v>
      </c>
      <c r="C225">
        <v>8</v>
      </c>
      <c r="D225">
        <v>0.153</v>
      </c>
      <c r="E225" t="s">
        <v>6</v>
      </c>
      <c r="F225">
        <v>0.15559999999999999</v>
      </c>
      <c r="I225">
        <v>1.27E-4</v>
      </c>
    </row>
    <row r="226" spans="1:9" x14ac:dyDescent="0.3">
      <c r="A226" t="s">
        <v>5</v>
      </c>
      <c r="B226" s="1">
        <v>45667</v>
      </c>
      <c r="C226">
        <v>9</v>
      </c>
      <c r="D226">
        <v>7.0000000000000007E-2</v>
      </c>
      <c r="E226" t="s">
        <v>6</v>
      </c>
      <c r="F226">
        <v>0.1958</v>
      </c>
      <c r="I226">
        <v>1.27E-4</v>
      </c>
    </row>
    <row r="227" spans="1:9" x14ac:dyDescent="0.3">
      <c r="A227" t="s">
        <v>5</v>
      </c>
      <c r="B227" s="1">
        <v>45667</v>
      </c>
      <c r="C227">
        <v>10</v>
      </c>
      <c r="D227">
        <v>7.0999999999999994E-2</v>
      </c>
      <c r="E227" t="s">
        <v>6</v>
      </c>
      <c r="F227">
        <v>0.19281000000000001</v>
      </c>
      <c r="I227">
        <v>1.2300000000000001E-4</v>
      </c>
    </row>
    <row r="228" spans="1:9" x14ac:dyDescent="0.3">
      <c r="A228" t="s">
        <v>5</v>
      </c>
      <c r="B228" s="1">
        <v>45667</v>
      </c>
      <c r="C228">
        <v>11</v>
      </c>
      <c r="D228">
        <v>0.11</v>
      </c>
      <c r="E228" t="s">
        <v>6</v>
      </c>
      <c r="F228">
        <v>0.24034</v>
      </c>
      <c r="I228">
        <v>1.07E-4</v>
      </c>
    </row>
    <row r="229" spans="1:9" x14ac:dyDescent="0.3">
      <c r="A229" t="s">
        <v>5</v>
      </c>
      <c r="B229" s="1">
        <v>45667</v>
      </c>
      <c r="C229">
        <v>12</v>
      </c>
      <c r="D229">
        <v>6.8000000000000005E-2</v>
      </c>
      <c r="E229" t="s">
        <v>6</v>
      </c>
      <c r="F229">
        <v>0.2291</v>
      </c>
      <c r="I229">
        <v>1.26E-4</v>
      </c>
    </row>
    <row r="230" spans="1:9" x14ac:dyDescent="0.3">
      <c r="A230" t="s">
        <v>5</v>
      </c>
      <c r="B230" s="1">
        <v>45667</v>
      </c>
      <c r="C230">
        <v>13</v>
      </c>
      <c r="D230">
        <v>7.8E-2</v>
      </c>
      <c r="E230" t="s">
        <v>6</v>
      </c>
      <c r="F230">
        <v>0.22213999999999998</v>
      </c>
      <c r="I230">
        <v>1.3000000000000002E-4</v>
      </c>
    </row>
    <row r="231" spans="1:9" x14ac:dyDescent="0.3">
      <c r="A231" t="s">
        <v>5</v>
      </c>
      <c r="B231" s="1">
        <v>45667</v>
      </c>
      <c r="C231">
        <v>14</v>
      </c>
      <c r="D231">
        <v>0.20899999999999999</v>
      </c>
      <c r="E231" t="s">
        <v>6</v>
      </c>
      <c r="F231">
        <v>0.21794999999999998</v>
      </c>
      <c r="I231">
        <v>1.3200000000000001E-4</v>
      </c>
    </row>
    <row r="232" spans="1:9" x14ac:dyDescent="0.3">
      <c r="A232" t="s">
        <v>5</v>
      </c>
      <c r="B232" s="1">
        <v>45667</v>
      </c>
      <c r="C232">
        <v>15</v>
      </c>
      <c r="D232">
        <v>0.104</v>
      </c>
      <c r="E232" t="s">
        <v>6</v>
      </c>
      <c r="F232">
        <v>0.15762999999999999</v>
      </c>
      <c r="I232">
        <v>1.0899999999999999E-4</v>
      </c>
    </row>
    <row r="233" spans="1:9" x14ac:dyDescent="0.3">
      <c r="A233" t="s">
        <v>5</v>
      </c>
      <c r="B233" s="1">
        <v>45667</v>
      </c>
      <c r="C233">
        <v>16</v>
      </c>
      <c r="D233">
        <v>0.17100000000000001</v>
      </c>
      <c r="E233" t="s">
        <v>6</v>
      </c>
      <c r="F233">
        <v>0.16356999999999999</v>
      </c>
      <c r="I233">
        <v>1.02E-4</v>
      </c>
    </row>
    <row r="234" spans="1:9" x14ac:dyDescent="0.3">
      <c r="A234" t="s">
        <v>5</v>
      </c>
      <c r="B234" s="1">
        <v>45667</v>
      </c>
      <c r="C234">
        <v>17</v>
      </c>
      <c r="D234">
        <v>0.318</v>
      </c>
      <c r="E234" t="s">
        <v>6</v>
      </c>
      <c r="F234">
        <v>0.17230999999999999</v>
      </c>
      <c r="I234">
        <v>9.800000000000001E-5</v>
      </c>
    </row>
    <row r="235" spans="1:9" x14ac:dyDescent="0.3">
      <c r="A235" t="s">
        <v>5</v>
      </c>
      <c r="B235" s="1">
        <v>45667</v>
      </c>
      <c r="C235">
        <v>18</v>
      </c>
      <c r="D235">
        <v>0.192</v>
      </c>
      <c r="E235" t="s">
        <v>6</v>
      </c>
      <c r="F235">
        <v>0.18640000000000001</v>
      </c>
      <c r="I235">
        <v>9.9000000000000008E-5</v>
      </c>
    </row>
    <row r="236" spans="1:9" x14ac:dyDescent="0.3">
      <c r="A236" t="s">
        <v>5</v>
      </c>
      <c r="B236" s="1">
        <v>45667</v>
      </c>
      <c r="C236">
        <v>19</v>
      </c>
      <c r="D236">
        <v>8.8999999999999996E-2</v>
      </c>
      <c r="E236" t="s">
        <v>6</v>
      </c>
      <c r="F236">
        <v>0.26533000000000001</v>
      </c>
      <c r="I236">
        <v>1.06E-4</v>
      </c>
    </row>
    <row r="237" spans="1:9" x14ac:dyDescent="0.3">
      <c r="A237" t="s">
        <v>5</v>
      </c>
      <c r="B237" s="1">
        <v>45667</v>
      </c>
      <c r="C237">
        <v>20</v>
      </c>
      <c r="D237">
        <v>0.108</v>
      </c>
      <c r="E237" t="s">
        <v>6</v>
      </c>
      <c r="F237">
        <v>0.26383999999999996</v>
      </c>
      <c r="I237">
        <v>1.16E-4</v>
      </c>
    </row>
    <row r="238" spans="1:9" x14ac:dyDescent="0.3">
      <c r="A238" t="s">
        <v>5</v>
      </c>
      <c r="B238" s="1">
        <v>45667</v>
      </c>
      <c r="C238">
        <v>21</v>
      </c>
      <c r="D238">
        <v>6.8000000000000005E-2</v>
      </c>
      <c r="E238" t="s">
        <v>6</v>
      </c>
      <c r="F238">
        <v>0.25662999999999997</v>
      </c>
      <c r="I238">
        <v>1.2300000000000001E-4</v>
      </c>
    </row>
    <row r="239" spans="1:9" x14ac:dyDescent="0.3">
      <c r="A239" t="s">
        <v>5</v>
      </c>
      <c r="B239" s="1">
        <v>45667</v>
      </c>
      <c r="C239">
        <v>22</v>
      </c>
      <c r="D239">
        <v>0.21299999999999999</v>
      </c>
      <c r="E239" t="s">
        <v>6</v>
      </c>
      <c r="F239">
        <v>0.24295</v>
      </c>
      <c r="I239">
        <v>1.3100000000000001E-4</v>
      </c>
    </row>
    <row r="240" spans="1:9" x14ac:dyDescent="0.3">
      <c r="A240" t="s">
        <v>5</v>
      </c>
      <c r="B240" s="1">
        <v>45667</v>
      </c>
      <c r="C240">
        <v>23</v>
      </c>
      <c r="D240">
        <v>0.17100000000000001</v>
      </c>
      <c r="E240" t="s">
        <v>6</v>
      </c>
      <c r="F240">
        <v>0.1749</v>
      </c>
      <c r="I240">
        <v>1.2899999999999999E-4</v>
      </c>
    </row>
    <row r="241" spans="1:9" x14ac:dyDescent="0.3">
      <c r="A241" t="s">
        <v>5</v>
      </c>
      <c r="B241" s="1">
        <v>45667</v>
      </c>
      <c r="C241">
        <v>24</v>
      </c>
      <c r="D241">
        <v>0.13800000000000001</v>
      </c>
      <c r="E241" t="s">
        <v>6</v>
      </c>
      <c r="F241">
        <v>0.16925999999999999</v>
      </c>
      <c r="I241">
        <v>9.3999999999999994E-5</v>
      </c>
    </row>
    <row r="242" spans="1:9" x14ac:dyDescent="0.3">
      <c r="A242" t="s">
        <v>5</v>
      </c>
      <c r="B242" s="1">
        <v>45668</v>
      </c>
      <c r="C242">
        <v>1</v>
      </c>
      <c r="D242">
        <v>0.11899999999999999</v>
      </c>
      <c r="E242" t="s">
        <v>6</v>
      </c>
      <c r="F242">
        <v>0.15056</v>
      </c>
      <c r="I242">
        <v>8.7000000000000001E-5</v>
      </c>
    </row>
    <row r="243" spans="1:9" x14ac:dyDescent="0.3">
      <c r="A243" t="s">
        <v>5</v>
      </c>
      <c r="B243" s="1">
        <v>45668</v>
      </c>
      <c r="C243">
        <v>2</v>
      </c>
      <c r="D243">
        <v>0.08</v>
      </c>
      <c r="E243" t="s">
        <v>6</v>
      </c>
      <c r="F243">
        <v>0.14083000000000001</v>
      </c>
      <c r="I243">
        <v>9.2E-5</v>
      </c>
    </row>
    <row r="244" spans="1:9" x14ac:dyDescent="0.3">
      <c r="A244" t="s">
        <v>5</v>
      </c>
      <c r="B244" s="1">
        <v>45668</v>
      </c>
      <c r="C244">
        <v>3</v>
      </c>
      <c r="D244">
        <v>8.5999999999999993E-2</v>
      </c>
      <c r="E244" t="s">
        <v>6</v>
      </c>
      <c r="F244">
        <v>0.13888</v>
      </c>
      <c r="I244">
        <v>8.9999999999999992E-5</v>
      </c>
    </row>
    <row r="245" spans="1:9" x14ac:dyDescent="0.3">
      <c r="A245" t="s">
        <v>5</v>
      </c>
      <c r="B245" s="1">
        <v>45668</v>
      </c>
      <c r="C245">
        <v>4</v>
      </c>
      <c r="D245">
        <v>0.1</v>
      </c>
      <c r="E245" t="s">
        <v>6</v>
      </c>
      <c r="F245">
        <v>0.12361</v>
      </c>
      <c r="I245">
        <v>8.599999999999999E-5</v>
      </c>
    </row>
    <row r="246" spans="1:9" x14ac:dyDescent="0.3">
      <c r="A246" t="s">
        <v>5</v>
      </c>
      <c r="B246" s="1">
        <v>45668</v>
      </c>
      <c r="C246">
        <v>5</v>
      </c>
      <c r="D246">
        <v>8.8999999999999996E-2</v>
      </c>
      <c r="E246" t="s">
        <v>6</v>
      </c>
      <c r="F246">
        <v>0.12027</v>
      </c>
      <c r="I246">
        <v>9.2999999999999997E-5</v>
      </c>
    </row>
    <row r="247" spans="1:9" x14ac:dyDescent="0.3">
      <c r="A247" t="s">
        <v>5</v>
      </c>
      <c r="B247" s="1">
        <v>45668</v>
      </c>
      <c r="C247">
        <v>6</v>
      </c>
      <c r="D247">
        <v>8.2000000000000003E-2</v>
      </c>
      <c r="E247" t="s">
        <v>6</v>
      </c>
      <c r="F247">
        <v>0.12461</v>
      </c>
      <c r="I247">
        <v>9.1000000000000003E-5</v>
      </c>
    </row>
    <row r="248" spans="1:9" x14ac:dyDescent="0.3">
      <c r="A248" t="s">
        <v>5</v>
      </c>
      <c r="B248" s="1">
        <v>45668</v>
      </c>
      <c r="C248">
        <v>7</v>
      </c>
      <c r="D248">
        <v>8.8999999999999996E-2</v>
      </c>
      <c r="E248" t="s">
        <v>6</v>
      </c>
      <c r="F248">
        <v>0.13488999999999998</v>
      </c>
      <c r="I248">
        <v>1.02E-4</v>
      </c>
    </row>
    <row r="249" spans="1:9" x14ac:dyDescent="0.3">
      <c r="A249" t="s">
        <v>5</v>
      </c>
      <c r="B249" s="1">
        <v>45668</v>
      </c>
      <c r="C249">
        <v>8</v>
      </c>
      <c r="D249">
        <v>7.9000000000000001E-2</v>
      </c>
      <c r="E249" t="s">
        <v>6</v>
      </c>
      <c r="F249">
        <v>0.11511</v>
      </c>
      <c r="I249">
        <v>9.1000000000000003E-5</v>
      </c>
    </row>
    <row r="250" spans="1:9" x14ac:dyDescent="0.3">
      <c r="A250" t="s">
        <v>5</v>
      </c>
      <c r="B250" s="1">
        <v>45668</v>
      </c>
      <c r="C250">
        <v>9</v>
      </c>
      <c r="D250">
        <v>0.188</v>
      </c>
      <c r="E250" t="s">
        <v>6</v>
      </c>
      <c r="F250">
        <v>0.12711</v>
      </c>
      <c r="I250">
        <v>7.7999999999999999E-5</v>
      </c>
    </row>
    <row r="251" spans="1:9" x14ac:dyDescent="0.3">
      <c r="A251" t="s">
        <v>5</v>
      </c>
      <c r="B251" s="1">
        <v>45668</v>
      </c>
      <c r="C251">
        <v>10</v>
      </c>
      <c r="D251">
        <v>0.16700000000000001</v>
      </c>
      <c r="E251" t="s">
        <v>6</v>
      </c>
      <c r="F251">
        <v>0.14085</v>
      </c>
      <c r="I251">
        <v>9.9000000000000008E-5</v>
      </c>
    </row>
    <row r="252" spans="1:9" x14ac:dyDescent="0.3">
      <c r="A252" t="s">
        <v>5</v>
      </c>
      <c r="B252" s="1">
        <v>45668</v>
      </c>
      <c r="C252">
        <v>11</v>
      </c>
      <c r="D252">
        <v>0.97799999999999998</v>
      </c>
      <c r="E252" t="s">
        <v>6</v>
      </c>
      <c r="F252">
        <v>0.14512</v>
      </c>
      <c r="I252">
        <v>1.0899999999999999E-4</v>
      </c>
    </row>
    <row r="253" spans="1:9" x14ac:dyDescent="0.3">
      <c r="A253" t="s">
        <v>5</v>
      </c>
      <c r="B253" s="1">
        <v>45668</v>
      </c>
      <c r="C253">
        <v>12</v>
      </c>
      <c r="D253">
        <v>0.23599999999999999</v>
      </c>
      <c r="E253" t="s">
        <v>6</v>
      </c>
      <c r="F253">
        <v>0.12010999999999999</v>
      </c>
      <c r="I253">
        <v>9.9000000000000008E-5</v>
      </c>
    </row>
    <row r="254" spans="1:9" x14ac:dyDescent="0.3">
      <c r="A254" t="s">
        <v>5</v>
      </c>
      <c r="B254" s="1">
        <v>45668</v>
      </c>
      <c r="C254">
        <v>13</v>
      </c>
      <c r="D254">
        <v>0.17299999999999999</v>
      </c>
      <c r="E254" t="s">
        <v>6</v>
      </c>
      <c r="F254">
        <v>0.10908</v>
      </c>
      <c r="I254">
        <v>9.1000000000000003E-5</v>
      </c>
    </row>
    <row r="255" spans="1:9" x14ac:dyDescent="0.3">
      <c r="A255" t="s">
        <v>5</v>
      </c>
      <c r="B255" s="1">
        <v>45668</v>
      </c>
      <c r="C255">
        <v>14</v>
      </c>
      <c r="D255">
        <v>0.14899999999999999</v>
      </c>
      <c r="E255" t="s">
        <v>6</v>
      </c>
      <c r="F255">
        <v>9.8949999999999996E-2</v>
      </c>
      <c r="I255">
        <v>9.3999999999999994E-5</v>
      </c>
    </row>
    <row r="256" spans="1:9" x14ac:dyDescent="0.3">
      <c r="A256" t="s">
        <v>5</v>
      </c>
      <c r="B256" s="1">
        <v>45668</v>
      </c>
      <c r="C256">
        <v>15</v>
      </c>
      <c r="D256">
        <v>0.219</v>
      </c>
      <c r="E256" t="s">
        <v>6</v>
      </c>
      <c r="F256">
        <v>9.2290000000000011E-2</v>
      </c>
      <c r="I256">
        <v>1.1E-4</v>
      </c>
    </row>
    <row r="257" spans="1:9" x14ac:dyDescent="0.3">
      <c r="A257" t="s">
        <v>5</v>
      </c>
      <c r="B257" s="1">
        <v>45668</v>
      </c>
      <c r="C257">
        <v>16</v>
      </c>
      <c r="D257">
        <v>0.19500000000000001</v>
      </c>
      <c r="E257" t="s">
        <v>6</v>
      </c>
      <c r="F257">
        <v>8.7319999999999995E-2</v>
      </c>
      <c r="I257">
        <v>1.0899999999999999E-4</v>
      </c>
    </row>
    <row r="258" spans="1:9" x14ac:dyDescent="0.3">
      <c r="A258" t="s">
        <v>5</v>
      </c>
      <c r="B258" s="1">
        <v>45668</v>
      </c>
      <c r="C258">
        <v>17</v>
      </c>
      <c r="D258">
        <v>0.112</v>
      </c>
      <c r="E258" t="s">
        <v>6</v>
      </c>
      <c r="F258">
        <v>0.11331999999999999</v>
      </c>
      <c r="I258">
        <v>1.03E-4</v>
      </c>
    </row>
    <row r="259" spans="1:9" x14ac:dyDescent="0.3">
      <c r="A259" t="s">
        <v>5</v>
      </c>
      <c r="B259" s="1">
        <v>45668</v>
      </c>
      <c r="C259">
        <v>18</v>
      </c>
      <c r="D259">
        <v>0.108</v>
      </c>
      <c r="E259" t="s">
        <v>6</v>
      </c>
      <c r="F259">
        <v>0.15149000000000001</v>
      </c>
      <c r="I259">
        <v>1.0899999999999999E-4</v>
      </c>
    </row>
    <row r="260" spans="1:9" x14ac:dyDescent="0.3">
      <c r="A260" t="s">
        <v>5</v>
      </c>
      <c r="B260" s="1">
        <v>45668</v>
      </c>
      <c r="C260">
        <v>19</v>
      </c>
      <c r="D260">
        <v>0.25</v>
      </c>
      <c r="E260" t="s">
        <v>6</v>
      </c>
      <c r="F260">
        <v>0.15121000000000001</v>
      </c>
      <c r="I260">
        <v>1.2400000000000001E-4</v>
      </c>
    </row>
    <row r="261" spans="1:9" x14ac:dyDescent="0.3">
      <c r="A261" t="s">
        <v>5</v>
      </c>
      <c r="B261" s="1">
        <v>45668</v>
      </c>
      <c r="C261">
        <v>20</v>
      </c>
      <c r="D261">
        <v>0.496</v>
      </c>
      <c r="E261" t="s">
        <v>6</v>
      </c>
      <c r="F261">
        <v>0.15647999999999998</v>
      </c>
      <c r="I261">
        <v>1.4799999999999999E-4</v>
      </c>
    </row>
    <row r="262" spans="1:9" x14ac:dyDescent="0.3">
      <c r="A262" t="s">
        <v>5</v>
      </c>
      <c r="B262" s="1">
        <v>45668</v>
      </c>
      <c r="C262">
        <v>21</v>
      </c>
      <c r="D262">
        <v>0.54700000000000004</v>
      </c>
      <c r="E262" t="s">
        <v>6</v>
      </c>
      <c r="F262">
        <v>0.15228999999999998</v>
      </c>
      <c r="I262">
        <v>1.4799999999999999E-4</v>
      </c>
    </row>
    <row r="263" spans="1:9" x14ac:dyDescent="0.3">
      <c r="A263" t="s">
        <v>5</v>
      </c>
      <c r="B263" s="1">
        <v>45668</v>
      </c>
      <c r="C263">
        <v>22</v>
      </c>
      <c r="D263">
        <v>0.46899999999999997</v>
      </c>
      <c r="E263" t="s">
        <v>6</v>
      </c>
      <c r="F263">
        <v>0.15046999999999999</v>
      </c>
      <c r="I263">
        <v>1.3200000000000001E-4</v>
      </c>
    </row>
    <row r="264" spans="1:9" x14ac:dyDescent="0.3">
      <c r="A264" t="s">
        <v>5</v>
      </c>
      <c r="B264" s="1">
        <v>45668</v>
      </c>
      <c r="C264">
        <v>23</v>
      </c>
      <c r="D264">
        <v>0.45600000000000002</v>
      </c>
      <c r="E264" t="s">
        <v>6</v>
      </c>
      <c r="F264">
        <v>0.14915999999999999</v>
      </c>
      <c r="I264">
        <v>1.08E-4</v>
      </c>
    </row>
    <row r="265" spans="1:9" x14ac:dyDescent="0.3">
      <c r="A265" t="s">
        <v>5</v>
      </c>
      <c r="B265" s="1">
        <v>45668</v>
      </c>
      <c r="C265">
        <v>24</v>
      </c>
      <c r="D265">
        <v>0.21099999999999999</v>
      </c>
      <c r="E265" t="s">
        <v>6</v>
      </c>
      <c r="F265">
        <v>0.14409</v>
      </c>
      <c r="I265">
        <v>1.06E-4</v>
      </c>
    </row>
    <row r="266" spans="1:9" x14ac:dyDescent="0.3">
      <c r="A266" t="s">
        <v>5</v>
      </c>
      <c r="B266" s="1">
        <v>45669</v>
      </c>
      <c r="C266">
        <v>1</v>
      </c>
      <c r="D266">
        <v>0.19</v>
      </c>
      <c r="E266" t="s">
        <v>6</v>
      </c>
      <c r="F266">
        <v>0.16131000000000001</v>
      </c>
      <c r="I266">
        <v>9.5000000000000005E-5</v>
      </c>
    </row>
    <row r="267" spans="1:9" x14ac:dyDescent="0.3">
      <c r="A267" t="s">
        <v>5</v>
      </c>
      <c r="B267" s="1">
        <v>45669</v>
      </c>
      <c r="C267">
        <v>2</v>
      </c>
      <c r="D267">
        <v>0.73399999999999999</v>
      </c>
      <c r="E267" t="s">
        <v>6</v>
      </c>
      <c r="F267">
        <v>0.15092</v>
      </c>
      <c r="I267">
        <v>1E-4</v>
      </c>
    </row>
    <row r="268" spans="1:9" x14ac:dyDescent="0.3">
      <c r="A268" t="s">
        <v>5</v>
      </c>
      <c r="B268" s="1">
        <v>45669</v>
      </c>
      <c r="C268">
        <v>3</v>
      </c>
      <c r="D268">
        <v>0.48299999999999998</v>
      </c>
      <c r="E268" t="s">
        <v>6</v>
      </c>
      <c r="F268">
        <v>0.14526</v>
      </c>
      <c r="I268">
        <v>1.0399999999999999E-4</v>
      </c>
    </row>
    <row r="269" spans="1:9" x14ac:dyDescent="0.3">
      <c r="A269" t="s">
        <v>5</v>
      </c>
      <c r="B269" s="1">
        <v>45669</v>
      </c>
      <c r="C269">
        <v>4</v>
      </c>
      <c r="D269">
        <v>0.69199999999999995</v>
      </c>
      <c r="E269" t="s">
        <v>6</v>
      </c>
      <c r="F269">
        <v>0.1419</v>
      </c>
      <c r="I269">
        <v>1.1999999999999999E-4</v>
      </c>
    </row>
    <row r="270" spans="1:9" x14ac:dyDescent="0.3">
      <c r="A270" t="s">
        <v>5</v>
      </c>
      <c r="B270" s="1">
        <v>45669</v>
      </c>
      <c r="C270">
        <v>5</v>
      </c>
      <c r="D270">
        <v>8.1000000000000003E-2</v>
      </c>
      <c r="E270" t="s">
        <v>6</v>
      </c>
      <c r="F270">
        <v>0.14232</v>
      </c>
      <c r="I270">
        <v>1.4099999999999998E-4</v>
      </c>
    </row>
    <row r="271" spans="1:9" x14ac:dyDescent="0.3">
      <c r="A271" t="s">
        <v>5</v>
      </c>
      <c r="B271" s="1">
        <v>45669</v>
      </c>
      <c r="C271">
        <v>6</v>
      </c>
      <c r="D271">
        <v>6.6000000000000003E-2</v>
      </c>
      <c r="E271" t="s">
        <v>6</v>
      </c>
      <c r="F271">
        <v>0.14183000000000001</v>
      </c>
      <c r="I271">
        <v>1.26E-4</v>
      </c>
    </row>
    <row r="272" spans="1:9" x14ac:dyDescent="0.3">
      <c r="A272" t="s">
        <v>5</v>
      </c>
      <c r="B272" s="1">
        <v>45669</v>
      </c>
      <c r="C272">
        <v>7</v>
      </c>
      <c r="D272">
        <v>0.11899999999999999</v>
      </c>
      <c r="E272" t="s">
        <v>6</v>
      </c>
      <c r="F272">
        <v>0.14087</v>
      </c>
      <c r="I272">
        <v>1.07E-4</v>
      </c>
    </row>
    <row r="273" spans="1:9" x14ac:dyDescent="0.3">
      <c r="A273" t="s">
        <v>5</v>
      </c>
      <c r="B273" s="1">
        <v>45669</v>
      </c>
      <c r="C273">
        <v>8</v>
      </c>
      <c r="D273">
        <v>7.5999999999999998E-2</v>
      </c>
      <c r="E273" t="s">
        <v>6</v>
      </c>
      <c r="F273">
        <v>0.13122</v>
      </c>
      <c r="I273">
        <v>1.0899999999999999E-4</v>
      </c>
    </row>
    <row r="274" spans="1:9" x14ac:dyDescent="0.3">
      <c r="A274" t="s">
        <v>5</v>
      </c>
      <c r="B274" s="1">
        <v>45669</v>
      </c>
      <c r="C274">
        <v>9</v>
      </c>
      <c r="D274">
        <v>8.6999999999999994E-2</v>
      </c>
      <c r="E274" t="s">
        <v>6</v>
      </c>
      <c r="F274">
        <v>0.13350999999999999</v>
      </c>
      <c r="I274">
        <v>1.18E-4</v>
      </c>
    </row>
    <row r="275" spans="1:9" x14ac:dyDescent="0.3">
      <c r="A275" t="s">
        <v>5</v>
      </c>
      <c r="B275" s="1">
        <v>45669</v>
      </c>
      <c r="C275">
        <v>10</v>
      </c>
      <c r="D275">
        <v>9.2999999999999999E-2</v>
      </c>
      <c r="E275" t="s">
        <v>6</v>
      </c>
      <c r="F275">
        <v>0.14490999999999998</v>
      </c>
      <c r="I275">
        <v>1.27E-4</v>
      </c>
    </row>
    <row r="276" spans="1:9" x14ac:dyDescent="0.3">
      <c r="A276" t="s">
        <v>5</v>
      </c>
      <c r="B276" s="1">
        <v>45669</v>
      </c>
      <c r="C276">
        <v>11</v>
      </c>
      <c r="D276">
        <v>6.4000000000000001E-2</v>
      </c>
      <c r="E276" t="s">
        <v>6</v>
      </c>
      <c r="F276">
        <v>7.798999999999999E-2</v>
      </c>
      <c r="I276">
        <v>1.4099999999999998E-4</v>
      </c>
    </row>
    <row r="277" spans="1:9" x14ac:dyDescent="0.3">
      <c r="A277" t="s">
        <v>5</v>
      </c>
      <c r="B277" s="1">
        <v>45669</v>
      </c>
      <c r="C277">
        <v>12</v>
      </c>
      <c r="D277">
        <v>0.16700000000000001</v>
      </c>
      <c r="E277" t="s">
        <v>6</v>
      </c>
      <c r="F277">
        <v>4.0439999999999997E-2</v>
      </c>
      <c r="I277">
        <v>1.47E-4</v>
      </c>
    </row>
    <row r="278" spans="1:9" x14ac:dyDescent="0.3">
      <c r="A278" t="s">
        <v>5</v>
      </c>
      <c r="B278" s="1">
        <v>45669</v>
      </c>
      <c r="C278">
        <v>13</v>
      </c>
      <c r="D278">
        <v>8.4000000000000005E-2</v>
      </c>
      <c r="E278" t="s">
        <v>6</v>
      </c>
      <c r="F278">
        <v>2.9270000000000001E-2</v>
      </c>
      <c r="I278">
        <v>1.06E-4</v>
      </c>
    </row>
    <row r="279" spans="1:9" x14ac:dyDescent="0.3">
      <c r="A279" t="s">
        <v>5</v>
      </c>
      <c r="B279" s="1">
        <v>45669</v>
      </c>
      <c r="C279">
        <v>14</v>
      </c>
      <c r="D279">
        <v>8.8999999999999996E-2</v>
      </c>
      <c r="E279" t="s">
        <v>6</v>
      </c>
      <c r="F279">
        <v>2.93E-2</v>
      </c>
      <c r="I279">
        <v>9.3999999999999994E-5</v>
      </c>
    </row>
    <row r="280" spans="1:9" x14ac:dyDescent="0.3">
      <c r="A280" t="s">
        <v>5</v>
      </c>
      <c r="B280" s="1">
        <v>45669</v>
      </c>
      <c r="C280">
        <v>15</v>
      </c>
      <c r="D280">
        <v>0.20699999999999999</v>
      </c>
      <c r="E280" t="s">
        <v>6</v>
      </c>
      <c r="F280">
        <v>2.8920000000000001E-2</v>
      </c>
      <c r="I280">
        <v>1.3000000000000002E-4</v>
      </c>
    </row>
    <row r="281" spans="1:9" x14ac:dyDescent="0.3">
      <c r="A281" t="s">
        <v>5</v>
      </c>
      <c r="B281" s="1">
        <v>45669</v>
      </c>
      <c r="C281">
        <v>16</v>
      </c>
      <c r="D281">
        <v>0.23400000000000001</v>
      </c>
      <c r="E281" t="s">
        <v>6</v>
      </c>
      <c r="F281">
        <v>2.8750000000000001E-2</v>
      </c>
      <c r="I281">
        <v>1.5300000000000001E-4</v>
      </c>
    </row>
    <row r="282" spans="1:9" x14ac:dyDescent="0.3">
      <c r="A282" t="s">
        <v>5</v>
      </c>
      <c r="B282" s="1">
        <v>45669</v>
      </c>
      <c r="C282">
        <v>17</v>
      </c>
      <c r="D282">
        <v>0.20599999999999999</v>
      </c>
      <c r="E282" t="s">
        <v>6</v>
      </c>
      <c r="F282">
        <v>4.2009999999999999E-2</v>
      </c>
      <c r="I282">
        <v>1.3900000000000002E-4</v>
      </c>
    </row>
    <row r="283" spans="1:9" x14ac:dyDescent="0.3">
      <c r="A283" t="s">
        <v>5</v>
      </c>
      <c r="B283" s="1">
        <v>45669</v>
      </c>
      <c r="C283">
        <v>18</v>
      </c>
      <c r="D283">
        <v>0.27100000000000002</v>
      </c>
      <c r="E283" t="s">
        <v>6</v>
      </c>
      <c r="F283">
        <v>0.13947999999999999</v>
      </c>
      <c r="I283">
        <v>1.06E-4</v>
      </c>
    </row>
    <row r="284" spans="1:9" x14ac:dyDescent="0.3">
      <c r="A284" t="s">
        <v>5</v>
      </c>
      <c r="B284" s="1">
        <v>45669</v>
      </c>
      <c r="C284">
        <v>19</v>
      </c>
      <c r="D284">
        <v>0.255</v>
      </c>
      <c r="E284" t="s">
        <v>6</v>
      </c>
      <c r="F284">
        <v>0.16533</v>
      </c>
      <c r="I284">
        <v>1.0899999999999999E-4</v>
      </c>
    </row>
    <row r="285" spans="1:9" x14ac:dyDescent="0.3">
      <c r="A285" t="s">
        <v>5</v>
      </c>
      <c r="B285" s="1">
        <v>45669</v>
      </c>
      <c r="C285">
        <v>20</v>
      </c>
      <c r="D285">
        <v>0.28899999999999998</v>
      </c>
      <c r="E285" t="s">
        <v>6</v>
      </c>
      <c r="F285">
        <v>0.17293</v>
      </c>
      <c r="I285">
        <v>1.27E-4</v>
      </c>
    </row>
    <row r="286" spans="1:9" x14ac:dyDescent="0.3">
      <c r="A286" t="s">
        <v>5</v>
      </c>
      <c r="B286" s="1">
        <v>45669</v>
      </c>
      <c r="C286">
        <v>21</v>
      </c>
      <c r="D286">
        <v>0.157</v>
      </c>
      <c r="E286" t="s">
        <v>6</v>
      </c>
      <c r="F286">
        <v>0.16944999999999999</v>
      </c>
      <c r="I286">
        <v>1.34E-4</v>
      </c>
    </row>
    <row r="287" spans="1:9" x14ac:dyDescent="0.3">
      <c r="A287" t="s">
        <v>5</v>
      </c>
      <c r="B287" s="1">
        <v>45669</v>
      </c>
      <c r="C287">
        <v>22</v>
      </c>
      <c r="D287">
        <v>7.2999999999999995E-2</v>
      </c>
      <c r="E287" t="s">
        <v>6</v>
      </c>
      <c r="F287">
        <v>0.17424000000000001</v>
      </c>
      <c r="I287">
        <v>1.7699999999999999E-4</v>
      </c>
    </row>
    <row r="288" spans="1:9" x14ac:dyDescent="0.3">
      <c r="A288" t="s">
        <v>5</v>
      </c>
      <c r="B288" s="1">
        <v>45669</v>
      </c>
      <c r="C288">
        <v>23</v>
      </c>
      <c r="D288">
        <v>0.13700000000000001</v>
      </c>
      <c r="E288" t="s">
        <v>6</v>
      </c>
      <c r="F288">
        <v>0.16728999999999999</v>
      </c>
      <c r="I288">
        <v>1.9000000000000001E-4</v>
      </c>
    </row>
    <row r="289" spans="1:9" x14ac:dyDescent="0.3">
      <c r="A289" t="s">
        <v>5</v>
      </c>
      <c r="B289" s="1">
        <v>45669</v>
      </c>
      <c r="C289">
        <v>24</v>
      </c>
      <c r="D289">
        <v>0.32300000000000001</v>
      </c>
      <c r="E289" t="s">
        <v>6</v>
      </c>
      <c r="F289">
        <v>0.16775000000000001</v>
      </c>
      <c r="I289">
        <v>1.92E-4</v>
      </c>
    </row>
    <row r="290" spans="1:9" x14ac:dyDescent="0.3">
      <c r="A290" t="s">
        <v>5</v>
      </c>
      <c r="B290" s="1">
        <v>45670</v>
      </c>
      <c r="C290">
        <v>1</v>
      </c>
      <c r="D290">
        <v>0.55000000000000004</v>
      </c>
      <c r="E290" t="s">
        <v>6</v>
      </c>
      <c r="F290">
        <v>0.14563999999999999</v>
      </c>
      <c r="I290">
        <v>1.92E-4</v>
      </c>
    </row>
    <row r="291" spans="1:9" x14ac:dyDescent="0.3">
      <c r="A291" t="s">
        <v>5</v>
      </c>
      <c r="B291" s="1">
        <v>45670</v>
      </c>
      <c r="C291">
        <v>2</v>
      </c>
      <c r="D291">
        <v>0.23400000000000001</v>
      </c>
      <c r="E291" t="s">
        <v>6</v>
      </c>
      <c r="F291">
        <v>0.13769999999999999</v>
      </c>
      <c r="I291">
        <v>1.8699999999999999E-4</v>
      </c>
    </row>
    <row r="292" spans="1:9" x14ac:dyDescent="0.3">
      <c r="A292" t="s">
        <v>5</v>
      </c>
      <c r="B292" s="1">
        <v>45670</v>
      </c>
      <c r="C292">
        <v>3</v>
      </c>
      <c r="D292">
        <v>7.9000000000000001E-2</v>
      </c>
      <c r="E292" t="s">
        <v>6</v>
      </c>
      <c r="F292">
        <v>0.13897000000000001</v>
      </c>
      <c r="I292">
        <v>1.5300000000000001E-4</v>
      </c>
    </row>
    <row r="293" spans="1:9" x14ac:dyDescent="0.3">
      <c r="A293" t="s">
        <v>5</v>
      </c>
      <c r="B293" s="1">
        <v>45670</v>
      </c>
      <c r="C293">
        <v>4</v>
      </c>
      <c r="D293">
        <v>0.08</v>
      </c>
      <c r="E293" t="s">
        <v>6</v>
      </c>
      <c r="F293">
        <v>0.13635</v>
      </c>
      <c r="I293">
        <v>1.0899999999999999E-4</v>
      </c>
    </row>
    <row r="294" spans="1:9" x14ac:dyDescent="0.3">
      <c r="A294" t="s">
        <v>5</v>
      </c>
      <c r="B294" s="1">
        <v>45670</v>
      </c>
      <c r="C294">
        <v>5</v>
      </c>
      <c r="D294">
        <v>7.9000000000000001E-2</v>
      </c>
      <c r="E294" t="s">
        <v>6</v>
      </c>
      <c r="F294">
        <v>0.13614999999999999</v>
      </c>
      <c r="I294">
        <v>1.03E-4</v>
      </c>
    </row>
    <row r="295" spans="1:9" x14ac:dyDescent="0.3">
      <c r="A295" t="s">
        <v>5</v>
      </c>
      <c r="B295" s="1">
        <v>45670</v>
      </c>
      <c r="C295">
        <v>6</v>
      </c>
      <c r="D295">
        <v>6.2E-2</v>
      </c>
      <c r="E295" t="s">
        <v>6</v>
      </c>
      <c r="F295">
        <v>0.14262</v>
      </c>
      <c r="I295">
        <v>1.01E-4</v>
      </c>
    </row>
    <row r="296" spans="1:9" x14ac:dyDescent="0.3">
      <c r="A296" t="s">
        <v>5</v>
      </c>
      <c r="B296" s="1">
        <v>45670</v>
      </c>
      <c r="C296">
        <v>7</v>
      </c>
      <c r="D296">
        <v>8.1000000000000003E-2</v>
      </c>
      <c r="E296" t="s">
        <v>6</v>
      </c>
      <c r="F296">
        <v>0.16041</v>
      </c>
      <c r="I296">
        <v>8.599999999999999E-5</v>
      </c>
    </row>
    <row r="297" spans="1:9" x14ac:dyDescent="0.3">
      <c r="A297" t="s">
        <v>5</v>
      </c>
      <c r="B297" s="1">
        <v>45670</v>
      </c>
      <c r="C297">
        <v>8</v>
      </c>
      <c r="D297">
        <v>7.0999999999999994E-2</v>
      </c>
      <c r="E297" t="s">
        <v>6</v>
      </c>
      <c r="F297">
        <v>0.16949</v>
      </c>
      <c r="I297">
        <v>9.3999999999999994E-5</v>
      </c>
    </row>
    <row r="298" spans="1:9" x14ac:dyDescent="0.3">
      <c r="A298" t="s">
        <v>5</v>
      </c>
      <c r="B298" s="1">
        <v>45670</v>
      </c>
      <c r="C298">
        <v>9</v>
      </c>
      <c r="D298">
        <v>0.224</v>
      </c>
      <c r="E298" t="s">
        <v>6</v>
      </c>
      <c r="F298">
        <v>0.23908000000000001</v>
      </c>
      <c r="I298">
        <v>1.4099999999999998E-4</v>
      </c>
    </row>
    <row r="299" spans="1:9" x14ac:dyDescent="0.3">
      <c r="A299" t="s">
        <v>5</v>
      </c>
      <c r="B299" s="1">
        <v>45670</v>
      </c>
      <c r="C299">
        <v>10</v>
      </c>
      <c r="D299">
        <v>7.8E-2</v>
      </c>
      <c r="E299" t="s">
        <v>6</v>
      </c>
      <c r="F299">
        <v>0.19737000000000002</v>
      </c>
      <c r="I299">
        <v>1.4799999999999999E-4</v>
      </c>
    </row>
    <row r="300" spans="1:9" x14ac:dyDescent="0.3">
      <c r="A300" t="s">
        <v>5</v>
      </c>
      <c r="B300" s="1">
        <v>45670</v>
      </c>
      <c r="C300">
        <v>11</v>
      </c>
      <c r="D300">
        <v>6.4000000000000001E-2</v>
      </c>
      <c r="E300" t="s">
        <v>6</v>
      </c>
      <c r="F300">
        <v>0.24248</v>
      </c>
      <c r="I300">
        <v>1.3000000000000002E-4</v>
      </c>
    </row>
    <row r="301" spans="1:9" x14ac:dyDescent="0.3">
      <c r="A301" t="s">
        <v>5</v>
      </c>
      <c r="B301" s="1">
        <v>45670</v>
      </c>
      <c r="C301">
        <v>12</v>
      </c>
      <c r="D301">
        <v>0.115</v>
      </c>
      <c r="E301" t="s">
        <v>6</v>
      </c>
      <c r="F301">
        <v>0.22555</v>
      </c>
      <c r="I301">
        <v>1.4899999999999999E-4</v>
      </c>
    </row>
    <row r="302" spans="1:9" x14ac:dyDescent="0.3">
      <c r="A302" t="s">
        <v>5</v>
      </c>
      <c r="B302" s="1">
        <v>45670</v>
      </c>
      <c r="C302">
        <v>13</v>
      </c>
      <c r="D302">
        <v>7.4999999999999997E-2</v>
      </c>
      <c r="E302" t="s">
        <v>6</v>
      </c>
      <c r="F302">
        <v>0.21890000000000001</v>
      </c>
      <c r="I302">
        <v>1.6700000000000002E-4</v>
      </c>
    </row>
    <row r="303" spans="1:9" x14ac:dyDescent="0.3">
      <c r="A303" t="s">
        <v>5</v>
      </c>
      <c r="B303" s="1">
        <v>45670</v>
      </c>
      <c r="C303">
        <v>14</v>
      </c>
      <c r="D303">
        <v>5.8000000000000003E-2</v>
      </c>
      <c r="E303" t="s">
        <v>6</v>
      </c>
      <c r="F303">
        <v>0.21153</v>
      </c>
      <c r="I303">
        <v>1.7299999999999998E-4</v>
      </c>
    </row>
    <row r="304" spans="1:9" x14ac:dyDescent="0.3">
      <c r="A304" t="s">
        <v>5</v>
      </c>
      <c r="B304" s="1">
        <v>45670</v>
      </c>
      <c r="C304">
        <v>15</v>
      </c>
      <c r="D304">
        <v>7.4999999999999997E-2</v>
      </c>
      <c r="E304" t="s">
        <v>6</v>
      </c>
      <c r="F304">
        <v>0.15175999999999998</v>
      </c>
      <c r="I304">
        <v>1.4799999999999999E-4</v>
      </c>
    </row>
    <row r="305" spans="1:9" x14ac:dyDescent="0.3">
      <c r="A305" t="s">
        <v>5</v>
      </c>
      <c r="B305" s="1">
        <v>45670</v>
      </c>
      <c r="C305">
        <v>16</v>
      </c>
      <c r="D305">
        <v>7.0000000000000007E-2</v>
      </c>
      <c r="E305" t="s">
        <v>6</v>
      </c>
      <c r="F305">
        <v>0.15936</v>
      </c>
      <c r="I305">
        <v>1.07E-4</v>
      </c>
    </row>
    <row r="306" spans="1:9" x14ac:dyDescent="0.3">
      <c r="A306" t="s">
        <v>5</v>
      </c>
      <c r="B306" s="1">
        <v>45670</v>
      </c>
      <c r="C306">
        <v>17</v>
      </c>
      <c r="D306">
        <v>6.5000000000000002E-2</v>
      </c>
      <c r="E306" t="s">
        <v>6</v>
      </c>
      <c r="F306">
        <v>0.17652999999999999</v>
      </c>
      <c r="I306">
        <v>1.16E-4</v>
      </c>
    </row>
    <row r="307" spans="1:9" x14ac:dyDescent="0.3">
      <c r="A307" t="s">
        <v>5</v>
      </c>
      <c r="B307" s="1">
        <v>45670</v>
      </c>
      <c r="C307">
        <v>18</v>
      </c>
      <c r="D307">
        <v>7.5999999999999998E-2</v>
      </c>
      <c r="E307" t="s">
        <v>6</v>
      </c>
      <c r="F307">
        <v>0.19528000000000001</v>
      </c>
      <c r="I307">
        <v>1.16E-4</v>
      </c>
    </row>
    <row r="308" spans="1:9" x14ac:dyDescent="0.3">
      <c r="A308" t="s">
        <v>5</v>
      </c>
      <c r="B308" s="1">
        <v>45670</v>
      </c>
      <c r="C308">
        <v>19</v>
      </c>
      <c r="D308">
        <v>6.3E-2</v>
      </c>
      <c r="E308" t="s">
        <v>6</v>
      </c>
      <c r="F308">
        <v>0.27532999999999996</v>
      </c>
      <c r="I308">
        <v>1.36E-4</v>
      </c>
    </row>
    <row r="309" spans="1:9" x14ac:dyDescent="0.3">
      <c r="A309" t="s">
        <v>5</v>
      </c>
      <c r="B309" s="1">
        <v>45670</v>
      </c>
      <c r="C309">
        <v>20</v>
      </c>
      <c r="D309">
        <v>7.1999999999999995E-2</v>
      </c>
      <c r="E309" t="s">
        <v>6</v>
      </c>
      <c r="F309">
        <v>0.27688000000000001</v>
      </c>
      <c r="I309">
        <v>1.11E-4</v>
      </c>
    </row>
    <row r="310" spans="1:9" x14ac:dyDescent="0.3">
      <c r="A310" t="s">
        <v>5</v>
      </c>
      <c r="B310" s="1">
        <v>45670</v>
      </c>
      <c r="C310">
        <v>21</v>
      </c>
      <c r="D310">
        <v>0.16400000000000001</v>
      </c>
      <c r="E310" t="s">
        <v>6</v>
      </c>
      <c r="F310">
        <v>0.26529000000000003</v>
      </c>
      <c r="I310">
        <v>9.2E-5</v>
      </c>
    </row>
    <row r="311" spans="1:9" x14ac:dyDescent="0.3">
      <c r="A311" t="s">
        <v>5</v>
      </c>
      <c r="B311" s="1">
        <v>45670</v>
      </c>
      <c r="C311">
        <v>22</v>
      </c>
      <c r="D311">
        <v>0.49199999999999999</v>
      </c>
      <c r="E311" t="s">
        <v>6</v>
      </c>
      <c r="F311">
        <v>0.26242000000000004</v>
      </c>
      <c r="I311">
        <v>8.7999999999999998E-5</v>
      </c>
    </row>
    <row r="312" spans="1:9" x14ac:dyDescent="0.3">
      <c r="A312" t="s">
        <v>5</v>
      </c>
      <c r="B312" s="1">
        <v>45670</v>
      </c>
      <c r="C312">
        <v>23</v>
      </c>
      <c r="D312">
        <v>0.377</v>
      </c>
      <c r="E312" t="s">
        <v>6</v>
      </c>
      <c r="F312">
        <v>0.18878</v>
      </c>
      <c r="I312">
        <v>1.12E-4</v>
      </c>
    </row>
    <row r="313" spans="1:9" x14ac:dyDescent="0.3">
      <c r="A313" t="s">
        <v>5</v>
      </c>
      <c r="B313" s="1">
        <v>45670</v>
      </c>
      <c r="C313">
        <v>24</v>
      </c>
      <c r="D313">
        <v>0.27600000000000002</v>
      </c>
      <c r="E313" t="s">
        <v>6</v>
      </c>
      <c r="F313">
        <v>0.17332</v>
      </c>
      <c r="I313">
        <v>1.02E-4</v>
      </c>
    </row>
    <row r="314" spans="1:9" x14ac:dyDescent="0.3">
      <c r="A314" t="s">
        <v>5</v>
      </c>
      <c r="B314" s="1">
        <v>45671</v>
      </c>
      <c r="C314">
        <v>1</v>
      </c>
      <c r="D314">
        <v>0.28999999999999998</v>
      </c>
      <c r="E314" t="s">
        <v>6</v>
      </c>
      <c r="F314">
        <v>0.14681</v>
      </c>
      <c r="I314">
        <v>1.2400000000000001E-4</v>
      </c>
    </row>
    <row r="315" spans="1:9" x14ac:dyDescent="0.3">
      <c r="A315" t="s">
        <v>5</v>
      </c>
      <c r="B315" s="1">
        <v>45671</v>
      </c>
      <c r="C315">
        <v>2</v>
      </c>
      <c r="D315">
        <v>0.23699999999999999</v>
      </c>
      <c r="E315" t="s">
        <v>6</v>
      </c>
      <c r="F315">
        <v>0.14296</v>
      </c>
      <c r="I315">
        <v>1.3700000000000002E-4</v>
      </c>
    </row>
    <row r="316" spans="1:9" x14ac:dyDescent="0.3">
      <c r="A316" t="s">
        <v>5</v>
      </c>
      <c r="B316" s="1">
        <v>45671</v>
      </c>
      <c r="C316">
        <v>3</v>
      </c>
      <c r="D316">
        <v>0.152</v>
      </c>
      <c r="E316" t="s">
        <v>6</v>
      </c>
      <c r="F316">
        <v>0.14149</v>
      </c>
      <c r="I316">
        <v>1.25E-4</v>
      </c>
    </row>
    <row r="317" spans="1:9" x14ac:dyDescent="0.3">
      <c r="A317" t="s">
        <v>5</v>
      </c>
      <c r="B317" s="1">
        <v>45671</v>
      </c>
      <c r="C317">
        <v>4</v>
      </c>
      <c r="D317">
        <v>0.14000000000000001</v>
      </c>
      <c r="E317" t="s">
        <v>6</v>
      </c>
      <c r="F317">
        <v>0.13621</v>
      </c>
      <c r="I317">
        <v>8.7999999999999998E-5</v>
      </c>
    </row>
    <row r="318" spans="1:9" x14ac:dyDescent="0.3">
      <c r="A318" t="s">
        <v>5</v>
      </c>
      <c r="B318" s="1">
        <v>45671</v>
      </c>
      <c r="C318">
        <v>5</v>
      </c>
      <c r="D318">
        <v>0.13100000000000001</v>
      </c>
      <c r="E318" t="s">
        <v>6</v>
      </c>
      <c r="F318">
        <v>0.13638999999999998</v>
      </c>
      <c r="I318">
        <v>1.01E-4</v>
      </c>
    </row>
    <row r="319" spans="1:9" x14ac:dyDescent="0.3">
      <c r="A319" t="s">
        <v>5</v>
      </c>
      <c r="B319" s="1">
        <v>45671</v>
      </c>
      <c r="C319">
        <v>6</v>
      </c>
      <c r="D319">
        <v>0.14000000000000001</v>
      </c>
      <c r="E319" t="s">
        <v>6</v>
      </c>
      <c r="F319">
        <v>0.13689999999999999</v>
      </c>
      <c r="I319">
        <v>9.9000000000000008E-5</v>
      </c>
    </row>
    <row r="320" spans="1:9" x14ac:dyDescent="0.3">
      <c r="A320" t="s">
        <v>5</v>
      </c>
      <c r="B320" s="1">
        <v>45671</v>
      </c>
      <c r="C320">
        <v>7</v>
      </c>
      <c r="D320">
        <v>0.13400000000000001</v>
      </c>
      <c r="E320" t="s">
        <v>6</v>
      </c>
      <c r="F320">
        <v>0.16281999999999999</v>
      </c>
      <c r="I320">
        <v>9.2E-5</v>
      </c>
    </row>
    <row r="321" spans="1:9" x14ac:dyDescent="0.3">
      <c r="A321" t="s">
        <v>5</v>
      </c>
      <c r="B321" s="1">
        <v>45671</v>
      </c>
      <c r="C321">
        <v>8</v>
      </c>
      <c r="D321">
        <v>0.254</v>
      </c>
      <c r="E321" t="s">
        <v>6</v>
      </c>
      <c r="F321">
        <v>0.17986000000000002</v>
      </c>
      <c r="I321">
        <v>1.0399999999999999E-4</v>
      </c>
    </row>
    <row r="322" spans="1:9" x14ac:dyDescent="0.3">
      <c r="A322" t="s">
        <v>5</v>
      </c>
      <c r="B322" s="1">
        <v>45671</v>
      </c>
      <c r="C322">
        <v>9</v>
      </c>
      <c r="D322">
        <v>0.27400000000000002</v>
      </c>
      <c r="E322" t="s">
        <v>6</v>
      </c>
      <c r="F322">
        <v>0.23976</v>
      </c>
      <c r="I322">
        <v>1.34E-4</v>
      </c>
    </row>
    <row r="323" spans="1:9" x14ac:dyDescent="0.3">
      <c r="A323" t="s">
        <v>5</v>
      </c>
      <c r="B323" s="1">
        <v>45671</v>
      </c>
      <c r="C323">
        <v>10</v>
      </c>
      <c r="D323">
        <v>0.23799999999999999</v>
      </c>
      <c r="E323" t="s">
        <v>6</v>
      </c>
      <c r="F323">
        <v>0.19900999999999999</v>
      </c>
      <c r="I323">
        <v>1.25E-4</v>
      </c>
    </row>
    <row r="324" spans="1:9" x14ac:dyDescent="0.3">
      <c r="A324" t="s">
        <v>5</v>
      </c>
      <c r="B324" s="1">
        <v>45671</v>
      </c>
      <c r="C324">
        <v>11</v>
      </c>
      <c r="D324">
        <v>0.13400000000000001</v>
      </c>
      <c r="E324" t="s">
        <v>6</v>
      </c>
      <c r="F324">
        <v>0.24109</v>
      </c>
      <c r="I324">
        <v>1.4299999999999998E-4</v>
      </c>
    </row>
    <row r="325" spans="1:9" x14ac:dyDescent="0.3">
      <c r="A325" t="s">
        <v>5</v>
      </c>
      <c r="B325" s="1">
        <v>45671</v>
      </c>
      <c r="C325">
        <v>12</v>
      </c>
      <c r="D325">
        <v>0.14199999999999999</v>
      </c>
      <c r="E325" t="s">
        <v>6</v>
      </c>
      <c r="F325">
        <v>0.21903999999999998</v>
      </c>
      <c r="I325">
        <v>1.18E-4</v>
      </c>
    </row>
    <row r="326" spans="1:9" x14ac:dyDescent="0.3">
      <c r="A326" t="s">
        <v>5</v>
      </c>
      <c r="B326" s="1">
        <v>45671</v>
      </c>
      <c r="C326">
        <v>13</v>
      </c>
      <c r="D326">
        <v>0.13</v>
      </c>
      <c r="E326" t="s">
        <v>6</v>
      </c>
      <c r="F326">
        <v>0.21631999999999998</v>
      </c>
      <c r="I326">
        <v>1.12E-4</v>
      </c>
    </row>
    <row r="327" spans="1:9" x14ac:dyDescent="0.3">
      <c r="A327" t="s">
        <v>5</v>
      </c>
      <c r="B327" s="1">
        <v>45671</v>
      </c>
      <c r="C327">
        <v>14</v>
      </c>
      <c r="D327">
        <v>0.13100000000000001</v>
      </c>
      <c r="E327" t="s">
        <v>6</v>
      </c>
      <c r="F327">
        <v>0.21337999999999999</v>
      </c>
      <c r="I327">
        <v>9.800000000000001E-5</v>
      </c>
    </row>
    <row r="328" spans="1:9" x14ac:dyDescent="0.3">
      <c r="A328" t="s">
        <v>5</v>
      </c>
      <c r="B328" s="1">
        <v>45671</v>
      </c>
      <c r="C328">
        <v>15</v>
      </c>
      <c r="D328">
        <v>0.216</v>
      </c>
      <c r="E328" t="s">
        <v>6</v>
      </c>
      <c r="F328">
        <v>0.15136000000000002</v>
      </c>
      <c r="I328">
        <v>8.8999999999999995E-5</v>
      </c>
    </row>
    <row r="329" spans="1:9" x14ac:dyDescent="0.3">
      <c r="A329" t="s">
        <v>5</v>
      </c>
      <c r="B329" s="1">
        <v>45671</v>
      </c>
      <c r="C329">
        <v>16</v>
      </c>
      <c r="D329">
        <v>0.13700000000000001</v>
      </c>
      <c r="E329" t="s">
        <v>6</v>
      </c>
      <c r="F329">
        <v>0.15293000000000001</v>
      </c>
      <c r="I329">
        <v>9.5000000000000005E-5</v>
      </c>
    </row>
    <row r="330" spans="1:9" x14ac:dyDescent="0.3">
      <c r="A330" t="s">
        <v>5</v>
      </c>
      <c r="B330" s="1">
        <v>45671</v>
      </c>
      <c r="C330">
        <v>17</v>
      </c>
      <c r="D330">
        <v>0.1</v>
      </c>
      <c r="E330" t="s">
        <v>6</v>
      </c>
      <c r="F330">
        <v>0.17411000000000001</v>
      </c>
      <c r="I330">
        <v>9.6000000000000002E-5</v>
      </c>
    </row>
    <row r="331" spans="1:9" x14ac:dyDescent="0.3">
      <c r="A331" t="s">
        <v>5</v>
      </c>
      <c r="B331" s="1">
        <v>45671</v>
      </c>
      <c r="C331">
        <v>18</v>
      </c>
      <c r="D331">
        <v>0.11799999999999999</v>
      </c>
      <c r="E331" t="s">
        <v>6</v>
      </c>
      <c r="F331">
        <v>0.20713999999999999</v>
      </c>
      <c r="I331">
        <v>1.0899999999999999E-4</v>
      </c>
    </row>
    <row r="332" spans="1:9" x14ac:dyDescent="0.3">
      <c r="A332" t="s">
        <v>5</v>
      </c>
      <c r="B332" s="1">
        <v>45671</v>
      </c>
      <c r="C332">
        <v>19</v>
      </c>
      <c r="D332">
        <v>9.9000000000000005E-2</v>
      </c>
      <c r="E332" t="s">
        <v>6</v>
      </c>
      <c r="F332">
        <v>0.30789999999999995</v>
      </c>
      <c r="I332">
        <v>1.1999999999999999E-4</v>
      </c>
    </row>
    <row r="333" spans="1:9" x14ac:dyDescent="0.3">
      <c r="A333" t="s">
        <v>5</v>
      </c>
      <c r="B333" s="1">
        <v>45671</v>
      </c>
      <c r="C333">
        <v>20</v>
      </c>
      <c r="D333">
        <v>0.83299999999999996</v>
      </c>
      <c r="E333" t="s">
        <v>6</v>
      </c>
      <c r="F333">
        <v>0.30913000000000002</v>
      </c>
      <c r="I333">
        <v>1.4299999999999998E-4</v>
      </c>
    </row>
    <row r="334" spans="1:9" x14ac:dyDescent="0.3">
      <c r="A334" t="s">
        <v>5</v>
      </c>
      <c r="B334" s="1">
        <v>45671</v>
      </c>
      <c r="C334">
        <v>21</v>
      </c>
      <c r="D334">
        <v>0.46899999999999997</v>
      </c>
      <c r="E334" t="s">
        <v>6</v>
      </c>
      <c r="F334">
        <v>0.28106999999999999</v>
      </c>
      <c r="I334">
        <v>1.2799999999999999E-4</v>
      </c>
    </row>
    <row r="335" spans="1:9" x14ac:dyDescent="0.3">
      <c r="A335" t="s">
        <v>5</v>
      </c>
      <c r="B335" s="1">
        <v>45671</v>
      </c>
      <c r="C335">
        <v>22</v>
      </c>
      <c r="D335">
        <v>0.97699999999999998</v>
      </c>
      <c r="E335" t="s">
        <v>6</v>
      </c>
      <c r="F335">
        <v>0.26568000000000003</v>
      </c>
      <c r="I335">
        <v>1.1300000000000001E-4</v>
      </c>
    </row>
    <row r="336" spans="1:9" x14ac:dyDescent="0.3">
      <c r="A336" t="s">
        <v>5</v>
      </c>
      <c r="B336" s="1">
        <v>45671</v>
      </c>
      <c r="C336">
        <v>23</v>
      </c>
      <c r="D336">
        <v>0.33600000000000002</v>
      </c>
      <c r="E336" t="s">
        <v>6</v>
      </c>
      <c r="F336">
        <v>0.19697999999999999</v>
      </c>
      <c r="I336">
        <v>1.35E-4</v>
      </c>
    </row>
    <row r="337" spans="1:9" x14ac:dyDescent="0.3">
      <c r="A337" t="s">
        <v>5</v>
      </c>
      <c r="B337" s="1">
        <v>45671</v>
      </c>
      <c r="C337">
        <v>24</v>
      </c>
      <c r="D337">
        <v>0.34799999999999998</v>
      </c>
      <c r="E337" t="s">
        <v>6</v>
      </c>
      <c r="F337">
        <v>0.19097</v>
      </c>
      <c r="I337">
        <v>1.3300000000000001E-4</v>
      </c>
    </row>
    <row r="338" spans="1:9" x14ac:dyDescent="0.3">
      <c r="A338" t="s">
        <v>5</v>
      </c>
      <c r="B338" s="1">
        <v>45672</v>
      </c>
      <c r="C338">
        <v>1</v>
      </c>
      <c r="D338">
        <v>0.21199999999999999</v>
      </c>
      <c r="E338" t="s">
        <v>6</v>
      </c>
      <c r="F338">
        <v>0.15672</v>
      </c>
      <c r="I338">
        <v>1.07E-4</v>
      </c>
    </row>
    <row r="339" spans="1:9" x14ac:dyDescent="0.3">
      <c r="A339" t="s">
        <v>5</v>
      </c>
      <c r="B339" s="1">
        <v>45672</v>
      </c>
      <c r="C339">
        <v>2</v>
      </c>
      <c r="D339">
        <v>0.159</v>
      </c>
      <c r="E339" t="s">
        <v>6</v>
      </c>
      <c r="F339">
        <v>0.14608000000000002</v>
      </c>
      <c r="I339">
        <v>1.0399999999999999E-4</v>
      </c>
    </row>
    <row r="340" spans="1:9" x14ac:dyDescent="0.3">
      <c r="A340" t="s">
        <v>5</v>
      </c>
      <c r="B340" s="1">
        <v>45672</v>
      </c>
      <c r="C340">
        <v>3</v>
      </c>
      <c r="D340">
        <v>0.152</v>
      </c>
      <c r="E340" t="s">
        <v>6</v>
      </c>
      <c r="F340">
        <v>0.14265</v>
      </c>
      <c r="I340">
        <v>1.0499999999999999E-4</v>
      </c>
    </row>
    <row r="341" spans="1:9" x14ac:dyDescent="0.3">
      <c r="A341" t="s">
        <v>5</v>
      </c>
      <c r="B341" s="1">
        <v>45672</v>
      </c>
      <c r="C341">
        <v>4</v>
      </c>
      <c r="D341">
        <v>0.13900000000000001</v>
      </c>
      <c r="E341" t="s">
        <v>6</v>
      </c>
      <c r="F341">
        <v>0.13952000000000001</v>
      </c>
      <c r="I341">
        <v>8.9999999999999992E-5</v>
      </c>
    </row>
    <row r="342" spans="1:9" x14ac:dyDescent="0.3">
      <c r="A342" t="s">
        <v>5</v>
      </c>
      <c r="B342" s="1">
        <v>45672</v>
      </c>
      <c r="C342">
        <v>5</v>
      </c>
      <c r="D342">
        <v>0.15</v>
      </c>
      <c r="E342" t="s">
        <v>6</v>
      </c>
      <c r="F342">
        <v>0.13936000000000001</v>
      </c>
      <c r="I342">
        <v>1.02E-4</v>
      </c>
    </row>
    <row r="343" spans="1:9" x14ac:dyDescent="0.3">
      <c r="A343" t="s">
        <v>5</v>
      </c>
      <c r="B343" s="1">
        <v>45672</v>
      </c>
      <c r="C343">
        <v>6</v>
      </c>
      <c r="D343">
        <v>0.14299999999999999</v>
      </c>
      <c r="E343" t="s">
        <v>6</v>
      </c>
      <c r="F343">
        <v>0.13883999999999999</v>
      </c>
      <c r="I343">
        <v>1.11E-4</v>
      </c>
    </row>
    <row r="344" spans="1:9" x14ac:dyDescent="0.3">
      <c r="A344" t="s">
        <v>5</v>
      </c>
      <c r="B344" s="1">
        <v>45672</v>
      </c>
      <c r="C344">
        <v>7</v>
      </c>
      <c r="D344">
        <v>0.13200000000000001</v>
      </c>
      <c r="E344" t="s">
        <v>6</v>
      </c>
      <c r="F344">
        <v>0.15877000000000002</v>
      </c>
      <c r="I344">
        <v>1.22E-4</v>
      </c>
    </row>
    <row r="345" spans="1:9" x14ac:dyDescent="0.3">
      <c r="A345" t="s">
        <v>5</v>
      </c>
      <c r="B345" s="1">
        <v>45672</v>
      </c>
      <c r="C345">
        <v>8</v>
      </c>
      <c r="D345">
        <v>0.157</v>
      </c>
      <c r="E345" t="s">
        <v>6</v>
      </c>
      <c r="F345">
        <v>0.19478999999999999</v>
      </c>
      <c r="I345">
        <v>1.8200000000000001E-4</v>
      </c>
    </row>
    <row r="346" spans="1:9" x14ac:dyDescent="0.3">
      <c r="A346" t="s">
        <v>5</v>
      </c>
      <c r="B346" s="1">
        <v>45672</v>
      </c>
      <c r="C346">
        <v>9</v>
      </c>
      <c r="D346">
        <v>0.189</v>
      </c>
      <c r="E346" t="s">
        <v>6</v>
      </c>
      <c r="F346">
        <v>0.28970999999999997</v>
      </c>
      <c r="I346">
        <v>1.4399999999999998E-4</v>
      </c>
    </row>
    <row r="347" spans="1:9" x14ac:dyDescent="0.3">
      <c r="A347" t="s">
        <v>5</v>
      </c>
      <c r="B347" s="1">
        <v>45672</v>
      </c>
      <c r="C347">
        <v>10</v>
      </c>
      <c r="D347">
        <v>0.14000000000000001</v>
      </c>
      <c r="E347" t="s">
        <v>6</v>
      </c>
      <c r="F347">
        <v>0.20827000000000001</v>
      </c>
      <c r="I347">
        <v>1.5300000000000001E-4</v>
      </c>
    </row>
    <row r="348" spans="1:9" x14ac:dyDescent="0.3">
      <c r="A348" t="s">
        <v>5</v>
      </c>
      <c r="B348" s="1">
        <v>45672</v>
      </c>
      <c r="C348">
        <v>11</v>
      </c>
      <c r="D348">
        <v>0.13100000000000001</v>
      </c>
      <c r="E348" t="s">
        <v>6</v>
      </c>
      <c r="F348">
        <v>0.24928</v>
      </c>
      <c r="I348">
        <v>1.2899999999999999E-4</v>
      </c>
    </row>
    <row r="349" spans="1:9" x14ac:dyDescent="0.3">
      <c r="A349" t="s">
        <v>5</v>
      </c>
      <c r="B349" s="1">
        <v>45672</v>
      </c>
      <c r="C349">
        <v>12</v>
      </c>
      <c r="D349">
        <v>0.14099999999999999</v>
      </c>
      <c r="E349" t="s">
        <v>6</v>
      </c>
      <c r="F349">
        <v>0.24134</v>
      </c>
      <c r="I349">
        <v>1.3200000000000001E-4</v>
      </c>
    </row>
    <row r="350" spans="1:9" x14ac:dyDescent="0.3">
      <c r="A350" t="s">
        <v>5</v>
      </c>
      <c r="B350" s="1">
        <v>45672</v>
      </c>
      <c r="C350">
        <v>13</v>
      </c>
      <c r="D350">
        <v>0.34899999999999998</v>
      </c>
      <c r="E350" t="s">
        <v>6</v>
      </c>
      <c r="F350">
        <v>0.23168</v>
      </c>
      <c r="I350">
        <v>1.47E-4</v>
      </c>
    </row>
    <row r="351" spans="1:9" x14ac:dyDescent="0.3">
      <c r="A351" t="s">
        <v>5</v>
      </c>
      <c r="B351" s="1">
        <v>45672</v>
      </c>
      <c r="C351">
        <v>14</v>
      </c>
      <c r="D351">
        <v>0.42499999999999999</v>
      </c>
      <c r="E351" t="s">
        <v>6</v>
      </c>
      <c r="F351">
        <v>0.22724</v>
      </c>
      <c r="I351">
        <v>1.4999999999999999E-4</v>
      </c>
    </row>
    <row r="352" spans="1:9" x14ac:dyDescent="0.3">
      <c r="A352" t="s">
        <v>5</v>
      </c>
      <c r="B352" s="1">
        <v>45672</v>
      </c>
      <c r="C352">
        <v>15</v>
      </c>
      <c r="D352">
        <v>0.16500000000000001</v>
      </c>
      <c r="E352" t="s">
        <v>6</v>
      </c>
      <c r="F352">
        <v>0.15631999999999999</v>
      </c>
      <c r="I352">
        <v>1.64E-4</v>
      </c>
    </row>
    <row r="353" spans="1:9" x14ac:dyDescent="0.3">
      <c r="A353" t="s">
        <v>5</v>
      </c>
      <c r="B353" s="1">
        <v>45672</v>
      </c>
      <c r="C353">
        <v>16</v>
      </c>
      <c r="D353">
        <v>0.16</v>
      </c>
      <c r="E353" t="s">
        <v>6</v>
      </c>
      <c r="F353">
        <v>0.15962000000000001</v>
      </c>
      <c r="I353">
        <v>1.26E-4</v>
      </c>
    </row>
    <row r="354" spans="1:9" x14ac:dyDescent="0.3">
      <c r="A354" t="s">
        <v>5</v>
      </c>
      <c r="B354" s="1">
        <v>45672</v>
      </c>
      <c r="C354">
        <v>17</v>
      </c>
      <c r="D354">
        <v>0.20699999999999999</v>
      </c>
      <c r="E354" t="s">
        <v>6</v>
      </c>
      <c r="F354">
        <v>0.17858000000000002</v>
      </c>
      <c r="I354">
        <v>1.8099999999999998E-4</v>
      </c>
    </row>
    <row r="355" spans="1:9" x14ac:dyDescent="0.3">
      <c r="A355" t="s">
        <v>5</v>
      </c>
      <c r="B355" s="1">
        <v>45672</v>
      </c>
      <c r="C355">
        <v>18</v>
      </c>
      <c r="D355">
        <v>0.27600000000000002</v>
      </c>
      <c r="E355" t="s">
        <v>6</v>
      </c>
      <c r="F355">
        <v>0.18675</v>
      </c>
      <c r="I355">
        <v>1.08E-4</v>
      </c>
    </row>
    <row r="356" spans="1:9" x14ac:dyDescent="0.3">
      <c r="A356" t="s">
        <v>5</v>
      </c>
      <c r="B356" s="1">
        <v>45672</v>
      </c>
      <c r="C356">
        <v>19</v>
      </c>
      <c r="D356">
        <v>0.27500000000000002</v>
      </c>
      <c r="E356" t="s">
        <v>6</v>
      </c>
      <c r="F356">
        <v>0.28194999999999998</v>
      </c>
      <c r="I356">
        <v>1.02E-4</v>
      </c>
    </row>
    <row r="357" spans="1:9" x14ac:dyDescent="0.3">
      <c r="A357" t="s">
        <v>5</v>
      </c>
      <c r="B357" s="1">
        <v>45672</v>
      </c>
      <c r="C357">
        <v>20</v>
      </c>
      <c r="D357">
        <v>0.34399999999999997</v>
      </c>
      <c r="E357" t="s">
        <v>6</v>
      </c>
      <c r="F357">
        <v>0.29619999999999996</v>
      </c>
      <c r="I357">
        <v>1.07E-4</v>
      </c>
    </row>
    <row r="358" spans="1:9" x14ac:dyDescent="0.3">
      <c r="A358" t="s">
        <v>5</v>
      </c>
      <c r="B358" s="1">
        <v>45672</v>
      </c>
      <c r="C358">
        <v>21</v>
      </c>
      <c r="D358">
        <v>0.27600000000000002</v>
      </c>
      <c r="E358" t="s">
        <v>6</v>
      </c>
      <c r="F358">
        <v>0.28417000000000003</v>
      </c>
      <c r="I358">
        <v>1.0899999999999999E-4</v>
      </c>
    </row>
    <row r="359" spans="1:9" x14ac:dyDescent="0.3">
      <c r="A359" t="s">
        <v>5</v>
      </c>
      <c r="B359" s="1">
        <v>45672</v>
      </c>
      <c r="C359">
        <v>22</v>
      </c>
      <c r="D359">
        <v>0.40899999999999997</v>
      </c>
      <c r="E359" t="s">
        <v>6</v>
      </c>
      <c r="F359">
        <v>0.26361000000000001</v>
      </c>
      <c r="I359">
        <v>8.599999999999999E-5</v>
      </c>
    </row>
    <row r="360" spans="1:9" x14ac:dyDescent="0.3">
      <c r="A360" t="s">
        <v>5</v>
      </c>
      <c r="B360" s="1">
        <v>45672</v>
      </c>
      <c r="C360">
        <v>23</v>
      </c>
      <c r="D360">
        <v>0.42899999999999999</v>
      </c>
      <c r="E360" t="s">
        <v>6</v>
      </c>
      <c r="F360">
        <v>0.18450999999999998</v>
      </c>
      <c r="I360">
        <v>1.11E-4</v>
      </c>
    </row>
    <row r="361" spans="1:9" x14ac:dyDescent="0.3">
      <c r="A361" t="s">
        <v>5</v>
      </c>
      <c r="B361" s="1">
        <v>45672</v>
      </c>
      <c r="C361">
        <v>24</v>
      </c>
      <c r="D361">
        <v>1.8160000000000001</v>
      </c>
      <c r="E361" t="s">
        <v>6</v>
      </c>
      <c r="F361">
        <v>0.16843</v>
      </c>
      <c r="I361">
        <v>1.3300000000000001E-4</v>
      </c>
    </row>
    <row r="362" spans="1:9" x14ac:dyDescent="0.3">
      <c r="A362" t="s">
        <v>5</v>
      </c>
      <c r="B362" s="1">
        <v>45673</v>
      </c>
      <c r="C362">
        <v>1</v>
      </c>
      <c r="D362">
        <v>1.0189999999999999</v>
      </c>
      <c r="E362" t="s">
        <v>6</v>
      </c>
      <c r="F362">
        <v>0.15065000000000001</v>
      </c>
      <c r="I362">
        <v>1.06E-4</v>
      </c>
    </row>
    <row r="363" spans="1:9" x14ac:dyDescent="0.3">
      <c r="A363" t="s">
        <v>5</v>
      </c>
      <c r="B363" s="1">
        <v>45673</v>
      </c>
      <c r="C363">
        <v>2</v>
      </c>
      <c r="D363">
        <v>0.27900000000000003</v>
      </c>
      <c r="E363" t="s">
        <v>6</v>
      </c>
      <c r="F363">
        <v>0.14530000000000001</v>
      </c>
      <c r="I363">
        <v>1.16E-4</v>
      </c>
    </row>
    <row r="364" spans="1:9" x14ac:dyDescent="0.3">
      <c r="A364" t="s">
        <v>5</v>
      </c>
      <c r="B364" s="1">
        <v>45673</v>
      </c>
      <c r="C364">
        <v>3</v>
      </c>
      <c r="D364">
        <v>0.18</v>
      </c>
      <c r="E364" t="s">
        <v>6</v>
      </c>
      <c r="F364">
        <v>0.14193</v>
      </c>
      <c r="I364">
        <v>1.56E-4</v>
      </c>
    </row>
    <row r="365" spans="1:9" x14ac:dyDescent="0.3">
      <c r="A365" t="s">
        <v>5</v>
      </c>
      <c r="B365" s="1">
        <v>45673</v>
      </c>
      <c r="C365">
        <v>4</v>
      </c>
      <c r="D365">
        <v>0.14199999999999999</v>
      </c>
      <c r="E365" t="s">
        <v>6</v>
      </c>
      <c r="F365">
        <v>0.13265000000000002</v>
      </c>
      <c r="I365">
        <v>1.21E-4</v>
      </c>
    </row>
    <row r="366" spans="1:9" x14ac:dyDescent="0.3">
      <c r="A366" t="s">
        <v>5</v>
      </c>
      <c r="B366" s="1">
        <v>45673</v>
      </c>
      <c r="C366">
        <v>5</v>
      </c>
      <c r="D366">
        <v>0.14399999999999999</v>
      </c>
      <c r="E366" t="s">
        <v>6</v>
      </c>
      <c r="F366">
        <v>0.13274</v>
      </c>
      <c r="I366">
        <v>1.3700000000000002E-4</v>
      </c>
    </row>
    <row r="367" spans="1:9" x14ac:dyDescent="0.3">
      <c r="A367" t="s">
        <v>5</v>
      </c>
      <c r="B367" s="1">
        <v>45673</v>
      </c>
      <c r="C367">
        <v>6</v>
      </c>
      <c r="D367">
        <v>0.14499999999999999</v>
      </c>
      <c r="E367" t="s">
        <v>6</v>
      </c>
      <c r="F367">
        <v>0.14258000000000001</v>
      </c>
    </row>
    <row r="368" spans="1:9" x14ac:dyDescent="0.3">
      <c r="A368" t="s">
        <v>5</v>
      </c>
      <c r="B368" s="1">
        <v>45673</v>
      </c>
      <c r="C368">
        <v>7</v>
      </c>
      <c r="D368">
        <v>0.129</v>
      </c>
      <c r="E368" t="s">
        <v>6</v>
      </c>
      <c r="F368">
        <v>0.15527000000000002</v>
      </c>
    </row>
    <row r="369" spans="1:6" x14ac:dyDescent="0.3">
      <c r="A369" t="s">
        <v>5</v>
      </c>
      <c r="B369" s="1">
        <v>45673</v>
      </c>
      <c r="C369">
        <v>8</v>
      </c>
      <c r="D369">
        <v>0.158</v>
      </c>
      <c r="E369" t="s">
        <v>6</v>
      </c>
      <c r="F369">
        <v>0.17304</v>
      </c>
    </row>
    <row r="370" spans="1:6" x14ac:dyDescent="0.3">
      <c r="A370" t="s">
        <v>5</v>
      </c>
      <c r="B370" s="1">
        <v>45673</v>
      </c>
      <c r="C370">
        <v>9</v>
      </c>
      <c r="D370">
        <v>0.22900000000000001</v>
      </c>
      <c r="E370" t="s">
        <v>6</v>
      </c>
      <c r="F370">
        <v>0.26055</v>
      </c>
    </row>
    <row r="371" spans="1:6" x14ac:dyDescent="0.3">
      <c r="A371" t="s">
        <v>5</v>
      </c>
      <c r="B371" s="1">
        <v>45673</v>
      </c>
      <c r="C371">
        <v>10</v>
      </c>
      <c r="D371">
        <v>0.28899999999999998</v>
      </c>
      <c r="E371" t="s">
        <v>6</v>
      </c>
      <c r="F371">
        <v>0.20511000000000001</v>
      </c>
    </row>
    <row r="372" spans="1:6" x14ac:dyDescent="0.3">
      <c r="A372" t="s">
        <v>5</v>
      </c>
      <c r="B372" s="1">
        <v>45673</v>
      </c>
      <c r="C372">
        <v>11</v>
      </c>
      <c r="D372">
        <v>0.14099999999999999</v>
      </c>
      <c r="E372" t="s">
        <v>6</v>
      </c>
      <c r="F372">
        <v>0.23985000000000001</v>
      </c>
    </row>
    <row r="373" spans="1:6" x14ac:dyDescent="0.3">
      <c r="A373" t="s">
        <v>5</v>
      </c>
      <c r="B373" s="1">
        <v>45673</v>
      </c>
      <c r="C373">
        <v>12</v>
      </c>
      <c r="D373">
        <v>0.13400000000000001</v>
      </c>
      <c r="E373" t="s">
        <v>6</v>
      </c>
      <c r="F373">
        <v>0.22197999999999998</v>
      </c>
    </row>
    <row r="374" spans="1:6" x14ac:dyDescent="0.3">
      <c r="A374" t="s">
        <v>5</v>
      </c>
      <c r="B374" s="1">
        <v>45673</v>
      </c>
      <c r="C374">
        <v>13</v>
      </c>
      <c r="D374">
        <v>0.13800000000000001</v>
      </c>
      <c r="E374" t="s">
        <v>6</v>
      </c>
      <c r="F374">
        <v>0.22403000000000001</v>
      </c>
    </row>
    <row r="375" spans="1:6" x14ac:dyDescent="0.3">
      <c r="A375" t="s">
        <v>5</v>
      </c>
      <c r="B375" s="1">
        <v>45673</v>
      </c>
      <c r="C375">
        <v>14</v>
      </c>
      <c r="D375">
        <v>0.125</v>
      </c>
      <c r="E375" t="s">
        <v>6</v>
      </c>
      <c r="F375">
        <v>0.22700000000000001</v>
      </c>
    </row>
    <row r="376" spans="1:6" x14ac:dyDescent="0.3">
      <c r="A376" t="s">
        <v>5</v>
      </c>
      <c r="B376" s="1">
        <v>45673</v>
      </c>
      <c r="C376">
        <v>15</v>
      </c>
      <c r="D376">
        <v>0.154</v>
      </c>
      <c r="E376" t="s">
        <v>6</v>
      </c>
      <c r="F376">
        <v>0.15565999999999999</v>
      </c>
    </row>
    <row r="377" spans="1:6" x14ac:dyDescent="0.3">
      <c r="A377" t="s">
        <v>5</v>
      </c>
      <c r="B377" s="1">
        <v>45673</v>
      </c>
      <c r="C377">
        <v>16</v>
      </c>
      <c r="D377">
        <v>0.14599999999999999</v>
      </c>
      <c r="E377" t="s">
        <v>6</v>
      </c>
      <c r="F377">
        <v>0.16131000000000001</v>
      </c>
    </row>
    <row r="378" spans="1:6" x14ac:dyDescent="0.3">
      <c r="A378" t="s">
        <v>5</v>
      </c>
      <c r="B378" s="1">
        <v>45673</v>
      </c>
      <c r="C378">
        <v>17</v>
      </c>
      <c r="D378">
        <v>0.14799999999999999</v>
      </c>
      <c r="E378" t="s">
        <v>6</v>
      </c>
      <c r="F378">
        <v>0.16197999999999999</v>
      </c>
    </row>
    <row r="379" spans="1:6" x14ac:dyDescent="0.3">
      <c r="A379" t="s">
        <v>5</v>
      </c>
      <c r="B379" s="1">
        <v>45673</v>
      </c>
      <c r="C379">
        <v>18</v>
      </c>
      <c r="D379">
        <v>0.128</v>
      </c>
      <c r="E379" t="s">
        <v>6</v>
      </c>
      <c r="F379">
        <v>0.19384999999999999</v>
      </c>
    </row>
    <row r="380" spans="1:6" x14ac:dyDescent="0.3">
      <c r="A380" t="s">
        <v>5</v>
      </c>
      <c r="B380" s="1">
        <v>45673</v>
      </c>
      <c r="C380">
        <v>19</v>
      </c>
      <c r="D380">
        <v>0.13500000000000001</v>
      </c>
      <c r="E380" t="s">
        <v>6</v>
      </c>
      <c r="F380">
        <v>0.30512</v>
      </c>
    </row>
    <row r="381" spans="1:6" x14ac:dyDescent="0.3">
      <c r="A381" t="s">
        <v>5</v>
      </c>
      <c r="B381" s="1">
        <v>45673</v>
      </c>
      <c r="C381">
        <v>20</v>
      </c>
      <c r="D381">
        <v>0.16200000000000001</v>
      </c>
      <c r="E381" t="s">
        <v>6</v>
      </c>
      <c r="F381">
        <v>0.30016999999999999</v>
      </c>
    </row>
    <row r="382" spans="1:6" x14ac:dyDescent="0.3">
      <c r="A382" t="s">
        <v>5</v>
      </c>
      <c r="B382" s="1">
        <v>45673</v>
      </c>
      <c r="C382">
        <v>21</v>
      </c>
      <c r="D382">
        <v>1.0069999999999999</v>
      </c>
      <c r="E382" t="s">
        <v>6</v>
      </c>
      <c r="F382">
        <v>0.27631</v>
      </c>
    </row>
    <row r="383" spans="1:6" x14ac:dyDescent="0.3">
      <c r="A383" t="s">
        <v>5</v>
      </c>
      <c r="B383" s="1">
        <v>45673</v>
      </c>
      <c r="C383">
        <v>22</v>
      </c>
      <c r="D383">
        <v>0.223</v>
      </c>
      <c r="E383" t="s">
        <v>6</v>
      </c>
      <c r="F383">
        <v>0.26356000000000002</v>
      </c>
    </row>
    <row r="384" spans="1:6" x14ac:dyDescent="0.3">
      <c r="A384" t="s">
        <v>5</v>
      </c>
      <c r="B384" s="1">
        <v>45673</v>
      </c>
      <c r="C384">
        <v>23</v>
      </c>
      <c r="D384">
        <v>0.186</v>
      </c>
      <c r="E384" t="s">
        <v>6</v>
      </c>
      <c r="F384">
        <v>0.18421999999999999</v>
      </c>
    </row>
    <row r="385" spans="1:6" x14ac:dyDescent="0.3">
      <c r="A385" t="s">
        <v>5</v>
      </c>
      <c r="B385" s="1">
        <v>45673</v>
      </c>
      <c r="C385">
        <v>24</v>
      </c>
      <c r="D385">
        <v>0.20799999999999999</v>
      </c>
      <c r="E385" t="s">
        <v>6</v>
      </c>
      <c r="F385">
        <v>0.17157</v>
      </c>
    </row>
    <row r="386" spans="1:6" x14ac:dyDescent="0.3">
      <c r="A386" t="s">
        <v>5</v>
      </c>
      <c r="B386" s="1">
        <v>45674</v>
      </c>
      <c r="C386">
        <v>1</v>
      </c>
      <c r="D386">
        <v>0.223</v>
      </c>
      <c r="E386" t="s">
        <v>6</v>
      </c>
      <c r="F386">
        <v>0.14827000000000001</v>
      </c>
    </row>
    <row r="387" spans="1:6" x14ac:dyDescent="0.3">
      <c r="A387" t="s">
        <v>5</v>
      </c>
      <c r="B387" s="1">
        <v>45674</v>
      </c>
      <c r="C387">
        <v>2</v>
      </c>
      <c r="D387">
        <v>0.14199999999999999</v>
      </c>
      <c r="E387" t="s">
        <v>6</v>
      </c>
      <c r="F387">
        <v>0.14583000000000002</v>
      </c>
    </row>
    <row r="388" spans="1:6" x14ac:dyDescent="0.3">
      <c r="A388" t="s">
        <v>5</v>
      </c>
      <c r="B388" s="1">
        <v>45674</v>
      </c>
      <c r="C388">
        <v>3</v>
      </c>
      <c r="D388">
        <v>0.16600000000000001</v>
      </c>
      <c r="E388" t="s">
        <v>6</v>
      </c>
      <c r="F388">
        <v>0.14313999999999999</v>
      </c>
    </row>
    <row r="389" spans="1:6" x14ac:dyDescent="0.3">
      <c r="A389" t="s">
        <v>5</v>
      </c>
      <c r="B389" s="1">
        <v>45674</v>
      </c>
      <c r="C389">
        <v>4</v>
      </c>
      <c r="D389">
        <v>0.13100000000000001</v>
      </c>
      <c r="E389" t="s">
        <v>6</v>
      </c>
      <c r="F389">
        <v>0.13977999999999999</v>
      </c>
    </row>
    <row r="390" spans="1:6" x14ac:dyDescent="0.3">
      <c r="A390" t="s">
        <v>5</v>
      </c>
      <c r="B390" s="1">
        <v>45674</v>
      </c>
      <c r="C390">
        <v>5</v>
      </c>
      <c r="D390">
        <v>0.14099999999999999</v>
      </c>
      <c r="E390" t="s">
        <v>6</v>
      </c>
      <c r="F390">
        <v>0.13983999999999999</v>
      </c>
    </row>
    <row r="391" spans="1:6" x14ac:dyDescent="0.3">
      <c r="A391" t="s">
        <v>5</v>
      </c>
      <c r="B391" s="1">
        <v>45674</v>
      </c>
      <c r="C391">
        <v>6</v>
      </c>
      <c r="D391">
        <v>0.14099999999999999</v>
      </c>
      <c r="E391" t="s">
        <v>6</v>
      </c>
      <c r="F391">
        <v>0.14254</v>
      </c>
    </row>
    <row r="392" spans="1:6" x14ac:dyDescent="0.3">
      <c r="A392" t="s">
        <v>5</v>
      </c>
      <c r="B392" s="1">
        <v>45674</v>
      </c>
      <c r="C392">
        <v>7</v>
      </c>
      <c r="D392">
        <v>0.127</v>
      </c>
      <c r="E392" t="s">
        <v>6</v>
      </c>
      <c r="F392">
        <v>0.16109000000000001</v>
      </c>
    </row>
    <row r="393" spans="1:6" x14ac:dyDescent="0.3">
      <c r="A393" t="s">
        <v>5</v>
      </c>
      <c r="B393" s="1">
        <v>45674</v>
      </c>
      <c r="C393">
        <v>8</v>
      </c>
      <c r="D393">
        <v>0.17699999999999999</v>
      </c>
      <c r="E393" t="s">
        <v>6</v>
      </c>
      <c r="F393">
        <v>0.17535000000000001</v>
      </c>
    </row>
    <row r="394" spans="1:6" x14ac:dyDescent="0.3">
      <c r="A394" t="s">
        <v>5</v>
      </c>
      <c r="B394" s="1">
        <v>45674</v>
      </c>
      <c r="C394">
        <v>9</v>
      </c>
      <c r="D394">
        <v>0.129</v>
      </c>
      <c r="E394" t="s">
        <v>6</v>
      </c>
      <c r="F394">
        <v>0.25766</v>
      </c>
    </row>
    <row r="395" spans="1:6" x14ac:dyDescent="0.3">
      <c r="A395" t="s">
        <v>5</v>
      </c>
      <c r="B395" s="1">
        <v>45674</v>
      </c>
      <c r="C395">
        <v>10</v>
      </c>
      <c r="D395">
        <v>0.129</v>
      </c>
      <c r="E395" t="s">
        <v>6</v>
      </c>
      <c r="F395">
        <v>0.2039</v>
      </c>
    </row>
    <row r="396" spans="1:6" x14ac:dyDescent="0.3">
      <c r="A396" t="s">
        <v>5</v>
      </c>
      <c r="B396" s="1">
        <v>45674</v>
      </c>
      <c r="C396">
        <v>11</v>
      </c>
      <c r="D396">
        <v>0.14000000000000001</v>
      </c>
      <c r="E396" t="s">
        <v>6</v>
      </c>
      <c r="F396">
        <v>0.23838999999999999</v>
      </c>
    </row>
    <row r="397" spans="1:6" x14ac:dyDescent="0.3">
      <c r="A397" t="s">
        <v>5</v>
      </c>
      <c r="B397" s="1">
        <v>45674</v>
      </c>
      <c r="C397">
        <v>12</v>
      </c>
      <c r="D397">
        <v>0.124</v>
      </c>
      <c r="E397" t="s">
        <v>6</v>
      </c>
      <c r="F397">
        <v>0.2225</v>
      </c>
    </row>
    <row r="398" spans="1:6" x14ac:dyDescent="0.3">
      <c r="A398" t="s">
        <v>5</v>
      </c>
      <c r="B398" s="1">
        <v>45674</v>
      </c>
      <c r="C398">
        <v>13</v>
      </c>
      <c r="D398">
        <v>0.14499999999999999</v>
      </c>
      <c r="E398" t="s">
        <v>6</v>
      </c>
      <c r="F398">
        <v>0.22319999999999998</v>
      </c>
    </row>
    <row r="399" spans="1:6" x14ac:dyDescent="0.3">
      <c r="A399" t="s">
        <v>5</v>
      </c>
      <c r="B399" s="1">
        <v>45674</v>
      </c>
      <c r="C399">
        <v>14</v>
      </c>
      <c r="D399">
        <v>0.21199999999999999</v>
      </c>
      <c r="E399" t="s">
        <v>6</v>
      </c>
      <c r="F399">
        <v>0.21251</v>
      </c>
    </row>
    <row r="400" spans="1:6" x14ac:dyDescent="0.3">
      <c r="A400" t="s">
        <v>5</v>
      </c>
      <c r="B400" s="1">
        <v>45674</v>
      </c>
      <c r="C400">
        <v>15</v>
      </c>
      <c r="D400">
        <v>0.19800000000000001</v>
      </c>
      <c r="E400" t="s">
        <v>6</v>
      </c>
      <c r="F400">
        <v>0.14410000000000001</v>
      </c>
    </row>
    <row r="401" spans="1:6" x14ac:dyDescent="0.3">
      <c r="A401" t="s">
        <v>5</v>
      </c>
      <c r="B401" s="1">
        <v>45674</v>
      </c>
      <c r="C401">
        <v>16</v>
      </c>
      <c r="D401">
        <v>0.16400000000000001</v>
      </c>
      <c r="E401" t="s">
        <v>6</v>
      </c>
      <c r="F401">
        <v>0.15569</v>
      </c>
    </row>
    <row r="402" spans="1:6" x14ac:dyDescent="0.3">
      <c r="A402" t="s">
        <v>5</v>
      </c>
      <c r="B402" s="1">
        <v>45674</v>
      </c>
      <c r="C402">
        <v>17</v>
      </c>
      <c r="D402">
        <v>0.14899999999999999</v>
      </c>
      <c r="E402" t="s">
        <v>6</v>
      </c>
      <c r="F402">
        <v>0.15953999999999999</v>
      </c>
    </row>
    <row r="403" spans="1:6" x14ac:dyDescent="0.3">
      <c r="A403" t="s">
        <v>5</v>
      </c>
      <c r="B403" s="1">
        <v>45674</v>
      </c>
      <c r="C403">
        <v>18</v>
      </c>
      <c r="D403">
        <v>0.125</v>
      </c>
      <c r="E403" t="s">
        <v>6</v>
      </c>
      <c r="F403">
        <v>0.19059999999999999</v>
      </c>
    </row>
    <row r="404" spans="1:6" x14ac:dyDescent="0.3">
      <c r="A404" t="s">
        <v>5</v>
      </c>
      <c r="B404" s="1">
        <v>45674</v>
      </c>
      <c r="C404">
        <v>19</v>
      </c>
      <c r="D404">
        <v>0.14599999999999999</v>
      </c>
      <c r="E404" t="s">
        <v>6</v>
      </c>
      <c r="F404">
        <v>0.29477999999999999</v>
      </c>
    </row>
    <row r="405" spans="1:6" x14ac:dyDescent="0.3">
      <c r="A405" t="s">
        <v>5</v>
      </c>
      <c r="B405" s="1">
        <v>45674</v>
      </c>
      <c r="C405">
        <v>20</v>
      </c>
      <c r="D405">
        <v>0.123</v>
      </c>
      <c r="E405" t="s">
        <v>6</v>
      </c>
      <c r="F405">
        <v>0.29370999999999997</v>
      </c>
    </row>
    <row r="406" spans="1:6" x14ac:dyDescent="0.3">
      <c r="A406" t="s">
        <v>5</v>
      </c>
      <c r="B406" s="1">
        <v>45674</v>
      </c>
      <c r="C406">
        <v>21</v>
      </c>
      <c r="D406">
        <v>0.17899999999999999</v>
      </c>
      <c r="E406" t="s">
        <v>6</v>
      </c>
      <c r="F406">
        <v>0.27398</v>
      </c>
    </row>
    <row r="407" spans="1:6" x14ac:dyDescent="0.3">
      <c r="A407" t="s">
        <v>5</v>
      </c>
      <c r="B407" s="1">
        <v>45674</v>
      </c>
      <c r="C407">
        <v>22</v>
      </c>
      <c r="D407">
        <v>0.378</v>
      </c>
      <c r="E407" t="s">
        <v>6</v>
      </c>
      <c r="F407">
        <v>0.26912999999999998</v>
      </c>
    </row>
    <row r="408" spans="1:6" x14ac:dyDescent="0.3">
      <c r="A408" t="s">
        <v>5</v>
      </c>
      <c r="B408" s="1">
        <v>45674</v>
      </c>
      <c r="C408">
        <v>23</v>
      </c>
      <c r="D408">
        <v>0.308</v>
      </c>
      <c r="E408" t="s">
        <v>6</v>
      </c>
      <c r="F408">
        <v>0.18862999999999999</v>
      </c>
    </row>
    <row r="409" spans="1:6" x14ac:dyDescent="0.3">
      <c r="A409" t="s">
        <v>5</v>
      </c>
      <c r="B409" s="1">
        <v>45674</v>
      </c>
      <c r="C409">
        <v>24</v>
      </c>
      <c r="D409">
        <v>0.20899999999999999</v>
      </c>
      <c r="E409" t="s">
        <v>6</v>
      </c>
      <c r="F409">
        <v>0.18663999999999997</v>
      </c>
    </row>
    <row r="410" spans="1:6" x14ac:dyDescent="0.3">
      <c r="A410" t="s">
        <v>5</v>
      </c>
      <c r="B410" s="1">
        <v>45675</v>
      </c>
      <c r="C410">
        <v>1</v>
      </c>
      <c r="D410">
        <v>0.16</v>
      </c>
      <c r="E410" t="s">
        <v>6</v>
      </c>
      <c r="F410">
        <v>0.16100999999999999</v>
      </c>
    </row>
    <row r="411" spans="1:6" x14ac:dyDescent="0.3">
      <c r="A411" t="s">
        <v>5</v>
      </c>
      <c r="B411" s="1">
        <v>45675</v>
      </c>
      <c r="C411">
        <v>2</v>
      </c>
      <c r="D411">
        <v>0.156</v>
      </c>
      <c r="E411" t="s">
        <v>6</v>
      </c>
      <c r="F411">
        <v>0.15762999999999999</v>
      </c>
    </row>
    <row r="412" spans="1:6" x14ac:dyDescent="0.3">
      <c r="A412" t="s">
        <v>5</v>
      </c>
      <c r="B412" s="1">
        <v>45675</v>
      </c>
      <c r="C412">
        <v>3</v>
      </c>
      <c r="D412">
        <v>0.153</v>
      </c>
      <c r="E412" t="s">
        <v>6</v>
      </c>
      <c r="F412">
        <v>0.16022</v>
      </c>
    </row>
    <row r="413" spans="1:6" x14ac:dyDescent="0.3">
      <c r="A413" t="s">
        <v>5</v>
      </c>
      <c r="B413" s="1">
        <v>45675</v>
      </c>
      <c r="C413">
        <v>4</v>
      </c>
      <c r="D413">
        <v>0.13500000000000001</v>
      </c>
      <c r="E413" t="s">
        <v>6</v>
      </c>
      <c r="F413">
        <v>0.15237000000000001</v>
      </c>
    </row>
    <row r="414" spans="1:6" x14ac:dyDescent="0.3">
      <c r="A414" t="s">
        <v>5</v>
      </c>
      <c r="B414" s="1">
        <v>45675</v>
      </c>
      <c r="C414">
        <v>5</v>
      </c>
      <c r="D414">
        <v>0.151</v>
      </c>
      <c r="E414" t="s">
        <v>6</v>
      </c>
      <c r="F414">
        <v>0.14427999999999999</v>
      </c>
    </row>
    <row r="415" spans="1:6" x14ac:dyDescent="0.3">
      <c r="A415" t="s">
        <v>5</v>
      </c>
      <c r="B415" s="1">
        <v>45675</v>
      </c>
      <c r="C415">
        <v>6</v>
      </c>
      <c r="D415">
        <v>0.126</v>
      </c>
      <c r="E415" t="s">
        <v>6</v>
      </c>
      <c r="F415">
        <v>0.14773</v>
      </c>
    </row>
    <row r="416" spans="1:6" x14ac:dyDescent="0.3">
      <c r="A416" t="s">
        <v>5</v>
      </c>
      <c r="B416" s="1">
        <v>45675</v>
      </c>
      <c r="C416">
        <v>7</v>
      </c>
      <c r="D416">
        <v>0.14399999999999999</v>
      </c>
      <c r="E416" t="s">
        <v>6</v>
      </c>
      <c r="F416">
        <v>0.14657000000000001</v>
      </c>
    </row>
    <row r="417" spans="1:6" x14ac:dyDescent="0.3">
      <c r="A417" t="s">
        <v>5</v>
      </c>
      <c r="B417" s="1">
        <v>45675</v>
      </c>
      <c r="C417">
        <v>8</v>
      </c>
      <c r="D417">
        <v>0.13900000000000001</v>
      </c>
      <c r="E417" t="s">
        <v>6</v>
      </c>
      <c r="F417">
        <v>0.15906999999999999</v>
      </c>
    </row>
    <row r="418" spans="1:6" x14ac:dyDescent="0.3">
      <c r="A418" t="s">
        <v>5</v>
      </c>
      <c r="B418" s="1">
        <v>45675</v>
      </c>
      <c r="C418">
        <v>9</v>
      </c>
      <c r="D418">
        <v>0.17</v>
      </c>
      <c r="E418" t="s">
        <v>6</v>
      </c>
      <c r="F418">
        <v>0.17047000000000001</v>
      </c>
    </row>
    <row r="419" spans="1:6" x14ac:dyDescent="0.3">
      <c r="A419" t="s">
        <v>5</v>
      </c>
      <c r="B419" s="1">
        <v>45675</v>
      </c>
      <c r="C419">
        <v>10</v>
      </c>
      <c r="D419">
        <v>0.255</v>
      </c>
      <c r="E419" t="s">
        <v>6</v>
      </c>
      <c r="F419">
        <v>0.16877</v>
      </c>
    </row>
    <row r="420" spans="1:6" x14ac:dyDescent="0.3">
      <c r="A420" t="s">
        <v>5</v>
      </c>
      <c r="B420" s="1">
        <v>45675</v>
      </c>
      <c r="C420">
        <v>11</v>
      </c>
      <c r="D420">
        <v>0.25800000000000001</v>
      </c>
      <c r="E420" t="s">
        <v>6</v>
      </c>
      <c r="F420">
        <v>0.15296999999999999</v>
      </c>
    </row>
    <row r="421" spans="1:6" x14ac:dyDescent="0.3">
      <c r="A421" t="s">
        <v>5</v>
      </c>
      <c r="B421" s="1">
        <v>45675</v>
      </c>
      <c r="C421">
        <v>12</v>
      </c>
      <c r="D421">
        <v>0.19400000000000001</v>
      </c>
      <c r="E421" t="s">
        <v>6</v>
      </c>
      <c r="F421">
        <v>0.12795000000000001</v>
      </c>
    </row>
    <row r="422" spans="1:6" x14ac:dyDescent="0.3">
      <c r="A422" t="s">
        <v>5</v>
      </c>
      <c r="B422" s="1">
        <v>45675</v>
      </c>
      <c r="C422">
        <v>13</v>
      </c>
      <c r="D422">
        <v>0.156</v>
      </c>
      <c r="E422" t="s">
        <v>6</v>
      </c>
      <c r="F422">
        <v>0.13040000000000002</v>
      </c>
    </row>
    <row r="423" spans="1:6" x14ac:dyDescent="0.3">
      <c r="A423" t="s">
        <v>5</v>
      </c>
      <c r="B423" s="1">
        <v>45675</v>
      </c>
      <c r="C423">
        <v>14</v>
      </c>
      <c r="D423">
        <v>0.60399999999999998</v>
      </c>
      <c r="E423" t="s">
        <v>6</v>
      </c>
      <c r="F423">
        <v>0.13016999999999998</v>
      </c>
    </row>
    <row r="424" spans="1:6" x14ac:dyDescent="0.3">
      <c r="A424" t="s">
        <v>5</v>
      </c>
      <c r="B424" s="1">
        <v>45675</v>
      </c>
      <c r="C424">
        <v>15</v>
      </c>
      <c r="D424">
        <v>0.625</v>
      </c>
      <c r="E424" t="s">
        <v>6</v>
      </c>
      <c r="F424">
        <v>0.13093000000000002</v>
      </c>
    </row>
    <row r="425" spans="1:6" x14ac:dyDescent="0.3">
      <c r="A425" t="s">
        <v>5</v>
      </c>
      <c r="B425" s="1">
        <v>45675</v>
      </c>
      <c r="C425">
        <v>16</v>
      </c>
      <c r="D425">
        <v>2.1349999999999998</v>
      </c>
      <c r="E425" t="s">
        <v>6</v>
      </c>
      <c r="F425">
        <v>0.13428999999999999</v>
      </c>
    </row>
    <row r="426" spans="1:6" x14ac:dyDescent="0.3">
      <c r="A426" t="s">
        <v>5</v>
      </c>
      <c r="B426" s="1">
        <v>45675</v>
      </c>
      <c r="C426">
        <v>17</v>
      </c>
      <c r="D426">
        <v>0.39300000000000002</v>
      </c>
      <c r="E426" t="s">
        <v>6</v>
      </c>
      <c r="F426">
        <v>0.14302999999999999</v>
      </c>
    </row>
    <row r="427" spans="1:6" x14ac:dyDescent="0.3">
      <c r="A427" t="s">
        <v>5</v>
      </c>
      <c r="B427" s="1">
        <v>45675</v>
      </c>
      <c r="C427">
        <v>18</v>
      </c>
      <c r="D427">
        <v>0.20599999999999999</v>
      </c>
      <c r="E427" t="s">
        <v>6</v>
      </c>
      <c r="F427">
        <v>0.17044999999999999</v>
      </c>
    </row>
    <row r="428" spans="1:6" x14ac:dyDescent="0.3">
      <c r="A428" t="s">
        <v>5</v>
      </c>
      <c r="B428" s="1">
        <v>45675</v>
      </c>
      <c r="C428">
        <v>19</v>
      </c>
      <c r="D428">
        <v>0.39</v>
      </c>
      <c r="E428" t="s">
        <v>6</v>
      </c>
      <c r="F428">
        <v>0.19378999999999999</v>
      </c>
    </row>
    <row r="429" spans="1:6" x14ac:dyDescent="0.3">
      <c r="A429" t="s">
        <v>5</v>
      </c>
      <c r="B429" s="1">
        <v>45675</v>
      </c>
      <c r="C429">
        <v>20</v>
      </c>
      <c r="D429">
        <v>0.30199999999999999</v>
      </c>
      <c r="E429" t="s">
        <v>6</v>
      </c>
      <c r="F429">
        <v>0.19396000000000002</v>
      </c>
    </row>
    <row r="430" spans="1:6" x14ac:dyDescent="0.3">
      <c r="A430" t="s">
        <v>5</v>
      </c>
      <c r="B430" s="1">
        <v>45675</v>
      </c>
      <c r="C430">
        <v>21</v>
      </c>
      <c r="D430">
        <v>0.192</v>
      </c>
      <c r="E430" t="s">
        <v>6</v>
      </c>
      <c r="F430">
        <v>0.18</v>
      </c>
    </row>
    <row r="431" spans="1:6" x14ac:dyDescent="0.3">
      <c r="A431" t="s">
        <v>5</v>
      </c>
      <c r="B431" s="1">
        <v>45675</v>
      </c>
      <c r="C431">
        <v>22</v>
      </c>
      <c r="D431">
        <v>8.7999999999999995E-2</v>
      </c>
      <c r="E431" t="s">
        <v>6</v>
      </c>
      <c r="F431">
        <v>0.17532</v>
      </c>
    </row>
    <row r="432" spans="1:6" x14ac:dyDescent="0.3">
      <c r="A432" t="s">
        <v>5</v>
      </c>
      <c r="B432" s="1">
        <v>45675</v>
      </c>
      <c r="C432">
        <v>23</v>
      </c>
      <c r="D432">
        <v>6.5000000000000002E-2</v>
      </c>
      <c r="E432" t="s">
        <v>6</v>
      </c>
      <c r="F432">
        <v>0.17391999999999999</v>
      </c>
    </row>
    <row r="433" spans="1:6" x14ac:dyDescent="0.3">
      <c r="A433" t="s">
        <v>5</v>
      </c>
      <c r="B433" s="1">
        <v>45675</v>
      </c>
      <c r="C433">
        <v>24</v>
      </c>
      <c r="D433">
        <v>0.22700000000000001</v>
      </c>
      <c r="E433" t="s">
        <v>6</v>
      </c>
      <c r="F433">
        <v>0.16961999999999999</v>
      </c>
    </row>
    <row r="434" spans="1:6" x14ac:dyDescent="0.3">
      <c r="A434" t="s">
        <v>5</v>
      </c>
      <c r="B434" s="1">
        <v>45676</v>
      </c>
      <c r="C434">
        <v>1</v>
      </c>
      <c r="D434">
        <v>0.158</v>
      </c>
      <c r="E434" t="s">
        <v>6</v>
      </c>
      <c r="F434">
        <v>0.16408</v>
      </c>
    </row>
    <row r="435" spans="1:6" x14ac:dyDescent="0.3">
      <c r="A435" t="s">
        <v>5</v>
      </c>
      <c r="B435" s="1">
        <v>45676</v>
      </c>
      <c r="C435">
        <v>2</v>
      </c>
      <c r="D435">
        <v>9.4E-2</v>
      </c>
      <c r="E435" t="s">
        <v>6</v>
      </c>
      <c r="F435">
        <v>0.15797</v>
      </c>
    </row>
    <row r="436" spans="1:6" x14ac:dyDescent="0.3">
      <c r="A436" t="s">
        <v>5</v>
      </c>
      <c r="B436" s="1">
        <v>45676</v>
      </c>
      <c r="C436">
        <v>3</v>
      </c>
      <c r="D436">
        <v>7.3999999999999996E-2</v>
      </c>
      <c r="E436" t="s">
        <v>6</v>
      </c>
      <c r="F436">
        <v>0.15737000000000001</v>
      </c>
    </row>
    <row r="437" spans="1:6" x14ac:dyDescent="0.3">
      <c r="A437" t="s">
        <v>5</v>
      </c>
      <c r="B437" s="1">
        <v>45676</v>
      </c>
      <c r="C437">
        <v>4</v>
      </c>
      <c r="D437">
        <v>6.7000000000000004E-2</v>
      </c>
      <c r="E437" t="s">
        <v>6</v>
      </c>
      <c r="F437">
        <v>0.15631</v>
      </c>
    </row>
    <row r="438" spans="1:6" x14ac:dyDescent="0.3">
      <c r="A438" t="s">
        <v>5</v>
      </c>
      <c r="B438" s="1">
        <v>45676</v>
      </c>
      <c r="C438">
        <v>5</v>
      </c>
      <c r="D438">
        <v>0.08</v>
      </c>
      <c r="E438" t="s">
        <v>6</v>
      </c>
      <c r="F438">
        <v>0.15547</v>
      </c>
    </row>
    <row r="439" spans="1:6" x14ac:dyDescent="0.3">
      <c r="A439" t="s">
        <v>5</v>
      </c>
      <c r="B439" s="1">
        <v>45676</v>
      </c>
      <c r="C439">
        <v>6</v>
      </c>
      <c r="D439">
        <v>6.4000000000000001E-2</v>
      </c>
      <c r="E439" t="s">
        <v>6</v>
      </c>
      <c r="F439">
        <v>0.15487999999999999</v>
      </c>
    </row>
    <row r="440" spans="1:6" x14ac:dyDescent="0.3">
      <c r="A440" t="s">
        <v>5</v>
      </c>
      <c r="B440" s="1">
        <v>45676</v>
      </c>
      <c r="C440">
        <v>7</v>
      </c>
      <c r="D440">
        <v>8.2000000000000003E-2</v>
      </c>
      <c r="E440" t="s">
        <v>6</v>
      </c>
      <c r="F440">
        <v>0.15568000000000001</v>
      </c>
    </row>
    <row r="441" spans="1:6" x14ac:dyDescent="0.3">
      <c r="A441" t="s">
        <v>5</v>
      </c>
      <c r="B441" s="1">
        <v>45676</v>
      </c>
      <c r="C441">
        <v>8</v>
      </c>
      <c r="D441">
        <v>0.14399999999999999</v>
      </c>
      <c r="E441" t="s">
        <v>6</v>
      </c>
      <c r="F441">
        <v>0.15603999999999998</v>
      </c>
    </row>
    <row r="442" spans="1:6" x14ac:dyDescent="0.3">
      <c r="A442" t="s">
        <v>5</v>
      </c>
      <c r="B442" s="1">
        <v>45676</v>
      </c>
      <c r="C442">
        <v>9</v>
      </c>
      <c r="D442">
        <v>0.10299999999999999</v>
      </c>
      <c r="E442" t="s">
        <v>6</v>
      </c>
      <c r="F442">
        <v>0.15256999999999998</v>
      </c>
    </row>
    <row r="443" spans="1:6" x14ac:dyDescent="0.3">
      <c r="A443" t="s">
        <v>5</v>
      </c>
      <c r="B443" s="1">
        <v>45676</v>
      </c>
      <c r="C443">
        <v>10</v>
      </c>
      <c r="D443">
        <v>7.5999999999999998E-2</v>
      </c>
      <c r="E443" t="s">
        <v>6</v>
      </c>
      <c r="F443">
        <v>0.15897</v>
      </c>
    </row>
    <row r="444" spans="1:6" x14ac:dyDescent="0.3">
      <c r="A444" t="s">
        <v>5</v>
      </c>
      <c r="B444" s="1">
        <v>45676</v>
      </c>
      <c r="C444">
        <v>11</v>
      </c>
      <c r="D444">
        <v>6.5000000000000002E-2</v>
      </c>
      <c r="E444" t="s">
        <v>6</v>
      </c>
      <c r="F444">
        <v>0.12781000000000001</v>
      </c>
    </row>
    <row r="445" spans="1:6" x14ac:dyDescent="0.3">
      <c r="A445" t="s">
        <v>5</v>
      </c>
      <c r="B445" s="1">
        <v>45676</v>
      </c>
      <c r="C445">
        <v>12</v>
      </c>
      <c r="D445">
        <v>8.4000000000000005E-2</v>
      </c>
      <c r="E445" t="s">
        <v>6</v>
      </c>
      <c r="F445">
        <v>0.12672</v>
      </c>
    </row>
    <row r="446" spans="1:6" x14ac:dyDescent="0.3">
      <c r="A446" t="s">
        <v>5</v>
      </c>
      <c r="B446" s="1">
        <v>45676</v>
      </c>
      <c r="C446">
        <v>13</v>
      </c>
      <c r="D446">
        <v>6.2E-2</v>
      </c>
      <c r="E446" t="s">
        <v>6</v>
      </c>
      <c r="F446">
        <v>0.12212000000000001</v>
      </c>
    </row>
    <row r="447" spans="1:6" x14ac:dyDescent="0.3">
      <c r="A447" t="s">
        <v>5</v>
      </c>
      <c r="B447" s="1">
        <v>45676</v>
      </c>
      <c r="C447">
        <v>14</v>
      </c>
      <c r="D447">
        <v>7.1999999999999995E-2</v>
      </c>
      <c r="E447" t="s">
        <v>6</v>
      </c>
      <c r="F447">
        <v>0.12648000000000001</v>
      </c>
    </row>
    <row r="448" spans="1:6" x14ac:dyDescent="0.3">
      <c r="A448" t="s">
        <v>5</v>
      </c>
      <c r="B448" s="1">
        <v>45676</v>
      </c>
      <c r="C448">
        <v>15</v>
      </c>
      <c r="D448">
        <v>7.0000000000000007E-2</v>
      </c>
      <c r="E448" t="s">
        <v>6</v>
      </c>
      <c r="F448">
        <v>0.12620000000000001</v>
      </c>
    </row>
    <row r="449" spans="1:6" x14ac:dyDescent="0.3">
      <c r="A449" t="s">
        <v>5</v>
      </c>
      <c r="B449" s="1">
        <v>45676</v>
      </c>
      <c r="C449">
        <v>16</v>
      </c>
      <c r="D449">
        <v>6.2E-2</v>
      </c>
      <c r="E449" t="s">
        <v>6</v>
      </c>
      <c r="F449">
        <v>0.13053999999999999</v>
      </c>
    </row>
    <row r="450" spans="1:6" x14ac:dyDescent="0.3">
      <c r="A450" t="s">
        <v>5</v>
      </c>
      <c r="B450" s="1">
        <v>45676</v>
      </c>
      <c r="C450">
        <v>17</v>
      </c>
      <c r="D450">
        <v>0.08</v>
      </c>
      <c r="E450" t="s">
        <v>6</v>
      </c>
      <c r="F450">
        <v>0.1419</v>
      </c>
    </row>
    <row r="451" spans="1:6" x14ac:dyDescent="0.3">
      <c r="A451" t="s">
        <v>5</v>
      </c>
      <c r="B451" s="1">
        <v>45676</v>
      </c>
      <c r="C451">
        <v>18</v>
      </c>
      <c r="D451">
        <v>6.0999999999999999E-2</v>
      </c>
      <c r="E451" t="s">
        <v>6</v>
      </c>
      <c r="F451">
        <v>0.16833000000000001</v>
      </c>
    </row>
    <row r="452" spans="1:6" x14ac:dyDescent="0.3">
      <c r="A452" t="s">
        <v>5</v>
      </c>
      <c r="B452" s="1">
        <v>45676</v>
      </c>
      <c r="C452">
        <v>19</v>
      </c>
      <c r="D452">
        <v>0.14099999999999999</v>
      </c>
      <c r="E452" t="s">
        <v>6</v>
      </c>
      <c r="F452">
        <v>0.19025</v>
      </c>
    </row>
    <row r="453" spans="1:6" x14ac:dyDescent="0.3">
      <c r="A453" t="s">
        <v>5</v>
      </c>
      <c r="B453" s="1">
        <v>45676</v>
      </c>
      <c r="C453">
        <v>20</v>
      </c>
      <c r="D453">
        <v>7.2999999999999995E-2</v>
      </c>
      <c r="E453" t="s">
        <v>6</v>
      </c>
      <c r="F453">
        <v>0.18631999999999999</v>
      </c>
    </row>
    <row r="454" spans="1:6" x14ac:dyDescent="0.3">
      <c r="A454" t="s">
        <v>5</v>
      </c>
      <c r="B454" s="1">
        <v>45676</v>
      </c>
      <c r="C454">
        <v>21</v>
      </c>
      <c r="D454">
        <v>0.26500000000000001</v>
      </c>
      <c r="E454" t="s">
        <v>6</v>
      </c>
      <c r="F454">
        <v>0.17958000000000002</v>
      </c>
    </row>
    <row r="455" spans="1:6" x14ac:dyDescent="0.3">
      <c r="A455" t="s">
        <v>5</v>
      </c>
      <c r="B455" s="1">
        <v>45676</v>
      </c>
      <c r="C455">
        <v>22</v>
      </c>
      <c r="D455">
        <v>0.5</v>
      </c>
      <c r="E455" t="s">
        <v>6</v>
      </c>
      <c r="F455">
        <v>0.18133000000000002</v>
      </c>
    </row>
    <row r="456" spans="1:6" x14ac:dyDescent="0.3">
      <c r="A456" t="s">
        <v>5</v>
      </c>
      <c r="B456" s="1">
        <v>45676</v>
      </c>
      <c r="C456">
        <v>23</v>
      </c>
      <c r="D456">
        <v>0.48699999999999999</v>
      </c>
      <c r="E456" t="s">
        <v>6</v>
      </c>
      <c r="F456">
        <v>0.16766</v>
      </c>
    </row>
    <row r="457" spans="1:6" x14ac:dyDescent="0.3">
      <c r="A457" t="s">
        <v>5</v>
      </c>
      <c r="B457" s="1">
        <v>45676</v>
      </c>
      <c r="C457">
        <v>24</v>
      </c>
      <c r="D457">
        <v>0.14699999999999999</v>
      </c>
      <c r="E457" t="s">
        <v>6</v>
      </c>
      <c r="F457">
        <v>0.15056</v>
      </c>
    </row>
    <row r="458" spans="1:6" x14ac:dyDescent="0.3">
      <c r="A458" t="s">
        <v>5</v>
      </c>
      <c r="B458" s="1">
        <v>45677</v>
      </c>
      <c r="C458">
        <v>1</v>
      </c>
      <c r="D458">
        <v>0.14499999999999999</v>
      </c>
      <c r="E458" t="s">
        <v>6</v>
      </c>
      <c r="F458">
        <v>0.14266000000000001</v>
      </c>
    </row>
    <row r="459" spans="1:6" x14ac:dyDescent="0.3">
      <c r="A459" t="s">
        <v>5</v>
      </c>
      <c r="B459" s="1">
        <v>45677</v>
      </c>
      <c r="C459">
        <v>2</v>
      </c>
      <c r="D459">
        <v>0.107</v>
      </c>
      <c r="E459" t="s">
        <v>6</v>
      </c>
      <c r="F459">
        <v>0.14091999999999999</v>
      </c>
    </row>
    <row r="460" spans="1:6" x14ac:dyDescent="0.3">
      <c r="A460" t="s">
        <v>5</v>
      </c>
      <c r="B460" s="1">
        <v>45677</v>
      </c>
      <c r="C460">
        <v>3</v>
      </c>
      <c r="D460">
        <v>8.2000000000000003E-2</v>
      </c>
      <c r="E460" t="s">
        <v>6</v>
      </c>
      <c r="F460">
        <v>0.13961999999999999</v>
      </c>
    </row>
    <row r="461" spans="1:6" x14ac:dyDescent="0.3">
      <c r="A461" t="s">
        <v>5</v>
      </c>
      <c r="B461" s="1">
        <v>45677</v>
      </c>
      <c r="C461">
        <v>4</v>
      </c>
      <c r="D461">
        <v>6.8000000000000005E-2</v>
      </c>
      <c r="E461" t="s">
        <v>6</v>
      </c>
      <c r="F461">
        <v>0.13763</v>
      </c>
    </row>
    <row r="462" spans="1:6" x14ac:dyDescent="0.3">
      <c r="A462" t="s">
        <v>5</v>
      </c>
      <c r="B462" s="1">
        <v>45677</v>
      </c>
      <c r="C462">
        <v>5</v>
      </c>
      <c r="D462">
        <v>0.08</v>
      </c>
      <c r="E462" t="s">
        <v>6</v>
      </c>
      <c r="F462">
        <v>0.13822000000000001</v>
      </c>
    </row>
    <row r="463" spans="1:6" x14ac:dyDescent="0.3">
      <c r="A463" t="s">
        <v>5</v>
      </c>
      <c r="B463" s="1">
        <v>45677</v>
      </c>
      <c r="C463">
        <v>6</v>
      </c>
      <c r="D463">
        <v>6.0999999999999999E-2</v>
      </c>
      <c r="E463" t="s">
        <v>6</v>
      </c>
      <c r="F463">
        <v>0.13791</v>
      </c>
    </row>
    <row r="464" spans="1:6" x14ac:dyDescent="0.3">
      <c r="A464" t="s">
        <v>5</v>
      </c>
      <c r="B464" s="1">
        <v>45677</v>
      </c>
      <c r="C464">
        <v>7</v>
      </c>
      <c r="D464">
        <v>8.1000000000000003E-2</v>
      </c>
      <c r="E464" t="s">
        <v>6</v>
      </c>
      <c r="F464">
        <v>0.16153000000000001</v>
      </c>
    </row>
    <row r="465" spans="1:6" x14ac:dyDescent="0.3">
      <c r="A465" t="s">
        <v>5</v>
      </c>
      <c r="B465" s="1">
        <v>45677</v>
      </c>
      <c r="C465">
        <v>8</v>
      </c>
      <c r="D465">
        <v>0.10100000000000001</v>
      </c>
      <c r="E465" t="s">
        <v>6</v>
      </c>
      <c r="F465">
        <v>0.17423</v>
      </c>
    </row>
    <row r="466" spans="1:6" x14ac:dyDescent="0.3">
      <c r="A466" t="s">
        <v>5</v>
      </c>
      <c r="B466" s="1">
        <v>45677</v>
      </c>
      <c r="C466">
        <v>9</v>
      </c>
      <c r="D466">
        <v>7.1999999999999995E-2</v>
      </c>
      <c r="E466" t="s">
        <v>6</v>
      </c>
      <c r="F466">
        <v>0.20038</v>
      </c>
    </row>
    <row r="467" spans="1:6" x14ac:dyDescent="0.3">
      <c r="A467" t="s">
        <v>5</v>
      </c>
      <c r="B467" s="1">
        <v>45677</v>
      </c>
      <c r="C467">
        <v>10</v>
      </c>
      <c r="D467">
        <v>0.17199999999999999</v>
      </c>
      <c r="E467" t="s">
        <v>6</v>
      </c>
      <c r="F467">
        <v>0.19994000000000001</v>
      </c>
    </row>
    <row r="468" spans="1:6" x14ac:dyDescent="0.3">
      <c r="A468" t="s">
        <v>5</v>
      </c>
      <c r="B468" s="1">
        <v>45677</v>
      </c>
      <c r="C468">
        <v>11</v>
      </c>
      <c r="D468">
        <v>0.20899999999999999</v>
      </c>
      <c r="E468" t="s">
        <v>6</v>
      </c>
      <c r="F468">
        <v>0.26347999999999999</v>
      </c>
    </row>
    <row r="469" spans="1:6" x14ac:dyDescent="0.3">
      <c r="A469" t="s">
        <v>5</v>
      </c>
      <c r="B469" s="1">
        <v>45677</v>
      </c>
      <c r="C469">
        <v>12</v>
      </c>
      <c r="D469">
        <v>0.115</v>
      </c>
      <c r="E469" t="s">
        <v>6</v>
      </c>
      <c r="F469">
        <v>0.26861000000000002</v>
      </c>
    </row>
    <row r="470" spans="1:6" x14ac:dyDescent="0.3">
      <c r="A470" t="s">
        <v>5</v>
      </c>
      <c r="B470" s="1">
        <v>45677</v>
      </c>
      <c r="C470">
        <v>13</v>
      </c>
      <c r="D470">
        <v>7.0999999999999994E-2</v>
      </c>
      <c r="E470" t="s">
        <v>6</v>
      </c>
      <c r="F470">
        <v>0.26482</v>
      </c>
    </row>
    <row r="471" spans="1:6" x14ac:dyDescent="0.3">
      <c r="A471" t="s">
        <v>5</v>
      </c>
      <c r="B471" s="1">
        <v>45677</v>
      </c>
      <c r="C471">
        <v>14</v>
      </c>
      <c r="D471">
        <v>0.19900000000000001</v>
      </c>
      <c r="E471" t="s">
        <v>6</v>
      </c>
      <c r="F471">
        <v>0.26273000000000002</v>
      </c>
    </row>
    <row r="472" spans="1:6" x14ac:dyDescent="0.3">
      <c r="A472" t="s">
        <v>5</v>
      </c>
      <c r="B472" s="1">
        <v>45677</v>
      </c>
      <c r="C472">
        <v>15</v>
      </c>
      <c r="D472">
        <v>0.13500000000000001</v>
      </c>
      <c r="E472" t="s">
        <v>6</v>
      </c>
      <c r="F472">
        <v>0.19808000000000001</v>
      </c>
    </row>
    <row r="473" spans="1:6" x14ac:dyDescent="0.3">
      <c r="A473" t="s">
        <v>5</v>
      </c>
      <c r="B473" s="1">
        <v>45677</v>
      </c>
      <c r="C473">
        <v>16</v>
      </c>
      <c r="D473">
        <v>8.1000000000000003E-2</v>
      </c>
      <c r="E473" t="s">
        <v>6</v>
      </c>
      <c r="F473">
        <v>0.19986999999999999</v>
      </c>
    </row>
    <row r="474" spans="1:6" x14ac:dyDescent="0.3">
      <c r="A474" t="s">
        <v>5</v>
      </c>
      <c r="B474" s="1">
        <v>45677</v>
      </c>
      <c r="C474">
        <v>17</v>
      </c>
      <c r="D474">
        <v>0.10100000000000001</v>
      </c>
      <c r="E474" t="s">
        <v>6</v>
      </c>
      <c r="F474">
        <v>0.19850999999999999</v>
      </c>
    </row>
    <row r="475" spans="1:6" x14ac:dyDescent="0.3">
      <c r="A475" t="s">
        <v>5</v>
      </c>
      <c r="B475" s="1">
        <v>45677</v>
      </c>
      <c r="C475">
        <v>18</v>
      </c>
      <c r="D475">
        <v>0.17499999999999999</v>
      </c>
      <c r="E475" t="s">
        <v>6</v>
      </c>
      <c r="F475">
        <v>0.19769</v>
      </c>
    </row>
    <row r="476" spans="1:6" x14ac:dyDescent="0.3">
      <c r="A476" t="s">
        <v>5</v>
      </c>
      <c r="B476" s="1">
        <v>45677</v>
      </c>
      <c r="C476">
        <v>19</v>
      </c>
      <c r="D476">
        <v>0.1</v>
      </c>
      <c r="E476" t="s">
        <v>6</v>
      </c>
      <c r="F476">
        <v>0.26691000000000004</v>
      </c>
    </row>
    <row r="477" spans="1:6" x14ac:dyDescent="0.3">
      <c r="A477" t="s">
        <v>5</v>
      </c>
      <c r="B477" s="1">
        <v>45677</v>
      </c>
      <c r="C477">
        <v>20</v>
      </c>
      <c r="D477">
        <v>8.5999999999999993E-2</v>
      </c>
      <c r="E477" t="s">
        <v>6</v>
      </c>
      <c r="F477">
        <v>0.27185000000000004</v>
      </c>
    </row>
    <row r="478" spans="1:6" x14ac:dyDescent="0.3">
      <c r="A478" t="s">
        <v>5</v>
      </c>
      <c r="B478" s="1">
        <v>45677</v>
      </c>
      <c r="C478">
        <v>21</v>
      </c>
      <c r="D478">
        <v>0.24</v>
      </c>
      <c r="E478" t="s">
        <v>6</v>
      </c>
      <c r="F478">
        <v>0.28032999999999997</v>
      </c>
    </row>
    <row r="479" spans="1:6" x14ac:dyDescent="0.3">
      <c r="A479" t="s">
        <v>5</v>
      </c>
      <c r="B479" s="1">
        <v>45677</v>
      </c>
      <c r="C479">
        <v>22</v>
      </c>
      <c r="D479">
        <v>0.20899999999999999</v>
      </c>
      <c r="E479" t="s">
        <v>6</v>
      </c>
      <c r="F479">
        <v>0.28675</v>
      </c>
    </row>
    <row r="480" spans="1:6" x14ac:dyDescent="0.3">
      <c r="A480" t="s">
        <v>5</v>
      </c>
      <c r="B480" s="1">
        <v>45677</v>
      </c>
      <c r="C480">
        <v>23</v>
      </c>
      <c r="D480">
        <v>0.13400000000000001</v>
      </c>
      <c r="E480" t="s">
        <v>6</v>
      </c>
      <c r="F480">
        <v>0.20252999999999999</v>
      </c>
    </row>
    <row r="481" spans="1:6" x14ac:dyDescent="0.3">
      <c r="A481" t="s">
        <v>5</v>
      </c>
      <c r="B481" s="1">
        <v>45677</v>
      </c>
      <c r="C481">
        <v>24</v>
      </c>
      <c r="D481">
        <v>0.14799999999999999</v>
      </c>
      <c r="E481" t="s">
        <v>6</v>
      </c>
      <c r="F481">
        <v>0.18694999999999998</v>
      </c>
    </row>
    <row r="482" spans="1:6" x14ac:dyDescent="0.3">
      <c r="A482" t="s">
        <v>5</v>
      </c>
      <c r="B482" s="1">
        <v>45678</v>
      </c>
      <c r="C482">
        <v>1</v>
      </c>
      <c r="D482">
        <v>0.156</v>
      </c>
      <c r="E482" t="s">
        <v>6</v>
      </c>
      <c r="F482">
        <v>0.1618</v>
      </c>
    </row>
    <row r="483" spans="1:6" x14ac:dyDescent="0.3">
      <c r="A483" t="s">
        <v>5</v>
      </c>
      <c r="B483" s="1">
        <v>45678</v>
      </c>
      <c r="C483">
        <v>2</v>
      </c>
      <c r="D483">
        <v>0.13600000000000001</v>
      </c>
      <c r="E483" t="s">
        <v>6</v>
      </c>
      <c r="F483">
        <v>0.15653</v>
      </c>
    </row>
    <row r="484" spans="1:6" x14ac:dyDescent="0.3">
      <c r="A484" t="s">
        <v>5</v>
      </c>
      <c r="B484" s="1">
        <v>45678</v>
      </c>
      <c r="C484">
        <v>3</v>
      </c>
      <c r="D484">
        <v>7.6999999999999999E-2</v>
      </c>
      <c r="E484" t="s">
        <v>6</v>
      </c>
      <c r="F484">
        <v>0.15011000000000002</v>
      </c>
    </row>
    <row r="485" spans="1:6" x14ac:dyDescent="0.3">
      <c r="A485" t="s">
        <v>5</v>
      </c>
      <c r="B485" s="1">
        <v>45678</v>
      </c>
      <c r="C485">
        <v>4</v>
      </c>
      <c r="D485">
        <v>0.09</v>
      </c>
      <c r="E485" t="s">
        <v>6</v>
      </c>
      <c r="F485">
        <v>0.13936999999999999</v>
      </c>
    </row>
    <row r="486" spans="1:6" x14ac:dyDescent="0.3">
      <c r="A486" t="s">
        <v>5</v>
      </c>
      <c r="B486" s="1">
        <v>45678</v>
      </c>
      <c r="C486">
        <v>5</v>
      </c>
      <c r="D486">
        <v>6.4000000000000001E-2</v>
      </c>
      <c r="E486" t="s">
        <v>6</v>
      </c>
      <c r="F486">
        <v>0.13761000000000001</v>
      </c>
    </row>
    <row r="487" spans="1:6" x14ac:dyDescent="0.3">
      <c r="A487" t="s">
        <v>5</v>
      </c>
      <c r="B487" s="1">
        <v>45678</v>
      </c>
      <c r="C487">
        <v>6</v>
      </c>
      <c r="D487">
        <v>8.4000000000000005E-2</v>
      </c>
      <c r="E487" t="s">
        <v>6</v>
      </c>
      <c r="F487">
        <v>0.14558000000000001</v>
      </c>
    </row>
    <row r="488" spans="1:6" x14ac:dyDescent="0.3">
      <c r="A488" t="s">
        <v>5</v>
      </c>
      <c r="B488" s="1">
        <v>45678</v>
      </c>
      <c r="C488">
        <v>7</v>
      </c>
      <c r="D488">
        <v>6.4000000000000001E-2</v>
      </c>
      <c r="E488" t="s">
        <v>6</v>
      </c>
      <c r="F488">
        <v>0.16281999999999999</v>
      </c>
    </row>
    <row r="489" spans="1:6" x14ac:dyDescent="0.3">
      <c r="A489" t="s">
        <v>5</v>
      </c>
      <c r="B489" s="1">
        <v>45678</v>
      </c>
      <c r="C489">
        <v>8</v>
      </c>
      <c r="D489">
        <v>0.10199999999999999</v>
      </c>
      <c r="E489" t="s">
        <v>6</v>
      </c>
      <c r="F489">
        <v>0.16928000000000001</v>
      </c>
    </row>
    <row r="490" spans="1:6" x14ac:dyDescent="0.3">
      <c r="A490" t="s">
        <v>5</v>
      </c>
      <c r="B490" s="1">
        <v>45678</v>
      </c>
      <c r="C490">
        <v>9</v>
      </c>
      <c r="D490">
        <v>8.1000000000000003E-2</v>
      </c>
      <c r="E490" t="s">
        <v>6</v>
      </c>
      <c r="F490">
        <v>0.20790999999999998</v>
      </c>
    </row>
    <row r="491" spans="1:6" x14ac:dyDescent="0.3">
      <c r="A491" t="s">
        <v>5</v>
      </c>
      <c r="B491" s="1">
        <v>45678</v>
      </c>
      <c r="C491">
        <v>10</v>
      </c>
      <c r="D491">
        <v>0.108</v>
      </c>
      <c r="E491" t="s">
        <v>6</v>
      </c>
      <c r="F491">
        <v>0.20294999999999999</v>
      </c>
    </row>
    <row r="492" spans="1:6" x14ac:dyDescent="0.3">
      <c r="A492" t="s">
        <v>5</v>
      </c>
      <c r="B492" s="1">
        <v>45678</v>
      </c>
      <c r="C492">
        <v>11</v>
      </c>
      <c r="D492">
        <v>8.5000000000000006E-2</v>
      </c>
      <c r="E492" t="s">
        <v>6</v>
      </c>
      <c r="F492">
        <v>0.25905</v>
      </c>
    </row>
    <row r="493" spans="1:6" x14ac:dyDescent="0.3">
      <c r="A493" t="s">
        <v>5</v>
      </c>
      <c r="B493" s="1">
        <v>45678</v>
      </c>
      <c r="C493">
        <v>12</v>
      </c>
      <c r="D493">
        <v>0.06</v>
      </c>
      <c r="E493" t="s">
        <v>6</v>
      </c>
      <c r="F493">
        <v>0.25712000000000002</v>
      </c>
    </row>
    <row r="494" spans="1:6" x14ac:dyDescent="0.3">
      <c r="A494" t="s">
        <v>5</v>
      </c>
      <c r="B494" s="1">
        <v>45678</v>
      </c>
      <c r="C494">
        <v>13</v>
      </c>
      <c r="D494">
        <v>0.08</v>
      </c>
      <c r="E494" t="s">
        <v>6</v>
      </c>
      <c r="F494">
        <v>0.25372</v>
      </c>
    </row>
    <row r="495" spans="1:6" x14ac:dyDescent="0.3">
      <c r="A495" t="s">
        <v>5</v>
      </c>
      <c r="B495" s="1">
        <v>45678</v>
      </c>
      <c r="C495">
        <v>14</v>
      </c>
      <c r="D495">
        <v>0.06</v>
      </c>
      <c r="E495" t="s">
        <v>6</v>
      </c>
      <c r="F495">
        <v>0.25047999999999998</v>
      </c>
    </row>
    <row r="496" spans="1:6" x14ac:dyDescent="0.3">
      <c r="A496" t="s">
        <v>5</v>
      </c>
      <c r="B496" s="1">
        <v>45678</v>
      </c>
      <c r="C496">
        <v>15</v>
      </c>
      <c r="D496">
        <v>7.8E-2</v>
      </c>
      <c r="E496" t="s">
        <v>6</v>
      </c>
      <c r="F496">
        <v>0.17912</v>
      </c>
    </row>
    <row r="497" spans="1:6" x14ac:dyDescent="0.3">
      <c r="A497" t="s">
        <v>5</v>
      </c>
      <c r="B497" s="1">
        <v>45678</v>
      </c>
      <c r="C497">
        <v>16</v>
      </c>
      <c r="D497">
        <v>6.3E-2</v>
      </c>
      <c r="E497" t="s">
        <v>6</v>
      </c>
      <c r="F497">
        <v>0.17716999999999999</v>
      </c>
    </row>
    <row r="498" spans="1:6" x14ac:dyDescent="0.3">
      <c r="A498" t="s">
        <v>5</v>
      </c>
      <c r="B498" s="1">
        <v>45678</v>
      </c>
      <c r="C498">
        <v>17</v>
      </c>
      <c r="D498">
        <v>6.8000000000000005E-2</v>
      </c>
      <c r="E498" t="s">
        <v>6</v>
      </c>
      <c r="F498">
        <v>0.18972</v>
      </c>
    </row>
    <row r="499" spans="1:6" x14ac:dyDescent="0.3">
      <c r="A499" t="s">
        <v>5</v>
      </c>
      <c r="B499" s="1">
        <v>45678</v>
      </c>
      <c r="C499">
        <v>18</v>
      </c>
      <c r="D499">
        <v>8.3000000000000004E-2</v>
      </c>
      <c r="E499" t="s">
        <v>6</v>
      </c>
      <c r="F499">
        <v>0.19190000000000002</v>
      </c>
    </row>
    <row r="500" spans="1:6" x14ac:dyDescent="0.3">
      <c r="A500" t="s">
        <v>5</v>
      </c>
      <c r="B500" s="1">
        <v>45678</v>
      </c>
      <c r="C500">
        <v>19</v>
      </c>
      <c r="D500">
        <v>0.21</v>
      </c>
      <c r="E500" t="s">
        <v>6</v>
      </c>
      <c r="F500">
        <v>0.26212000000000002</v>
      </c>
    </row>
    <row r="501" spans="1:6" x14ac:dyDescent="0.3">
      <c r="A501" t="s">
        <v>5</v>
      </c>
      <c r="B501" s="1">
        <v>45678</v>
      </c>
      <c r="C501">
        <v>20</v>
      </c>
      <c r="D501">
        <v>0.245</v>
      </c>
      <c r="E501" t="s">
        <v>6</v>
      </c>
      <c r="F501">
        <v>0.27825</v>
      </c>
    </row>
    <row r="502" spans="1:6" x14ac:dyDescent="0.3">
      <c r="A502" t="s">
        <v>5</v>
      </c>
      <c r="B502" s="1">
        <v>45678</v>
      </c>
      <c r="C502">
        <v>21</v>
      </c>
      <c r="D502">
        <v>0.21</v>
      </c>
      <c r="E502" t="s">
        <v>6</v>
      </c>
      <c r="F502">
        <v>0.27382000000000001</v>
      </c>
    </row>
    <row r="503" spans="1:6" x14ac:dyDescent="0.3">
      <c r="A503" t="s">
        <v>5</v>
      </c>
      <c r="B503" s="1">
        <v>45678</v>
      </c>
      <c r="C503">
        <v>22</v>
      </c>
      <c r="D503">
        <v>9.5000000000000001E-2</v>
      </c>
      <c r="E503" t="s">
        <v>6</v>
      </c>
      <c r="F503">
        <v>0.26002999999999998</v>
      </c>
    </row>
    <row r="504" spans="1:6" x14ac:dyDescent="0.3">
      <c r="A504" t="s">
        <v>5</v>
      </c>
      <c r="B504" s="1">
        <v>45678</v>
      </c>
      <c r="C504">
        <v>23</v>
      </c>
      <c r="D504">
        <v>7.5999999999999998E-2</v>
      </c>
      <c r="E504" t="s">
        <v>6</v>
      </c>
      <c r="F504">
        <v>0.18321999999999999</v>
      </c>
    </row>
    <row r="505" spans="1:6" x14ac:dyDescent="0.3">
      <c r="A505" t="s">
        <v>5</v>
      </c>
      <c r="B505" s="1">
        <v>45678</v>
      </c>
      <c r="C505">
        <v>24</v>
      </c>
      <c r="D505">
        <v>0.14499999999999999</v>
      </c>
      <c r="E505" t="s">
        <v>6</v>
      </c>
      <c r="F505">
        <v>0.17211000000000001</v>
      </c>
    </row>
    <row r="506" spans="1:6" x14ac:dyDescent="0.3">
      <c r="A506" t="s">
        <v>5</v>
      </c>
      <c r="B506" s="1">
        <v>45679</v>
      </c>
      <c r="C506">
        <v>1</v>
      </c>
      <c r="D506">
        <v>0.115</v>
      </c>
      <c r="E506" t="s">
        <v>6</v>
      </c>
      <c r="F506">
        <v>0.15061000000000002</v>
      </c>
    </row>
    <row r="507" spans="1:6" x14ac:dyDescent="0.3">
      <c r="A507" t="s">
        <v>5</v>
      </c>
      <c r="B507" s="1">
        <v>45679</v>
      </c>
      <c r="C507">
        <v>2</v>
      </c>
      <c r="D507">
        <v>7.3999999999999996E-2</v>
      </c>
      <c r="E507" t="s">
        <v>6</v>
      </c>
      <c r="F507">
        <v>0.14329</v>
      </c>
    </row>
    <row r="508" spans="1:6" x14ac:dyDescent="0.3">
      <c r="A508" t="s">
        <v>5</v>
      </c>
      <c r="B508" s="1">
        <v>45679</v>
      </c>
      <c r="C508">
        <v>3</v>
      </c>
      <c r="D508">
        <v>8.7999999999999995E-2</v>
      </c>
      <c r="E508" t="s">
        <v>6</v>
      </c>
      <c r="F508">
        <v>0.13438999999999998</v>
      </c>
    </row>
    <row r="509" spans="1:6" x14ac:dyDescent="0.3">
      <c r="A509" t="s">
        <v>5</v>
      </c>
      <c r="B509" s="1">
        <v>45679</v>
      </c>
      <c r="C509">
        <v>4</v>
      </c>
      <c r="D509">
        <v>5.7000000000000002E-2</v>
      </c>
      <c r="E509" t="s">
        <v>6</v>
      </c>
      <c r="F509">
        <v>0.12953999999999999</v>
      </c>
    </row>
    <row r="510" spans="1:6" x14ac:dyDescent="0.3">
      <c r="A510" t="s">
        <v>5</v>
      </c>
      <c r="B510" s="1">
        <v>45679</v>
      </c>
      <c r="C510">
        <v>5</v>
      </c>
      <c r="D510">
        <v>8.3000000000000004E-2</v>
      </c>
      <c r="E510" t="s">
        <v>6</v>
      </c>
      <c r="F510">
        <v>0.12847999999999998</v>
      </c>
    </row>
    <row r="511" spans="1:6" x14ac:dyDescent="0.3">
      <c r="A511" t="s">
        <v>5</v>
      </c>
      <c r="B511" s="1">
        <v>45679</v>
      </c>
      <c r="C511">
        <v>6</v>
      </c>
      <c r="D511">
        <v>6.7000000000000004E-2</v>
      </c>
      <c r="E511" t="s">
        <v>6</v>
      </c>
      <c r="F511">
        <v>0.13147</v>
      </c>
    </row>
    <row r="512" spans="1:6" x14ac:dyDescent="0.3">
      <c r="A512" t="s">
        <v>5</v>
      </c>
      <c r="B512" s="1">
        <v>45679</v>
      </c>
      <c r="C512">
        <v>7</v>
      </c>
      <c r="D512">
        <v>7.1999999999999995E-2</v>
      </c>
      <c r="E512" t="s">
        <v>6</v>
      </c>
      <c r="F512">
        <v>0.14662999999999998</v>
      </c>
    </row>
    <row r="513" spans="1:6" x14ac:dyDescent="0.3">
      <c r="A513" t="s">
        <v>5</v>
      </c>
      <c r="B513" s="1">
        <v>45679</v>
      </c>
      <c r="C513">
        <v>8</v>
      </c>
      <c r="D513">
        <v>6.5000000000000002E-2</v>
      </c>
      <c r="E513" t="s">
        <v>6</v>
      </c>
      <c r="F513">
        <v>0.16881000000000002</v>
      </c>
    </row>
    <row r="514" spans="1:6" x14ac:dyDescent="0.3">
      <c r="A514" t="s">
        <v>5</v>
      </c>
      <c r="B514" s="1">
        <v>45679</v>
      </c>
      <c r="C514">
        <v>9</v>
      </c>
      <c r="D514">
        <v>0.158</v>
      </c>
      <c r="E514" t="s">
        <v>6</v>
      </c>
      <c r="F514">
        <v>0.20257</v>
      </c>
    </row>
    <row r="515" spans="1:6" x14ac:dyDescent="0.3">
      <c r="A515" t="s">
        <v>5</v>
      </c>
      <c r="B515" s="1">
        <v>45679</v>
      </c>
      <c r="C515">
        <v>10</v>
      </c>
      <c r="D515">
        <v>0.22500000000000001</v>
      </c>
      <c r="E515" t="s">
        <v>6</v>
      </c>
      <c r="F515">
        <v>0.20852000000000001</v>
      </c>
    </row>
    <row r="516" spans="1:6" x14ac:dyDescent="0.3">
      <c r="A516" t="s">
        <v>5</v>
      </c>
      <c r="B516" s="1">
        <v>45679</v>
      </c>
      <c r="C516">
        <v>11</v>
      </c>
      <c r="D516">
        <v>9.9000000000000005E-2</v>
      </c>
      <c r="E516" t="s">
        <v>6</v>
      </c>
      <c r="F516">
        <v>0.25769999999999998</v>
      </c>
    </row>
    <row r="517" spans="1:6" x14ac:dyDescent="0.3">
      <c r="A517" t="s">
        <v>5</v>
      </c>
      <c r="B517" s="1">
        <v>45679</v>
      </c>
      <c r="C517">
        <v>12</v>
      </c>
      <c r="D517">
        <v>0.115</v>
      </c>
      <c r="E517" t="s">
        <v>6</v>
      </c>
      <c r="F517">
        <v>0.25019000000000002</v>
      </c>
    </row>
    <row r="518" spans="1:6" x14ac:dyDescent="0.3">
      <c r="A518" t="s">
        <v>5</v>
      </c>
      <c r="B518" s="1">
        <v>45679</v>
      </c>
      <c r="C518">
        <v>13</v>
      </c>
      <c r="D518">
        <v>0.09</v>
      </c>
      <c r="E518" t="s">
        <v>6</v>
      </c>
      <c r="F518">
        <v>0.24254000000000001</v>
      </c>
    </row>
    <row r="519" spans="1:6" x14ac:dyDescent="0.3">
      <c r="A519" t="s">
        <v>5</v>
      </c>
      <c r="B519" s="1">
        <v>45679</v>
      </c>
      <c r="C519">
        <v>14</v>
      </c>
      <c r="D519">
        <v>0.58899999999999997</v>
      </c>
      <c r="E519" t="s">
        <v>6</v>
      </c>
      <c r="F519">
        <v>0.23461000000000001</v>
      </c>
    </row>
    <row r="520" spans="1:6" x14ac:dyDescent="0.3">
      <c r="A520" t="s">
        <v>5</v>
      </c>
      <c r="B520" s="1">
        <v>45679</v>
      </c>
      <c r="C520">
        <v>15</v>
      </c>
      <c r="D520">
        <v>0.72799999999999998</v>
      </c>
      <c r="E520" t="s">
        <v>6</v>
      </c>
      <c r="F520">
        <v>0.17025000000000001</v>
      </c>
    </row>
    <row r="521" spans="1:6" x14ac:dyDescent="0.3">
      <c r="A521" t="s">
        <v>5</v>
      </c>
      <c r="B521" s="1">
        <v>45679</v>
      </c>
      <c r="C521">
        <v>16</v>
      </c>
      <c r="D521">
        <v>0.86499999999999999</v>
      </c>
      <c r="E521" t="s">
        <v>6</v>
      </c>
      <c r="F521">
        <v>0.17576</v>
      </c>
    </row>
    <row r="522" spans="1:6" x14ac:dyDescent="0.3">
      <c r="A522" t="s">
        <v>5</v>
      </c>
      <c r="B522" s="1">
        <v>45679</v>
      </c>
      <c r="C522">
        <v>17</v>
      </c>
      <c r="D522">
        <v>0.23</v>
      </c>
      <c r="E522" t="s">
        <v>6</v>
      </c>
      <c r="F522">
        <v>0.18784000000000001</v>
      </c>
    </row>
    <row r="523" spans="1:6" x14ac:dyDescent="0.3">
      <c r="A523" t="s">
        <v>5</v>
      </c>
      <c r="B523" s="1">
        <v>45679</v>
      </c>
      <c r="C523">
        <v>18</v>
      </c>
      <c r="D523">
        <v>0.19500000000000001</v>
      </c>
      <c r="E523" t="s">
        <v>6</v>
      </c>
      <c r="F523">
        <v>0.19669999999999999</v>
      </c>
    </row>
    <row r="524" spans="1:6" x14ac:dyDescent="0.3">
      <c r="A524" t="s">
        <v>5</v>
      </c>
      <c r="B524" s="1">
        <v>45679</v>
      </c>
      <c r="C524">
        <v>19</v>
      </c>
      <c r="D524">
        <v>0.191</v>
      </c>
      <c r="E524" t="s">
        <v>6</v>
      </c>
      <c r="F524">
        <v>0.27568999999999999</v>
      </c>
    </row>
    <row r="525" spans="1:6" x14ac:dyDescent="0.3">
      <c r="A525" t="s">
        <v>5</v>
      </c>
      <c r="B525" s="1">
        <v>45679</v>
      </c>
      <c r="C525">
        <v>20</v>
      </c>
      <c r="D525">
        <v>0.24299999999999999</v>
      </c>
      <c r="E525" t="s">
        <v>6</v>
      </c>
      <c r="F525">
        <v>0.28523999999999999</v>
      </c>
    </row>
    <row r="526" spans="1:6" x14ac:dyDescent="0.3">
      <c r="A526" t="s">
        <v>5</v>
      </c>
      <c r="B526" s="1">
        <v>45679</v>
      </c>
      <c r="C526">
        <v>21</v>
      </c>
      <c r="D526">
        <v>0.22700000000000001</v>
      </c>
      <c r="E526" t="s">
        <v>6</v>
      </c>
      <c r="F526">
        <v>0.27156000000000002</v>
      </c>
    </row>
    <row r="527" spans="1:6" x14ac:dyDescent="0.3">
      <c r="A527" t="s">
        <v>5</v>
      </c>
      <c r="B527" s="1">
        <v>45679</v>
      </c>
      <c r="C527">
        <v>22</v>
      </c>
      <c r="D527">
        <v>0.36099999999999999</v>
      </c>
      <c r="E527" t="s">
        <v>6</v>
      </c>
      <c r="F527">
        <v>0.27205000000000001</v>
      </c>
    </row>
    <row r="528" spans="1:6" x14ac:dyDescent="0.3">
      <c r="A528" t="s">
        <v>5</v>
      </c>
      <c r="B528" s="1">
        <v>45679</v>
      </c>
      <c r="C528">
        <v>23</v>
      </c>
      <c r="D528">
        <v>0.26500000000000001</v>
      </c>
      <c r="E528" t="s">
        <v>6</v>
      </c>
      <c r="F528">
        <v>0.19584000000000001</v>
      </c>
    </row>
    <row r="529" spans="1:6" x14ac:dyDescent="0.3">
      <c r="A529" t="s">
        <v>5</v>
      </c>
      <c r="B529" s="1">
        <v>45679</v>
      </c>
      <c r="C529">
        <v>24</v>
      </c>
      <c r="D529">
        <v>0.17</v>
      </c>
      <c r="E529" t="s">
        <v>6</v>
      </c>
      <c r="F529">
        <v>0.19194999999999998</v>
      </c>
    </row>
    <row r="530" spans="1:6" x14ac:dyDescent="0.3">
      <c r="A530" t="s">
        <v>5</v>
      </c>
      <c r="B530" s="1">
        <v>45680</v>
      </c>
      <c r="C530">
        <v>1</v>
      </c>
      <c r="D530">
        <v>0.14599999999999999</v>
      </c>
      <c r="E530" t="s">
        <v>6</v>
      </c>
      <c r="F530">
        <v>0.14674999999999999</v>
      </c>
    </row>
    <row r="531" spans="1:6" x14ac:dyDescent="0.3">
      <c r="A531" t="s">
        <v>5</v>
      </c>
      <c r="B531" s="1">
        <v>45680</v>
      </c>
      <c r="C531">
        <v>2</v>
      </c>
      <c r="D531">
        <v>8.5000000000000006E-2</v>
      </c>
      <c r="E531" t="s">
        <v>6</v>
      </c>
      <c r="F531">
        <v>0.14229</v>
      </c>
    </row>
    <row r="532" spans="1:6" x14ac:dyDescent="0.3">
      <c r="A532" t="s">
        <v>5</v>
      </c>
      <c r="B532" s="1">
        <v>45680</v>
      </c>
      <c r="C532">
        <v>3</v>
      </c>
      <c r="D532">
        <v>0.09</v>
      </c>
      <c r="E532" t="s">
        <v>6</v>
      </c>
      <c r="F532">
        <v>0.14386000000000002</v>
      </c>
    </row>
    <row r="533" spans="1:6" x14ac:dyDescent="0.3">
      <c r="A533" t="s">
        <v>5</v>
      </c>
      <c r="B533" s="1">
        <v>45680</v>
      </c>
      <c r="C533">
        <v>4</v>
      </c>
      <c r="D533">
        <v>7.0999999999999994E-2</v>
      </c>
      <c r="E533" t="s">
        <v>6</v>
      </c>
      <c r="F533">
        <v>0.13450999999999999</v>
      </c>
    </row>
    <row r="534" spans="1:6" x14ac:dyDescent="0.3">
      <c r="A534" t="s">
        <v>5</v>
      </c>
      <c r="B534" s="1">
        <v>45680</v>
      </c>
      <c r="C534">
        <v>5</v>
      </c>
      <c r="D534">
        <v>7.2999999999999995E-2</v>
      </c>
      <c r="E534" t="s">
        <v>6</v>
      </c>
      <c r="F534">
        <v>0.13433</v>
      </c>
    </row>
    <row r="535" spans="1:6" x14ac:dyDescent="0.3">
      <c r="A535" t="s">
        <v>5</v>
      </c>
      <c r="B535" s="1">
        <v>45680</v>
      </c>
      <c r="C535">
        <v>6</v>
      </c>
      <c r="D535">
        <v>8.5000000000000006E-2</v>
      </c>
      <c r="E535" t="s">
        <v>6</v>
      </c>
      <c r="F535">
        <v>0.13911000000000001</v>
      </c>
    </row>
    <row r="536" spans="1:6" x14ac:dyDescent="0.3">
      <c r="A536" t="s">
        <v>5</v>
      </c>
      <c r="B536" s="1">
        <v>45680</v>
      </c>
      <c r="C536">
        <v>7</v>
      </c>
      <c r="D536">
        <v>6.4000000000000001E-2</v>
      </c>
      <c r="E536" t="s">
        <v>6</v>
      </c>
      <c r="F536">
        <v>0.15131999999999998</v>
      </c>
    </row>
    <row r="537" spans="1:6" x14ac:dyDescent="0.3">
      <c r="A537" t="s">
        <v>5</v>
      </c>
      <c r="B537" s="1">
        <v>45680</v>
      </c>
      <c r="C537">
        <v>8</v>
      </c>
      <c r="D537">
        <v>8.5999999999999993E-2</v>
      </c>
      <c r="E537" t="s">
        <v>6</v>
      </c>
      <c r="F537">
        <v>0.16250000000000001</v>
      </c>
    </row>
    <row r="538" spans="1:6" x14ac:dyDescent="0.3">
      <c r="A538" t="s">
        <v>5</v>
      </c>
      <c r="B538" s="1">
        <v>45680</v>
      </c>
      <c r="C538">
        <v>9</v>
      </c>
      <c r="D538">
        <v>0.19600000000000001</v>
      </c>
      <c r="E538" t="s">
        <v>6</v>
      </c>
      <c r="F538">
        <v>0.20752999999999999</v>
      </c>
    </row>
    <row r="539" spans="1:6" x14ac:dyDescent="0.3">
      <c r="A539" t="s">
        <v>5</v>
      </c>
      <c r="B539" s="1">
        <v>45680</v>
      </c>
      <c r="C539">
        <v>10</v>
      </c>
      <c r="D539">
        <v>0.19500000000000001</v>
      </c>
      <c r="E539" t="s">
        <v>6</v>
      </c>
      <c r="F539">
        <v>0.20424999999999999</v>
      </c>
    </row>
    <row r="540" spans="1:6" x14ac:dyDescent="0.3">
      <c r="A540" t="s">
        <v>5</v>
      </c>
      <c r="B540" s="1">
        <v>45680</v>
      </c>
      <c r="C540">
        <v>11</v>
      </c>
      <c r="D540">
        <v>0.221</v>
      </c>
      <c r="E540" t="s">
        <v>6</v>
      </c>
      <c r="F540">
        <v>0.25652999999999998</v>
      </c>
    </row>
    <row r="541" spans="1:6" x14ac:dyDescent="0.3">
      <c r="A541" t="s">
        <v>5</v>
      </c>
      <c r="B541" s="1">
        <v>45680</v>
      </c>
      <c r="C541">
        <v>12</v>
      </c>
      <c r="D541">
        <v>0.157</v>
      </c>
      <c r="E541" t="s">
        <v>6</v>
      </c>
      <c r="F541">
        <v>0.25041000000000002</v>
      </c>
    </row>
    <row r="542" spans="1:6" x14ac:dyDescent="0.3">
      <c r="A542" t="s">
        <v>5</v>
      </c>
      <c r="B542" s="1">
        <v>45680</v>
      </c>
      <c r="C542">
        <v>13</v>
      </c>
      <c r="D542">
        <v>6.8000000000000005E-2</v>
      </c>
      <c r="E542" t="s">
        <v>6</v>
      </c>
      <c r="F542">
        <v>0.24156</v>
      </c>
    </row>
    <row r="543" spans="1:6" x14ac:dyDescent="0.3">
      <c r="A543" t="s">
        <v>5</v>
      </c>
      <c r="B543" s="1">
        <v>45680</v>
      </c>
      <c r="C543">
        <v>14</v>
      </c>
      <c r="D543">
        <v>7.5999999999999998E-2</v>
      </c>
      <c r="E543" t="s">
        <v>6</v>
      </c>
      <c r="F543">
        <v>0.22666</v>
      </c>
    </row>
    <row r="544" spans="1:6" x14ac:dyDescent="0.3">
      <c r="A544" t="s">
        <v>5</v>
      </c>
      <c r="B544" s="1">
        <v>45680</v>
      </c>
      <c r="C544">
        <v>15</v>
      </c>
      <c r="D544">
        <v>6.3E-2</v>
      </c>
      <c r="E544" t="s">
        <v>6</v>
      </c>
      <c r="F544">
        <v>0.15697</v>
      </c>
    </row>
    <row r="545" spans="1:6" x14ac:dyDescent="0.3">
      <c r="A545" t="s">
        <v>5</v>
      </c>
      <c r="B545" s="1">
        <v>45680</v>
      </c>
      <c r="C545">
        <v>16</v>
      </c>
      <c r="D545">
        <v>8.5999999999999993E-2</v>
      </c>
      <c r="E545" t="s">
        <v>6</v>
      </c>
      <c r="F545">
        <v>0.16066999999999998</v>
      </c>
    </row>
    <row r="546" spans="1:6" x14ac:dyDescent="0.3">
      <c r="A546" t="s">
        <v>5</v>
      </c>
      <c r="B546" s="1">
        <v>45680</v>
      </c>
      <c r="C546">
        <v>17</v>
      </c>
      <c r="D546">
        <v>9.7000000000000003E-2</v>
      </c>
      <c r="E546" t="s">
        <v>6</v>
      </c>
      <c r="F546">
        <v>0.17646000000000001</v>
      </c>
    </row>
    <row r="547" spans="1:6" x14ac:dyDescent="0.3">
      <c r="A547" t="s">
        <v>5</v>
      </c>
      <c r="B547" s="1">
        <v>45680</v>
      </c>
      <c r="C547">
        <v>18</v>
      </c>
      <c r="D547">
        <v>6.6000000000000003E-2</v>
      </c>
      <c r="E547" t="s">
        <v>6</v>
      </c>
      <c r="F547">
        <v>0.19558</v>
      </c>
    </row>
    <row r="548" spans="1:6" x14ac:dyDescent="0.3">
      <c r="A548" t="s">
        <v>5</v>
      </c>
      <c r="B548" s="1">
        <v>45680</v>
      </c>
      <c r="C548">
        <v>19</v>
      </c>
      <c r="D548">
        <v>8.5000000000000006E-2</v>
      </c>
      <c r="E548" t="s">
        <v>6</v>
      </c>
      <c r="F548">
        <v>0.27820999999999996</v>
      </c>
    </row>
    <row r="549" spans="1:6" x14ac:dyDescent="0.3">
      <c r="A549" t="s">
        <v>5</v>
      </c>
      <c r="B549" s="1">
        <v>45680</v>
      </c>
      <c r="C549">
        <v>20</v>
      </c>
      <c r="D549">
        <v>0.189</v>
      </c>
      <c r="E549" t="s">
        <v>6</v>
      </c>
      <c r="F549">
        <v>0.31670999999999999</v>
      </c>
    </row>
    <row r="550" spans="1:6" x14ac:dyDescent="0.3">
      <c r="A550" t="s">
        <v>5</v>
      </c>
      <c r="B550" s="1">
        <v>45680</v>
      </c>
      <c r="C550">
        <v>21</v>
      </c>
      <c r="D550">
        <v>0.45400000000000001</v>
      </c>
      <c r="E550" t="s">
        <v>6</v>
      </c>
      <c r="F550">
        <v>0.307</v>
      </c>
    </row>
    <row r="551" spans="1:6" x14ac:dyDescent="0.3">
      <c r="A551" t="s">
        <v>5</v>
      </c>
      <c r="B551" s="1">
        <v>45680</v>
      </c>
      <c r="C551">
        <v>22</v>
      </c>
      <c r="D551">
        <v>0.19800000000000001</v>
      </c>
      <c r="E551" t="s">
        <v>6</v>
      </c>
      <c r="F551">
        <v>0.27727999999999997</v>
      </c>
    </row>
    <row r="552" spans="1:6" x14ac:dyDescent="0.3">
      <c r="A552" t="s">
        <v>5</v>
      </c>
      <c r="B552" s="1">
        <v>45680</v>
      </c>
      <c r="C552">
        <v>23</v>
      </c>
      <c r="D552">
        <v>6.3E-2</v>
      </c>
      <c r="E552" t="s">
        <v>6</v>
      </c>
      <c r="F552">
        <v>0.19863999999999998</v>
      </c>
    </row>
    <row r="553" spans="1:6" x14ac:dyDescent="0.3">
      <c r="A553" t="s">
        <v>5</v>
      </c>
      <c r="B553" s="1">
        <v>45680</v>
      </c>
      <c r="C553">
        <v>24</v>
      </c>
      <c r="D553">
        <v>0.109</v>
      </c>
      <c r="E553" t="s">
        <v>6</v>
      </c>
      <c r="F553">
        <v>0.17487</v>
      </c>
    </row>
    <row r="554" spans="1:6" x14ac:dyDescent="0.3">
      <c r="A554" t="s">
        <v>5</v>
      </c>
      <c r="B554" s="1">
        <v>45681</v>
      </c>
      <c r="C554">
        <v>1</v>
      </c>
      <c r="D554">
        <v>7.6999999999999999E-2</v>
      </c>
      <c r="E554" t="s">
        <v>6</v>
      </c>
      <c r="F554">
        <v>0.13058</v>
      </c>
    </row>
    <row r="555" spans="1:6" x14ac:dyDescent="0.3">
      <c r="A555" t="s">
        <v>5</v>
      </c>
      <c r="B555" s="1">
        <v>45681</v>
      </c>
      <c r="C555">
        <v>2</v>
      </c>
      <c r="D555">
        <v>0.08</v>
      </c>
      <c r="E555" t="s">
        <v>6</v>
      </c>
      <c r="F555">
        <v>0.12675</v>
      </c>
    </row>
    <row r="556" spans="1:6" x14ac:dyDescent="0.3">
      <c r="A556" t="s">
        <v>5</v>
      </c>
      <c r="B556" s="1">
        <v>45681</v>
      </c>
      <c r="C556">
        <v>3</v>
      </c>
      <c r="D556">
        <v>7.5999999999999998E-2</v>
      </c>
      <c r="E556" t="s">
        <v>6</v>
      </c>
      <c r="F556">
        <v>0.12161</v>
      </c>
    </row>
    <row r="557" spans="1:6" x14ac:dyDescent="0.3">
      <c r="A557" t="s">
        <v>5</v>
      </c>
      <c r="B557" s="1">
        <v>45681</v>
      </c>
      <c r="C557">
        <v>4</v>
      </c>
      <c r="D557">
        <v>6.3E-2</v>
      </c>
      <c r="E557" t="s">
        <v>6</v>
      </c>
      <c r="F557">
        <v>0.11495999999999999</v>
      </c>
    </row>
    <row r="558" spans="1:6" x14ac:dyDescent="0.3">
      <c r="A558" t="s">
        <v>5</v>
      </c>
      <c r="B558" s="1">
        <v>45681</v>
      </c>
      <c r="C558">
        <v>5</v>
      </c>
      <c r="D558">
        <v>8.3000000000000004E-2</v>
      </c>
      <c r="E558" t="s">
        <v>6</v>
      </c>
      <c r="F558">
        <v>0.1144</v>
      </c>
    </row>
    <row r="559" spans="1:6" x14ac:dyDescent="0.3">
      <c r="A559" t="s">
        <v>5</v>
      </c>
      <c r="B559" s="1">
        <v>45681</v>
      </c>
      <c r="C559">
        <v>6</v>
      </c>
      <c r="D559">
        <v>7.0999999999999994E-2</v>
      </c>
      <c r="E559" t="s">
        <v>6</v>
      </c>
      <c r="F559">
        <v>0.11467000000000001</v>
      </c>
    </row>
    <row r="560" spans="1:6" x14ac:dyDescent="0.3">
      <c r="A560" t="s">
        <v>5</v>
      </c>
      <c r="B560" s="1">
        <v>45681</v>
      </c>
      <c r="C560">
        <v>7</v>
      </c>
      <c r="D560">
        <v>0.14799999999999999</v>
      </c>
      <c r="E560" t="s">
        <v>6</v>
      </c>
      <c r="F560">
        <v>0.12737000000000001</v>
      </c>
    </row>
    <row r="561" spans="1:6" x14ac:dyDescent="0.3">
      <c r="A561" t="s">
        <v>5</v>
      </c>
      <c r="B561" s="1">
        <v>45681</v>
      </c>
      <c r="C561">
        <v>8</v>
      </c>
      <c r="D561">
        <v>0.107</v>
      </c>
      <c r="E561" t="s">
        <v>6</v>
      </c>
      <c r="F561">
        <v>0.13830000000000001</v>
      </c>
    </row>
    <row r="562" spans="1:6" x14ac:dyDescent="0.3">
      <c r="A562" t="s">
        <v>5</v>
      </c>
      <c r="B562" s="1">
        <v>45681</v>
      </c>
      <c r="C562">
        <v>9</v>
      </c>
      <c r="D562">
        <v>0.155</v>
      </c>
      <c r="E562" t="s">
        <v>6</v>
      </c>
      <c r="F562">
        <v>0.18090999999999999</v>
      </c>
    </row>
    <row r="563" spans="1:6" x14ac:dyDescent="0.3">
      <c r="A563" t="s">
        <v>5</v>
      </c>
      <c r="B563" s="1">
        <v>45681</v>
      </c>
      <c r="C563">
        <v>10</v>
      </c>
      <c r="D563">
        <v>0.13800000000000001</v>
      </c>
      <c r="E563" t="s">
        <v>6</v>
      </c>
      <c r="F563">
        <v>0.17446999999999999</v>
      </c>
    </row>
    <row r="564" spans="1:6" x14ac:dyDescent="0.3">
      <c r="A564" t="s">
        <v>5</v>
      </c>
      <c r="B564" s="1">
        <v>45681</v>
      </c>
      <c r="C564">
        <v>11</v>
      </c>
      <c r="D564">
        <v>0.10199999999999999</v>
      </c>
      <c r="E564" t="s">
        <v>6</v>
      </c>
      <c r="F564">
        <v>0.21624000000000002</v>
      </c>
    </row>
    <row r="565" spans="1:6" x14ac:dyDescent="0.3">
      <c r="A565" t="s">
        <v>5</v>
      </c>
      <c r="B565" s="1">
        <v>45681</v>
      </c>
      <c r="C565">
        <v>12</v>
      </c>
      <c r="D565">
        <v>0.107</v>
      </c>
      <c r="E565" t="s">
        <v>6</v>
      </c>
      <c r="F565">
        <v>0.20311000000000001</v>
      </c>
    </row>
    <row r="566" spans="1:6" x14ac:dyDescent="0.3">
      <c r="A566" t="s">
        <v>5</v>
      </c>
      <c r="B566" s="1">
        <v>45681</v>
      </c>
      <c r="C566">
        <v>13</v>
      </c>
      <c r="D566">
        <v>0.105</v>
      </c>
      <c r="E566" t="s">
        <v>6</v>
      </c>
      <c r="F566">
        <v>0.19981000000000002</v>
      </c>
    </row>
    <row r="567" spans="1:6" x14ac:dyDescent="0.3">
      <c r="A567" t="s">
        <v>5</v>
      </c>
      <c r="B567" s="1">
        <v>45681</v>
      </c>
      <c r="C567">
        <v>14</v>
      </c>
      <c r="D567">
        <v>0.13700000000000001</v>
      </c>
      <c r="E567" t="s">
        <v>6</v>
      </c>
      <c r="F567">
        <v>0.19381999999999999</v>
      </c>
    </row>
    <row r="568" spans="1:6" x14ac:dyDescent="0.3">
      <c r="A568" t="s">
        <v>5</v>
      </c>
      <c r="B568" s="1">
        <v>45681</v>
      </c>
      <c r="C568">
        <v>15</v>
      </c>
      <c r="D568">
        <v>0.246</v>
      </c>
      <c r="E568" t="s">
        <v>6</v>
      </c>
      <c r="F568">
        <v>0.12694</v>
      </c>
    </row>
    <row r="569" spans="1:6" x14ac:dyDescent="0.3">
      <c r="A569" t="s">
        <v>5</v>
      </c>
      <c r="B569" s="1">
        <v>45681</v>
      </c>
      <c r="C569">
        <v>16</v>
      </c>
      <c r="D569">
        <v>0.223</v>
      </c>
      <c r="E569" t="s">
        <v>6</v>
      </c>
      <c r="F569">
        <v>0.13116</v>
      </c>
    </row>
    <row r="570" spans="1:6" x14ac:dyDescent="0.3">
      <c r="A570" t="s">
        <v>5</v>
      </c>
      <c r="B570" s="1">
        <v>45681</v>
      </c>
      <c r="C570">
        <v>17</v>
      </c>
      <c r="D570">
        <v>0.26500000000000001</v>
      </c>
      <c r="E570" t="s">
        <v>6</v>
      </c>
      <c r="F570">
        <v>0.13341</v>
      </c>
    </row>
    <row r="571" spans="1:6" x14ac:dyDescent="0.3">
      <c r="A571" t="s">
        <v>5</v>
      </c>
      <c r="B571" s="1">
        <v>45681</v>
      </c>
      <c r="C571">
        <v>18</v>
      </c>
      <c r="D571">
        <v>0.27800000000000002</v>
      </c>
      <c r="E571" t="s">
        <v>6</v>
      </c>
      <c r="F571">
        <v>0.14928</v>
      </c>
    </row>
    <row r="572" spans="1:6" x14ac:dyDescent="0.3">
      <c r="A572" t="s">
        <v>5</v>
      </c>
      <c r="B572" s="1">
        <v>45681</v>
      </c>
      <c r="C572">
        <v>19</v>
      </c>
      <c r="D572">
        <v>0.55500000000000005</v>
      </c>
      <c r="E572" t="s">
        <v>6</v>
      </c>
      <c r="F572">
        <v>0.22544</v>
      </c>
    </row>
    <row r="573" spans="1:6" x14ac:dyDescent="0.3">
      <c r="A573" t="s">
        <v>5</v>
      </c>
      <c r="B573" s="1">
        <v>45681</v>
      </c>
      <c r="C573">
        <v>20</v>
      </c>
      <c r="D573">
        <v>0.71199999999999997</v>
      </c>
      <c r="E573" t="s">
        <v>6</v>
      </c>
      <c r="F573">
        <v>0.23796999999999999</v>
      </c>
    </row>
    <row r="574" spans="1:6" x14ac:dyDescent="0.3">
      <c r="A574" t="s">
        <v>5</v>
      </c>
      <c r="B574" s="1">
        <v>45681</v>
      </c>
      <c r="C574">
        <v>21</v>
      </c>
      <c r="D574">
        <v>0.2</v>
      </c>
      <c r="E574" t="s">
        <v>6</v>
      </c>
      <c r="F574">
        <v>0.23886000000000002</v>
      </c>
    </row>
    <row r="575" spans="1:6" x14ac:dyDescent="0.3">
      <c r="A575" t="s">
        <v>5</v>
      </c>
      <c r="B575" s="1">
        <v>45681</v>
      </c>
      <c r="C575">
        <v>22</v>
      </c>
      <c r="D575">
        <v>8.2000000000000003E-2</v>
      </c>
      <c r="E575" t="s">
        <v>6</v>
      </c>
      <c r="F575">
        <v>0.22955</v>
      </c>
    </row>
    <row r="576" spans="1:6" x14ac:dyDescent="0.3">
      <c r="A576" t="s">
        <v>5</v>
      </c>
      <c r="B576" s="1">
        <v>45681</v>
      </c>
      <c r="C576">
        <v>23</v>
      </c>
      <c r="D576">
        <v>6.3E-2</v>
      </c>
      <c r="E576" t="s">
        <v>6</v>
      </c>
      <c r="F576">
        <v>0.15865000000000001</v>
      </c>
    </row>
    <row r="577" spans="1:6" x14ac:dyDescent="0.3">
      <c r="A577" t="s">
        <v>5</v>
      </c>
      <c r="B577" s="1">
        <v>45681</v>
      </c>
      <c r="C577">
        <v>24</v>
      </c>
      <c r="D577">
        <v>9.9000000000000005E-2</v>
      </c>
      <c r="E577" t="s">
        <v>6</v>
      </c>
      <c r="F577">
        <v>0.15294999999999997</v>
      </c>
    </row>
    <row r="578" spans="1:6" x14ac:dyDescent="0.3">
      <c r="A578" t="s">
        <v>5</v>
      </c>
      <c r="B578" s="1">
        <v>45682</v>
      </c>
      <c r="C578">
        <v>1</v>
      </c>
      <c r="D578">
        <v>6.7000000000000004E-2</v>
      </c>
      <c r="E578" t="s">
        <v>6</v>
      </c>
      <c r="F578">
        <v>0.10717</v>
      </c>
    </row>
    <row r="579" spans="1:6" x14ac:dyDescent="0.3">
      <c r="A579" t="s">
        <v>5</v>
      </c>
      <c r="B579" s="1">
        <v>45682</v>
      </c>
      <c r="C579">
        <v>2</v>
      </c>
      <c r="D579">
        <v>0.10100000000000001</v>
      </c>
      <c r="E579" t="s">
        <v>6</v>
      </c>
      <c r="F579">
        <v>8.3970000000000003E-2</v>
      </c>
    </row>
    <row r="580" spans="1:6" x14ac:dyDescent="0.3">
      <c r="A580" t="s">
        <v>5</v>
      </c>
      <c r="B580" s="1">
        <v>45682</v>
      </c>
      <c r="C580">
        <v>3</v>
      </c>
      <c r="D580">
        <v>0.14199999999999999</v>
      </c>
      <c r="E580" t="s">
        <v>6</v>
      </c>
      <c r="F580">
        <v>7.962000000000001E-2</v>
      </c>
    </row>
    <row r="581" spans="1:6" x14ac:dyDescent="0.3">
      <c r="A581" t="s">
        <v>5</v>
      </c>
      <c r="B581" s="1">
        <v>45682</v>
      </c>
      <c r="C581">
        <v>4</v>
      </c>
      <c r="D581">
        <v>0.125</v>
      </c>
      <c r="E581" t="s">
        <v>6</v>
      </c>
      <c r="F581">
        <v>7.0529999999999995E-2</v>
      </c>
    </row>
    <row r="582" spans="1:6" x14ac:dyDescent="0.3">
      <c r="A582" t="s">
        <v>5</v>
      </c>
      <c r="B582" s="1">
        <v>45682</v>
      </c>
      <c r="C582">
        <v>5</v>
      </c>
      <c r="D582">
        <v>0.14000000000000001</v>
      </c>
      <c r="E582" t="s">
        <v>6</v>
      </c>
      <c r="F582">
        <v>6.7459999999999992E-2</v>
      </c>
    </row>
    <row r="583" spans="1:6" x14ac:dyDescent="0.3">
      <c r="A583" t="s">
        <v>5</v>
      </c>
      <c r="B583" s="1">
        <v>45682</v>
      </c>
      <c r="C583">
        <v>6</v>
      </c>
      <c r="D583">
        <v>0.13</v>
      </c>
      <c r="E583" t="s">
        <v>6</v>
      </c>
      <c r="F583">
        <v>6.8440000000000001E-2</v>
      </c>
    </row>
    <row r="584" spans="1:6" x14ac:dyDescent="0.3">
      <c r="A584" t="s">
        <v>5</v>
      </c>
      <c r="B584" s="1">
        <v>45682</v>
      </c>
      <c r="C584">
        <v>7</v>
      </c>
      <c r="D584">
        <v>0.123</v>
      </c>
      <c r="E584" t="s">
        <v>6</v>
      </c>
      <c r="F584">
        <v>7.6950000000000005E-2</v>
      </c>
    </row>
    <row r="585" spans="1:6" x14ac:dyDescent="0.3">
      <c r="A585" t="s">
        <v>5</v>
      </c>
      <c r="B585" s="1">
        <v>45682</v>
      </c>
      <c r="C585">
        <v>8</v>
      </c>
      <c r="D585">
        <v>0.14499999999999999</v>
      </c>
      <c r="E585" t="s">
        <v>6</v>
      </c>
      <c r="F585">
        <v>9.8549999999999999E-2</v>
      </c>
    </row>
    <row r="586" spans="1:6" x14ac:dyDescent="0.3">
      <c r="A586" t="s">
        <v>5</v>
      </c>
      <c r="B586" s="1">
        <v>45682</v>
      </c>
      <c r="C586">
        <v>9</v>
      </c>
      <c r="D586">
        <v>0.122</v>
      </c>
      <c r="E586" t="s">
        <v>6</v>
      </c>
      <c r="F586">
        <v>8.0739999999999992E-2</v>
      </c>
    </row>
    <row r="587" spans="1:6" x14ac:dyDescent="0.3">
      <c r="A587" t="s">
        <v>5</v>
      </c>
      <c r="B587" s="1">
        <v>45682</v>
      </c>
      <c r="C587">
        <v>10</v>
      </c>
      <c r="D587">
        <v>0.13500000000000001</v>
      </c>
      <c r="E587" t="s">
        <v>6</v>
      </c>
      <c r="F587">
        <v>8.3449999999999996E-2</v>
      </c>
    </row>
    <row r="588" spans="1:6" x14ac:dyDescent="0.3">
      <c r="A588" t="s">
        <v>5</v>
      </c>
      <c r="B588" s="1">
        <v>45682</v>
      </c>
      <c r="C588">
        <v>11</v>
      </c>
      <c r="D588">
        <v>0.13400000000000001</v>
      </c>
      <c r="E588" t="s">
        <v>6</v>
      </c>
      <c r="F588">
        <v>7.1040000000000006E-2</v>
      </c>
    </row>
    <row r="589" spans="1:6" x14ac:dyDescent="0.3">
      <c r="A589" t="s">
        <v>5</v>
      </c>
      <c r="B589" s="1">
        <v>45682</v>
      </c>
      <c r="C589">
        <v>12</v>
      </c>
      <c r="D589">
        <v>0.124</v>
      </c>
      <c r="E589" t="s">
        <v>6</v>
      </c>
      <c r="F589">
        <v>8.9870000000000005E-2</v>
      </c>
    </row>
    <row r="590" spans="1:6" x14ac:dyDescent="0.3">
      <c r="A590" t="s">
        <v>5</v>
      </c>
      <c r="B590" s="1">
        <v>45682</v>
      </c>
      <c r="C590">
        <v>13</v>
      </c>
      <c r="D590">
        <v>0.24199999999999999</v>
      </c>
      <c r="E590" t="s">
        <v>6</v>
      </c>
      <c r="F590">
        <v>7.7209999999999987E-2</v>
      </c>
    </row>
    <row r="591" spans="1:6" x14ac:dyDescent="0.3">
      <c r="A591" t="s">
        <v>5</v>
      </c>
      <c r="B591" s="1">
        <v>45682</v>
      </c>
      <c r="C591">
        <v>14</v>
      </c>
      <c r="D591">
        <v>0.56499999999999995</v>
      </c>
      <c r="E591" t="s">
        <v>6</v>
      </c>
      <c r="F591">
        <v>5.8630000000000002E-2</v>
      </c>
    </row>
    <row r="592" spans="1:6" x14ac:dyDescent="0.3">
      <c r="A592" t="s">
        <v>5</v>
      </c>
      <c r="B592" s="1">
        <v>45682</v>
      </c>
      <c r="C592">
        <v>15</v>
      </c>
      <c r="D592">
        <v>0.68799999999999994</v>
      </c>
      <c r="E592" t="s">
        <v>6</v>
      </c>
      <c r="F592">
        <v>4.8129999999999999E-2</v>
      </c>
    </row>
    <row r="593" spans="1:6" x14ac:dyDescent="0.3">
      <c r="A593" t="s">
        <v>5</v>
      </c>
      <c r="B593" s="1">
        <v>45682</v>
      </c>
      <c r="C593">
        <v>16</v>
      </c>
      <c r="D593">
        <v>0.70499999999999996</v>
      </c>
      <c r="E593" t="s">
        <v>6</v>
      </c>
      <c r="F593">
        <v>3.8789999999999998E-2</v>
      </c>
    </row>
    <row r="594" spans="1:6" x14ac:dyDescent="0.3">
      <c r="A594" t="s">
        <v>5</v>
      </c>
      <c r="B594" s="1">
        <v>45682</v>
      </c>
      <c r="C594">
        <v>17</v>
      </c>
      <c r="D594">
        <v>6.7000000000000004E-2</v>
      </c>
      <c r="E594" t="s">
        <v>6</v>
      </c>
      <c r="F594">
        <v>6.4399999999999999E-2</v>
      </c>
    </row>
    <row r="595" spans="1:6" x14ac:dyDescent="0.3">
      <c r="A595" t="s">
        <v>5</v>
      </c>
      <c r="B595" s="1">
        <v>45682</v>
      </c>
      <c r="C595">
        <v>18</v>
      </c>
      <c r="D595">
        <v>7.5999999999999998E-2</v>
      </c>
      <c r="E595" t="s">
        <v>6</v>
      </c>
      <c r="F595">
        <v>7.442E-2</v>
      </c>
    </row>
    <row r="596" spans="1:6" x14ac:dyDescent="0.3">
      <c r="A596" t="s">
        <v>5</v>
      </c>
      <c r="B596" s="1">
        <v>45682</v>
      </c>
      <c r="C596">
        <v>19</v>
      </c>
      <c r="D596">
        <v>7.2999999999999995E-2</v>
      </c>
      <c r="E596" t="s">
        <v>6</v>
      </c>
      <c r="F596">
        <v>0.12454000000000001</v>
      </c>
    </row>
    <row r="597" spans="1:6" x14ac:dyDescent="0.3">
      <c r="A597" t="s">
        <v>5</v>
      </c>
      <c r="B597" s="1">
        <v>45682</v>
      </c>
      <c r="C597">
        <v>20</v>
      </c>
      <c r="D597">
        <v>0.108</v>
      </c>
      <c r="E597" t="s">
        <v>6</v>
      </c>
      <c r="F597">
        <v>0.14318</v>
      </c>
    </row>
    <row r="598" spans="1:6" x14ac:dyDescent="0.3">
      <c r="A598" t="s">
        <v>5</v>
      </c>
      <c r="B598" s="1">
        <v>45682</v>
      </c>
      <c r="C598">
        <v>21</v>
      </c>
      <c r="D598">
        <v>0.14499999999999999</v>
      </c>
      <c r="E598" t="s">
        <v>6</v>
      </c>
      <c r="F598">
        <v>0.15024999999999999</v>
      </c>
    </row>
    <row r="599" spans="1:6" x14ac:dyDescent="0.3">
      <c r="A599" t="s">
        <v>5</v>
      </c>
      <c r="B599" s="1">
        <v>45682</v>
      </c>
      <c r="C599">
        <v>22</v>
      </c>
      <c r="D599">
        <v>0.32500000000000001</v>
      </c>
      <c r="E599" t="s">
        <v>6</v>
      </c>
      <c r="F599">
        <v>0.14233999999999999</v>
      </c>
    </row>
    <row r="600" spans="1:6" x14ac:dyDescent="0.3">
      <c r="A600" t="s">
        <v>5</v>
      </c>
      <c r="B600" s="1">
        <v>45682</v>
      </c>
      <c r="C600">
        <v>23</v>
      </c>
      <c r="D600">
        <v>0.41699999999999998</v>
      </c>
      <c r="E600" t="s">
        <v>6</v>
      </c>
      <c r="F600">
        <v>0.14080000000000001</v>
      </c>
    </row>
    <row r="601" spans="1:6" x14ac:dyDescent="0.3">
      <c r="A601" t="s">
        <v>5</v>
      </c>
      <c r="B601" s="1">
        <v>45682</v>
      </c>
      <c r="C601">
        <v>24</v>
      </c>
      <c r="D601">
        <v>8.4000000000000005E-2</v>
      </c>
      <c r="E601" t="s">
        <v>6</v>
      </c>
      <c r="F601">
        <v>0.12890000000000001</v>
      </c>
    </row>
    <row r="602" spans="1:6" x14ac:dyDescent="0.3">
      <c r="A602" t="s">
        <v>5</v>
      </c>
      <c r="B602" s="1">
        <v>45683</v>
      </c>
      <c r="C602">
        <v>1</v>
      </c>
      <c r="D602">
        <v>7.0999999999999994E-2</v>
      </c>
      <c r="E602" t="s">
        <v>6</v>
      </c>
      <c r="F602">
        <v>0.10241</v>
      </c>
    </row>
    <row r="603" spans="1:6" x14ac:dyDescent="0.3">
      <c r="A603" t="s">
        <v>5</v>
      </c>
      <c r="B603" s="1">
        <v>45683</v>
      </c>
      <c r="C603">
        <v>2</v>
      </c>
      <c r="D603">
        <v>9.5000000000000001E-2</v>
      </c>
      <c r="E603" t="s">
        <v>6</v>
      </c>
      <c r="F603">
        <v>9.9049999999999999E-2</v>
      </c>
    </row>
    <row r="604" spans="1:6" x14ac:dyDescent="0.3">
      <c r="A604" t="s">
        <v>5</v>
      </c>
      <c r="B604" s="1">
        <v>45683</v>
      </c>
      <c r="C604">
        <v>3</v>
      </c>
      <c r="D604">
        <v>0.13</v>
      </c>
      <c r="E604" t="s">
        <v>6</v>
      </c>
      <c r="F604">
        <v>9.4900000000000012E-2</v>
      </c>
    </row>
    <row r="605" spans="1:6" x14ac:dyDescent="0.3">
      <c r="A605" t="s">
        <v>5</v>
      </c>
      <c r="B605" s="1">
        <v>45683</v>
      </c>
      <c r="C605">
        <v>4</v>
      </c>
      <c r="D605">
        <v>0.13</v>
      </c>
      <c r="E605" t="s">
        <v>6</v>
      </c>
      <c r="F605">
        <v>9.6329999999999999E-2</v>
      </c>
    </row>
    <row r="606" spans="1:6" x14ac:dyDescent="0.3">
      <c r="A606" t="s">
        <v>5</v>
      </c>
      <c r="B606" s="1">
        <v>45683</v>
      </c>
      <c r="C606">
        <v>5</v>
      </c>
      <c r="D606">
        <v>0.14599999999999999</v>
      </c>
      <c r="E606" t="s">
        <v>6</v>
      </c>
      <c r="F606">
        <v>9.290000000000001E-2</v>
      </c>
    </row>
    <row r="607" spans="1:6" x14ac:dyDescent="0.3">
      <c r="A607" t="s">
        <v>5</v>
      </c>
      <c r="B607" s="1">
        <v>45683</v>
      </c>
      <c r="C607">
        <v>6</v>
      </c>
      <c r="D607">
        <v>0.115</v>
      </c>
      <c r="E607" t="s">
        <v>6</v>
      </c>
      <c r="F607">
        <v>9.4560000000000005E-2</v>
      </c>
    </row>
    <row r="608" spans="1:6" x14ac:dyDescent="0.3">
      <c r="A608" t="s">
        <v>5</v>
      </c>
      <c r="B608" s="1">
        <v>45683</v>
      </c>
      <c r="C608">
        <v>7</v>
      </c>
      <c r="D608">
        <v>0.14499999999999999</v>
      </c>
      <c r="E608" t="s">
        <v>6</v>
      </c>
      <c r="F608">
        <v>9.2849999999999988E-2</v>
      </c>
    </row>
    <row r="609" spans="1:6" x14ac:dyDescent="0.3">
      <c r="A609" t="s">
        <v>5</v>
      </c>
      <c r="B609" s="1">
        <v>45683</v>
      </c>
      <c r="C609">
        <v>8</v>
      </c>
      <c r="D609">
        <v>0.129</v>
      </c>
      <c r="E609" t="s">
        <v>6</v>
      </c>
      <c r="F609">
        <v>9.4290000000000013E-2</v>
      </c>
    </row>
    <row r="610" spans="1:6" x14ac:dyDescent="0.3">
      <c r="A610" t="s">
        <v>5</v>
      </c>
      <c r="B610" s="1">
        <v>45683</v>
      </c>
      <c r="C610">
        <v>9</v>
      </c>
      <c r="D610">
        <v>0.125</v>
      </c>
      <c r="E610" t="s">
        <v>6</v>
      </c>
      <c r="F610">
        <v>8.5629999999999998E-2</v>
      </c>
    </row>
    <row r="611" spans="1:6" x14ac:dyDescent="0.3">
      <c r="A611" t="s">
        <v>5</v>
      </c>
      <c r="B611" s="1">
        <v>45683</v>
      </c>
      <c r="C611">
        <v>10</v>
      </c>
      <c r="D611">
        <v>0.13700000000000001</v>
      </c>
      <c r="E611" t="s">
        <v>6</v>
      </c>
      <c r="F611">
        <v>0.11488</v>
      </c>
    </row>
    <row r="612" spans="1:6" x14ac:dyDescent="0.3">
      <c r="A612" t="s">
        <v>5</v>
      </c>
      <c r="B612" s="1">
        <v>45683</v>
      </c>
      <c r="C612">
        <v>11</v>
      </c>
      <c r="D612">
        <v>0.13</v>
      </c>
      <c r="E612" t="s">
        <v>6</v>
      </c>
      <c r="F612">
        <v>8.1360000000000002E-2</v>
      </c>
    </row>
    <row r="613" spans="1:6" x14ac:dyDescent="0.3">
      <c r="A613" t="s">
        <v>5</v>
      </c>
      <c r="B613" s="1">
        <v>45683</v>
      </c>
      <c r="C613">
        <v>12</v>
      </c>
      <c r="D613">
        <v>0.13900000000000001</v>
      </c>
      <c r="E613" t="s">
        <v>6</v>
      </c>
      <c r="F613">
        <v>7.7450000000000005E-2</v>
      </c>
    </row>
    <row r="614" spans="1:6" x14ac:dyDescent="0.3">
      <c r="A614" t="s">
        <v>5</v>
      </c>
      <c r="B614" s="1">
        <v>45683</v>
      </c>
      <c r="C614">
        <v>13</v>
      </c>
      <c r="D614">
        <v>0.14199999999999999</v>
      </c>
      <c r="E614" t="s">
        <v>6</v>
      </c>
      <c r="F614">
        <v>5.185E-2</v>
      </c>
    </row>
    <row r="615" spans="1:6" x14ac:dyDescent="0.3">
      <c r="A615" t="s">
        <v>5</v>
      </c>
      <c r="B615" s="1">
        <v>45683</v>
      </c>
      <c r="C615">
        <v>14</v>
      </c>
      <c r="D615">
        <v>0.157</v>
      </c>
      <c r="E615" t="s">
        <v>6</v>
      </c>
      <c r="F615">
        <v>5.0700000000000002E-2</v>
      </c>
    </row>
    <row r="616" spans="1:6" x14ac:dyDescent="0.3">
      <c r="A616" t="s">
        <v>5</v>
      </c>
      <c r="B616" s="1">
        <v>45683</v>
      </c>
      <c r="C616">
        <v>15</v>
      </c>
      <c r="D616">
        <v>0.10100000000000001</v>
      </c>
      <c r="E616" t="s">
        <v>6</v>
      </c>
      <c r="F616">
        <v>5.0090000000000003E-2</v>
      </c>
    </row>
    <row r="617" spans="1:6" x14ac:dyDescent="0.3">
      <c r="A617" t="s">
        <v>5</v>
      </c>
      <c r="B617" s="1">
        <v>45683</v>
      </c>
      <c r="C617">
        <v>16</v>
      </c>
      <c r="D617">
        <v>8.7999999999999995E-2</v>
      </c>
      <c r="E617" t="s">
        <v>6</v>
      </c>
      <c r="F617">
        <v>5.4310000000000004E-2</v>
      </c>
    </row>
    <row r="618" spans="1:6" x14ac:dyDescent="0.3">
      <c r="A618" t="s">
        <v>5</v>
      </c>
      <c r="B618" s="1">
        <v>45683</v>
      </c>
      <c r="C618">
        <v>17</v>
      </c>
      <c r="D618">
        <v>6.4000000000000001E-2</v>
      </c>
      <c r="E618" t="s">
        <v>6</v>
      </c>
      <c r="F618">
        <v>9.214E-2</v>
      </c>
    </row>
    <row r="619" spans="1:6" x14ac:dyDescent="0.3">
      <c r="A619" t="s">
        <v>5</v>
      </c>
      <c r="B619" s="1">
        <v>45683</v>
      </c>
      <c r="C619">
        <v>18</v>
      </c>
      <c r="D619">
        <v>0.14399999999999999</v>
      </c>
      <c r="E619" t="s">
        <v>6</v>
      </c>
      <c r="F619">
        <v>8.5260000000000002E-2</v>
      </c>
    </row>
    <row r="620" spans="1:6" x14ac:dyDescent="0.3">
      <c r="A620" t="s">
        <v>5</v>
      </c>
      <c r="B620" s="1">
        <v>45683</v>
      </c>
      <c r="C620">
        <v>19</v>
      </c>
      <c r="D620">
        <v>0.122</v>
      </c>
      <c r="E620" t="s">
        <v>6</v>
      </c>
      <c r="F620">
        <v>8.9859999999999995E-2</v>
      </c>
    </row>
    <row r="621" spans="1:6" x14ac:dyDescent="0.3">
      <c r="A621" t="s">
        <v>5</v>
      </c>
      <c r="B621" s="1">
        <v>45683</v>
      </c>
      <c r="C621">
        <v>20</v>
      </c>
      <c r="D621">
        <v>0.13500000000000001</v>
      </c>
      <c r="E621" t="s">
        <v>6</v>
      </c>
      <c r="F621">
        <v>9.3540000000000012E-2</v>
      </c>
    </row>
    <row r="622" spans="1:6" x14ac:dyDescent="0.3">
      <c r="A622" t="s">
        <v>5</v>
      </c>
      <c r="B622" s="1">
        <v>45683</v>
      </c>
      <c r="C622">
        <v>21</v>
      </c>
      <c r="D622">
        <v>0.13100000000000001</v>
      </c>
      <c r="E622" t="s">
        <v>6</v>
      </c>
      <c r="F622">
        <v>8.6059999999999998E-2</v>
      </c>
    </row>
    <row r="623" spans="1:6" x14ac:dyDescent="0.3">
      <c r="A623" t="s">
        <v>5</v>
      </c>
      <c r="B623" s="1">
        <v>45683</v>
      </c>
      <c r="C623">
        <v>22</v>
      </c>
      <c r="D623">
        <v>0.13</v>
      </c>
      <c r="E623" t="s">
        <v>6</v>
      </c>
      <c r="F623">
        <v>8.2849999999999993E-2</v>
      </c>
    </row>
    <row r="624" spans="1:6" x14ac:dyDescent="0.3">
      <c r="A624" t="s">
        <v>5</v>
      </c>
      <c r="B624" s="1">
        <v>45683</v>
      </c>
      <c r="C624">
        <v>23</v>
      </c>
      <c r="D624">
        <v>0.13800000000000001</v>
      </c>
      <c r="E624" t="s">
        <v>6</v>
      </c>
      <c r="F624">
        <v>7.9650000000000012E-2</v>
      </c>
    </row>
    <row r="625" spans="1:6" x14ac:dyDescent="0.3">
      <c r="A625" t="s">
        <v>5</v>
      </c>
      <c r="B625" s="1">
        <v>45683</v>
      </c>
      <c r="C625">
        <v>24</v>
      </c>
      <c r="D625">
        <v>0.123</v>
      </c>
      <c r="E625" t="s">
        <v>6</v>
      </c>
      <c r="F625">
        <v>7.535E-2</v>
      </c>
    </row>
    <row r="626" spans="1:6" x14ac:dyDescent="0.3">
      <c r="A626" t="s">
        <v>5</v>
      </c>
      <c r="B626" s="1">
        <v>45684</v>
      </c>
      <c r="C626">
        <v>1</v>
      </c>
      <c r="D626">
        <v>0.14499999999999999</v>
      </c>
      <c r="E626" t="s">
        <v>6</v>
      </c>
      <c r="F626">
        <v>7.5240000000000001E-2</v>
      </c>
    </row>
    <row r="627" spans="1:6" x14ac:dyDescent="0.3">
      <c r="A627" t="s">
        <v>5</v>
      </c>
      <c r="B627" s="1">
        <v>45684</v>
      </c>
      <c r="C627">
        <v>2</v>
      </c>
      <c r="D627">
        <v>0.124</v>
      </c>
      <c r="E627" t="s">
        <v>6</v>
      </c>
      <c r="F627">
        <v>6.5239999999999992E-2</v>
      </c>
    </row>
    <row r="628" spans="1:6" x14ac:dyDescent="0.3">
      <c r="A628" t="s">
        <v>5</v>
      </c>
      <c r="B628" s="1">
        <v>45684</v>
      </c>
      <c r="C628">
        <v>3</v>
      </c>
      <c r="D628">
        <v>0.14199999999999999</v>
      </c>
      <c r="E628" t="s">
        <v>6</v>
      </c>
      <c r="F628">
        <v>6.6830000000000001E-2</v>
      </c>
    </row>
    <row r="629" spans="1:6" x14ac:dyDescent="0.3">
      <c r="A629" t="s">
        <v>5</v>
      </c>
      <c r="B629" s="1">
        <v>45684</v>
      </c>
      <c r="C629">
        <v>4</v>
      </c>
      <c r="D629">
        <v>0.125</v>
      </c>
      <c r="E629" t="s">
        <v>6</v>
      </c>
      <c r="F629">
        <v>7.016E-2</v>
      </c>
    </row>
    <row r="630" spans="1:6" x14ac:dyDescent="0.3">
      <c r="A630" t="s">
        <v>5</v>
      </c>
      <c r="B630" s="1">
        <v>45684</v>
      </c>
      <c r="C630">
        <v>5</v>
      </c>
      <c r="D630">
        <v>0.13600000000000001</v>
      </c>
      <c r="E630" t="s">
        <v>6</v>
      </c>
      <c r="F630">
        <v>6.6129999999999994E-2</v>
      </c>
    </row>
    <row r="631" spans="1:6" x14ac:dyDescent="0.3">
      <c r="A631" t="s">
        <v>5</v>
      </c>
      <c r="B631" s="1">
        <v>45684</v>
      </c>
      <c r="C631">
        <v>6</v>
      </c>
      <c r="D631">
        <v>0.13100000000000001</v>
      </c>
      <c r="E631" t="s">
        <v>6</v>
      </c>
      <c r="F631">
        <v>6.7989999999999995E-2</v>
      </c>
    </row>
    <row r="632" spans="1:6" x14ac:dyDescent="0.3">
      <c r="A632" t="s">
        <v>5</v>
      </c>
      <c r="B632" s="1">
        <v>45684</v>
      </c>
      <c r="C632">
        <v>7</v>
      </c>
      <c r="D632">
        <v>0.124</v>
      </c>
      <c r="E632" t="s">
        <v>6</v>
      </c>
      <c r="F632">
        <v>7.0010000000000003E-2</v>
      </c>
    </row>
    <row r="633" spans="1:6" x14ac:dyDescent="0.3">
      <c r="A633" t="s">
        <v>5</v>
      </c>
      <c r="B633" s="1">
        <v>45684</v>
      </c>
      <c r="C633">
        <v>8</v>
      </c>
      <c r="D633">
        <v>0.14099999999999999</v>
      </c>
      <c r="E633" t="s">
        <v>6</v>
      </c>
      <c r="F633">
        <v>8.9219999999999994E-2</v>
      </c>
    </row>
    <row r="634" spans="1:6" x14ac:dyDescent="0.3">
      <c r="A634" t="s">
        <v>5</v>
      </c>
      <c r="B634" s="1">
        <v>45684</v>
      </c>
      <c r="C634">
        <v>9</v>
      </c>
      <c r="D634">
        <v>0.123</v>
      </c>
      <c r="E634" t="s">
        <v>6</v>
      </c>
      <c r="F634">
        <v>0.1265</v>
      </c>
    </row>
    <row r="635" spans="1:6" x14ac:dyDescent="0.3">
      <c r="A635" t="s">
        <v>5</v>
      </c>
      <c r="B635" s="1">
        <v>45684</v>
      </c>
      <c r="C635">
        <v>10</v>
      </c>
      <c r="D635">
        <v>0.14599999999999999</v>
      </c>
      <c r="E635" t="s">
        <v>6</v>
      </c>
      <c r="F635">
        <v>0.12256</v>
      </c>
    </row>
    <row r="636" spans="1:6" x14ac:dyDescent="0.3">
      <c r="A636" t="s">
        <v>5</v>
      </c>
      <c r="B636" s="1">
        <v>45684</v>
      </c>
      <c r="C636">
        <v>11</v>
      </c>
      <c r="D636">
        <v>0.22900000000000001</v>
      </c>
      <c r="E636" t="s">
        <v>6</v>
      </c>
      <c r="F636">
        <v>0.17705000000000001</v>
      </c>
    </row>
    <row r="637" spans="1:6" x14ac:dyDescent="0.3">
      <c r="A637" t="s">
        <v>5</v>
      </c>
      <c r="B637" s="1">
        <v>45684</v>
      </c>
      <c r="C637">
        <v>12</v>
      </c>
      <c r="D637">
        <v>0.23200000000000001</v>
      </c>
      <c r="E637" t="s">
        <v>6</v>
      </c>
      <c r="F637">
        <v>0.16265000000000002</v>
      </c>
    </row>
    <row r="638" spans="1:6" x14ac:dyDescent="0.3">
      <c r="A638" t="s">
        <v>5</v>
      </c>
      <c r="B638" s="1">
        <v>45684</v>
      </c>
      <c r="C638">
        <v>13</v>
      </c>
      <c r="D638">
        <v>0.22</v>
      </c>
      <c r="E638" t="s">
        <v>6</v>
      </c>
      <c r="F638">
        <v>0.14838999999999999</v>
      </c>
    </row>
    <row r="639" spans="1:6" x14ac:dyDescent="0.3">
      <c r="A639" t="s">
        <v>5</v>
      </c>
      <c r="B639" s="1">
        <v>45684</v>
      </c>
      <c r="C639">
        <v>14</v>
      </c>
      <c r="D639">
        <v>0.20200000000000001</v>
      </c>
      <c r="E639" t="s">
        <v>6</v>
      </c>
      <c r="F639">
        <v>0.13375000000000001</v>
      </c>
    </row>
    <row r="640" spans="1:6" x14ac:dyDescent="0.3">
      <c r="A640" t="s">
        <v>5</v>
      </c>
      <c r="B640" s="1">
        <v>45684</v>
      </c>
      <c r="C640">
        <v>15</v>
      </c>
      <c r="D640">
        <v>8.5000000000000006E-2</v>
      </c>
      <c r="E640" t="s">
        <v>6</v>
      </c>
      <c r="F640">
        <v>6.7750000000000005E-2</v>
      </c>
    </row>
    <row r="641" spans="1:6" x14ac:dyDescent="0.3">
      <c r="A641" t="s">
        <v>5</v>
      </c>
      <c r="B641" s="1">
        <v>45684</v>
      </c>
      <c r="C641">
        <v>16</v>
      </c>
      <c r="D641">
        <v>6.5000000000000002E-2</v>
      </c>
      <c r="E641" t="s">
        <v>6</v>
      </c>
      <c r="F641">
        <v>7.0970000000000005E-2</v>
      </c>
    </row>
    <row r="642" spans="1:6" x14ac:dyDescent="0.3">
      <c r="A642" t="s">
        <v>5</v>
      </c>
      <c r="B642" s="1">
        <v>45684</v>
      </c>
      <c r="C642">
        <v>17</v>
      </c>
      <c r="D642">
        <v>0.08</v>
      </c>
      <c r="E642" t="s">
        <v>6</v>
      </c>
      <c r="F642">
        <v>8.3470000000000003E-2</v>
      </c>
    </row>
    <row r="643" spans="1:6" x14ac:dyDescent="0.3">
      <c r="A643" t="s">
        <v>5</v>
      </c>
      <c r="B643" s="1">
        <v>45684</v>
      </c>
      <c r="C643">
        <v>18</v>
      </c>
      <c r="D643">
        <v>6.7000000000000004E-2</v>
      </c>
      <c r="E643" t="s">
        <v>6</v>
      </c>
      <c r="F643">
        <v>0.10704999999999999</v>
      </c>
    </row>
    <row r="644" spans="1:6" x14ac:dyDescent="0.3">
      <c r="A644" t="s">
        <v>5</v>
      </c>
      <c r="B644" s="1">
        <v>45684</v>
      </c>
      <c r="C644">
        <v>19</v>
      </c>
      <c r="D644">
        <v>0.121</v>
      </c>
      <c r="E644" t="s">
        <v>6</v>
      </c>
      <c r="F644">
        <v>0.18112</v>
      </c>
    </row>
    <row r="645" spans="1:6" x14ac:dyDescent="0.3">
      <c r="A645" t="s">
        <v>5</v>
      </c>
      <c r="B645" s="1">
        <v>45684</v>
      </c>
      <c r="C645">
        <v>20</v>
      </c>
      <c r="D645">
        <v>0.13700000000000001</v>
      </c>
      <c r="E645" t="s">
        <v>6</v>
      </c>
      <c r="F645">
        <v>0.19878000000000001</v>
      </c>
    </row>
    <row r="646" spans="1:6" x14ac:dyDescent="0.3">
      <c r="A646" t="s">
        <v>5</v>
      </c>
      <c r="B646" s="1">
        <v>45684</v>
      </c>
      <c r="C646">
        <v>21</v>
      </c>
      <c r="D646">
        <v>0.123</v>
      </c>
      <c r="E646" t="s">
        <v>6</v>
      </c>
      <c r="F646">
        <v>0.18278999999999998</v>
      </c>
    </row>
    <row r="647" spans="1:6" x14ac:dyDescent="0.3">
      <c r="A647" t="s">
        <v>5</v>
      </c>
      <c r="B647" s="1">
        <v>45684</v>
      </c>
      <c r="C647">
        <v>22</v>
      </c>
      <c r="D647">
        <v>0.14599999999999999</v>
      </c>
      <c r="E647" t="s">
        <v>6</v>
      </c>
      <c r="F647">
        <v>0.17976</v>
      </c>
    </row>
    <row r="648" spans="1:6" x14ac:dyDescent="0.3">
      <c r="A648" t="s">
        <v>5</v>
      </c>
      <c r="B648" s="1">
        <v>45684</v>
      </c>
      <c r="C648">
        <v>23</v>
      </c>
      <c r="D648">
        <v>0.123</v>
      </c>
      <c r="E648" t="s">
        <v>6</v>
      </c>
      <c r="F648">
        <v>0.10540999999999999</v>
      </c>
    </row>
    <row r="649" spans="1:6" x14ac:dyDescent="0.3">
      <c r="A649" t="s">
        <v>5</v>
      </c>
      <c r="B649" s="1">
        <v>45684</v>
      </c>
      <c r="C649">
        <v>24</v>
      </c>
      <c r="D649">
        <v>0.13400000000000001</v>
      </c>
      <c r="E649" t="s">
        <v>6</v>
      </c>
      <c r="F649">
        <v>0.10235</v>
      </c>
    </row>
    <row r="650" spans="1:6" x14ac:dyDescent="0.3">
      <c r="A650" t="s">
        <v>5</v>
      </c>
      <c r="B650" s="1">
        <v>45685</v>
      </c>
      <c r="C650">
        <v>1</v>
      </c>
      <c r="D650">
        <v>0.13300000000000001</v>
      </c>
      <c r="E650" t="s">
        <v>6</v>
      </c>
      <c r="F650">
        <v>5.3780000000000001E-2</v>
      </c>
    </row>
    <row r="651" spans="1:6" x14ac:dyDescent="0.3">
      <c r="A651" t="s">
        <v>5</v>
      </c>
      <c r="B651" s="1">
        <v>45685</v>
      </c>
      <c r="C651">
        <v>2</v>
      </c>
      <c r="D651">
        <v>0.124</v>
      </c>
      <c r="E651" t="s">
        <v>6</v>
      </c>
      <c r="F651">
        <v>5.3490000000000003E-2</v>
      </c>
    </row>
    <row r="652" spans="1:6" x14ac:dyDescent="0.3">
      <c r="A652" t="s">
        <v>5</v>
      </c>
      <c r="B652" s="1">
        <v>45685</v>
      </c>
      <c r="C652">
        <v>3</v>
      </c>
      <c r="D652">
        <v>0.14399999999999999</v>
      </c>
      <c r="E652" t="s">
        <v>6</v>
      </c>
      <c r="F652">
        <v>5.5939999999999997E-2</v>
      </c>
    </row>
    <row r="653" spans="1:6" x14ac:dyDescent="0.3">
      <c r="A653" t="s">
        <v>5</v>
      </c>
      <c r="B653" s="1">
        <v>45685</v>
      </c>
      <c r="C653">
        <v>4</v>
      </c>
      <c r="D653">
        <v>0.122</v>
      </c>
      <c r="E653" t="s">
        <v>6</v>
      </c>
      <c r="F653">
        <v>5.4770000000000006E-2</v>
      </c>
    </row>
    <row r="654" spans="1:6" x14ac:dyDescent="0.3">
      <c r="A654" t="s">
        <v>5</v>
      </c>
      <c r="B654" s="1">
        <v>45685</v>
      </c>
      <c r="C654">
        <v>5</v>
      </c>
      <c r="D654">
        <v>0.14000000000000001</v>
      </c>
      <c r="E654" t="s">
        <v>6</v>
      </c>
      <c r="F654">
        <v>5.4729999999999994E-2</v>
      </c>
    </row>
    <row r="655" spans="1:6" x14ac:dyDescent="0.3">
      <c r="A655" t="s">
        <v>5</v>
      </c>
      <c r="B655" s="1">
        <v>45685</v>
      </c>
      <c r="C655">
        <v>6</v>
      </c>
      <c r="D655">
        <v>0.128</v>
      </c>
      <c r="E655" t="s">
        <v>6</v>
      </c>
      <c r="F655">
        <v>5.4479999999999994E-2</v>
      </c>
    </row>
    <row r="656" spans="1:6" x14ac:dyDescent="0.3">
      <c r="A656" t="s">
        <v>5</v>
      </c>
      <c r="B656" s="1">
        <v>45685</v>
      </c>
      <c r="C656">
        <v>7</v>
      </c>
      <c r="D656">
        <v>0.129</v>
      </c>
      <c r="E656" t="s">
        <v>6</v>
      </c>
      <c r="F656">
        <v>5.6119999999999996E-2</v>
      </c>
    </row>
    <row r="657" spans="1:6" x14ac:dyDescent="0.3">
      <c r="A657" t="s">
        <v>5</v>
      </c>
      <c r="B657" s="1">
        <v>45685</v>
      </c>
      <c r="C657">
        <v>8</v>
      </c>
      <c r="D657">
        <v>0.13800000000000001</v>
      </c>
      <c r="E657" t="s">
        <v>6</v>
      </c>
      <c r="F657">
        <v>5.9909999999999998E-2</v>
      </c>
    </row>
    <row r="658" spans="1:6" x14ac:dyDescent="0.3">
      <c r="A658" t="s">
        <v>5</v>
      </c>
      <c r="B658" s="1">
        <v>45685</v>
      </c>
      <c r="C658">
        <v>9</v>
      </c>
      <c r="D658">
        <v>0.124</v>
      </c>
      <c r="E658" t="s">
        <v>6</v>
      </c>
      <c r="F658">
        <v>0.10531</v>
      </c>
    </row>
    <row r="659" spans="1:6" x14ac:dyDescent="0.3">
      <c r="A659" t="s">
        <v>5</v>
      </c>
      <c r="B659" s="1">
        <v>45685</v>
      </c>
      <c r="C659">
        <v>10</v>
      </c>
      <c r="D659">
        <v>0.14499999999999999</v>
      </c>
      <c r="E659" t="s">
        <v>6</v>
      </c>
      <c r="F659">
        <v>9.6500000000000002E-2</v>
      </c>
    </row>
    <row r="660" spans="1:6" x14ac:dyDescent="0.3">
      <c r="A660" t="s">
        <v>5</v>
      </c>
      <c r="B660" s="1">
        <v>45685</v>
      </c>
      <c r="C660">
        <v>11</v>
      </c>
      <c r="D660">
        <v>0.121</v>
      </c>
      <c r="E660" t="s">
        <v>6</v>
      </c>
      <c r="F660">
        <v>0.13691999999999999</v>
      </c>
    </row>
    <row r="661" spans="1:6" x14ac:dyDescent="0.3">
      <c r="A661" t="s">
        <v>5</v>
      </c>
      <c r="B661" s="1">
        <v>45685</v>
      </c>
      <c r="C661">
        <v>12</v>
      </c>
      <c r="D661">
        <v>0.13400000000000001</v>
      </c>
      <c r="E661" t="s">
        <v>6</v>
      </c>
      <c r="F661">
        <v>0.13558000000000001</v>
      </c>
    </row>
    <row r="662" spans="1:6" x14ac:dyDescent="0.3">
      <c r="A662" t="s">
        <v>5</v>
      </c>
      <c r="B662" s="1">
        <v>45685</v>
      </c>
      <c r="C662">
        <v>13</v>
      </c>
      <c r="D662">
        <v>0.13600000000000001</v>
      </c>
      <c r="E662" t="s">
        <v>6</v>
      </c>
      <c r="F662">
        <v>0.13403000000000001</v>
      </c>
    </row>
    <row r="663" spans="1:6" x14ac:dyDescent="0.3">
      <c r="A663" t="s">
        <v>5</v>
      </c>
      <c r="B663" s="1">
        <v>45685</v>
      </c>
      <c r="C663">
        <v>14</v>
      </c>
      <c r="D663">
        <v>0.123</v>
      </c>
      <c r="E663" t="s">
        <v>6</v>
      </c>
      <c r="F663">
        <v>0.13150999999999999</v>
      </c>
    </row>
    <row r="664" spans="1:6" x14ac:dyDescent="0.3">
      <c r="A664" t="s">
        <v>5</v>
      </c>
      <c r="B664" s="1">
        <v>45685</v>
      </c>
      <c r="C664">
        <v>15</v>
      </c>
      <c r="D664">
        <v>0.14499999999999999</v>
      </c>
      <c r="E664" t="s">
        <v>6</v>
      </c>
      <c r="F664">
        <v>6.6360000000000002E-2</v>
      </c>
    </row>
    <row r="665" spans="1:6" x14ac:dyDescent="0.3">
      <c r="A665" t="s">
        <v>5</v>
      </c>
      <c r="B665" s="1">
        <v>45685</v>
      </c>
      <c r="C665">
        <v>16</v>
      </c>
      <c r="D665">
        <v>0.124</v>
      </c>
      <c r="E665" t="s">
        <v>6</v>
      </c>
      <c r="F665">
        <v>6.6430000000000003E-2</v>
      </c>
    </row>
    <row r="666" spans="1:6" x14ac:dyDescent="0.3">
      <c r="A666" t="s">
        <v>5</v>
      </c>
      <c r="B666" s="1">
        <v>45685</v>
      </c>
      <c r="C666">
        <v>17</v>
      </c>
      <c r="D666">
        <v>0.13900000000000001</v>
      </c>
      <c r="E666" t="s">
        <v>6</v>
      </c>
      <c r="F666">
        <v>6.9819999999999993E-2</v>
      </c>
    </row>
    <row r="667" spans="1:6" x14ac:dyDescent="0.3">
      <c r="A667" t="s">
        <v>5</v>
      </c>
      <c r="B667" s="1">
        <v>45685</v>
      </c>
      <c r="C667">
        <v>18</v>
      </c>
      <c r="D667">
        <v>0.13</v>
      </c>
      <c r="E667" t="s">
        <v>6</v>
      </c>
      <c r="F667">
        <v>8.2400000000000001E-2</v>
      </c>
    </row>
    <row r="668" spans="1:6" x14ac:dyDescent="0.3">
      <c r="A668" t="s">
        <v>5</v>
      </c>
      <c r="B668" s="1">
        <v>45685</v>
      </c>
      <c r="C668">
        <v>19</v>
      </c>
      <c r="D668">
        <v>0.127</v>
      </c>
      <c r="E668" t="s">
        <v>6</v>
      </c>
      <c r="F668">
        <v>0.19650000000000001</v>
      </c>
    </row>
    <row r="669" spans="1:6" x14ac:dyDescent="0.3">
      <c r="A669" t="s">
        <v>5</v>
      </c>
      <c r="B669" s="1">
        <v>45685</v>
      </c>
      <c r="C669">
        <v>20</v>
      </c>
      <c r="D669">
        <v>0.14000000000000001</v>
      </c>
      <c r="E669" t="s">
        <v>6</v>
      </c>
      <c r="F669">
        <v>0.21938999999999997</v>
      </c>
    </row>
    <row r="670" spans="1:6" x14ac:dyDescent="0.3">
      <c r="A670" t="s">
        <v>5</v>
      </c>
      <c r="B670" s="1">
        <v>45685</v>
      </c>
      <c r="C670">
        <v>21</v>
      </c>
      <c r="D670">
        <v>0.125</v>
      </c>
      <c r="E670" t="s">
        <v>6</v>
      </c>
      <c r="F670">
        <v>0.20791999999999999</v>
      </c>
    </row>
    <row r="671" spans="1:6" x14ac:dyDescent="0.3">
      <c r="A671" t="s">
        <v>5</v>
      </c>
      <c r="B671" s="1">
        <v>45685</v>
      </c>
      <c r="C671">
        <v>22</v>
      </c>
      <c r="D671">
        <v>0.14299999999999999</v>
      </c>
      <c r="E671" t="s">
        <v>6</v>
      </c>
      <c r="F671">
        <v>0.19438999999999998</v>
      </c>
    </row>
    <row r="672" spans="1:6" x14ac:dyDescent="0.3">
      <c r="A672" t="s">
        <v>5</v>
      </c>
      <c r="B672" s="1">
        <v>45685</v>
      </c>
      <c r="C672">
        <v>23</v>
      </c>
      <c r="D672">
        <v>0.124</v>
      </c>
      <c r="E672" t="s">
        <v>6</v>
      </c>
      <c r="F672">
        <v>0.11259000000000001</v>
      </c>
    </row>
    <row r="673" spans="1:6" x14ac:dyDescent="0.3">
      <c r="A673" t="s">
        <v>5</v>
      </c>
      <c r="B673" s="1">
        <v>45685</v>
      </c>
      <c r="C673">
        <v>24</v>
      </c>
      <c r="D673">
        <v>0.13200000000000001</v>
      </c>
      <c r="E673" t="s">
        <v>6</v>
      </c>
      <c r="F673">
        <v>0.10163</v>
      </c>
    </row>
    <row r="674" spans="1:6" x14ac:dyDescent="0.3">
      <c r="A674" t="s">
        <v>5</v>
      </c>
      <c r="B674" s="1">
        <v>45686</v>
      </c>
      <c r="C674">
        <v>1</v>
      </c>
      <c r="D674">
        <v>0.13800000000000001</v>
      </c>
      <c r="E674" t="s">
        <v>6</v>
      </c>
      <c r="F674">
        <v>6.0179999999999997E-2</v>
      </c>
    </row>
    <row r="675" spans="1:6" x14ac:dyDescent="0.3">
      <c r="A675" t="s">
        <v>5</v>
      </c>
      <c r="B675" s="1">
        <v>45686</v>
      </c>
      <c r="C675">
        <v>2</v>
      </c>
      <c r="D675">
        <v>0.124</v>
      </c>
      <c r="E675" t="s">
        <v>6</v>
      </c>
      <c r="F675">
        <v>4.7640000000000002E-2</v>
      </c>
    </row>
    <row r="676" spans="1:6" x14ac:dyDescent="0.3">
      <c r="A676" t="s">
        <v>5</v>
      </c>
      <c r="B676" s="1">
        <v>45686</v>
      </c>
      <c r="C676">
        <v>3</v>
      </c>
      <c r="D676">
        <v>0.14399999999999999</v>
      </c>
      <c r="E676" t="s">
        <v>6</v>
      </c>
      <c r="F676">
        <v>4.6979999999999994E-2</v>
      </c>
    </row>
    <row r="677" spans="1:6" x14ac:dyDescent="0.3">
      <c r="A677" t="s">
        <v>5</v>
      </c>
      <c r="B677" s="1">
        <v>45686</v>
      </c>
      <c r="C677">
        <v>4</v>
      </c>
      <c r="D677">
        <v>0.125</v>
      </c>
      <c r="E677" t="s">
        <v>6</v>
      </c>
      <c r="F677">
        <v>4.5990000000000003E-2</v>
      </c>
    </row>
    <row r="678" spans="1:6" x14ac:dyDescent="0.3">
      <c r="A678" t="s">
        <v>5</v>
      </c>
      <c r="B678" s="1">
        <v>45686</v>
      </c>
      <c r="C678">
        <v>5</v>
      </c>
      <c r="D678">
        <v>0.13300000000000001</v>
      </c>
      <c r="E678" t="s">
        <v>6</v>
      </c>
      <c r="F678">
        <v>4.5880000000000004E-2</v>
      </c>
    </row>
    <row r="679" spans="1:6" x14ac:dyDescent="0.3">
      <c r="A679" t="s">
        <v>5</v>
      </c>
      <c r="B679" s="1">
        <v>45686</v>
      </c>
      <c r="C679">
        <v>6</v>
      </c>
      <c r="D679">
        <v>0.13800000000000001</v>
      </c>
      <c r="E679" t="s">
        <v>6</v>
      </c>
      <c r="F679">
        <v>4.5319999999999999E-2</v>
      </c>
    </row>
    <row r="680" spans="1:6" x14ac:dyDescent="0.3">
      <c r="A680" t="s">
        <v>5</v>
      </c>
      <c r="B680" s="1">
        <v>45686</v>
      </c>
      <c r="C680">
        <v>7</v>
      </c>
      <c r="D680">
        <v>0.122</v>
      </c>
      <c r="E680" t="s">
        <v>6</v>
      </c>
      <c r="F680">
        <v>8.3830000000000002E-2</v>
      </c>
    </row>
    <row r="681" spans="1:6" x14ac:dyDescent="0.3">
      <c r="A681" t="s">
        <v>5</v>
      </c>
      <c r="B681" s="1">
        <v>45686</v>
      </c>
      <c r="C681">
        <v>8</v>
      </c>
      <c r="D681">
        <v>0.14699999999999999</v>
      </c>
      <c r="E681" t="s">
        <v>6</v>
      </c>
      <c r="F681">
        <v>0.12519</v>
      </c>
    </row>
    <row r="682" spans="1:6" x14ac:dyDescent="0.3">
      <c r="A682" t="s">
        <v>5</v>
      </c>
      <c r="B682" s="1">
        <v>45686</v>
      </c>
      <c r="C682">
        <v>9</v>
      </c>
      <c r="D682">
        <v>0.122</v>
      </c>
      <c r="E682" t="s">
        <v>6</v>
      </c>
      <c r="F682">
        <v>0.18378</v>
      </c>
    </row>
    <row r="683" spans="1:6" x14ac:dyDescent="0.3">
      <c r="A683" t="s">
        <v>5</v>
      </c>
      <c r="B683" s="1">
        <v>45686</v>
      </c>
      <c r="C683">
        <v>10</v>
      </c>
      <c r="D683">
        <v>0.13400000000000001</v>
      </c>
      <c r="E683" t="s">
        <v>6</v>
      </c>
      <c r="F683">
        <v>0.14273</v>
      </c>
    </row>
    <row r="684" spans="1:6" x14ac:dyDescent="0.3">
      <c r="A684" t="s">
        <v>5</v>
      </c>
      <c r="B684" s="1">
        <v>45686</v>
      </c>
      <c r="C684">
        <v>11</v>
      </c>
      <c r="D684">
        <v>0.13300000000000001</v>
      </c>
      <c r="E684" t="s">
        <v>6</v>
      </c>
      <c r="F684">
        <v>0.17627000000000001</v>
      </c>
    </row>
    <row r="685" spans="1:6" x14ac:dyDescent="0.3">
      <c r="A685" t="s">
        <v>5</v>
      </c>
      <c r="B685" s="1">
        <v>45686</v>
      </c>
      <c r="C685">
        <v>12</v>
      </c>
      <c r="D685">
        <v>0.123</v>
      </c>
      <c r="E685" t="s">
        <v>6</v>
      </c>
      <c r="F685">
        <v>0.17987999999999998</v>
      </c>
    </row>
    <row r="686" spans="1:6" x14ac:dyDescent="0.3">
      <c r="A686" t="s">
        <v>5</v>
      </c>
      <c r="B686" s="1">
        <v>45686</v>
      </c>
      <c r="C686">
        <v>13</v>
      </c>
      <c r="D686">
        <v>0.14399999999999999</v>
      </c>
      <c r="E686" t="s">
        <v>6</v>
      </c>
      <c r="F686">
        <v>0.15769</v>
      </c>
    </row>
    <row r="687" spans="1:6" x14ac:dyDescent="0.3">
      <c r="A687" t="s">
        <v>5</v>
      </c>
      <c r="B687" s="1">
        <v>45686</v>
      </c>
      <c r="C687">
        <v>14</v>
      </c>
      <c r="D687">
        <v>0.124</v>
      </c>
      <c r="E687" t="s">
        <v>6</v>
      </c>
      <c r="F687">
        <v>0.13158</v>
      </c>
    </row>
    <row r="688" spans="1:6" x14ac:dyDescent="0.3">
      <c r="A688" t="s">
        <v>5</v>
      </c>
      <c r="B688" s="1">
        <v>45686</v>
      </c>
      <c r="C688">
        <v>15</v>
      </c>
      <c r="D688">
        <v>0.13500000000000001</v>
      </c>
      <c r="E688" t="s">
        <v>6</v>
      </c>
      <c r="F688">
        <v>6.4799999999999996E-2</v>
      </c>
    </row>
    <row r="689" spans="1:6" x14ac:dyDescent="0.3">
      <c r="A689" t="s">
        <v>5</v>
      </c>
      <c r="B689" s="1">
        <v>45686</v>
      </c>
      <c r="C689">
        <v>16</v>
      </c>
      <c r="D689">
        <v>0.13400000000000001</v>
      </c>
      <c r="E689" t="s">
        <v>6</v>
      </c>
      <c r="F689">
        <v>6.8879999999999997E-2</v>
      </c>
    </row>
    <row r="690" spans="1:6" x14ac:dyDescent="0.3">
      <c r="A690" t="s">
        <v>5</v>
      </c>
      <c r="B690" s="1">
        <v>45686</v>
      </c>
      <c r="C690">
        <v>17</v>
      </c>
      <c r="D690">
        <v>0.125</v>
      </c>
      <c r="E690" t="s">
        <v>6</v>
      </c>
      <c r="F690">
        <v>0.10123</v>
      </c>
    </row>
    <row r="691" spans="1:6" x14ac:dyDescent="0.3">
      <c r="A691" t="s">
        <v>5</v>
      </c>
      <c r="B691" s="1">
        <v>45686</v>
      </c>
      <c r="C691">
        <v>18</v>
      </c>
      <c r="D691">
        <v>0.14599999999999999</v>
      </c>
      <c r="E691" t="s">
        <v>6</v>
      </c>
      <c r="F691">
        <v>0.11595999999999999</v>
      </c>
    </row>
    <row r="692" spans="1:6" x14ac:dyDescent="0.3">
      <c r="A692" t="s">
        <v>5</v>
      </c>
      <c r="B692" s="1">
        <v>45686</v>
      </c>
      <c r="C692">
        <v>19</v>
      </c>
      <c r="D692">
        <v>0.124</v>
      </c>
      <c r="E692" t="s">
        <v>6</v>
      </c>
      <c r="F692">
        <v>0.21975</v>
      </c>
    </row>
    <row r="693" spans="1:6" x14ac:dyDescent="0.3">
      <c r="A693" t="s">
        <v>5</v>
      </c>
      <c r="B693" s="1">
        <v>45686</v>
      </c>
      <c r="C693">
        <v>20</v>
      </c>
      <c r="D693">
        <v>0.13600000000000001</v>
      </c>
      <c r="E693" t="s">
        <v>6</v>
      </c>
      <c r="F693">
        <v>0.26824999999999999</v>
      </c>
    </row>
    <row r="694" spans="1:6" x14ac:dyDescent="0.3">
      <c r="A694" t="s">
        <v>5</v>
      </c>
      <c r="B694" s="1">
        <v>45686</v>
      </c>
      <c r="C694">
        <v>21</v>
      </c>
      <c r="D694">
        <v>0.13400000000000001</v>
      </c>
      <c r="E694" t="s">
        <v>6</v>
      </c>
      <c r="F694">
        <v>0.27979000000000004</v>
      </c>
    </row>
    <row r="695" spans="1:6" x14ac:dyDescent="0.3">
      <c r="A695" t="s">
        <v>5</v>
      </c>
      <c r="B695" s="1">
        <v>45686</v>
      </c>
      <c r="C695">
        <v>22</v>
      </c>
      <c r="D695">
        <v>0.125</v>
      </c>
      <c r="E695" t="s">
        <v>6</v>
      </c>
      <c r="F695">
        <v>0.26251999999999998</v>
      </c>
    </row>
    <row r="696" spans="1:6" x14ac:dyDescent="0.3">
      <c r="A696" t="s">
        <v>5</v>
      </c>
      <c r="B696" s="1">
        <v>45686</v>
      </c>
      <c r="C696">
        <v>23</v>
      </c>
      <c r="D696">
        <v>0.14699999999999999</v>
      </c>
      <c r="E696" t="s">
        <v>6</v>
      </c>
      <c r="F696">
        <v>0.17063</v>
      </c>
    </row>
    <row r="697" spans="1:6" x14ac:dyDescent="0.3">
      <c r="A697" t="s">
        <v>5</v>
      </c>
      <c r="B697" s="1">
        <v>45686</v>
      </c>
      <c r="C697">
        <v>24</v>
      </c>
      <c r="D697">
        <v>0.124</v>
      </c>
      <c r="E697" t="s">
        <v>6</v>
      </c>
      <c r="F697">
        <v>0.12043999999999999</v>
      </c>
    </row>
    <row r="698" spans="1:6" x14ac:dyDescent="0.3">
      <c r="A698" t="s">
        <v>5</v>
      </c>
      <c r="B698" s="1">
        <v>45687</v>
      </c>
      <c r="C698">
        <v>1</v>
      </c>
      <c r="D698">
        <v>0.13600000000000001</v>
      </c>
      <c r="E698" t="s">
        <v>6</v>
      </c>
      <c r="F698">
        <v>0.11559</v>
      </c>
    </row>
    <row r="699" spans="1:6" x14ac:dyDescent="0.3">
      <c r="A699" t="s">
        <v>5</v>
      </c>
      <c r="B699" s="1">
        <v>45687</v>
      </c>
      <c r="C699">
        <v>2</v>
      </c>
      <c r="D699">
        <v>0.13500000000000001</v>
      </c>
      <c r="E699" t="s">
        <v>6</v>
      </c>
      <c r="F699">
        <v>9.8769999999999997E-2</v>
      </c>
    </row>
    <row r="700" spans="1:6" x14ac:dyDescent="0.3">
      <c r="A700" t="s">
        <v>5</v>
      </c>
      <c r="B700" s="1">
        <v>45687</v>
      </c>
      <c r="C700">
        <v>3</v>
      </c>
      <c r="D700">
        <v>0.122</v>
      </c>
      <c r="E700" t="s">
        <v>6</v>
      </c>
      <c r="F700">
        <v>9.2099999999999987E-2</v>
      </c>
    </row>
    <row r="701" spans="1:6" x14ac:dyDescent="0.3">
      <c r="A701" t="s">
        <v>5</v>
      </c>
      <c r="B701" s="1">
        <v>45687</v>
      </c>
      <c r="C701">
        <v>4</v>
      </c>
      <c r="D701">
        <v>0.14499999999999999</v>
      </c>
      <c r="E701" t="s">
        <v>6</v>
      </c>
      <c r="F701">
        <v>6.0979999999999999E-2</v>
      </c>
    </row>
    <row r="702" spans="1:6" x14ac:dyDescent="0.3">
      <c r="A702" t="s">
        <v>5</v>
      </c>
      <c r="B702" s="1">
        <v>45687</v>
      </c>
      <c r="C702">
        <v>5</v>
      </c>
      <c r="D702">
        <v>0.123</v>
      </c>
      <c r="E702" t="s">
        <v>6</v>
      </c>
      <c r="F702">
        <v>5.296E-2</v>
      </c>
    </row>
    <row r="703" spans="1:6" x14ac:dyDescent="0.3">
      <c r="A703" t="s">
        <v>5</v>
      </c>
      <c r="B703" s="1">
        <v>45687</v>
      </c>
      <c r="C703">
        <v>6</v>
      </c>
      <c r="D703">
        <v>0.13200000000000001</v>
      </c>
      <c r="E703" t="s">
        <v>6</v>
      </c>
      <c r="F703">
        <v>5.1159999999999997E-2</v>
      </c>
    </row>
    <row r="704" spans="1:6" x14ac:dyDescent="0.3">
      <c r="A704" t="s">
        <v>5</v>
      </c>
      <c r="B704" s="1">
        <v>45687</v>
      </c>
      <c r="C704">
        <v>7</v>
      </c>
      <c r="D704">
        <v>0.13700000000000001</v>
      </c>
      <c r="E704" t="s">
        <v>6</v>
      </c>
      <c r="F704">
        <v>8.7309999999999999E-2</v>
      </c>
    </row>
    <row r="705" spans="1:6" x14ac:dyDescent="0.3">
      <c r="A705" t="s">
        <v>5</v>
      </c>
      <c r="B705" s="1">
        <v>45687</v>
      </c>
      <c r="C705">
        <v>8</v>
      </c>
      <c r="D705">
        <v>0.122</v>
      </c>
      <c r="E705" t="s">
        <v>6</v>
      </c>
      <c r="F705">
        <v>0.10940000000000001</v>
      </c>
    </row>
    <row r="706" spans="1:6" x14ac:dyDescent="0.3">
      <c r="A706" t="s">
        <v>5</v>
      </c>
      <c r="B706" s="1">
        <v>45687</v>
      </c>
      <c r="C706">
        <v>9</v>
      </c>
      <c r="D706">
        <v>0.14299999999999999</v>
      </c>
      <c r="E706" t="s">
        <v>6</v>
      </c>
      <c r="F706">
        <v>0.16650000000000001</v>
      </c>
    </row>
    <row r="707" spans="1:6" x14ac:dyDescent="0.3">
      <c r="A707" t="s">
        <v>5</v>
      </c>
      <c r="B707" s="1">
        <v>45687</v>
      </c>
      <c r="C707">
        <v>10</v>
      </c>
      <c r="D707">
        <v>0.126</v>
      </c>
      <c r="E707" t="s">
        <v>6</v>
      </c>
      <c r="F707">
        <v>0.12307999999999999</v>
      </c>
    </row>
    <row r="708" spans="1:6" x14ac:dyDescent="0.3">
      <c r="A708" t="s">
        <v>5</v>
      </c>
      <c r="B708" s="1">
        <v>45687</v>
      </c>
      <c r="C708">
        <v>11</v>
      </c>
      <c r="D708">
        <v>0.129</v>
      </c>
      <c r="E708" t="s">
        <v>6</v>
      </c>
      <c r="F708">
        <v>0.13034000000000001</v>
      </c>
    </row>
    <row r="709" spans="1:6" x14ac:dyDescent="0.3">
      <c r="A709" t="s">
        <v>5</v>
      </c>
      <c r="B709" s="1">
        <v>45687</v>
      </c>
      <c r="C709">
        <v>12</v>
      </c>
      <c r="D709">
        <v>0.14199999999999999</v>
      </c>
      <c r="E709" t="s">
        <v>6</v>
      </c>
      <c r="F709">
        <v>0.12888999999999998</v>
      </c>
    </row>
    <row r="710" spans="1:6" x14ac:dyDescent="0.3">
      <c r="A710" t="s">
        <v>5</v>
      </c>
      <c r="B710" s="1">
        <v>45687</v>
      </c>
      <c r="C710">
        <v>13</v>
      </c>
      <c r="D710">
        <v>0.123</v>
      </c>
      <c r="E710" t="s">
        <v>6</v>
      </c>
      <c r="F710">
        <v>0.12626000000000001</v>
      </c>
    </row>
    <row r="711" spans="1:6" x14ac:dyDescent="0.3">
      <c r="A711" t="s">
        <v>5</v>
      </c>
      <c r="B711" s="1">
        <v>45687</v>
      </c>
      <c r="C711">
        <v>14</v>
      </c>
      <c r="D711">
        <v>0.14099999999999999</v>
      </c>
      <c r="E711" t="s">
        <v>6</v>
      </c>
      <c r="F711">
        <v>0.12358</v>
      </c>
    </row>
    <row r="712" spans="1:6" x14ac:dyDescent="0.3">
      <c r="A712" t="s">
        <v>5</v>
      </c>
      <c r="B712" s="1">
        <v>45687</v>
      </c>
      <c r="C712">
        <v>15</v>
      </c>
      <c r="D712">
        <v>0.13100000000000001</v>
      </c>
      <c r="E712" t="s">
        <v>6</v>
      </c>
      <c r="F712">
        <v>5.8500000000000003E-2</v>
      </c>
    </row>
    <row r="713" spans="1:6" x14ac:dyDescent="0.3">
      <c r="A713" t="s">
        <v>5</v>
      </c>
      <c r="B713" s="1">
        <v>45687</v>
      </c>
      <c r="C713">
        <v>16</v>
      </c>
      <c r="D713">
        <v>0.123</v>
      </c>
      <c r="E713" t="s">
        <v>6</v>
      </c>
      <c r="F713">
        <v>5.8770000000000003E-2</v>
      </c>
    </row>
    <row r="714" spans="1:6" x14ac:dyDescent="0.3">
      <c r="A714" t="s">
        <v>5</v>
      </c>
      <c r="B714" s="1">
        <v>45687</v>
      </c>
      <c r="C714">
        <v>17</v>
      </c>
      <c r="D714">
        <v>0.14599999999999999</v>
      </c>
      <c r="E714" t="s">
        <v>6</v>
      </c>
      <c r="F714">
        <v>6.1630000000000004E-2</v>
      </c>
    </row>
    <row r="715" spans="1:6" x14ac:dyDescent="0.3">
      <c r="A715" t="s">
        <v>5</v>
      </c>
      <c r="B715" s="1">
        <v>45687</v>
      </c>
      <c r="C715">
        <v>18</v>
      </c>
      <c r="D715">
        <v>0.124</v>
      </c>
      <c r="E715" t="s">
        <v>6</v>
      </c>
      <c r="F715">
        <v>9.0959999999999999E-2</v>
      </c>
    </row>
    <row r="716" spans="1:6" x14ac:dyDescent="0.3">
      <c r="A716" t="s">
        <v>5</v>
      </c>
      <c r="B716" s="1">
        <v>45687</v>
      </c>
      <c r="C716">
        <v>19</v>
      </c>
      <c r="D716">
        <v>0.13500000000000001</v>
      </c>
      <c r="E716" t="s">
        <v>6</v>
      </c>
      <c r="F716">
        <v>0.21937999999999999</v>
      </c>
    </row>
    <row r="717" spans="1:6" x14ac:dyDescent="0.3">
      <c r="A717" t="s">
        <v>5</v>
      </c>
      <c r="B717" s="1">
        <v>45687</v>
      </c>
      <c r="C717">
        <v>20</v>
      </c>
      <c r="D717">
        <v>0.13700000000000001</v>
      </c>
      <c r="E717" t="s">
        <v>6</v>
      </c>
      <c r="F717">
        <v>0.23444999999999999</v>
      </c>
    </row>
    <row r="718" spans="1:6" x14ac:dyDescent="0.3">
      <c r="A718" t="s">
        <v>5</v>
      </c>
      <c r="B718" s="1">
        <v>45687</v>
      </c>
      <c r="C718">
        <v>21</v>
      </c>
      <c r="D718">
        <v>0.126</v>
      </c>
      <c r="E718" t="s">
        <v>6</v>
      </c>
      <c r="F718">
        <v>0.25950000000000001</v>
      </c>
    </row>
    <row r="719" spans="1:6" x14ac:dyDescent="0.3">
      <c r="A719" t="s">
        <v>5</v>
      </c>
      <c r="B719" s="1">
        <v>45687</v>
      </c>
      <c r="C719">
        <v>22</v>
      </c>
      <c r="D719">
        <v>0.14299999999999999</v>
      </c>
      <c r="E719" t="s">
        <v>6</v>
      </c>
      <c r="F719">
        <v>0.25378000000000001</v>
      </c>
    </row>
    <row r="720" spans="1:6" x14ac:dyDescent="0.3">
      <c r="A720" t="s">
        <v>5</v>
      </c>
      <c r="B720" s="1">
        <v>45687</v>
      </c>
      <c r="C720">
        <v>23</v>
      </c>
      <c r="D720">
        <v>0.127</v>
      </c>
      <c r="E720" t="s">
        <v>6</v>
      </c>
      <c r="F720">
        <v>0.17546999999999999</v>
      </c>
    </row>
    <row r="721" spans="1:6" x14ac:dyDescent="0.3">
      <c r="A721" t="s">
        <v>5</v>
      </c>
      <c r="B721" s="1">
        <v>45687</v>
      </c>
      <c r="C721">
        <v>24</v>
      </c>
      <c r="D721">
        <v>0.13</v>
      </c>
      <c r="E721" t="s">
        <v>6</v>
      </c>
      <c r="F721">
        <v>0.15665999999999999</v>
      </c>
    </row>
    <row r="722" spans="1:6" x14ac:dyDescent="0.3">
      <c r="A722" t="s">
        <v>5</v>
      </c>
      <c r="B722" s="1">
        <v>45688</v>
      </c>
      <c r="C722">
        <v>1</v>
      </c>
      <c r="D722">
        <v>0.14099999999999999</v>
      </c>
      <c r="E722" t="s">
        <v>6</v>
      </c>
      <c r="F722">
        <v>9.1670000000000001E-2</v>
      </c>
    </row>
    <row r="723" spans="1:6" x14ac:dyDescent="0.3">
      <c r="A723" t="s">
        <v>5</v>
      </c>
      <c r="B723" s="1">
        <v>45688</v>
      </c>
      <c r="C723">
        <v>2</v>
      </c>
      <c r="D723">
        <v>0.125</v>
      </c>
      <c r="E723" t="s">
        <v>6</v>
      </c>
      <c r="F723">
        <v>0.10542</v>
      </c>
    </row>
    <row r="724" spans="1:6" x14ac:dyDescent="0.3">
      <c r="A724" t="s">
        <v>5</v>
      </c>
      <c r="B724" s="1">
        <v>45688</v>
      </c>
      <c r="C724">
        <v>3</v>
      </c>
      <c r="D724">
        <v>0.14000000000000001</v>
      </c>
      <c r="E724" t="s">
        <v>6</v>
      </c>
      <c r="F724">
        <v>0.10834000000000001</v>
      </c>
    </row>
    <row r="725" spans="1:6" x14ac:dyDescent="0.3">
      <c r="A725" t="s">
        <v>5</v>
      </c>
      <c r="B725" s="1">
        <v>45688</v>
      </c>
      <c r="C725">
        <v>4</v>
      </c>
      <c r="D725">
        <v>0.13</v>
      </c>
      <c r="E725" t="s">
        <v>6</v>
      </c>
      <c r="F725">
        <v>0.10701999999999999</v>
      </c>
    </row>
    <row r="726" spans="1:6" x14ac:dyDescent="0.3">
      <c r="A726" t="s">
        <v>5</v>
      </c>
      <c r="B726" s="1">
        <v>45688</v>
      </c>
      <c r="C726">
        <v>5</v>
      </c>
      <c r="D726">
        <v>0.123</v>
      </c>
      <c r="E726" t="s">
        <v>6</v>
      </c>
      <c r="F726">
        <v>0.10728</v>
      </c>
    </row>
    <row r="727" spans="1:6" x14ac:dyDescent="0.3">
      <c r="A727" t="s">
        <v>5</v>
      </c>
      <c r="B727" s="1">
        <v>45688</v>
      </c>
      <c r="C727">
        <v>6</v>
      </c>
      <c r="D727">
        <v>0.14499999999999999</v>
      </c>
      <c r="E727" t="s">
        <v>6</v>
      </c>
      <c r="F727">
        <v>0.12176000000000001</v>
      </c>
    </row>
    <row r="728" spans="1:6" x14ac:dyDescent="0.3">
      <c r="A728" t="s">
        <v>5</v>
      </c>
      <c r="B728" s="1">
        <v>45688</v>
      </c>
      <c r="C728">
        <v>7</v>
      </c>
      <c r="D728">
        <v>0.124</v>
      </c>
      <c r="E728" t="s">
        <v>6</v>
      </c>
      <c r="F728">
        <v>0.12972</v>
      </c>
    </row>
    <row r="729" spans="1:6" x14ac:dyDescent="0.3">
      <c r="A729" t="s">
        <v>5</v>
      </c>
      <c r="B729" s="1">
        <v>45688</v>
      </c>
      <c r="C729">
        <v>8</v>
      </c>
      <c r="D729">
        <v>0.13100000000000001</v>
      </c>
      <c r="E729" t="s">
        <v>6</v>
      </c>
      <c r="F729">
        <v>0.16300999999999999</v>
      </c>
    </row>
    <row r="730" spans="1:6" x14ac:dyDescent="0.3">
      <c r="A730" t="s">
        <v>5</v>
      </c>
      <c r="B730" s="1">
        <v>45688</v>
      </c>
      <c r="C730">
        <v>9</v>
      </c>
      <c r="D730">
        <v>0.13900000000000001</v>
      </c>
      <c r="E730" t="s">
        <v>6</v>
      </c>
      <c r="F730">
        <v>0.21484</v>
      </c>
    </row>
    <row r="731" spans="1:6" x14ac:dyDescent="0.3">
      <c r="A731" t="s">
        <v>5</v>
      </c>
      <c r="B731" s="1">
        <v>45688</v>
      </c>
      <c r="C731">
        <v>10</v>
      </c>
      <c r="D731">
        <v>0.124</v>
      </c>
      <c r="E731" t="s">
        <v>6</v>
      </c>
      <c r="F731">
        <v>0.15544999999999998</v>
      </c>
    </row>
    <row r="732" spans="1:6" x14ac:dyDescent="0.3">
      <c r="A732" t="s">
        <v>5</v>
      </c>
      <c r="B732" s="1">
        <v>45688</v>
      </c>
      <c r="C732">
        <v>11</v>
      </c>
      <c r="D732">
        <v>0.14099999999999999</v>
      </c>
      <c r="E732" t="s">
        <v>6</v>
      </c>
      <c r="F732">
        <v>0.18844999999999998</v>
      </c>
    </row>
    <row r="733" spans="1:6" x14ac:dyDescent="0.3">
      <c r="A733" t="s">
        <v>5</v>
      </c>
      <c r="B733" s="1">
        <v>45688</v>
      </c>
      <c r="C733">
        <v>12</v>
      </c>
      <c r="D733">
        <v>0.13</v>
      </c>
      <c r="E733" t="s">
        <v>6</v>
      </c>
      <c r="F733">
        <v>0.15683000000000002</v>
      </c>
    </row>
    <row r="734" spans="1:6" x14ac:dyDescent="0.3">
      <c r="A734" t="s">
        <v>5</v>
      </c>
      <c r="B734" s="1">
        <v>45688</v>
      </c>
      <c r="C734">
        <v>13</v>
      </c>
      <c r="D734">
        <v>0.124</v>
      </c>
      <c r="E734" t="s">
        <v>6</v>
      </c>
      <c r="F734">
        <v>0.15575</v>
      </c>
    </row>
    <row r="735" spans="1:6" x14ac:dyDescent="0.3">
      <c r="A735" t="s">
        <v>5</v>
      </c>
      <c r="B735" s="1">
        <v>45688</v>
      </c>
      <c r="C735">
        <v>14</v>
      </c>
      <c r="D735">
        <v>0.14499999999999999</v>
      </c>
      <c r="E735" t="s">
        <v>6</v>
      </c>
      <c r="F735">
        <v>0.15484000000000001</v>
      </c>
    </row>
    <row r="736" spans="1:6" x14ac:dyDescent="0.3">
      <c r="A736" t="s">
        <v>5</v>
      </c>
      <c r="B736" s="1">
        <v>45688</v>
      </c>
      <c r="C736">
        <v>15</v>
      </c>
      <c r="D736">
        <v>0.122</v>
      </c>
      <c r="E736" t="s">
        <v>6</v>
      </c>
      <c r="F736">
        <v>8.3040000000000003E-2</v>
      </c>
    </row>
    <row r="737" spans="1:6" x14ac:dyDescent="0.3">
      <c r="A737" t="s">
        <v>5</v>
      </c>
      <c r="B737" s="1">
        <v>45688</v>
      </c>
      <c r="C737">
        <v>16</v>
      </c>
      <c r="D737">
        <v>0.13400000000000001</v>
      </c>
      <c r="E737" t="s">
        <v>6</v>
      </c>
      <c r="F737">
        <v>9.0680000000000011E-2</v>
      </c>
    </row>
    <row r="738" spans="1:6" x14ac:dyDescent="0.3">
      <c r="A738" t="s">
        <v>5</v>
      </c>
      <c r="B738" s="1">
        <v>45688</v>
      </c>
      <c r="C738">
        <v>17</v>
      </c>
      <c r="D738">
        <v>0.13700000000000001</v>
      </c>
      <c r="E738" t="s">
        <v>6</v>
      </c>
      <c r="F738">
        <v>0.11716</v>
      </c>
    </row>
    <row r="739" spans="1:6" x14ac:dyDescent="0.3">
      <c r="A739" t="s">
        <v>5</v>
      </c>
      <c r="B739" s="1">
        <v>45688</v>
      </c>
      <c r="C739">
        <v>18</v>
      </c>
      <c r="D739">
        <v>0.152</v>
      </c>
      <c r="E739" t="s">
        <v>6</v>
      </c>
      <c r="F739">
        <v>0.17344999999999999</v>
      </c>
    </row>
    <row r="740" spans="1:6" x14ac:dyDescent="0.3">
      <c r="A740" t="s">
        <v>5</v>
      </c>
      <c r="B740" s="1">
        <v>45688</v>
      </c>
      <c r="C740">
        <v>19</v>
      </c>
      <c r="D740">
        <v>0.27300000000000002</v>
      </c>
      <c r="E740" t="s">
        <v>6</v>
      </c>
      <c r="F740">
        <v>0.32300999999999996</v>
      </c>
    </row>
    <row r="741" spans="1:6" x14ac:dyDescent="0.3">
      <c r="A741" t="s">
        <v>5</v>
      </c>
      <c r="B741" s="1">
        <v>45688</v>
      </c>
      <c r="C741">
        <v>20</v>
      </c>
      <c r="D741">
        <v>0.27700000000000002</v>
      </c>
      <c r="E741" t="s">
        <v>6</v>
      </c>
      <c r="F741">
        <v>0.31663000000000002</v>
      </c>
    </row>
    <row r="742" spans="1:6" x14ac:dyDescent="0.3">
      <c r="A742" t="s">
        <v>5</v>
      </c>
      <c r="B742" s="1">
        <v>45688</v>
      </c>
      <c r="C742">
        <v>21</v>
      </c>
      <c r="D742">
        <v>0.14299999999999999</v>
      </c>
      <c r="E742" t="s">
        <v>6</v>
      </c>
      <c r="F742">
        <v>0.29708000000000001</v>
      </c>
    </row>
    <row r="743" spans="1:6" x14ac:dyDescent="0.3">
      <c r="A743" t="s">
        <v>5</v>
      </c>
      <c r="B743" s="1">
        <v>45688</v>
      </c>
      <c r="C743">
        <v>22</v>
      </c>
      <c r="D743">
        <v>0.14199999999999999</v>
      </c>
      <c r="E743" t="s">
        <v>6</v>
      </c>
      <c r="F743">
        <v>0.28561000000000003</v>
      </c>
    </row>
    <row r="744" spans="1:6" x14ac:dyDescent="0.3">
      <c r="A744" t="s">
        <v>5</v>
      </c>
      <c r="B744" s="1">
        <v>45688</v>
      </c>
      <c r="C744">
        <v>23</v>
      </c>
      <c r="D744">
        <v>0.125</v>
      </c>
      <c r="E744" t="s">
        <v>6</v>
      </c>
      <c r="F744">
        <v>0.21196999999999999</v>
      </c>
    </row>
    <row r="745" spans="1:6" x14ac:dyDescent="0.3">
      <c r="A745" t="s">
        <v>5</v>
      </c>
      <c r="B745" s="1">
        <v>45688</v>
      </c>
      <c r="C745">
        <v>24</v>
      </c>
      <c r="D745">
        <v>0.13900000000000001</v>
      </c>
      <c r="E745" t="s">
        <v>6</v>
      </c>
      <c r="F745">
        <v>0.20193</v>
      </c>
    </row>
    <row r="746" spans="1:6" x14ac:dyDescent="0.3">
      <c r="A746" t="s">
        <v>5</v>
      </c>
      <c r="B746" s="1">
        <v>45689</v>
      </c>
      <c r="C746">
        <v>1</v>
      </c>
      <c r="D746">
        <v>0.13200000000000001</v>
      </c>
      <c r="E746" t="s">
        <v>6</v>
      </c>
      <c r="F746">
        <v>0.19231000000000001</v>
      </c>
    </row>
    <row r="747" spans="1:6" x14ac:dyDescent="0.3">
      <c r="A747" t="s">
        <v>5</v>
      </c>
      <c r="B747" s="1">
        <v>45689</v>
      </c>
      <c r="C747">
        <v>2</v>
      </c>
      <c r="D747">
        <v>0.126</v>
      </c>
      <c r="E747" t="s">
        <v>6</v>
      </c>
      <c r="F747">
        <v>0.17924999999999999</v>
      </c>
    </row>
    <row r="748" spans="1:6" x14ac:dyDescent="0.3">
      <c r="A748" t="s">
        <v>5</v>
      </c>
      <c r="B748" s="1">
        <v>45689</v>
      </c>
      <c r="C748">
        <v>3</v>
      </c>
      <c r="D748">
        <v>0.14599999999999999</v>
      </c>
      <c r="E748" t="s">
        <v>6</v>
      </c>
      <c r="F748">
        <v>0.17555000000000001</v>
      </c>
    </row>
    <row r="749" spans="1:6" x14ac:dyDescent="0.3">
      <c r="A749" t="s">
        <v>5</v>
      </c>
      <c r="B749" s="1">
        <v>45689</v>
      </c>
      <c r="C749">
        <v>4</v>
      </c>
      <c r="D749">
        <v>0.124</v>
      </c>
      <c r="E749" t="s">
        <v>6</v>
      </c>
      <c r="F749">
        <v>0.16691</v>
      </c>
    </row>
    <row r="750" spans="1:6" x14ac:dyDescent="0.3">
      <c r="A750" t="s">
        <v>5</v>
      </c>
      <c r="B750" s="1">
        <v>45689</v>
      </c>
      <c r="C750">
        <v>5</v>
      </c>
      <c r="D750">
        <v>0.13100000000000001</v>
      </c>
      <c r="E750" t="s">
        <v>6</v>
      </c>
      <c r="F750">
        <v>0.15278</v>
      </c>
    </row>
    <row r="751" spans="1:6" x14ac:dyDescent="0.3">
      <c r="A751" t="s">
        <v>5</v>
      </c>
      <c r="B751" s="1">
        <v>45689</v>
      </c>
      <c r="C751">
        <v>6</v>
      </c>
      <c r="D751">
        <v>0.14099999999999999</v>
      </c>
      <c r="E751" t="s">
        <v>6</v>
      </c>
      <c r="F751">
        <v>0.15634999999999999</v>
      </c>
    </row>
    <row r="752" spans="1:6" x14ac:dyDescent="0.3">
      <c r="A752" t="s">
        <v>5</v>
      </c>
      <c r="B752" s="1">
        <v>45689</v>
      </c>
      <c r="C752">
        <v>7</v>
      </c>
      <c r="D752">
        <v>0.124</v>
      </c>
      <c r="E752" t="s">
        <v>6</v>
      </c>
      <c r="F752">
        <v>0.15283000000000002</v>
      </c>
    </row>
    <row r="753" spans="1:6" x14ac:dyDescent="0.3">
      <c r="A753" t="s">
        <v>5</v>
      </c>
      <c r="B753" s="1">
        <v>45689</v>
      </c>
      <c r="C753">
        <v>8</v>
      </c>
      <c r="D753">
        <v>0.13800000000000001</v>
      </c>
      <c r="E753" t="s">
        <v>6</v>
      </c>
      <c r="F753">
        <v>0.14387</v>
      </c>
    </row>
    <row r="754" spans="1:6" x14ac:dyDescent="0.3">
      <c r="A754" t="s">
        <v>5</v>
      </c>
      <c r="B754" s="1">
        <v>45689</v>
      </c>
      <c r="C754">
        <v>9</v>
      </c>
      <c r="D754">
        <v>0.13200000000000001</v>
      </c>
      <c r="E754" t="s">
        <v>6</v>
      </c>
      <c r="F754">
        <v>0.15494999999999998</v>
      </c>
    </row>
    <row r="755" spans="1:6" x14ac:dyDescent="0.3">
      <c r="A755" t="s">
        <v>5</v>
      </c>
      <c r="B755" s="1">
        <v>45689</v>
      </c>
      <c r="C755">
        <v>10</v>
      </c>
      <c r="D755">
        <v>0.123</v>
      </c>
      <c r="E755" t="s">
        <v>6</v>
      </c>
      <c r="F755">
        <v>0.15719</v>
      </c>
    </row>
    <row r="756" spans="1:6" x14ac:dyDescent="0.3">
      <c r="A756" t="s">
        <v>5</v>
      </c>
      <c r="B756" s="1">
        <v>45689</v>
      </c>
      <c r="C756">
        <v>11</v>
      </c>
      <c r="D756">
        <v>0.14599999999999999</v>
      </c>
      <c r="E756" t="s">
        <v>6</v>
      </c>
      <c r="F756">
        <v>9.9339999999999998E-2</v>
      </c>
    </row>
    <row r="757" spans="1:6" x14ac:dyDescent="0.3">
      <c r="A757" t="s">
        <v>5</v>
      </c>
      <c r="B757" s="1">
        <v>45689</v>
      </c>
      <c r="C757">
        <v>12</v>
      </c>
      <c r="D757">
        <v>0.126</v>
      </c>
      <c r="E757" t="s">
        <v>6</v>
      </c>
      <c r="F757">
        <v>3.8299999999999994E-2</v>
      </c>
    </row>
    <row r="758" spans="1:6" x14ac:dyDescent="0.3">
      <c r="A758" t="s">
        <v>5</v>
      </c>
      <c r="B758" s="1">
        <v>45689</v>
      </c>
      <c r="C758">
        <v>13</v>
      </c>
      <c r="D758">
        <v>0.127</v>
      </c>
      <c r="E758" t="s">
        <v>6</v>
      </c>
      <c r="F758">
        <v>2.06E-2</v>
      </c>
    </row>
    <row r="759" spans="1:6" x14ac:dyDescent="0.3">
      <c r="A759" t="s">
        <v>5</v>
      </c>
      <c r="B759" s="1">
        <v>45689</v>
      </c>
      <c r="C759">
        <v>14</v>
      </c>
      <c r="D759">
        <v>0.184</v>
      </c>
      <c r="E759" t="s">
        <v>6</v>
      </c>
      <c r="F759">
        <v>2.0730000000000002E-2</v>
      </c>
    </row>
    <row r="760" spans="1:6" x14ac:dyDescent="0.3">
      <c r="A760" t="s">
        <v>5</v>
      </c>
      <c r="B760" s="1">
        <v>45689</v>
      </c>
      <c r="C760">
        <v>15</v>
      </c>
      <c r="D760">
        <v>0.20200000000000001</v>
      </c>
      <c r="E760" t="s">
        <v>6</v>
      </c>
      <c r="F760">
        <v>2.0799999999999999E-2</v>
      </c>
    </row>
    <row r="761" spans="1:6" x14ac:dyDescent="0.3">
      <c r="A761" t="s">
        <v>5</v>
      </c>
      <c r="B761" s="1">
        <v>45689</v>
      </c>
      <c r="C761">
        <v>16</v>
      </c>
      <c r="D761">
        <v>0.127</v>
      </c>
      <c r="E761" t="s">
        <v>6</v>
      </c>
      <c r="F761">
        <v>2.2339999999999999E-2</v>
      </c>
    </row>
    <row r="762" spans="1:6" x14ac:dyDescent="0.3">
      <c r="A762" t="s">
        <v>5</v>
      </c>
      <c r="B762" s="1">
        <v>45689</v>
      </c>
      <c r="C762">
        <v>17</v>
      </c>
      <c r="D762">
        <v>0.14099999999999999</v>
      </c>
      <c r="E762" t="s">
        <v>6</v>
      </c>
      <c r="F762">
        <v>7.553E-2</v>
      </c>
    </row>
    <row r="763" spans="1:6" x14ac:dyDescent="0.3">
      <c r="A763" t="s">
        <v>5</v>
      </c>
      <c r="B763" s="1">
        <v>45689</v>
      </c>
      <c r="C763">
        <v>18</v>
      </c>
      <c r="D763">
        <v>0.129</v>
      </c>
      <c r="E763" t="s">
        <v>6</v>
      </c>
      <c r="F763">
        <v>0.14855000000000002</v>
      </c>
    </row>
    <row r="764" spans="1:6" x14ac:dyDescent="0.3">
      <c r="A764" t="s">
        <v>5</v>
      </c>
      <c r="B764" s="1">
        <v>45689</v>
      </c>
      <c r="C764">
        <v>19</v>
      </c>
      <c r="D764">
        <v>0.13400000000000001</v>
      </c>
      <c r="E764" t="s">
        <v>6</v>
      </c>
      <c r="F764">
        <v>0.18199000000000001</v>
      </c>
    </row>
    <row r="765" spans="1:6" x14ac:dyDescent="0.3">
      <c r="A765" t="s">
        <v>5</v>
      </c>
      <c r="B765" s="1">
        <v>45689</v>
      </c>
      <c r="C765">
        <v>20</v>
      </c>
      <c r="D765">
        <v>0.129</v>
      </c>
      <c r="E765" t="s">
        <v>6</v>
      </c>
      <c r="F765">
        <v>0.20508000000000001</v>
      </c>
    </row>
    <row r="766" spans="1:6" x14ac:dyDescent="0.3">
      <c r="A766" t="s">
        <v>5</v>
      </c>
      <c r="B766" s="1">
        <v>45689</v>
      </c>
      <c r="C766">
        <v>21</v>
      </c>
      <c r="D766">
        <v>0.13300000000000001</v>
      </c>
      <c r="E766" t="s">
        <v>6</v>
      </c>
      <c r="F766">
        <v>0.1978</v>
      </c>
    </row>
    <row r="767" spans="1:6" x14ac:dyDescent="0.3">
      <c r="A767" t="s">
        <v>5</v>
      </c>
      <c r="B767" s="1">
        <v>45689</v>
      </c>
      <c r="C767">
        <v>22</v>
      </c>
      <c r="D767">
        <v>0.13600000000000001</v>
      </c>
      <c r="E767" t="s">
        <v>6</v>
      </c>
      <c r="F767">
        <v>0.18697</v>
      </c>
    </row>
    <row r="768" spans="1:6" x14ac:dyDescent="0.3">
      <c r="A768" t="s">
        <v>5</v>
      </c>
      <c r="B768" s="1">
        <v>45689</v>
      </c>
      <c r="C768">
        <v>23</v>
      </c>
      <c r="D768">
        <v>0.122</v>
      </c>
      <c r="E768" t="s">
        <v>6</v>
      </c>
      <c r="F768">
        <v>0.18962000000000001</v>
      </c>
    </row>
    <row r="769" spans="1:6" x14ac:dyDescent="0.3">
      <c r="A769" t="s">
        <v>5</v>
      </c>
      <c r="B769" s="1">
        <v>45689</v>
      </c>
      <c r="C769">
        <v>24</v>
      </c>
      <c r="D769">
        <v>0.13700000000000001</v>
      </c>
      <c r="E769" t="s">
        <v>6</v>
      </c>
      <c r="F769">
        <v>0.18252000000000002</v>
      </c>
    </row>
    <row r="770" spans="1:6" x14ac:dyDescent="0.3">
      <c r="A770" t="s">
        <v>5</v>
      </c>
      <c r="B770" s="1">
        <v>45690</v>
      </c>
      <c r="C770">
        <v>1</v>
      </c>
      <c r="D770">
        <v>0.13300000000000001</v>
      </c>
      <c r="E770" t="s">
        <v>6</v>
      </c>
      <c r="F770">
        <v>0.17115</v>
      </c>
    </row>
    <row r="771" spans="1:6" x14ac:dyDescent="0.3">
      <c r="A771" t="s">
        <v>5</v>
      </c>
      <c r="B771" s="1">
        <v>45690</v>
      </c>
      <c r="C771">
        <v>2</v>
      </c>
      <c r="D771">
        <v>0.13800000000000001</v>
      </c>
      <c r="E771" t="s">
        <v>6</v>
      </c>
      <c r="F771">
        <v>0.16669</v>
      </c>
    </row>
    <row r="772" spans="1:6" x14ac:dyDescent="0.3">
      <c r="A772" t="s">
        <v>5</v>
      </c>
      <c r="B772" s="1">
        <v>45690</v>
      </c>
      <c r="C772">
        <v>3</v>
      </c>
      <c r="D772">
        <v>0.121</v>
      </c>
      <c r="E772" t="s">
        <v>6</v>
      </c>
      <c r="F772">
        <v>0.15812000000000001</v>
      </c>
    </row>
    <row r="773" spans="1:6" x14ac:dyDescent="0.3">
      <c r="A773" t="s">
        <v>5</v>
      </c>
      <c r="B773" s="1">
        <v>45690</v>
      </c>
      <c r="C773">
        <v>4</v>
      </c>
      <c r="D773">
        <v>0.13800000000000001</v>
      </c>
      <c r="E773" t="s">
        <v>6</v>
      </c>
      <c r="F773">
        <v>0.156</v>
      </c>
    </row>
    <row r="774" spans="1:6" x14ac:dyDescent="0.3">
      <c r="A774" t="s">
        <v>5</v>
      </c>
      <c r="B774" s="1">
        <v>45690</v>
      </c>
      <c r="C774">
        <v>5</v>
      </c>
      <c r="D774">
        <v>0.13100000000000001</v>
      </c>
      <c r="E774" t="s">
        <v>6</v>
      </c>
      <c r="F774">
        <v>0.15015000000000001</v>
      </c>
    </row>
    <row r="775" spans="1:6" x14ac:dyDescent="0.3">
      <c r="A775" t="s">
        <v>5</v>
      </c>
      <c r="B775" s="1">
        <v>45690</v>
      </c>
      <c r="C775">
        <v>6</v>
      </c>
      <c r="D775">
        <v>0.14099999999999999</v>
      </c>
      <c r="E775" t="s">
        <v>6</v>
      </c>
      <c r="F775">
        <v>0.15971000000000002</v>
      </c>
    </row>
    <row r="776" spans="1:6" x14ac:dyDescent="0.3">
      <c r="A776" t="s">
        <v>5</v>
      </c>
      <c r="B776" s="1">
        <v>45690</v>
      </c>
      <c r="C776">
        <v>7</v>
      </c>
      <c r="D776">
        <v>0.11899999999999999</v>
      </c>
      <c r="E776" t="s">
        <v>6</v>
      </c>
      <c r="F776">
        <v>0.15450999999999998</v>
      </c>
    </row>
    <row r="777" spans="1:6" x14ac:dyDescent="0.3">
      <c r="A777" t="s">
        <v>5</v>
      </c>
      <c r="B777" s="1">
        <v>45690</v>
      </c>
      <c r="C777">
        <v>8</v>
      </c>
      <c r="D777">
        <v>0.14099999999999999</v>
      </c>
      <c r="E777" t="s">
        <v>6</v>
      </c>
      <c r="F777">
        <v>0.15878</v>
      </c>
    </row>
    <row r="778" spans="1:6" x14ac:dyDescent="0.3">
      <c r="A778" t="s">
        <v>5</v>
      </c>
      <c r="B778" s="1">
        <v>45690</v>
      </c>
      <c r="C778">
        <v>9</v>
      </c>
      <c r="D778">
        <v>0.126</v>
      </c>
      <c r="E778" t="s">
        <v>6</v>
      </c>
      <c r="F778">
        <v>0.16856000000000002</v>
      </c>
    </row>
    <row r="779" spans="1:6" x14ac:dyDescent="0.3">
      <c r="A779" t="s">
        <v>5</v>
      </c>
      <c r="B779" s="1">
        <v>45690</v>
      </c>
      <c r="C779">
        <v>10</v>
      </c>
      <c r="D779">
        <v>0.14299999999999999</v>
      </c>
      <c r="E779" t="s">
        <v>6</v>
      </c>
      <c r="F779">
        <v>0.18868000000000001</v>
      </c>
    </row>
    <row r="780" spans="1:6" x14ac:dyDescent="0.3">
      <c r="A780" t="s">
        <v>5</v>
      </c>
      <c r="B780" s="1">
        <v>45690</v>
      </c>
      <c r="C780">
        <v>11</v>
      </c>
      <c r="D780">
        <v>0.115</v>
      </c>
      <c r="E780" t="s">
        <v>6</v>
      </c>
      <c r="F780">
        <v>0.15856999999999999</v>
      </c>
    </row>
    <row r="781" spans="1:6" x14ac:dyDescent="0.3">
      <c r="A781" t="s">
        <v>5</v>
      </c>
      <c r="B781" s="1">
        <v>45690</v>
      </c>
      <c r="C781">
        <v>12</v>
      </c>
      <c r="D781">
        <v>0.14099999999999999</v>
      </c>
      <c r="E781" t="s">
        <v>6</v>
      </c>
      <c r="F781">
        <v>0.13328000000000001</v>
      </c>
    </row>
    <row r="782" spans="1:6" x14ac:dyDescent="0.3">
      <c r="A782" t="s">
        <v>5</v>
      </c>
      <c r="B782" s="1">
        <v>45690</v>
      </c>
      <c r="C782">
        <v>13</v>
      </c>
      <c r="D782">
        <v>0.127</v>
      </c>
      <c r="E782" t="s">
        <v>6</v>
      </c>
      <c r="F782">
        <v>0.11467000000000001</v>
      </c>
    </row>
    <row r="783" spans="1:6" x14ac:dyDescent="0.3">
      <c r="A783" t="s">
        <v>5</v>
      </c>
      <c r="B783" s="1">
        <v>45690</v>
      </c>
      <c r="C783">
        <v>14</v>
      </c>
      <c r="D783">
        <v>0.14000000000000001</v>
      </c>
      <c r="E783" t="s">
        <v>6</v>
      </c>
      <c r="F783">
        <v>0.12311</v>
      </c>
    </row>
    <row r="784" spans="1:6" x14ac:dyDescent="0.3">
      <c r="A784" t="s">
        <v>5</v>
      </c>
      <c r="B784" s="1">
        <v>45690</v>
      </c>
      <c r="C784">
        <v>15</v>
      </c>
      <c r="D784">
        <v>0.113</v>
      </c>
      <c r="E784" t="s">
        <v>6</v>
      </c>
      <c r="F784">
        <v>0.12383</v>
      </c>
    </row>
    <row r="785" spans="1:6" x14ac:dyDescent="0.3">
      <c r="A785" t="s">
        <v>5</v>
      </c>
      <c r="B785" s="1">
        <v>45690</v>
      </c>
      <c r="C785">
        <v>16</v>
      </c>
      <c r="D785">
        <v>0.14299999999999999</v>
      </c>
      <c r="E785" t="s">
        <v>6</v>
      </c>
      <c r="F785">
        <v>0.13097</v>
      </c>
    </row>
    <row r="786" spans="1:6" x14ac:dyDescent="0.3">
      <c r="A786" t="s">
        <v>5</v>
      </c>
      <c r="B786" s="1">
        <v>45690</v>
      </c>
      <c r="C786">
        <v>17</v>
      </c>
      <c r="D786">
        <v>0.129</v>
      </c>
      <c r="E786" t="s">
        <v>6</v>
      </c>
      <c r="F786">
        <v>0.14607000000000001</v>
      </c>
    </row>
    <row r="787" spans="1:6" x14ac:dyDescent="0.3">
      <c r="A787" t="s">
        <v>5</v>
      </c>
      <c r="B787" s="1">
        <v>45690</v>
      </c>
      <c r="C787">
        <v>18</v>
      </c>
      <c r="D787">
        <v>0.13700000000000001</v>
      </c>
      <c r="E787" t="s">
        <v>6</v>
      </c>
      <c r="F787">
        <v>0.17254</v>
      </c>
    </row>
    <row r="788" spans="1:6" x14ac:dyDescent="0.3">
      <c r="A788" t="s">
        <v>5</v>
      </c>
      <c r="B788" s="1">
        <v>45690</v>
      </c>
      <c r="C788">
        <v>19</v>
      </c>
      <c r="D788">
        <v>0.12</v>
      </c>
      <c r="E788" t="s">
        <v>6</v>
      </c>
      <c r="F788">
        <v>0.19813999999999998</v>
      </c>
    </row>
    <row r="789" spans="1:6" x14ac:dyDescent="0.3">
      <c r="A789" t="s">
        <v>5</v>
      </c>
      <c r="B789" s="1">
        <v>45690</v>
      </c>
      <c r="C789">
        <v>20</v>
      </c>
      <c r="D789">
        <v>0.14099999999999999</v>
      </c>
      <c r="E789" t="s">
        <v>6</v>
      </c>
      <c r="F789">
        <v>0.20863999999999999</v>
      </c>
    </row>
    <row r="790" spans="1:6" x14ac:dyDescent="0.3">
      <c r="A790" t="s">
        <v>5</v>
      </c>
      <c r="B790" s="1">
        <v>45690</v>
      </c>
      <c r="C790">
        <v>21</v>
      </c>
      <c r="D790">
        <v>0.13</v>
      </c>
      <c r="E790" t="s">
        <v>6</v>
      </c>
      <c r="F790">
        <v>0.19853000000000001</v>
      </c>
    </row>
    <row r="791" spans="1:6" x14ac:dyDescent="0.3">
      <c r="A791" t="s">
        <v>5</v>
      </c>
      <c r="B791" s="1">
        <v>45690</v>
      </c>
      <c r="C791">
        <v>22</v>
      </c>
      <c r="D791">
        <v>0.13300000000000001</v>
      </c>
      <c r="E791" t="s">
        <v>6</v>
      </c>
      <c r="F791">
        <v>0.18906999999999999</v>
      </c>
    </row>
    <row r="792" spans="1:6" x14ac:dyDescent="0.3">
      <c r="A792" t="s">
        <v>5</v>
      </c>
      <c r="B792" s="1">
        <v>45690</v>
      </c>
      <c r="C792">
        <v>23</v>
      </c>
      <c r="D792">
        <v>0.125</v>
      </c>
      <c r="E792" t="s">
        <v>6</v>
      </c>
      <c r="F792">
        <v>0.18499000000000002</v>
      </c>
    </row>
    <row r="793" spans="1:6" x14ac:dyDescent="0.3">
      <c r="A793" t="s">
        <v>5</v>
      </c>
      <c r="B793" s="1">
        <v>45690</v>
      </c>
      <c r="C793">
        <v>24</v>
      </c>
      <c r="D793">
        <v>0.20799999999999999</v>
      </c>
      <c r="E793" t="s">
        <v>6</v>
      </c>
      <c r="F793">
        <v>0.16944000000000001</v>
      </c>
    </row>
    <row r="794" spans="1:6" x14ac:dyDescent="0.3">
      <c r="A794" t="s">
        <v>5</v>
      </c>
      <c r="B794" s="1">
        <v>45691</v>
      </c>
      <c r="C794">
        <v>1</v>
      </c>
      <c r="D794">
        <v>0.45900000000000002</v>
      </c>
      <c r="E794" t="s">
        <v>6</v>
      </c>
      <c r="F794">
        <v>0.15093999999999999</v>
      </c>
    </row>
    <row r="795" spans="1:6" x14ac:dyDescent="0.3">
      <c r="A795" t="s">
        <v>5</v>
      </c>
      <c r="B795" s="1">
        <v>45691</v>
      </c>
      <c r="C795">
        <v>2</v>
      </c>
      <c r="D795">
        <v>0.499</v>
      </c>
      <c r="E795" t="s">
        <v>6</v>
      </c>
      <c r="F795">
        <v>0.13597999999999999</v>
      </c>
    </row>
    <row r="796" spans="1:6" x14ac:dyDescent="0.3">
      <c r="A796" t="s">
        <v>5</v>
      </c>
      <c r="B796" s="1">
        <v>45691</v>
      </c>
      <c r="C796">
        <v>3</v>
      </c>
      <c r="D796">
        <v>0.17699999999999999</v>
      </c>
      <c r="E796" t="s">
        <v>6</v>
      </c>
      <c r="F796">
        <v>0.13755000000000001</v>
      </c>
    </row>
    <row r="797" spans="1:6" x14ac:dyDescent="0.3">
      <c r="A797" t="s">
        <v>5</v>
      </c>
      <c r="B797" s="1">
        <v>45691</v>
      </c>
      <c r="C797">
        <v>4</v>
      </c>
      <c r="D797">
        <v>0.155</v>
      </c>
      <c r="E797" t="s">
        <v>6</v>
      </c>
      <c r="F797">
        <v>0.13961000000000001</v>
      </c>
    </row>
    <row r="798" spans="1:6" x14ac:dyDescent="0.3">
      <c r="A798" t="s">
        <v>5</v>
      </c>
      <c r="B798" s="1">
        <v>45691</v>
      </c>
      <c r="C798">
        <v>5</v>
      </c>
      <c r="D798">
        <v>0.13200000000000001</v>
      </c>
      <c r="E798" t="s">
        <v>6</v>
      </c>
      <c r="F798">
        <v>0.13891999999999999</v>
      </c>
    </row>
    <row r="799" spans="1:6" x14ac:dyDescent="0.3">
      <c r="A799" t="s">
        <v>5</v>
      </c>
      <c r="B799" s="1">
        <v>45691</v>
      </c>
      <c r="C799">
        <v>6</v>
      </c>
      <c r="D799">
        <v>0.13800000000000001</v>
      </c>
      <c r="E799" t="s">
        <v>6</v>
      </c>
      <c r="F799">
        <v>0.14166000000000001</v>
      </c>
    </row>
    <row r="800" spans="1:6" x14ac:dyDescent="0.3">
      <c r="A800" t="s">
        <v>5</v>
      </c>
      <c r="B800" s="1">
        <v>45691</v>
      </c>
      <c r="C800">
        <v>7</v>
      </c>
      <c r="D800">
        <v>0.152</v>
      </c>
      <c r="E800" t="s">
        <v>6</v>
      </c>
      <c r="F800">
        <v>0.13391999999999998</v>
      </c>
    </row>
    <row r="801" spans="1:6" x14ac:dyDescent="0.3">
      <c r="A801" t="s">
        <v>5</v>
      </c>
      <c r="B801" s="1">
        <v>45691</v>
      </c>
      <c r="C801">
        <v>8</v>
      </c>
      <c r="D801">
        <v>0.182</v>
      </c>
      <c r="E801" t="s">
        <v>6</v>
      </c>
      <c r="F801">
        <v>0.17265</v>
      </c>
    </row>
    <row r="802" spans="1:6" x14ac:dyDescent="0.3">
      <c r="A802" t="s">
        <v>5</v>
      </c>
      <c r="B802" s="1">
        <v>45691</v>
      </c>
      <c r="C802">
        <v>9</v>
      </c>
      <c r="D802">
        <v>0.13200000000000001</v>
      </c>
      <c r="E802" t="s">
        <v>6</v>
      </c>
      <c r="F802">
        <v>0.21918000000000001</v>
      </c>
    </row>
    <row r="803" spans="1:6" x14ac:dyDescent="0.3">
      <c r="A803" t="s">
        <v>5</v>
      </c>
      <c r="B803" s="1">
        <v>45691</v>
      </c>
      <c r="C803">
        <v>10</v>
      </c>
      <c r="D803">
        <v>0.14899999999999999</v>
      </c>
      <c r="E803" t="s">
        <v>6</v>
      </c>
      <c r="F803">
        <v>0.20374</v>
      </c>
    </row>
    <row r="804" spans="1:6" x14ac:dyDescent="0.3">
      <c r="A804" t="s">
        <v>5</v>
      </c>
      <c r="B804" s="1">
        <v>45691</v>
      </c>
      <c r="C804">
        <v>11</v>
      </c>
      <c r="D804">
        <v>0.13900000000000001</v>
      </c>
      <c r="E804" t="s">
        <v>6</v>
      </c>
      <c r="F804">
        <v>0.21913999999999997</v>
      </c>
    </row>
    <row r="805" spans="1:6" x14ac:dyDescent="0.3">
      <c r="A805" t="s">
        <v>5</v>
      </c>
      <c r="B805" s="1">
        <v>45691</v>
      </c>
      <c r="C805">
        <v>12</v>
      </c>
      <c r="D805">
        <v>0.128</v>
      </c>
      <c r="E805" t="s">
        <v>6</v>
      </c>
      <c r="F805">
        <v>0.21046000000000001</v>
      </c>
    </row>
    <row r="806" spans="1:6" x14ac:dyDescent="0.3">
      <c r="A806" t="s">
        <v>5</v>
      </c>
      <c r="B806" s="1">
        <v>45691</v>
      </c>
      <c r="C806">
        <v>13</v>
      </c>
      <c r="D806">
        <v>0.183</v>
      </c>
      <c r="E806" t="s">
        <v>6</v>
      </c>
      <c r="F806">
        <v>0.21051</v>
      </c>
    </row>
    <row r="807" spans="1:6" x14ac:dyDescent="0.3">
      <c r="A807" t="s">
        <v>5</v>
      </c>
      <c r="B807" s="1">
        <v>45691</v>
      </c>
      <c r="C807">
        <v>14</v>
      </c>
      <c r="D807">
        <v>0.35699999999999998</v>
      </c>
      <c r="E807" t="s">
        <v>6</v>
      </c>
      <c r="F807">
        <v>0.20818</v>
      </c>
    </row>
    <row r="808" spans="1:6" x14ac:dyDescent="0.3">
      <c r="A808" t="s">
        <v>5</v>
      </c>
      <c r="B808" s="1">
        <v>45691</v>
      </c>
      <c r="C808">
        <v>15</v>
      </c>
      <c r="D808">
        <v>0.316</v>
      </c>
      <c r="E808" t="s">
        <v>6</v>
      </c>
      <c r="F808">
        <v>0.14318999999999998</v>
      </c>
    </row>
    <row r="809" spans="1:6" x14ac:dyDescent="0.3">
      <c r="A809" t="s">
        <v>5</v>
      </c>
      <c r="B809" s="1">
        <v>45691</v>
      </c>
      <c r="C809">
        <v>16</v>
      </c>
      <c r="D809">
        <v>0.20499999999999999</v>
      </c>
      <c r="E809" t="s">
        <v>6</v>
      </c>
      <c r="F809">
        <v>0.15719999999999998</v>
      </c>
    </row>
    <row r="810" spans="1:6" x14ac:dyDescent="0.3">
      <c r="A810" t="s">
        <v>5</v>
      </c>
      <c r="B810" s="1">
        <v>45691</v>
      </c>
      <c r="C810">
        <v>17</v>
      </c>
      <c r="D810">
        <v>0.193</v>
      </c>
      <c r="E810" t="s">
        <v>6</v>
      </c>
      <c r="F810">
        <v>0.16752</v>
      </c>
    </row>
    <row r="811" spans="1:6" x14ac:dyDescent="0.3">
      <c r="A811" t="s">
        <v>5</v>
      </c>
      <c r="B811" s="1">
        <v>45691</v>
      </c>
      <c r="C811">
        <v>18</v>
      </c>
      <c r="D811">
        <v>0.16700000000000001</v>
      </c>
      <c r="E811" t="s">
        <v>6</v>
      </c>
      <c r="F811">
        <v>0.19059999999999999</v>
      </c>
    </row>
    <row r="812" spans="1:6" x14ac:dyDescent="0.3">
      <c r="A812" t="s">
        <v>5</v>
      </c>
      <c r="B812" s="1">
        <v>45691</v>
      </c>
      <c r="C812">
        <v>19</v>
      </c>
      <c r="D812">
        <v>0.16600000000000001</v>
      </c>
      <c r="E812" t="s">
        <v>6</v>
      </c>
      <c r="F812">
        <v>0.32625999999999999</v>
      </c>
    </row>
    <row r="813" spans="1:6" x14ac:dyDescent="0.3">
      <c r="A813" t="s">
        <v>5</v>
      </c>
      <c r="B813" s="1">
        <v>45691</v>
      </c>
      <c r="C813">
        <v>20</v>
      </c>
      <c r="D813">
        <v>0.255</v>
      </c>
      <c r="E813" t="s">
        <v>6</v>
      </c>
      <c r="F813">
        <v>0.32697000000000004</v>
      </c>
    </row>
    <row r="814" spans="1:6" x14ac:dyDescent="0.3">
      <c r="A814" t="s">
        <v>5</v>
      </c>
      <c r="B814" s="1">
        <v>45691</v>
      </c>
      <c r="C814">
        <v>21</v>
      </c>
      <c r="D814">
        <v>0.51300000000000001</v>
      </c>
      <c r="E814" t="s">
        <v>6</v>
      </c>
      <c r="F814">
        <v>0.36069999999999997</v>
      </c>
    </row>
    <row r="815" spans="1:6" x14ac:dyDescent="0.3">
      <c r="A815" t="s">
        <v>5</v>
      </c>
      <c r="B815" s="1">
        <v>45691</v>
      </c>
      <c r="C815">
        <v>22</v>
      </c>
      <c r="D815">
        <v>0.76</v>
      </c>
      <c r="E815" t="s">
        <v>6</v>
      </c>
      <c r="F815">
        <v>0.31114999999999998</v>
      </c>
    </row>
    <row r="816" spans="1:6" x14ac:dyDescent="0.3">
      <c r="A816" t="s">
        <v>5</v>
      </c>
      <c r="B816" s="1">
        <v>45691</v>
      </c>
      <c r="C816">
        <v>23</v>
      </c>
      <c r="D816">
        <v>0.78600000000000003</v>
      </c>
      <c r="E816" t="s">
        <v>6</v>
      </c>
      <c r="F816">
        <v>0.20294000000000001</v>
      </c>
    </row>
    <row r="817" spans="1:6" x14ac:dyDescent="0.3">
      <c r="A817" t="s">
        <v>5</v>
      </c>
      <c r="B817" s="1">
        <v>45691</v>
      </c>
      <c r="C817">
        <v>24</v>
      </c>
      <c r="D817">
        <v>0.23300000000000001</v>
      </c>
      <c r="E817" t="s">
        <v>6</v>
      </c>
      <c r="F817">
        <v>0.18643000000000001</v>
      </c>
    </row>
    <row r="818" spans="1:6" x14ac:dyDescent="0.3">
      <c r="A818" t="s">
        <v>5</v>
      </c>
      <c r="B818" s="1">
        <v>45692</v>
      </c>
      <c r="C818">
        <v>1</v>
      </c>
      <c r="D818">
        <v>8.3000000000000004E-2</v>
      </c>
      <c r="E818" t="s">
        <v>6</v>
      </c>
      <c r="F818">
        <v>0.15737000000000001</v>
      </c>
    </row>
    <row r="819" spans="1:6" x14ac:dyDescent="0.3">
      <c r="A819" t="s">
        <v>5</v>
      </c>
      <c r="B819" s="1">
        <v>45692</v>
      </c>
      <c r="C819">
        <v>2</v>
      </c>
      <c r="D819">
        <v>0.13800000000000001</v>
      </c>
      <c r="E819" t="s">
        <v>6</v>
      </c>
      <c r="F819">
        <v>0.15108000000000002</v>
      </c>
    </row>
    <row r="820" spans="1:6" x14ac:dyDescent="0.3">
      <c r="A820" t="s">
        <v>5</v>
      </c>
      <c r="B820" s="1">
        <v>45692</v>
      </c>
      <c r="C820">
        <v>3</v>
      </c>
      <c r="D820">
        <v>0.14199999999999999</v>
      </c>
      <c r="E820" t="s">
        <v>6</v>
      </c>
      <c r="F820">
        <v>0.15086000000000002</v>
      </c>
    </row>
    <row r="821" spans="1:6" x14ac:dyDescent="0.3">
      <c r="A821" t="s">
        <v>5</v>
      </c>
      <c r="B821" s="1">
        <v>45692</v>
      </c>
      <c r="C821">
        <v>4</v>
      </c>
      <c r="D821">
        <v>0.13900000000000001</v>
      </c>
      <c r="E821" t="s">
        <v>6</v>
      </c>
      <c r="F821">
        <v>0.14896000000000001</v>
      </c>
    </row>
    <row r="822" spans="1:6" x14ac:dyDescent="0.3">
      <c r="A822" t="s">
        <v>5</v>
      </c>
      <c r="B822" s="1">
        <v>45692</v>
      </c>
      <c r="C822">
        <v>5</v>
      </c>
      <c r="D822">
        <v>0.23899999999999999</v>
      </c>
      <c r="E822" t="s">
        <v>6</v>
      </c>
      <c r="F822">
        <v>0.14815999999999999</v>
      </c>
    </row>
    <row r="823" spans="1:6" x14ac:dyDescent="0.3">
      <c r="A823" t="s">
        <v>5</v>
      </c>
      <c r="B823" s="1">
        <v>45692</v>
      </c>
      <c r="C823">
        <v>6</v>
      </c>
      <c r="D823">
        <v>0.16300000000000001</v>
      </c>
      <c r="E823" t="s">
        <v>6</v>
      </c>
      <c r="F823">
        <v>0.15143000000000001</v>
      </c>
    </row>
    <row r="824" spans="1:6" x14ac:dyDescent="0.3">
      <c r="A824" t="s">
        <v>5</v>
      </c>
      <c r="B824" s="1">
        <v>45692</v>
      </c>
      <c r="C824">
        <v>7</v>
      </c>
      <c r="D824">
        <v>0.121</v>
      </c>
      <c r="E824" t="s">
        <v>6</v>
      </c>
      <c r="F824">
        <v>0.16988999999999999</v>
      </c>
    </row>
    <row r="825" spans="1:6" x14ac:dyDescent="0.3">
      <c r="A825" t="s">
        <v>5</v>
      </c>
      <c r="B825" s="1">
        <v>45692</v>
      </c>
      <c r="C825">
        <v>8</v>
      </c>
      <c r="D825">
        <v>0.14599999999999999</v>
      </c>
      <c r="E825" t="s">
        <v>6</v>
      </c>
      <c r="F825">
        <v>0.21649000000000002</v>
      </c>
    </row>
    <row r="826" spans="1:6" x14ac:dyDescent="0.3">
      <c r="A826" t="s">
        <v>5</v>
      </c>
      <c r="B826" s="1">
        <v>45692</v>
      </c>
      <c r="C826">
        <v>9</v>
      </c>
      <c r="D826">
        <v>0.123</v>
      </c>
      <c r="E826" t="s">
        <v>6</v>
      </c>
      <c r="F826">
        <v>0.27029999999999998</v>
      </c>
    </row>
    <row r="827" spans="1:6" x14ac:dyDescent="0.3">
      <c r="A827" t="s">
        <v>5</v>
      </c>
      <c r="B827" s="1">
        <v>45692</v>
      </c>
      <c r="C827">
        <v>10</v>
      </c>
      <c r="D827">
        <v>0.34300000000000003</v>
      </c>
      <c r="E827" t="s">
        <v>6</v>
      </c>
      <c r="F827">
        <v>0.20967</v>
      </c>
    </row>
    <row r="828" spans="1:6" x14ac:dyDescent="0.3">
      <c r="A828" t="s">
        <v>5</v>
      </c>
      <c r="B828" s="1">
        <v>45692</v>
      </c>
      <c r="C828">
        <v>11</v>
      </c>
      <c r="D828">
        <v>0.437</v>
      </c>
      <c r="E828" t="s">
        <v>6</v>
      </c>
      <c r="F828">
        <v>0.24127000000000001</v>
      </c>
    </row>
    <row r="829" spans="1:6" x14ac:dyDescent="0.3">
      <c r="A829" t="s">
        <v>5</v>
      </c>
      <c r="B829" s="1">
        <v>45692</v>
      </c>
      <c r="C829">
        <v>12</v>
      </c>
      <c r="D829">
        <v>0.19700000000000001</v>
      </c>
      <c r="E829" t="s">
        <v>6</v>
      </c>
      <c r="F829">
        <v>0.21750999999999998</v>
      </c>
    </row>
    <row r="830" spans="1:6" x14ac:dyDescent="0.3">
      <c r="A830" t="s">
        <v>5</v>
      </c>
      <c r="B830" s="1">
        <v>45692</v>
      </c>
      <c r="C830">
        <v>13</v>
      </c>
      <c r="D830">
        <v>0.161</v>
      </c>
      <c r="E830" t="s">
        <v>6</v>
      </c>
      <c r="F830">
        <v>0.20462</v>
      </c>
    </row>
    <row r="831" spans="1:6" x14ac:dyDescent="0.3">
      <c r="A831" t="s">
        <v>5</v>
      </c>
      <c r="B831" s="1">
        <v>45692</v>
      </c>
      <c r="C831">
        <v>14</v>
      </c>
      <c r="D831">
        <v>0.124</v>
      </c>
      <c r="E831" t="s">
        <v>6</v>
      </c>
      <c r="F831">
        <v>0.20066000000000001</v>
      </c>
    </row>
    <row r="832" spans="1:6" x14ac:dyDescent="0.3">
      <c r="A832" t="s">
        <v>5</v>
      </c>
      <c r="B832" s="1">
        <v>45692</v>
      </c>
      <c r="C832">
        <v>15</v>
      </c>
      <c r="D832">
        <v>0.14000000000000001</v>
      </c>
      <c r="E832" t="s">
        <v>6</v>
      </c>
      <c r="F832">
        <v>0.13313999999999998</v>
      </c>
    </row>
    <row r="833" spans="1:6" x14ac:dyDescent="0.3">
      <c r="A833" t="s">
        <v>5</v>
      </c>
      <c r="B833" s="1">
        <v>45692</v>
      </c>
      <c r="C833">
        <v>16</v>
      </c>
      <c r="D833">
        <v>0.19400000000000001</v>
      </c>
      <c r="E833" t="s">
        <v>6</v>
      </c>
      <c r="F833">
        <v>0.13578999999999999</v>
      </c>
    </row>
    <row r="834" spans="1:6" x14ac:dyDescent="0.3">
      <c r="A834" t="s">
        <v>5</v>
      </c>
      <c r="B834" s="1">
        <v>45692</v>
      </c>
      <c r="C834">
        <v>17</v>
      </c>
      <c r="D834">
        <v>0.216</v>
      </c>
      <c r="E834" t="s">
        <v>6</v>
      </c>
      <c r="F834">
        <v>0.14416999999999999</v>
      </c>
    </row>
    <row r="835" spans="1:6" x14ac:dyDescent="0.3">
      <c r="A835" t="s">
        <v>5</v>
      </c>
      <c r="B835" s="1">
        <v>45692</v>
      </c>
      <c r="C835">
        <v>18</v>
      </c>
      <c r="D835">
        <v>0.22500000000000001</v>
      </c>
      <c r="E835" t="s">
        <v>6</v>
      </c>
      <c r="F835">
        <v>0.17387</v>
      </c>
    </row>
    <row r="836" spans="1:6" x14ac:dyDescent="0.3">
      <c r="A836" t="s">
        <v>5</v>
      </c>
      <c r="B836" s="1">
        <v>45692</v>
      </c>
      <c r="C836">
        <v>19</v>
      </c>
      <c r="D836">
        <v>0.217</v>
      </c>
      <c r="E836" t="s">
        <v>6</v>
      </c>
      <c r="F836">
        <v>0.29020000000000001</v>
      </c>
    </row>
    <row r="837" spans="1:6" x14ac:dyDescent="0.3">
      <c r="A837" t="s">
        <v>5</v>
      </c>
      <c r="B837" s="1">
        <v>45692</v>
      </c>
      <c r="C837">
        <v>20</v>
      </c>
      <c r="D837">
        <v>0.82099999999999995</v>
      </c>
      <c r="E837" t="s">
        <v>6</v>
      </c>
      <c r="F837">
        <v>0.34202999999999995</v>
      </c>
    </row>
    <row r="838" spans="1:6" x14ac:dyDescent="0.3">
      <c r="A838" t="s">
        <v>5</v>
      </c>
      <c r="B838" s="1">
        <v>45692</v>
      </c>
      <c r="C838">
        <v>21</v>
      </c>
      <c r="D838">
        <v>1.1879999999999999</v>
      </c>
      <c r="E838" t="s">
        <v>6</v>
      </c>
      <c r="F838">
        <v>0.37235000000000001</v>
      </c>
    </row>
    <row r="839" spans="1:6" x14ac:dyDescent="0.3">
      <c r="A839" t="s">
        <v>5</v>
      </c>
      <c r="B839" s="1">
        <v>45692</v>
      </c>
      <c r="C839">
        <v>22</v>
      </c>
      <c r="D839">
        <v>0.73299999999999998</v>
      </c>
      <c r="E839" t="s">
        <v>6</v>
      </c>
      <c r="F839">
        <v>0.27873000000000003</v>
      </c>
    </row>
    <row r="840" spans="1:6" x14ac:dyDescent="0.3">
      <c r="A840" t="s">
        <v>5</v>
      </c>
      <c r="B840" s="1">
        <v>45692</v>
      </c>
      <c r="C840">
        <v>23</v>
      </c>
      <c r="D840">
        <v>0.317</v>
      </c>
      <c r="E840" t="s">
        <v>6</v>
      </c>
      <c r="F840">
        <v>0.19178000000000001</v>
      </c>
    </row>
    <row r="841" spans="1:6" x14ac:dyDescent="0.3">
      <c r="A841" t="s">
        <v>5</v>
      </c>
      <c r="B841" s="1">
        <v>45692</v>
      </c>
      <c r="C841">
        <v>24</v>
      </c>
      <c r="D841">
        <v>0.34100000000000003</v>
      </c>
      <c r="E841" t="s">
        <v>6</v>
      </c>
      <c r="F841">
        <v>0.18725999999999998</v>
      </c>
    </row>
    <row r="842" spans="1:6" x14ac:dyDescent="0.3">
      <c r="A842" t="s">
        <v>5</v>
      </c>
      <c r="B842" s="1">
        <v>45693</v>
      </c>
      <c r="C842">
        <v>1</v>
      </c>
      <c r="D842">
        <v>0.66900000000000004</v>
      </c>
      <c r="E842" t="s">
        <v>6</v>
      </c>
      <c r="F842">
        <v>0.16447000000000001</v>
      </c>
    </row>
    <row r="843" spans="1:6" x14ac:dyDescent="0.3">
      <c r="A843" t="s">
        <v>5</v>
      </c>
      <c r="B843" s="1">
        <v>45693</v>
      </c>
      <c r="C843">
        <v>2</v>
      </c>
      <c r="D843">
        <v>0.72499999999999998</v>
      </c>
      <c r="E843" t="s">
        <v>6</v>
      </c>
      <c r="F843">
        <v>0.15653999999999998</v>
      </c>
    </row>
    <row r="844" spans="1:6" x14ac:dyDescent="0.3">
      <c r="A844" t="s">
        <v>5</v>
      </c>
      <c r="B844" s="1">
        <v>45693</v>
      </c>
      <c r="C844">
        <v>3</v>
      </c>
      <c r="D844">
        <v>0.78400000000000003</v>
      </c>
      <c r="E844" t="s">
        <v>6</v>
      </c>
      <c r="F844">
        <v>0.15559999999999999</v>
      </c>
    </row>
    <row r="845" spans="1:6" x14ac:dyDescent="0.3">
      <c r="A845" t="s">
        <v>5</v>
      </c>
      <c r="B845" s="1">
        <v>45693</v>
      </c>
      <c r="C845">
        <v>4</v>
      </c>
      <c r="D845">
        <v>0.13600000000000001</v>
      </c>
      <c r="E845" t="s">
        <v>6</v>
      </c>
      <c r="F845">
        <v>0.15453999999999998</v>
      </c>
    </row>
    <row r="846" spans="1:6" x14ac:dyDescent="0.3">
      <c r="A846" t="s">
        <v>5</v>
      </c>
      <c r="B846" s="1">
        <v>45693</v>
      </c>
      <c r="C846">
        <v>5</v>
      </c>
      <c r="D846">
        <v>0.13900000000000001</v>
      </c>
      <c r="E846" t="s">
        <v>6</v>
      </c>
      <c r="F846">
        <v>0.15865000000000001</v>
      </c>
    </row>
    <row r="847" spans="1:6" x14ac:dyDescent="0.3">
      <c r="A847" t="s">
        <v>5</v>
      </c>
      <c r="B847" s="1">
        <v>45693</v>
      </c>
      <c r="C847">
        <v>6</v>
      </c>
      <c r="D847">
        <v>0.129</v>
      </c>
      <c r="E847" t="s">
        <v>6</v>
      </c>
      <c r="F847">
        <v>0.16374</v>
      </c>
    </row>
    <row r="848" spans="1:6" x14ac:dyDescent="0.3">
      <c r="A848" t="s">
        <v>5</v>
      </c>
      <c r="B848" s="1">
        <v>45693</v>
      </c>
      <c r="C848">
        <v>7</v>
      </c>
      <c r="D848">
        <v>0.14000000000000001</v>
      </c>
      <c r="E848" t="s">
        <v>6</v>
      </c>
      <c r="F848">
        <v>0.17562</v>
      </c>
    </row>
    <row r="849" spans="1:6" x14ac:dyDescent="0.3">
      <c r="A849" t="s">
        <v>5</v>
      </c>
      <c r="B849" s="1">
        <v>45693</v>
      </c>
      <c r="C849">
        <v>8</v>
      </c>
      <c r="D849">
        <v>0.129</v>
      </c>
      <c r="E849" t="s">
        <v>6</v>
      </c>
      <c r="F849">
        <v>0.20801</v>
      </c>
    </row>
    <row r="850" spans="1:6" x14ac:dyDescent="0.3">
      <c r="A850" t="s">
        <v>5</v>
      </c>
      <c r="B850" s="1">
        <v>45693</v>
      </c>
      <c r="C850">
        <v>9</v>
      </c>
      <c r="D850">
        <v>0.14399999999999999</v>
      </c>
      <c r="E850" t="s">
        <v>6</v>
      </c>
      <c r="F850">
        <v>0.24530000000000002</v>
      </c>
    </row>
    <row r="851" spans="1:6" x14ac:dyDescent="0.3">
      <c r="A851" t="s">
        <v>5</v>
      </c>
      <c r="B851" s="1">
        <v>45693</v>
      </c>
      <c r="C851">
        <v>10</v>
      </c>
      <c r="D851">
        <v>0.19500000000000001</v>
      </c>
      <c r="E851" t="s">
        <v>6</v>
      </c>
      <c r="F851">
        <v>0.20494000000000001</v>
      </c>
    </row>
    <row r="852" spans="1:6" x14ac:dyDescent="0.3">
      <c r="A852" t="s">
        <v>5</v>
      </c>
      <c r="B852" s="1">
        <v>45693</v>
      </c>
      <c r="C852">
        <v>11</v>
      </c>
      <c r="D852">
        <v>0.187</v>
      </c>
      <c r="E852" t="s">
        <v>6</v>
      </c>
      <c r="F852">
        <v>0.21425</v>
      </c>
    </row>
    <row r="853" spans="1:6" x14ac:dyDescent="0.3">
      <c r="A853" t="s">
        <v>5</v>
      </c>
      <c r="B853" s="1">
        <v>45693</v>
      </c>
      <c r="C853">
        <v>12</v>
      </c>
      <c r="D853">
        <v>0.123</v>
      </c>
      <c r="E853" t="s">
        <v>6</v>
      </c>
      <c r="F853">
        <v>0.15200999999999998</v>
      </c>
    </row>
    <row r="854" spans="1:6" x14ac:dyDescent="0.3">
      <c r="A854" t="s">
        <v>5</v>
      </c>
      <c r="B854" s="1">
        <v>45693</v>
      </c>
      <c r="C854">
        <v>13</v>
      </c>
      <c r="D854">
        <v>0.23599999999999999</v>
      </c>
      <c r="E854" t="s">
        <v>6</v>
      </c>
      <c r="F854">
        <v>0.13075999999999999</v>
      </c>
    </row>
    <row r="855" spans="1:6" x14ac:dyDescent="0.3">
      <c r="A855" t="s">
        <v>5</v>
      </c>
      <c r="B855" s="1">
        <v>45693</v>
      </c>
      <c r="C855">
        <v>14</v>
      </c>
      <c r="D855">
        <v>0.249</v>
      </c>
      <c r="E855" t="s">
        <v>6</v>
      </c>
      <c r="F855">
        <v>0.13425000000000001</v>
      </c>
    </row>
    <row r="856" spans="1:6" x14ac:dyDescent="0.3">
      <c r="A856" t="s">
        <v>5</v>
      </c>
      <c r="B856" s="1">
        <v>45693</v>
      </c>
      <c r="C856">
        <v>15</v>
      </c>
      <c r="D856">
        <v>0.16600000000000001</v>
      </c>
      <c r="E856" t="s">
        <v>6</v>
      </c>
      <c r="F856">
        <v>6.3490000000000005E-2</v>
      </c>
    </row>
    <row r="857" spans="1:6" x14ac:dyDescent="0.3">
      <c r="A857" t="s">
        <v>5</v>
      </c>
      <c r="B857" s="1">
        <v>45693</v>
      </c>
      <c r="C857">
        <v>16</v>
      </c>
      <c r="D857">
        <v>0.152</v>
      </c>
      <c r="E857" t="s">
        <v>6</v>
      </c>
      <c r="F857">
        <v>7.5670000000000001E-2</v>
      </c>
    </row>
    <row r="858" spans="1:6" x14ac:dyDescent="0.3">
      <c r="A858" t="s">
        <v>5</v>
      </c>
      <c r="B858" s="1">
        <v>45693</v>
      </c>
      <c r="C858">
        <v>17</v>
      </c>
      <c r="D858">
        <v>0.17699999999999999</v>
      </c>
      <c r="E858" t="s">
        <v>6</v>
      </c>
      <c r="F858">
        <v>0.11377</v>
      </c>
    </row>
    <row r="859" spans="1:6" x14ac:dyDescent="0.3">
      <c r="A859" t="s">
        <v>5</v>
      </c>
      <c r="B859" s="1">
        <v>45693</v>
      </c>
      <c r="C859">
        <v>18</v>
      </c>
      <c r="D859">
        <v>0.26500000000000001</v>
      </c>
      <c r="E859" t="s">
        <v>6</v>
      </c>
      <c r="F859">
        <v>0.17455000000000001</v>
      </c>
    </row>
    <row r="860" spans="1:6" x14ac:dyDescent="0.3">
      <c r="A860" t="s">
        <v>5</v>
      </c>
      <c r="B860" s="1">
        <v>45693</v>
      </c>
      <c r="C860">
        <v>19</v>
      </c>
      <c r="D860">
        <v>0.48399999999999999</v>
      </c>
      <c r="E860" t="s">
        <v>6</v>
      </c>
      <c r="F860">
        <v>0.31981999999999999</v>
      </c>
    </row>
    <row r="861" spans="1:6" x14ac:dyDescent="0.3">
      <c r="A861" t="s">
        <v>5</v>
      </c>
      <c r="B861" s="1">
        <v>45693</v>
      </c>
      <c r="C861">
        <v>20</v>
      </c>
      <c r="D861">
        <v>0.59499999999999997</v>
      </c>
      <c r="E861" t="s">
        <v>6</v>
      </c>
      <c r="F861">
        <v>0.31945000000000001</v>
      </c>
    </row>
    <row r="862" spans="1:6" x14ac:dyDescent="0.3">
      <c r="A862" t="s">
        <v>5</v>
      </c>
      <c r="B862" s="1">
        <v>45693</v>
      </c>
      <c r="C862">
        <v>21</v>
      </c>
      <c r="D862">
        <v>0.58799999999999997</v>
      </c>
      <c r="E862" t="s">
        <v>6</v>
      </c>
      <c r="F862">
        <v>0.29548000000000002</v>
      </c>
    </row>
    <row r="863" spans="1:6" x14ac:dyDescent="0.3">
      <c r="A863" t="s">
        <v>5</v>
      </c>
      <c r="B863" s="1">
        <v>45693</v>
      </c>
      <c r="C863">
        <v>22</v>
      </c>
      <c r="D863">
        <v>0.33100000000000002</v>
      </c>
      <c r="E863" t="s">
        <v>6</v>
      </c>
      <c r="F863">
        <v>0.27904000000000001</v>
      </c>
    </row>
    <row r="864" spans="1:6" x14ac:dyDescent="0.3">
      <c r="A864" t="s">
        <v>5</v>
      </c>
      <c r="B864" s="1">
        <v>45693</v>
      </c>
      <c r="C864">
        <v>23</v>
      </c>
      <c r="D864">
        <v>0.55600000000000005</v>
      </c>
      <c r="E864" t="s">
        <v>6</v>
      </c>
      <c r="F864">
        <v>0.20080000000000001</v>
      </c>
    </row>
    <row r="865" spans="1:6" x14ac:dyDescent="0.3">
      <c r="A865" t="s">
        <v>5</v>
      </c>
      <c r="B865" s="1">
        <v>45693</v>
      </c>
      <c r="C865">
        <v>24</v>
      </c>
      <c r="D865">
        <v>0.40500000000000003</v>
      </c>
      <c r="E865" t="s">
        <v>6</v>
      </c>
      <c r="F865">
        <v>0.19497999999999999</v>
      </c>
    </row>
    <row r="866" spans="1:6" x14ac:dyDescent="0.3">
      <c r="A866" t="s">
        <v>5</v>
      </c>
      <c r="B866" s="1">
        <v>45694</v>
      </c>
      <c r="C866">
        <v>1</v>
      </c>
      <c r="D866">
        <v>0.36499999999999999</v>
      </c>
      <c r="E866" t="s">
        <v>6</v>
      </c>
      <c r="F866">
        <v>0.15919</v>
      </c>
    </row>
    <row r="867" spans="1:6" x14ac:dyDescent="0.3">
      <c r="A867" t="s">
        <v>5</v>
      </c>
      <c r="B867" s="1">
        <v>45694</v>
      </c>
      <c r="C867">
        <v>2</v>
      </c>
      <c r="D867">
        <v>0.157</v>
      </c>
      <c r="E867" t="s">
        <v>6</v>
      </c>
      <c r="F867">
        <v>0.15894999999999998</v>
      </c>
    </row>
    <row r="868" spans="1:6" x14ac:dyDescent="0.3">
      <c r="A868" t="s">
        <v>5</v>
      </c>
      <c r="B868" s="1">
        <v>45694</v>
      </c>
      <c r="C868">
        <v>3</v>
      </c>
      <c r="D868">
        <v>0.104</v>
      </c>
      <c r="E868" t="s">
        <v>6</v>
      </c>
      <c r="F868">
        <v>0.15759000000000001</v>
      </c>
    </row>
    <row r="869" spans="1:6" x14ac:dyDescent="0.3">
      <c r="A869" t="s">
        <v>5</v>
      </c>
      <c r="B869" s="1">
        <v>45694</v>
      </c>
      <c r="C869">
        <v>4</v>
      </c>
      <c r="D869">
        <v>0.13500000000000001</v>
      </c>
      <c r="E869" t="s">
        <v>6</v>
      </c>
      <c r="F869">
        <v>0.15311000000000002</v>
      </c>
    </row>
    <row r="870" spans="1:6" x14ac:dyDescent="0.3">
      <c r="A870" t="s">
        <v>5</v>
      </c>
      <c r="B870" s="1">
        <v>45694</v>
      </c>
      <c r="C870">
        <v>5</v>
      </c>
      <c r="D870">
        <v>0.14199999999999999</v>
      </c>
      <c r="E870" t="s">
        <v>6</v>
      </c>
      <c r="F870">
        <v>0.15237999999999999</v>
      </c>
    </row>
    <row r="871" spans="1:6" x14ac:dyDescent="0.3">
      <c r="A871" t="s">
        <v>5</v>
      </c>
      <c r="B871" s="1">
        <v>45694</v>
      </c>
      <c r="C871">
        <v>6</v>
      </c>
      <c r="D871">
        <v>0.124</v>
      </c>
      <c r="E871" t="s">
        <v>6</v>
      </c>
      <c r="F871">
        <v>0.15774000000000002</v>
      </c>
    </row>
    <row r="872" spans="1:6" x14ac:dyDescent="0.3">
      <c r="A872" t="s">
        <v>5</v>
      </c>
      <c r="B872" s="1">
        <v>45694</v>
      </c>
      <c r="C872">
        <v>7</v>
      </c>
      <c r="D872">
        <v>0.13700000000000001</v>
      </c>
      <c r="E872" t="s">
        <v>6</v>
      </c>
      <c r="F872">
        <v>0.17030000000000001</v>
      </c>
    </row>
    <row r="873" spans="1:6" x14ac:dyDescent="0.3">
      <c r="A873" t="s">
        <v>5</v>
      </c>
      <c r="B873" s="1">
        <v>45694</v>
      </c>
      <c r="C873">
        <v>8</v>
      </c>
      <c r="D873">
        <v>0.14599999999999999</v>
      </c>
      <c r="E873" t="s">
        <v>6</v>
      </c>
      <c r="F873">
        <v>0.20834</v>
      </c>
    </row>
    <row r="874" spans="1:6" x14ac:dyDescent="0.3">
      <c r="A874" t="s">
        <v>5</v>
      </c>
      <c r="B874" s="1">
        <v>45694</v>
      </c>
      <c r="C874">
        <v>9</v>
      </c>
      <c r="D874">
        <v>0.127</v>
      </c>
      <c r="E874" t="s">
        <v>6</v>
      </c>
      <c r="F874">
        <v>0.26998</v>
      </c>
    </row>
    <row r="875" spans="1:6" x14ac:dyDescent="0.3">
      <c r="A875" t="s">
        <v>5</v>
      </c>
      <c r="B875" s="1">
        <v>45694</v>
      </c>
      <c r="C875">
        <v>10</v>
      </c>
      <c r="D875">
        <v>0.154</v>
      </c>
      <c r="E875" t="s">
        <v>6</v>
      </c>
      <c r="F875">
        <v>0.20358999999999999</v>
      </c>
    </row>
    <row r="876" spans="1:6" x14ac:dyDescent="0.3">
      <c r="A876" t="s">
        <v>5</v>
      </c>
      <c r="B876" s="1">
        <v>45694</v>
      </c>
      <c r="C876">
        <v>11</v>
      </c>
      <c r="D876">
        <v>0.312</v>
      </c>
      <c r="E876" t="s">
        <v>6</v>
      </c>
      <c r="F876">
        <v>0.22390000000000002</v>
      </c>
    </row>
    <row r="877" spans="1:6" x14ac:dyDescent="0.3">
      <c r="A877" t="s">
        <v>5</v>
      </c>
      <c r="B877" s="1">
        <v>45694</v>
      </c>
      <c r="C877">
        <v>12</v>
      </c>
      <c r="D877">
        <v>0.156</v>
      </c>
      <c r="E877" t="s">
        <v>6</v>
      </c>
      <c r="F877">
        <v>0.19787000000000002</v>
      </c>
    </row>
    <row r="878" spans="1:6" x14ac:dyDescent="0.3">
      <c r="A878" t="s">
        <v>5</v>
      </c>
      <c r="B878" s="1">
        <v>45694</v>
      </c>
      <c r="C878">
        <v>13</v>
      </c>
      <c r="D878">
        <v>0.14399999999999999</v>
      </c>
      <c r="E878" t="s">
        <v>6</v>
      </c>
      <c r="F878">
        <v>0.19425000000000001</v>
      </c>
    </row>
    <row r="879" spans="1:6" x14ac:dyDescent="0.3">
      <c r="A879" t="s">
        <v>5</v>
      </c>
      <c r="B879" s="1">
        <v>45694</v>
      </c>
      <c r="C879">
        <v>14</v>
      </c>
      <c r="D879">
        <v>0.124</v>
      </c>
      <c r="E879" t="s">
        <v>6</v>
      </c>
      <c r="F879">
        <v>0.19030000000000002</v>
      </c>
    </row>
    <row r="880" spans="1:6" x14ac:dyDescent="0.3">
      <c r="A880" t="s">
        <v>5</v>
      </c>
      <c r="B880" s="1">
        <v>45694</v>
      </c>
      <c r="C880">
        <v>15</v>
      </c>
      <c r="D880">
        <v>0.13700000000000001</v>
      </c>
      <c r="E880" t="s">
        <v>6</v>
      </c>
      <c r="F880">
        <v>0.11981</v>
      </c>
    </row>
    <row r="881" spans="1:6" x14ac:dyDescent="0.3">
      <c r="A881" t="s">
        <v>5</v>
      </c>
      <c r="B881" s="1">
        <v>45694</v>
      </c>
      <c r="C881">
        <v>16</v>
      </c>
      <c r="D881">
        <v>0.13900000000000001</v>
      </c>
      <c r="E881" t="s">
        <v>6</v>
      </c>
      <c r="F881">
        <v>0.12468000000000001</v>
      </c>
    </row>
    <row r="882" spans="1:6" x14ac:dyDescent="0.3">
      <c r="A882" t="s">
        <v>5</v>
      </c>
      <c r="B882" s="1">
        <v>45694</v>
      </c>
      <c r="C882">
        <v>17</v>
      </c>
      <c r="D882">
        <v>0.122</v>
      </c>
      <c r="E882" t="s">
        <v>6</v>
      </c>
      <c r="F882">
        <v>0.15212000000000001</v>
      </c>
    </row>
    <row r="883" spans="1:6" x14ac:dyDescent="0.3">
      <c r="A883" t="s">
        <v>5</v>
      </c>
      <c r="B883" s="1">
        <v>45694</v>
      </c>
      <c r="C883">
        <v>18</v>
      </c>
      <c r="D883">
        <v>0.13800000000000001</v>
      </c>
      <c r="E883" t="s">
        <v>6</v>
      </c>
      <c r="F883">
        <v>0.18383000000000002</v>
      </c>
    </row>
    <row r="884" spans="1:6" x14ac:dyDescent="0.3">
      <c r="A884" t="s">
        <v>5</v>
      </c>
      <c r="B884" s="1">
        <v>45694</v>
      </c>
      <c r="C884">
        <v>19</v>
      </c>
      <c r="D884">
        <v>0.22</v>
      </c>
      <c r="E884" t="s">
        <v>6</v>
      </c>
      <c r="F884">
        <v>0.28667000000000004</v>
      </c>
    </row>
    <row r="885" spans="1:6" x14ac:dyDescent="0.3">
      <c r="A885" t="s">
        <v>5</v>
      </c>
      <c r="B885" s="1">
        <v>45694</v>
      </c>
      <c r="C885">
        <v>20</v>
      </c>
      <c r="D885">
        <v>0.16200000000000001</v>
      </c>
      <c r="E885" t="s">
        <v>6</v>
      </c>
      <c r="F885">
        <v>0.31269000000000002</v>
      </c>
    </row>
    <row r="886" spans="1:6" x14ac:dyDescent="0.3">
      <c r="A886" t="s">
        <v>5</v>
      </c>
      <c r="B886" s="1">
        <v>45694</v>
      </c>
      <c r="C886">
        <v>21</v>
      </c>
      <c r="D886">
        <v>0.38400000000000001</v>
      </c>
      <c r="E886" t="s">
        <v>6</v>
      </c>
      <c r="F886">
        <v>0.36313999999999996</v>
      </c>
    </row>
    <row r="887" spans="1:6" x14ac:dyDescent="0.3">
      <c r="A887" t="s">
        <v>5</v>
      </c>
      <c r="B887" s="1">
        <v>45694</v>
      </c>
      <c r="C887">
        <v>22</v>
      </c>
      <c r="D887">
        <v>1.4990000000000001</v>
      </c>
      <c r="E887" t="s">
        <v>6</v>
      </c>
      <c r="F887">
        <v>0.27876000000000001</v>
      </c>
    </row>
    <row r="888" spans="1:6" x14ac:dyDescent="0.3">
      <c r="A888" t="s">
        <v>5</v>
      </c>
      <c r="B888" s="1">
        <v>45694</v>
      </c>
      <c r="C888">
        <v>23</v>
      </c>
      <c r="D888">
        <v>0.81499999999999995</v>
      </c>
      <c r="E888" t="s">
        <v>6</v>
      </c>
      <c r="F888">
        <v>0.19700000000000001</v>
      </c>
    </row>
    <row r="889" spans="1:6" x14ac:dyDescent="0.3">
      <c r="A889" t="s">
        <v>5</v>
      </c>
      <c r="B889" s="1">
        <v>45694</v>
      </c>
      <c r="C889">
        <v>24</v>
      </c>
      <c r="D889">
        <v>0.73699999999999999</v>
      </c>
      <c r="E889" t="s">
        <v>6</v>
      </c>
      <c r="F889">
        <v>0.19262000000000001</v>
      </c>
    </row>
    <row r="890" spans="1:6" x14ac:dyDescent="0.3">
      <c r="A890" t="s">
        <v>5</v>
      </c>
      <c r="B890" s="1">
        <v>45695</v>
      </c>
      <c r="C890">
        <v>1</v>
      </c>
      <c r="D890">
        <v>0.34599999999999997</v>
      </c>
      <c r="E890" t="s">
        <v>6</v>
      </c>
      <c r="F890">
        <v>0.16269999999999998</v>
      </c>
    </row>
    <row r="891" spans="1:6" x14ac:dyDescent="0.3">
      <c r="A891" t="s">
        <v>5</v>
      </c>
      <c r="B891" s="1">
        <v>45695</v>
      </c>
      <c r="C891">
        <v>2</v>
      </c>
      <c r="D891">
        <v>7.3999999999999996E-2</v>
      </c>
      <c r="E891" t="s">
        <v>6</v>
      </c>
      <c r="F891">
        <v>0.14673</v>
      </c>
    </row>
    <row r="892" spans="1:6" x14ac:dyDescent="0.3">
      <c r="A892" t="s">
        <v>5</v>
      </c>
      <c r="B892" s="1">
        <v>45695</v>
      </c>
      <c r="C892">
        <v>3</v>
      </c>
      <c r="D892">
        <v>6.2E-2</v>
      </c>
      <c r="E892" t="s">
        <v>6</v>
      </c>
      <c r="F892">
        <v>0.14636000000000002</v>
      </c>
    </row>
    <row r="893" spans="1:6" x14ac:dyDescent="0.3">
      <c r="A893" t="s">
        <v>5</v>
      </c>
      <c r="B893" s="1">
        <v>45695</v>
      </c>
      <c r="C893">
        <v>4</v>
      </c>
      <c r="D893">
        <v>0.113</v>
      </c>
      <c r="E893" t="s">
        <v>6</v>
      </c>
      <c r="F893">
        <v>0.14000000000000001</v>
      </c>
    </row>
    <row r="894" spans="1:6" x14ac:dyDescent="0.3">
      <c r="A894" t="s">
        <v>5</v>
      </c>
      <c r="B894" s="1">
        <v>45695</v>
      </c>
      <c r="C894">
        <v>5</v>
      </c>
      <c r="D894">
        <v>0.13300000000000001</v>
      </c>
      <c r="E894" t="s">
        <v>6</v>
      </c>
      <c r="F894">
        <v>0.14101</v>
      </c>
    </row>
    <row r="895" spans="1:6" x14ac:dyDescent="0.3">
      <c r="A895" t="s">
        <v>5</v>
      </c>
      <c r="B895" s="1">
        <v>45695</v>
      </c>
      <c r="C895">
        <v>6</v>
      </c>
      <c r="D895">
        <v>0.13200000000000001</v>
      </c>
      <c r="E895" t="s">
        <v>6</v>
      </c>
      <c r="F895">
        <v>0.14147999999999999</v>
      </c>
    </row>
    <row r="896" spans="1:6" x14ac:dyDescent="0.3">
      <c r="A896" t="s">
        <v>5</v>
      </c>
      <c r="B896" s="1">
        <v>45695</v>
      </c>
      <c r="C896">
        <v>7</v>
      </c>
      <c r="D896">
        <v>0.23499999999999999</v>
      </c>
      <c r="E896" t="s">
        <v>6</v>
      </c>
      <c r="F896">
        <v>0.14953</v>
      </c>
    </row>
    <row r="897" spans="1:6" x14ac:dyDescent="0.3">
      <c r="A897" t="s">
        <v>5</v>
      </c>
      <c r="B897" s="1">
        <v>45695</v>
      </c>
      <c r="C897">
        <v>8</v>
      </c>
      <c r="D897">
        <v>0.14599999999999999</v>
      </c>
      <c r="E897" t="s">
        <v>6</v>
      </c>
      <c r="F897">
        <v>0.17579</v>
      </c>
    </row>
    <row r="898" spans="1:6" x14ac:dyDescent="0.3">
      <c r="A898" t="s">
        <v>5</v>
      </c>
      <c r="B898" s="1">
        <v>45695</v>
      </c>
      <c r="C898">
        <v>9</v>
      </c>
      <c r="D898">
        <v>0.184</v>
      </c>
      <c r="E898" t="s">
        <v>6</v>
      </c>
      <c r="F898">
        <v>0.22857</v>
      </c>
    </row>
    <row r="899" spans="1:6" x14ac:dyDescent="0.3">
      <c r="A899" t="s">
        <v>5</v>
      </c>
      <c r="B899" s="1">
        <v>45695</v>
      </c>
      <c r="C899">
        <v>10</v>
      </c>
      <c r="D899">
        <v>0.26300000000000001</v>
      </c>
      <c r="E899" t="s">
        <v>6</v>
      </c>
      <c r="F899">
        <v>0.20612</v>
      </c>
    </row>
    <row r="900" spans="1:6" x14ac:dyDescent="0.3">
      <c r="A900" t="s">
        <v>5</v>
      </c>
      <c r="B900" s="1">
        <v>45695</v>
      </c>
      <c r="C900">
        <v>11</v>
      </c>
      <c r="D900">
        <v>0.17299999999999999</v>
      </c>
      <c r="E900" t="s">
        <v>6</v>
      </c>
      <c r="F900">
        <v>0.2238</v>
      </c>
    </row>
    <row r="901" spans="1:6" x14ac:dyDescent="0.3">
      <c r="A901" t="s">
        <v>5</v>
      </c>
      <c r="B901" s="1">
        <v>45695</v>
      </c>
      <c r="C901">
        <v>12</v>
      </c>
      <c r="D901">
        <v>0.14000000000000001</v>
      </c>
      <c r="E901" t="s">
        <v>6</v>
      </c>
      <c r="F901">
        <v>0.21221000000000001</v>
      </c>
    </row>
    <row r="902" spans="1:6" x14ac:dyDescent="0.3">
      <c r="A902" t="s">
        <v>5</v>
      </c>
      <c r="B902" s="1">
        <v>45695</v>
      </c>
      <c r="C902">
        <v>13</v>
      </c>
      <c r="D902">
        <v>0.14599999999999999</v>
      </c>
      <c r="E902" t="s">
        <v>6</v>
      </c>
      <c r="F902">
        <v>0.20546999999999999</v>
      </c>
    </row>
    <row r="903" spans="1:6" x14ac:dyDescent="0.3">
      <c r="A903" t="s">
        <v>5</v>
      </c>
      <c r="B903" s="1">
        <v>45695</v>
      </c>
      <c r="C903">
        <v>14</v>
      </c>
      <c r="D903">
        <v>0.19500000000000001</v>
      </c>
      <c r="E903" t="s">
        <v>6</v>
      </c>
      <c r="F903">
        <v>0.2001</v>
      </c>
    </row>
    <row r="904" spans="1:6" x14ac:dyDescent="0.3">
      <c r="A904" t="s">
        <v>5</v>
      </c>
      <c r="B904" s="1">
        <v>45695</v>
      </c>
      <c r="C904">
        <v>15</v>
      </c>
      <c r="D904">
        <v>0.32500000000000001</v>
      </c>
      <c r="E904" t="s">
        <v>6</v>
      </c>
      <c r="F904">
        <v>0.13245999999999999</v>
      </c>
    </row>
    <row r="905" spans="1:6" x14ac:dyDescent="0.3">
      <c r="A905" t="s">
        <v>5</v>
      </c>
      <c r="B905" s="1">
        <v>45695</v>
      </c>
      <c r="C905">
        <v>16</v>
      </c>
      <c r="D905">
        <v>0.161</v>
      </c>
      <c r="E905" t="s">
        <v>6</v>
      </c>
      <c r="F905">
        <v>0.13743</v>
      </c>
    </row>
    <row r="906" spans="1:6" x14ac:dyDescent="0.3">
      <c r="A906" t="s">
        <v>5</v>
      </c>
      <c r="B906" s="1">
        <v>45695</v>
      </c>
      <c r="C906">
        <v>17</v>
      </c>
      <c r="D906">
        <v>0.2</v>
      </c>
      <c r="E906" t="s">
        <v>6</v>
      </c>
      <c r="F906">
        <v>0.14155999999999999</v>
      </c>
    </row>
    <row r="907" spans="1:6" x14ac:dyDescent="0.3">
      <c r="A907" t="s">
        <v>5</v>
      </c>
      <c r="B907" s="1">
        <v>45695</v>
      </c>
      <c r="C907">
        <v>18</v>
      </c>
      <c r="D907">
        <v>0.182</v>
      </c>
      <c r="E907" t="s">
        <v>6</v>
      </c>
      <c r="F907">
        <v>0.16131000000000001</v>
      </c>
    </row>
    <row r="908" spans="1:6" x14ac:dyDescent="0.3">
      <c r="A908" t="s">
        <v>5</v>
      </c>
      <c r="B908" s="1">
        <v>45695</v>
      </c>
      <c r="C908">
        <v>19</v>
      </c>
      <c r="D908">
        <v>0.80300000000000005</v>
      </c>
      <c r="E908" t="s">
        <v>6</v>
      </c>
      <c r="F908">
        <v>0.25912000000000002</v>
      </c>
    </row>
    <row r="909" spans="1:6" x14ac:dyDescent="0.3">
      <c r="A909" t="s">
        <v>5</v>
      </c>
      <c r="B909" s="1">
        <v>45695</v>
      </c>
      <c r="C909">
        <v>20</v>
      </c>
      <c r="D909">
        <v>0.54300000000000004</v>
      </c>
      <c r="E909" t="s">
        <v>6</v>
      </c>
      <c r="F909">
        <v>0.27112999999999998</v>
      </c>
    </row>
    <row r="910" spans="1:6" x14ac:dyDescent="0.3">
      <c r="A910" t="s">
        <v>5</v>
      </c>
      <c r="B910" s="1">
        <v>45695</v>
      </c>
      <c r="C910">
        <v>21</v>
      </c>
      <c r="D910">
        <v>0.73199999999999998</v>
      </c>
      <c r="E910" t="s">
        <v>6</v>
      </c>
      <c r="F910">
        <v>0.26501999999999998</v>
      </c>
    </row>
    <row r="911" spans="1:6" x14ac:dyDescent="0.3">
      <c r="A911" t="s">
        <v>5</v>
      </c>
      <c r="B911" s="1">
        <v>45695</v>
      </c>
      <c r="C911">
        <v>22</v>
      </c>
      <c r="D911">
        <v>0.14000000000000001</v>
      </c>
      <c r="E911" t="s">
        <v>6</v>
      </c>
      <c r="F911">
        <v>0.25266</v>
      </c>
    </row>
    <row r="912" spans="1:6" x14ac:dyDescent="0.3">
      <c r="A912" t="s">
        <v>5</v>
      </c>
      <c r="B912" s="1">
        <v>45695</v>
      </c>
      <c r="C912">
        <v>23</v>
      </c>
      <c r="D912">
        <v>0.13300000000000001</v>
      </c>
      <c r="E912" t="s">
        <v>6</v>
      </c>
      <c r="F912">
        <v>0.18711000000000003</v>
      </c>
    </row>
    <row r="913" spans="1:6" x14ac:dyDescent="0.3">
      <c r="A913" t="s">
        <v>5</v>
      </c>
      <c r="B913" s="1">
        <v>45695</v>
      </c>
      <c r="C913">
        <v>24</v>
      </c>
      <c r="D913">
        <v>0.129</v>
      </c>
      <c r="E913" t="s">
        <v>6</v>
      </c>
      <c r="F913">
        <v>0.17530000000000001</v>
      </c>
    </row>
    <row r="914" spans="1:6" x14ac:dyDescent="0.3">
      <c r="A914" t="s">
        <v>5</v>
      </c>
      <c r="B914" s="1">
        <v>45696</v>
      </c>
      <c r="C914">
        <v>1</v>
      </c>
      <c r="D914">
        <v>0.14000000000000001</v>
      </c>
      <c r="E914" t="s">
        <v>6</v>
      </c>
      <c r="F914">
        <v>0.14554</v>
      </c>
    </row>
    <row r="915" spans="1:6" x14ac:dyDescent="0.3">
      <c r="A915" t="s">
        <v>5</v>
      </c>
      <c r="B915" s="1">
        <v>45696</v>
      </c>
      <c r="C915">
        <v>2</v>
      </c>
      <c r="D915">
        <v>0.122</v>
      </c>
      <c r="E915" t="s">
        <v>6</v>
      </c>
      <c r="F915">
        <v>0.13643</v>
      </c>
    </row>
    <row r="916" spans="1:6" x14ac:dyDescent="0.3">
      <c r="A916" t="s">
        <v>5</v>
      </c>
      <c r="B916" s="1">
        <v>45696</v>
      </c>
      <c r="C916">
        <v>3</v>
      </c>
      <c r="D916">
        <v>0.13900000000000001</v>
      </c>
      <c r="E916" t="s">
        <v>6</v>
      </c>
      <c r="F916">
        <v>0.13063999999999998</v>
      </c>
    </row>
    <row r="917" spans="1:6" x14ac:dyDescent="0.3">
      <c r="A917" t="s">
        <v>5</v>
      </c>
      <c r="B917" s="1">
        <v>45696</v>
      </c>
      <c r="C917">
        <v>4</v>
      </c>
      <c r="D917">
        <v>0.13400000000000001</v>
      </c>
      <c r="E917" t="s">
        <v>6</v>
      </c>
      <c r="F917">
        <v>0.13392999999999999</v>
      </c>
    </row>
    <row r="918" spans="1:6" x14ac:dyDescent="0.3">
      <c r="A918" t="s">
        <v>5</v>
      </c>
      <c r="B918" s="1">
        <v>45696</v>
      </c>
      <c r="C918">
        <v>5</v>
      </c>
      <c r="D918">
        <v>0.125</v>
      </c>
      <c r="E918" t="s">
        <v>6</v>
      </c>
      <c r="F918">
        <v>0.12916</v>
      </c>
    </row>
    <row r="919" spans="1:6" x14ac:dyDescent="0.3">
      <c r="A919" t="s">
        <v>5</v>
      </c>
      <c r="B919" s="1">
        <v>45696</v>
      </c>
      <c r="C919">
        <v>6</v>
      </c>
      <c r="D919">
        <v>0.14000000000000001</v>
      </c>
      <c r="E919" t="s">
        <v>6</v>
      </c>
      <c r="F919">
        <v>0.13040000000000002</v>
      </c>
    </row>
    <row r="920" spans="1:6" x14ac:dyDescent="0.3">
      <c r="A920" t="s">
        <v>5</v>
      </c>
      <c r="B920" s="1">
        <v>45696</v>
      </c>
      <c r="C920">
        <v>7</v>
      </c>
      <c r="D920">
        <v>0.122</v>
      </c>
      <c r="E920" t="s">
        <v>6</v>
      </c>
      <c r="F920">
        <v>0.13638</v>
      </c>
    </row>
    <row r="921" spans="1:6" x14ac:dyDescent="0.3">
      <c r="A921" t="s">
        <v>5</v>
      </c>
      <c r="B921" s="1">
        <v>45696</v>
      </c>
      <c r="C921">
        <v>8</v>
      </c>
      <c r="D921">
        <v>0.13500000000000001</v>
      </c>
      <c r="E921" t="s">
        <v>6</v>
      </c>
      <c r="F921">
        <v>0.15275999999999998</v>
      </c>
    </row>
    <row r="922" spans="1:6" x14ac:dyDescent="0.3">
      <c r="A922" t="s">
        <v>5</v>
      </c>
      <c r="B922" s="1">
        <v>45696</v>
      </c>
      <c r="C922">
        <v>9</v>
      </c>
      <c r="D922">
        <v>0.13500000000000001</v>
      </c>
      <c r="E922" t="s">
        <v>6</v>
      </c>
      <c r="F922">
        <v>0.15180000000000002</v>
      </c>
    </row>
    <row r="923" spans="1:6" x14ac:dyDescent="0.3">
      <c r="A923" t="s">
        <v>5</v>
      </c>
      <c r="B923" s="1">
        <v>45696</v>
      </c>
      <c r="C923">
        <v>10</v>
      </c>
      <c r="D923">
        <v>0.121</v>
      </c>
      <c r="E923" t="s">
        <v>6</v>
      </c>
      <c r="F923">
        <v>0.14054</v>
      </c>
    </row>
    <row r="924" spans="1:6" x14ac:dyDescent="0.3">
      <c r="A924" t="s">
        <v>5</v>
      </c>
      <c r="B924" s="1">
        <v>45696</v>
      </c>
      <c r="C924">
        <v>11</v>
      </c>
      <c r="D924">
        <v>0.13900000000000001</v>
      </c>
      <c r="E924" t="s">
        <v>6</v>
      </c>
      <c r="F924">
        <v>0.10628</v>
      </c>
    </row>
    <row r="925" spans="1:6" x14ac:dyDescent="0.3">
      <c r="A925" t="s">
        <v>5</v>
      </c>
      <c r="B925" s="1">
        <v>45696</v>
      </c>
      <c r="C925">
        <v>12</v>
      </c>
      <c r="D925">
        <v>0.124</v>
      </c>
      <c r="E925" t="s">
        <v>6</v>
      </c>
      <c r="F925">
        <v>0.11864</v>
      </c>
    </row>
    <row r="926" spans="1:6" x14ac:dyDescent="0.3">
      <c r="A926" t="s">
        <v>5</v>
      </c>
      <c r="B926" s="1">
        <v>45696</v>
      </c>
      <c r="C926">
        <v>13</v>
      </c>
      <c r="D926">
        <v>0.13300000000000001</v>
      </c>
      <c r="E926" t="s">
        <v>6</v>
      </c>
      <c r="F926">
        <v>8.3849999999999994E-2</v>
      </c>
    </row>
    <row r="927" spans="1:6" x14ac:dyDescent="0.3">
      <c r="A927" t="s">
        <v>5</v>
      </c>
      <c r="B927" s="1">
        <v>45696</v>
      </c>
      <c r="C927">
        <v>14</v>
      </c>
      <c r="D927">
        <v>0.13700000000000001</v>
      </c>
      <c r="E927" t="s">
        <v>6</v>
      </c>
      <c r="F927">
        <v>7.2969999999999993E-2</v>
      </c>
    </row>
    <row r="928" spans="1:6" x14ac:dyDescent="0.3">
      <c r="A928" t="s">
        <v>5</v>
      </c>
      <c r="B928" s="1">
        <v>45696</v>
      </c>
      <c r="C928">
        <v>15</v>
      </c>
      <c r="D928">
        <v>0.122</v>
      </c>
      <c r="E928" t="s">
        <v>6</v>
      </c>
      <c r="F928">
        <v>6.7720000000000002E-2</v>
      </c>
    </row>
    <row r="929" spans="1:6" x14ac:dyDescent="0.3">
      <c r="A929" t="s">
        <v>5</v>
      </c>
      <c r="B929" s="1">
        <v>45696</v>
      </c>
      <c r="C929">
        <v>16</v>
      </c>
      <c r="D929">
        <v>0.14000000000000001</v>
      </c>
      <c r="E929" t="s">
        <v>6</v>
      </c>
      <c r="F929">
        <v>6.2859999999999999E-2</v>
      </c>
    </row>
    <row r="930" spans="1:6" x14ac:dyDescent="0.3">
      <c r="A930" t="s">
        <v>5</v>
      </c>
      <c r="B930" s="1">
        <v>45696</v>
      </c>
      <c r="C930">
        <v>17</v>
      </c>
      <c r="D930">
        <v>0.127</v>
      </c>
      <c r="E930" t="s">
        <v>6</v>
      </c>
      <c r="F930">
        <v>9.4129999999999991E-2</v>
      </c>
    </row>
    <row r="931" spans="1:6" x14ac:dyDescent="0.3">
      <c r="A931" t="s">
        <v>5</v>
      </c>
      <c r="B931" s="1">
        <v>45696</v>
      </c>
      <c r="C931">
        <v>18</v>
      </c>
      <c r="D931">
        <v>0.13200000000000001</v>
      </c>
      <c r="E931" t="s">
        <v>6</v>
      </c>
      <c r="F931">
        <v>0.15292</v>
      </c>
    </row>
    <row r="932" spans="1:6" x14ac:dyDescent="0.3">
      <c r="A932" t="s">
        <v>5</v>
      </c>
      <c r="B932" s="1">
        <v>45696</v>
      </c>
      <c r="C932">
        <v>19</v>
      </c>
      <c r="D932">
        <v>0.13800000000000001</v>
      </c>
      <c r="E932" t="s">
        <v>6</v>
      </c>
      <c r="F932">
        <v>0.20024</v>
      </c>
    </row>
    <row r="933" spans="1:6" x14ac:dyDescent="0.3">
      <c r="A933" t="s">
        <v>5</v>
      </c>
      <c r="B933" s="1">
        <v>45696</v>
      </c>
      <c r="C933">
        <v>20</v>
      </c>
      <c r="D933">
        <v>0.12</v>
      </c>
      <c r="E933" t="s">
        <v>6</v>
      </c>
      <c r="F933">
        <v>0.20648</v>
      </c>
    </row>
    <row r="934" spans="1:6" x14ac:dyDescent="0.3">
      <c r="A934" t="s">
        <v>5</v>
      </c>
      <c r="B934" s="1">
        <v>45696</v>
      </c>
      <c r="C934">
        <v>21</v>
      </c>
      <c r="D934">
        <v>0.13800000000000001</v>
      </c>
      <c r="E934" t="s">
        <v>6</v>
      </c>
      <c r="F934">
        <v>0.20372000000000001</v>
      </c>
    </row>
    <row r="935" spans="1:6" x14ac:dyDescent="0.3">
      <c r="A935" t="s">
        <v>5</v>
      </c>
      <c r="B935" s="1">
        <v>45696</v>
      </c>
      <c r="C935">
        <v>22</v>
      </c>
      <c r="D935">
        <v>0.13100000000000001</v>
      </c>
      <c r="E935" t="s">
        <v>6</v>
      </c>
      <c r="F935">
        <v>0.19158</v>
      </c>
    </row>
    <row r="936" spans="1:6" x14ac:dyDescent="0.3">
      <c r="A936" t="s">
        <v>5</v>
      </c>
      <c r="B936" s="1">
        <v>45696</v>
      </c>
      <c r="C936">
        <v>23</v>
      </c>
      <c r="D936">
        <v>0.13100000000000001</v>
      </c>
      <c r="E936" t="s">
        <v>6</v>
      </c>
      <c r="F936">
        <v>0.18862999999999999</v>
      </c>
    </row>
    <row r="937" spans="1:6" x14ac:dyDescent="0.3">
      <c r="A937" t="s">
        <v>5</v>
      </c>
      <c r="B937" s="1">
        <v>45696</v>
      </c>
      <c r="C937">
        <v>24</v>
      </c>
      <c r="D937">
        <v>0.13900000000000001</v>
      </c>
      <c r="E937" t="s">
        <v>6</v>
      </c>
      <c r="F937">
        <v>0.18572999999999998</v>
      </c>
    </row>
    <row r="938" spans="1:6" x14ac:dyDescent="0.3">
      <c r="A938" t="s">
        <v>5</v>
      </c>
      <c r="B938" s="1">
        <v>45697</v>
      </c>
      <c r="C938">
        <v>1</v>
      </c>
      <c r="D938">
        <v>0.121</v>
      </c>
      <c r="E938" t="s">
        <v>6</v>
      </c>
      <c r="F938">
        <v>0.16969000000000001</v>
      </c>
    </row>
    <row r="939" spans="1:6" x14ac:dyDescent="0.3">
      <c r="A939" t="s">
        <v>5</v>
      </c>
      <c r="B939" s="1">
        <v>45697</v>
      </c>
      <c r="C939">
        <v>2</v>
      </c>
      <c r="D939">
        <v>0.14000000000000001</v>
      </c>
      <c r="E939" t="s">
        <v>6</v>
      </c>
      <c r="F939">
        <v>0.15436000000000002</v>
      </c>
    </row>
    <row r="940" spans="1:6" x14ac:dyDescent="0.3">
      <c r="A940" t="s">
        <v>5</v>
      </c>
      <c r="B940" s="1">
        <v>45697</v>
      </c>
      <c r="C940">
        <v>3</v>
      </c>
      <c r="D940">
        <v>0.13300000000000001</v>
      </c>
      <c r="E940" t="s">
        <v>6</v>
      </c>
      <c r="F940">
        <v>0.14784999999999998</v>
      </c>
    </row>
    <row r="941" spans="1:6" x14ac:dyDescent="0.3">
      <c r="A941" t="s">
        <v>5</v>
      </c>
      <c r="B941" s="1">
        <v>45697</v>
      </c>
      <c r="C941">
        <v>4</v>
      </c>
      <c r="D941">
        <v>0.128</v>
      </c>
      <c r="E941" t="s">
        <v>6</v>
      </c>
      <c r="F941">
        <v>0.14426</v>
      </c>
    </row>
    <row r="942" spans="1:6" x14ac:dyDescent="0.3">
      <c r="A942" t="s">
        <v>5</v>
      </c>
      <c r="B942" s="1">
        <v>45697</v>
      </c>
      <c r="C942">
        <v>5</v>
      </c>
      <c r="D942">
        <v>0.14000000000000001</v>
      </c>
      <c r="E942" t="s">
        <v>6</v>
      </c>
      <c r="F942">
        <v>0.13702</v>
      </c>
    </row>
    <row r="943" spans="1:6" x14ac:dyDescent="0.3">
      <c r="A943" t="s">
        <v>5</v>
      </c>
      <c r="B943" s="1">
        <v>45697</v>
      </c>
      <c r="C943">
        <v>6</v>
      </c>
      <c r="D943">
        <v>0.121</v>
      </c>
      <c r="E943" t="s">
        <v>6</v>
      </c>
      <c r="F943">
        <v>0.13697000000000001</v>
      </c>
    </row>
    <row r="944" spans="1:6" x14ac:dyDescent="0.3">
      <c r="A944" t="s">
        <v>5</v>
      </c>
      <c r="B944" s="1">
        <v>45697</v>
      </c>
      <c r="C944">
        <v>7</v>
      </c>
      <c r="D944">
        <v>0.13800000000000001</v>
      </c>
      <c r="E944" t="s">
        <v>6</v>
      </c>
      <c r="F944">
        <v>0.14577999999999999</v>
      </c>
    </row>
    <row r="945" spans="1:6" x14ac:dyDescent="0.3">
      <c r="A945" t="s">
        <v>5</v>
      </c>
      <c r="B945" s="1">
        <v>45697</v>
      </c>
      <c r="C945">
        <v>8</v>
      </c>
      <c r="D945">
        <v>0.13500000000000001</v>
      </c>
      <c r="E945" t="s">
        <v>6</v>
      </c>
      <c r="F945">
        <v>0.15355000000000002</v>
      </c>
    </row>
    <row r="946" spans="1:6" x14ac:dyDescent="0.3">
      <c r="A946" t="s">
        <v>5</v>
      </c>
      <c r="B946" s="1">
        <v>45697</v>
      </c>
      <c r="C946">
        <v>9</v>
      </c>
      <c r="D946">
        <v>0.124</v>
      </c>
      <c r="E946" t="s">
        <v>6</v>
      </c>
      <c r="F946">
        <v>0.15215000000000001</v>
      </c>
    </row>
    <row r="947" spans="1:6" x14ac:dyDescent="0.3">
      <c r="A947" t="s">
        <v>5</v>
      </c>
      <c r="B947" s="1">
        <v>45697</v>
      </c>
      <c r="C947">
        <v>10</v>
      </c>
      <c r="D947">
        <v>0.13700000000000001</v>
      </c>
      <c r="E947" t="s">
        <v>6</v>
      </c>
      <c r="F947">
        <v>0.13843</v>
      </c>
    </row>
    <row r="948" spans="1:6" x14ac:dyDescent="0.3">
      <c r="A948" t="s">
        <v>5</v>
      </c>
      <c r="B948" s="1">
        <v>45697</v>
      </c>
      <c r="C948">
        <v>11</v>
      </c>
      <c r="D948">
        <v>0.121</v>
      </c>
      <c r="E948" t="s">
        <v>6</v>
      </c>
      <c r="F948">
        <v>0.10105</v>
      </c>
    </row>
    <row r="949" spans="1:6" x14ac:dyDescent="0.3">
      <c r="A949" t="s">
        <v>5</v>
      </c>
      <c r="B949" s="1">
        <v>45697</v>
      </c>
      <c r="C949">
        <v>12</v>
      </c>
      <c r="D949">
        <v>0.13600000000000001</v>
      </c>
      <c r="E949" t="s">
        <v>6</v>
      </c>
      <c r="F949">
        <v>9.0950000000000003E-2</v>
      </c>
    </row>
    <row r="950" spans="1:6" x14ac:dyDescent="0.3">
      <c r="A950" t="s">
        <v>5</v>
      </c>
      <c r="B950" s="1">
        <v>45697</v>
      </c>
      <c r="C950">
        <v>13</v>
      </c>
      <c r="D950">
        <v>0.13100000000000001</v>
      </c>
      <c r="E950" t="s">
        <v>6</v>
      </c>
      <c r="F950">
        <v>8.4129999999999996E-2</v>
      </c>
    </row>
    <row r="951" spans="1:6" x14ac:dyDescent="0.3">
      <c r="A951" t="s">
        <v>5</v>
      </c>
      <c r="B951" s="1">
        <v>45697</v>
      </c>
      <c r="C951">
        <v>14</v>
      </c>
      <c r="D951">
        <v>0.125</v>
      </c>
      <c r="E951" t="s">
        <v>6</v>
      </c>
      <c r="F951">
        <v>9.3189999999999995E-2</v>
      </c>
    </row>
    <row r="952" spans="1:6" x14ac:dyDescent="0.3">
      <c r="A952" t="s">
        <v>5</v>
      </c>
      <c r="B952" s="1">
        <v>45697</v>
      </c>
      <c r="C952">
        <v>15</v>
      </c>
      <c r="D952">
        <v>0.13700000000000001</v>
      </c>
      <c r="E952" t="s">
        <v>6</v>
      </c>
      <c r="F952">
        <v>9.3469999999999998E-2</v>
      </c>
    </row>
    <row r="953" spans="1:6" x14ac:dyDescent="0.3">
      <c r="A953" t="s">
        <v>5</v>
      </c>
      <c r="B953" s="1">
        <v>45697</v>
      </c>
      <c r="C953">
        <v>16</v>
      </c>
      <c r="D953">
        <v>0.11899999999999999</v>
      </c>
      <c r="E953" t="s">
        <v>6</v>
      </c>
      <c r="F953">
        <v>9.4989999999999991E-2</v>
      </c>
    </row>
    <row r="954" spans="1:6" x14ac:dyDescent="0.3">
      <c r="A954" t="s">
        <v>5</v>
      </c>
      <c r="B954" s="1">
        <v>45697</v>
      </c>
      <c r="C954">
        <v>17</v>
      </c>
      <c r="D954">
        <v>0.13900000000000001</v>
      </c>
      <c r="E954" t="s">
        <v>6</v>
      </c>
      <c r="F954">
        <v>0.12512000000000001</v>
      </c>
    </row>
    <row r="955" spans="1:6" x14ac:dyDescent="0.3">
      <c r="A955" t="s">
        <v>5</v>
      </c>
      <c r="B955" s="1">
        <v>45697</v>
      </c>
      <c r="C955">
        <v>18</v>
      </c>
      <c r="D955">
        <v>0.13</v>
      </c>
      <c r="E955" t="s">
        <v>6</v>
      </c>
      <c r="F955">
        <v>0.15224000000000001</v>
      </c>
    </row>
    <row r="956" spans="1:6" x14ac:dyDescent="0.3">
      <c r="A956" t="s">
        <v>5</v>
      </c>
      <c r="B956" s="1">
        <v>45697</v>
      </c>
      <c r="C956">
        <v>19</v>
      </c>
      <c r="D956">
        <v>0.128</v>
      </c>
      <c r="E956" t="s">
        <v>6</v>
      </c>
      <c r="F956">
        <v>0.20980000000000001</v>
      </c>
    </row>
    <row r="957" spans="1:6" x14ac:dyDescent="0.3">
      <c r="A957" t="s">
        <v>5</v>
      </c>
      <c r="B957" s="1">
        <v>45697</v>
      </c>
      <c r="C957">
        <v>20</v>
      </c>
      <c r="D957">
        <v>0.14000000000000001</v>
      </c>
      <c r="E957" t="s">
        <v>6</v>
      </c>
      <c r="F957">
        <v>0.20846999999999999</v>
      </c>
    </row>
    <row r="958" spans="1:6" x14ac:dyDescent="0.3">
      <c r="A958" t="s">
        <v>5</v>
      </c>
      <c r="B958" s="1">
        <v>45697</v>
      </c>
      <c r="C958">
        <v>21</v>
      </c>
      <c r="D958">
        <v>0.11899999999999999</v>
      </c>
      <c r="E958" t="s">
        <v>6</v>
      </c>
      <c r="F958">
        <v>0.23222999999999999</v>
      </c>
    </row>
    <row r="959" spans="1:6" x14ac:dyDescent="0.3">
      <c r="A959" t="s">
        <v>5</v>
      </c>
      <c r="B959" s="1">
        <v>45697</v>
      </c>
      <c r="C959">
        <v>22</v>
      </c>
      <c r="D959">
        <v>0.13800000000000001</v>
      </c>
      <c r="E959" t="s">
        <v>6</v>
      </c>
      <c r="F959">
        <v>0.21475</v>
      </c>
    </row>
    <row r="960" spans="1:6" x14ac:dyDescent="0.3">
      <c r="A960" t="s">
        <v>5</v>
      </c>
      <c r="B960" s="1">
        <v>45697</v>
      </c>
      <c r="C960">
        <v>23</v>
      </c>
      <c r="D960">
        <v>0.17899999999999999</v>
      </c>
      <c r="E960" t="s">
        <v>6</v>
      </c>
      <c r="F960">
        <v>0.18958000000000003</v>
      </c>
    </row>
    <row r="961" spans="1:6" x14ac:dyDescent="0.3">
      <c r="A961" t="s">
        <v>5</v>
      </c>
      <c r="B961" s="1">
        <v>45697</v>
      </c>
      <c r="C961">
        <v>24</v>
      </c>
      <c r="D961">
        <v>0.745</v>
      </c>
      <c r="E961" t="s">
        <v>6</v>
      </c>
      <c r="F961">
        <v>0.17608000000000001</v>
      </c>
    </row>
    <row r="962" spans="1:6" x14ac:dyDescent="0.3">
      <c r="A962" t="s">
        <v>5</v>
      </c>
      <c r="B962" s="1">
        <v>45698</v>
      </c>
      <c r="C962">
        <v>1</v>
      </c>
      <c r="D962">
        <v>0.33200000000000002</v>
      </c>
      <c r="E962" t="s">
        <v>6</v>
      </c>
      <c r="F962">
        <v>0.15334</v>
      </c>
    </row>
    <row r="963" spans="1:6" x14ac:dyDescent="0.3">
      <c r="A963" t="s">
        <v>5</v>
      </c>
      <c r="B963" s="1">
        <v>45698</v>
      </c>
      <c r="C963">
        <v>2</v>
      </c>
      <c r="D963">
        <v>0.13800000000000001</v>
      </c>
      <c r="E963" t="s">
        <v>6</v>
      </c>
      <c r="F963">
        <v>0.15758000000000003</v>
      </c>
    </row>
    <row r="964" spans="1:6" x14ac:dyDescent="0.3">
      <c r="A964" t="s">
        <v>5</v>
      </c>
      <c r="B964" s="1">
        <v>45698</v>
      </c>
      <c r="C964">
        <v>3</v>
      </c>
      <c r="D964">
        <v>0.126</v>
      </c>
      <c r="E964" t="s">
        <v>6</v>
      </c>
      <c r="F964">
        <v>0.15594</v>
      </c>
    </row>
    <row r="965" spans="1:6" x14ac:dyDescent="0.3">
      <c r="A965" t="s">
        <v>5</v>
      </c>
      <c r="B965" s="1">
        <v>45698</v>
      </c>
      <c r="C965">
        <v>4</v>
      </c>
      <c r="D965">
        <v>0.13800000000000001</v>
      </c>
      <c r="E965" t="s">
        <v>6</v>
      </c>
      <c r="F965">
        <v>0.14937999999999999</v>
      </c>
    </row>
    <row r="966" spans="1:6" x14ac:dyDescent="0.3">
      <c r="A966" t="s">
        <v>5</v>
      </c>
      <c r="B966" s="1">
        <v>45698</v>
      </c>
      <c r="C966">
        <v>5</v>
      </c>
      <c r="D966">
        <v>0.13700000000000001</v>
      </c>
      <c r="E966" t="s">
        <v>6</v>
      </c>
      <c r="F966">
        <v>0.14878</v>
      </c>
    </row>
    <row r="967" spans="1:6" x14ac:dyDescent="0.3">
      <c r="A967" t="s">
        <v>5</v>
      </c>
      <c r="B967" s="1">
        <v>45698</v>
      </c>
      <c r="C967">
        <v>6</v>
      </c>
      <c r="D967">
        <v>0.19400000000000001</v>
      </c>
      <c r="E967" t="s">
        <v>6</v>
      </c>
      <c r="F967">
        <v>0.15302000000000002</v>
      </c>
    </row>
    <row r="968" spans="1:6" x14ac:dyDescent="0.3">
      <c r="A968" t="s">
        <v>5</v>
      </c>
      <c r="B968" s="1">
        <v>45698</v>
      </c>
      <c r="C968">
        <v>7</v>
      </c>
      <c r="D968">
        <v>0.17100000000000001</v>
      </c>
      <c r="E968" t="s">
        <v>6</v>
      </c>
      <c r="F968">
        <v>0.17513999999999999</v>
      </c>
    </row>
    <row r="969" spans="1:6" x14ac:dyDescent="0.3">
      <c r="A969" t="s">
        <v>5</v>
      </c>
      <c r="B969" s="1">
        <v>45698</v>
      </c>
      <c r="C969">
        <v>8</v>
      </c>
      <c r="D969">
        <v>0.27100000000000002</v>
      </c>
      <c r="E969" t="s">
        <v>6</v>
      </c>
      <c r="F969">
        <v>0.19119</v>
      </c>
    </row>
    <row r="970" spans="1:6" x14ac:dyDescent="0.3">
      <c r="A970" t="s">
        <v>5</v>
      </c>
      <c r="B970" s="1">
        <v>45698</v>
      </c>
      <c r="C970">
        <v>9</v>
      </c>
      <c r="D970">
        <v>0.16500000000000001</v>
      </c>
      <c r="E970" t="s">
        <v>6</v>
      </c>
      <c r="F970">
        <v>0.23272999999999999</v>
      </c>
    </row>
    <row r="971" spans="1:6" x14ac:dyDescent="0.3">
      <c r="A971" t="s">
        <v>5</v>
      </c>
      <c r="B971" s="1">
        <v>45698</v>
      </c>
      <c r="C971">
        <v>10</v>
      </c>
      <c r="D971">
        <v>0.128</v>
      </c>
      <c r="E971" t="s">
        <v>6</v>
      </c>
      <c r="F971">
        <v>0.21111000000000002</v>
      </c>
    </row>
    <row r="972" spans="1:6" x14ac:dyDescent="0.3">
      <c r="A972" t="s">
        <v>5</v>
      </c>
      <c r="B972" s="1">
        <v>45698</v>
      </c>
      <c r="C972">
        <v>11</v>
      </c>
      <c r="D972">
        <v>0.14000000000000001</v>
      </c>
      <c r="E972" t="s">
        <v>6</v>
      </c>
      <c r="F972">
        <v>0.25881999999999999</v>
      </c>
    </row>
    <row r="973" spans="1:6" x14ac:dyDescent="0.3">
      <c r="A973" t="s">
        <v>5</v>
      </c>
      <c r="B973" s="1">
        <v>45698</v>
      </c>
      <c r="C973">
        <v>12</v>
      </c>
      <c r="D973">
        <v>0.123</v>
      </c>
      <c r="E973" t="s">
        <v>6</v>
      </c>
      <c r="F973">
        <v>0.22374000000000002</v>
      </c>
    </row>
    <row r="974" spans="1:6" x14ac:dyDescent="0.3">
      <c r="A974" t="s">
        <v>5</v>
      </c>
      <c r="B974" s="1">
        <v>45698</v>
      </c>
      <c r="C974">
        <v>13</v>
      </c>
      <c r="D974">
        <v>0.14099999999999999</v>
      </c>
      <c r="E974" t="s">
        <v>6</v>
      </c>
      <c r="F974">
        <v>0.22452</v>
      </c>
    </row>
    <row r="975" spans="1:6" x14ac:dyDescent="0.3">
      <c r="A975" t="s">
        <v>5</v>
      </c>
      <c r="B975" s="1">
        <v>45698</v>
      </c>
      <c r="C975">
        <v>14</v>
      </c>
      <c r="D975">
        <v>0.14099999999999999</v>
      </c>
      <c r="E975" t="s">
        <v>6</v>
      </c>
      <c r="F975">
        <v>0.22316</v>
      </c>
    </row>
    <row r="976" spans="1:6" x14ac:dyDescent="0.3">
      <c r="A976" t="s">
        <v>5</v>
      </c>
      <c r="B976" s="1">
        <v>45698</v>
      </c>
      <c r="C976">
        <v>15</v>
      </c>
      <c r="D976">
        <v>0.189</v>
      </c>
      <c r="E976" t="s">
        <v>6</v>
      </c>
      <c r="F976">
        <v>0.15380000000000002</v>
      </c>
    </row>
    <row r="977" spans="1:6" x14ac:dyDescent="0.3">
      <c r="A977" t="s">
        <v>5</v>
      </c>
      <c r="B977" s="1">
        <v>45698</v>
      </c>
      <c r="C977">
        <v>16</v>
      </c>
      <c r="D977">
        <v>0.17399999999999999</v>
      </c>
      <c r="E977" t="s">
        <v>6</v>
      </c>
      <c r="F977">
        <v>0.16044</v>
      </c>
    </row>
    <row r="978" spans="1:6" x14ac:dyDescent="0.3">
      <c r="A978" t="s">
        <v>5</v>
      </c>
      <c r="B978" s="1">
        <v>45698</v>
      </c>
      <c r="C978">
        <v>17</v>
      </c>
      <c r="D978">
        <v>0.151</v>
      </c>
      <c r="E978" t="s">
        <v>6</v>
      </c>
      <c r="F978">
        <v>0.16122999999999998</v>
      </c>
    </row>
    <row r="979" spans="1:6" x14ac:dyDescent="0.3">
      <c r="A979" t="s">
        <v>5</v>
      </c>
      <c r="B979" s="1">
        <v>45698</v>
      </c>
      <c r="C979">
        <v>18</v>
      </c>
      <c r="D979">
        <v>0.23200000000000001</v>
      </c>
      <c r="E979" t="s">
        <v>6</v>
      </c>
      <c r="F979">
        <v>0.26939999999999997</v>
      </c>
    </row>
    <row r="980" spans="1:6" x14ac:dyDescent="0.3">
      <c r="A980" t="s">
        <v>5</v>
      </c>
      <c r="B980" s="1">
        <v>45698</v>
      </c>
      <c r="C980">
        <v>19</v>
      </c>
      <c r="D980">
        <v>0.26300000000000001</v>
      </c>
      <c r="E980" t="s">
        <v>6</v>
      </c>
      <c r="F980">
        <v>0.28027999999999997</v>
      </c>
    </row>
    <row r="981" spans="1:6" x14ac:dyDescent="0.3">
      <c r="A981" t="s">
        <v>5</v>
      </c>
      <c r="B981" s="1">
        <v>45698</v>
      </c>
      <c r="C981">
        <v>20</v>
      </c>
      <c r="D981">
        <v>0.248</v>
      </c>
      <c r="E981" t="s">
        <v>6</v>
      </c>
      <c r="F981">
        <v>0.30160000000000003</v>
      </c>
    </row>
    <row r="982" spans="1:6" x14ac:dyDescent="0.3">
      <c r="A982" t="s">
        <v>5</v>
      </c>
      <c r="B982" s="1">
        <v>45698</v>
      </c>
      <c r="C982">
        <v>21</v>
      </c>
      <c r="D982">
        <v>0.314</v>
      </c>
      <c r="E982" t="s">
        <v>6</v>
      </c>
      <c r="F982">
        <v>0.32305</v>
      </c>
    </row>
    <row r="983" spans="1:6" x14ac:dyDescent="0.3">
      <c r="A983" t="s">
        <v>5</v>
      </c>
      <c r="B983" s="1">
        <v>45698</v>
      </c>
      <c r="C983">
        <v>22</v>
      </c>
      <c r="D983">
        <v>0.52600000000000002</v>
      </c>
      <c r="E983" t="s">
        <v>6</v>
      </c>
      <c r="F983">
        <v>0.27564</v>
      </c>
    </row>
    <row r="984" spans="1:6" x14ac:dyDescent="0.3">
      <c r="A984" t="s">
        <v>5</v>
      </c>
      <c r="B984" s="1">
        <v>45698</v>
      </c>
      <c r="C984">
        <v>23</v>
      </c>
      <c r="D984">
        <v>0.19</v>
      </c>
      <c r="E984" t="s">
        <v>6</v>
      </c>
      <c r="F984">
        <v>0.20033999999999999</v>
      </c>
    </row>
    <row r="985" spans="1:6" x14ac:dyDescent="0.3">
      <c r="A985" t="s">
        <v>5</v>
      </c>
      <c r="B985" s="1">
        <v>45698</v>
      </c>
      <c r="C985">
        <v>24</v>
      </c>
      <c r="D985">
        <v>0.16600000000000001</v>
      </c>
      <c r="E985" t="s">
        <v>6</v>
      </c>
      <c r="F985">
        <v>0.18497</v>
      </c>
    </row>
    <row r="986" spans="1:6" x14ac:dyDescent="0.3">
      <c r="A986" t="s">
        <v>5</v>
      </c>
      <c r="B986" s="1">
        <v>45699</v>
      </c>
      <c r="C986">
        <v>1</v>
      </c>
      <c r="D986">
        <v>0.183</v>
      </c>
      <c r="E986" t="s">
        <v>6</v>
      </c>
      <c r="F986">
        <v>0.14802999999999999</v>
      </c>
    </row>
    <row r="987" spans="1:6" x14ac:dyDescent="0.3">
      <c r="A987" t="s">
        <v>5</v>
      </c>
      <c r="B987" s="1">
        <v>45699</v>
      </c>
      <c r="C987">
        <v>2</v>
      </c>
      <c r="D987">
        <v>0.10299999999999999</v>
      </c>
      <c r="E987" t="s">
        <v>6</v>
      </c>
      <c r="F987">
        <v>0.15058000000000002</v>
      </c>
    </row>
    <row r="988" spans="1:6" x14ac:dyDescent="0.3">
      <c r="A988" t="s">
        <v>5</v>
      </c>
      <c r="B988" s="1">
        <v>45699</v>
      </c>
      <c r="C988">
        <v>3</v>
      </c>
      <c r="D988">
        <v>0.13100000000000001</v>
      </c>
      <c r="E988" t="s">
        <v>6</v>
      </c>
      <c r="F988">
        <v>0.14928</v>
      </c>
    </row>
    <row r="989" spans="1:6" x14ac:dyDescent="0.3">
      <c r="A989" t="s">
        <v>5</v>
      </c>
      <c r="B989" s="1">
        <v>45699</v>
      </c>
      <c r="C989">
        <v>4</v>
      </c>
      <c r="D989">
        <v>0.15</v>
      </c>
      <c r="E989" t="s">
        <v>6</v>
      </c>
      <c r="F989">
        <v>0.14202000000000001</v>
      </c>
    </row>
    <row r="990" spans="1:6" x14ac:dyDescent="0.3">
      <c r="A990" t="s">
        <v>5</v>
      </c>
      <c r="B990" s="1">
        <v>45699</v>
      </c>
      <c r="C990">
        <v>5</v>
      </c>
      <c r="D990">
        <v>0.128</v>
      </c>
      <c r="E990" t="s">
        <v>6</v>
      </c>
      <c r="F990">
        <v>0.13772000000000001</v>
      </c>
    </row>
    <row r="991" spans="1:6" x14ac:dyDescent="0.3">
      <c r="A991" t="s">
        <v>5</v>
      </c>
      <c r="B991" s="1">
        <v>45699</v>
      </c>
      <c r="C991">
        <v>6</v>
      </c>
      <c r="D991">
        <v>0.13200000000000001</v>
      </c>
      <c r="E991" t="s">
        <v>6</v>
      </c>
      <c r="F991">
        <v>0.13874</v>
      </c>
    </row>
    <row r="992" spans="1:6" x14ac:dyDescent="0.3">
      <c r="A992" t="s">
        <v>5</v>
      </c>
      <c r="B992" s="1">
        <v>45699</v>
      </c>
      <c r="C992">
        <v>7</v>
      </c>
      <c r="D992">
        <v>0.14799999999999999</v>
      </c>
      <c r="E992" t="s">
        <v>6</v>
      </c>
      <c r="F992">
        <v>0.1545</v>
      </c>
    </row>
    <row r="993" spans="1:6" x14ac:dyDescent="0.3">
      <c r="A993" t="s">
        <v>5</v>
      </c>
      <c r="B993" s="1">
        <v>45699</v>
      </c>
      <c r="C993">
        <v>8</v>
      </c>
      <c r="D993">
        <v>0.161</v>
      </c>
      <c r="E993" t="s">
        <v>6</v>
      </c>
      <c r="F993">
        <v>0.18462000000000001</v>
      </c>
    </row>
    <row r="994" spans="1:6" x14ac:dyDescent="0.3">
      <c r="A994" t="s">
        <v>5</v>
      </c>
      <c r="B994" s="1">
        <v>45699</v>
      </c>
      <c r="C994">
        <v>9</v>
      </c>
      <c r="D994">
        <v>0.13</v>
      </c>
      <c r="E994" t="s">
        <v>6</v>
      </c>
      <c r="F994">
        <v>0.21725999999999998</v>
      </c>
    </row>
    <row r="995" spans="1:6" x14ac:dyDescent="0.3">
      <c r="A995" t="s">
        <v>5</v>
      </c>
      <c r="B995" s="1">
        <v>45699</v>
      </c>
      <c r="C995">
        <v>10</v>
      </c>
      <c r="D995">
        <v>0.191</v>
      </c>
      <c r="E995" t="s">
        <v>6</v>
      </c>
      <c r="F995">
        <v>0.20335</v>
      </c>
    </row>
    <row r="996" spans="1:6" x14ac:dyDescent="0.3">
      <c r="A996" t="s">
        <v>5</v>
      </c>
      <c r="B996" s="1">
        <v>45699</v>
      </c>
      <c r="C996">
        <v>11</v>
      </c>
      <c r="D996">
        <v>0.127</v>
      </c>
      <c r="E996" t="s">
        <v>6</v>
      </c>
      <c r="F996">
        <v>0.23413</v>
      </c>
    </row>
    <row r="997" spans="1:6" x14ac:dyDescent="0.3">
      <c r="A997" t="s">
        <v>5</v>
      </c>
      <c r="B997" s="1">
        <v>45699</v>
      </c>
      <c r="C997">
        <v>12</v>
      </c>
      <c r="D997">
        <v>0.13700000000000001</v>
      </c>
      <c r="E997" t="s">
        <v>6</v>
      </c>
      <c r="F997">
        <v>0.23300999999999999</v>
      </c>
    </row>
    <row r="998" spans="1:6" x14ac:dyDescent="0.3">
      <c r="A998" t="s">
        <v>5</v>
      </c>
      <c r="B998" s="1">
        <v>45699</v>
      </c>
      <c r="C998">
        <v>13</v>
      </c>
      <c r="D998">
        <v>0.18099999999999999</v>
      </c>
      <c r="E998" t="s">
        <v>6</v>
      </c>
      <c r="F998">
        <v>0.21818000000000001</v>
      </c>
    </row>
    <row r="999" spans="1:6" x14ac:dyDescent="0.3">
      <c r="A999" t="s">
        <v>5</v>
      </c>
      <c r="B999" s="1">
        <v>45699</v>
      </c>
      <c r="C999">
        <v>14</v>
      </c>
      <c r="D999">
        <v>0.35499999999999998</v>
      </c>
      <c r="E999" t="s">
        <v>6</v>
      </c>
      <c r="F999">
        <v>0.21256999999999998</v>
      </c>
    </row>
    <row r="1000" spans="1:6" x14ac:dyDescent="0.3">
      <c r="A1000" t="s">
        <v>5</v>
      </c>
      <c r="B1000" s="1">
        <v>45699</v>
      </c>
      <c r="C1000">
        <v>15</v>
      </c>
      <c r="D1000">
        <v>0.223</v>
      </c>
      <c r="E1000" t="s">
        <v>6</v>
      </c>
      <c r="F1000">
        <v>0.15218999999999999</v>
      </c>
    </row>
    <row r="1001" spans="1:6" x14ac:dyDescent="0.3">
      <c r="A1001" t="s">
        <v>5</v>
      </c>
      <c r="B1001" s="1">
        <v>45699</v>
      </c>
      <c r="C1001">
        <v>16</v>
      </c>
      <c r="D1001">
        <v>0.189</v>
      </c>
      <c r="E1001" t="s">
        <v>6</v>
      </c>
      <c r="F1001">
        <v>0.15228999999999998</v>
      </c>
    </row>
    <row r="1002" spans="1:6" x14ac:dyDescent="0.3">
      <c r="A1002" t="s">
        <v>5</v>
      </c>
      <c r="B1002" s="1">
        <v>45699</v>
      </c>
      <c r="C1002">
        <v>17</v>
      </c>
      <c r="D1002">
        <v>0.27500000000000002</v>
      </c>
      <c r="E1002" t="s">
        <v>6</v>
      </c>
      <c r="F1002">
        <v>0.16961000000000001</v>
      </c>
    </row>
    <row r="1003" spans="1:6" x14ac:dyDescent="0.3">
      <c r="A1003" t="s">
        <v>5</v>
      </c>
      <c r="B1003" s="1">
        <v>45699</v>
      </c>
      <c r="C1003">
        <v>18</v>
      </c>
      <c r="D1003">
        <v>0.193</v>
      </c>
      <c r="E1003" t="s">
        <v>6</v>
      </c>
      <c r="F1003">
        <v>0.20688999999999999</v>
      </c>
    </row>
    <row r="1004" spans="1:6" x14ac:dyDescent="0.3">
      <c r="A1004" t="s">
        <v>5</v>
      </c>
      <c r="B1004" s="1">
        <v>45699</v>
      </c>
      <c r="C1004">
        <v>19</v>
      </c>
      <c r="D1004">
        <v>0.186</v>
      </c>
      <c r="E1004" t="s">
        <v>6</v>
      </c>
      <c r="F1004">
        <v>0.29468</v>
      </c>
    </row>
    <row r="1005" spans="1:6" x14ac:dyDescent="0.3">
      <c r="A1005" t="s">
        <v>5</v>
      </c>
      <c r="B1005" s="1">
        <v>45699</v>
      </c>
      <c r="C1005">
        <v>20</v>
      </c>
      <c r="D1005">
        <v>0.59299999999999997</v>
      </c>
      <c r="E1005" t="s">
        <v>6</v>
      </c>
      <c r="F1005">
        <v>0.31186000000000003</v>
      </c>
    </row>
    <row r="1006" spans="1:6" x14ac:dyDescent="0.3">
      <c r="A1006" t="s">
        <v>5</v>
      </c>
      <c r="B1006" s="1">
        <v>45699</v>
      </c>
      <c r="C1006">
        <v>21</v>
      </c>
      <c r="D1006">
        <v>0.309</v>
      </c>
      <c r="E1006" t="s">
        <v>6</v>
      </c>
      <c r="F1006">
        <v>0.31888</v>
      </c>
    </row>
    <row r="1007" spans="1:6" x14ac:dyDescent="0.3">
      <c r="A1007" t="s">
        <v>5</v>
      </c>
      <c r="B1007" s="1">
        <v>45699</v>
      </c>
      <c r="C1007">
        <v>22</v>
      </c>
      <c r="D1007">
        <v>0.55900000000000005</v>
      </c>
      <c r="E1007" t="s">
        <v>6</v>
      </c>
      <c r="F1007">
        <v>0.27570999999999996</v>
      </c>
    </row>
    <row r="1008" spans="1:6" x14ac:dyDescent="0.3">
      <c r="A1008" t="s">
        <v>5</v>
      </c>
      <c r="B1008" s="1">
        <v>45699</v>
      </c>
      <c r="C1008">
        <v>23</v>
      </c>
      <c r="D1008">
        <v>0.78800000000000003</v>
      </c>
      <c r="E1008" t="s">
        <v>6</v>
      </c>
      <c r="F1008">
        <v>0.19761000000000001</v>
      </c>
    </row>
    <row r="1009" spans="1:6" x14ac:dyDescent="0.3">
      <c r="A1009" t="s">
        <v>5</v>
      </c>
      <c r="B1009" s="1">
        <v>45699</v>
      </c>
      <c r="C1009">
        <v>24</v>
      </c>
      <c r="D1009">
        <v>0.50600000000000001</v>
      </c>
      <c r="E1009" t="s">
        <v>6</v>
      </c>
      <c r="F1009">
        <v>0.18252000000000002</v>
      </c>
    </row>
    <row r="1010" spans="1:6" x14ac:dyDescent="0.3">
      <c r="A1010" t="s">
        <v>5</v>
      </c>
      <c r="B1010" s="1">
        <v>45700</v>
      </c>
      <c r="C1010">
        <v>1</v>
      </c>
      <c r="D1010">
        <v>0.71599999999999997</v>
      </c>
      <c r="E1010" t="s">
        <v>6</v>
      </c>
      <c r="F1010">
        <v>0.15458000000000002</v>
      </c>
    </row>
    <row r="1011" spans="1:6" x14ac:dyDescent="0.3">
      <c r="A1011" t="s">
        <v>5</v>
      </c>
      <c r="B1011" s="1">
        <v>45700</v>
      </c>
      <c r="C1011">
        <v>2</v>
      </c>
      <c r="D1011">
        <v>8.3000000000000004E-2</v>
      </c>
      <c r="E1011" t="s">
        <v>6</v>
      </c>
      <c r="F1011">
        <v>0.14757000000000001</v>
      </c>
    </row>
    <row r="1012" spans="1:6" x14ac:dyDescent="0.3">
      <c r="A1012" t="s">
        <v>5</v>
      </c>
      <c r="B1012" s="1">
        <v>45700</v>
      </c>
      <c r="C1012">
        <v>3</v>
      </c>
      <c r="D1012">
        <v>0.14699999999999999</v>
      </c>
      <c r="E1012" t="s">
        <v>6</v>
      </c>
      <c r="F1012">
        <v>0.14924999999999999</v>
      </c>
    </row>
    <row r="1013" spans="1:6" x14ac:dyDescent="0.3">
      <c r="A1013" t="s">
        <v>5</v>
      </c>
      <c r="B1013" s="1">
        <v>45700</v>
      </c>
      <c r="C1013">
        <v>4</v>
      </c>
      <c r="D1013">
        <v>0.13300000000000001</v>
      </c>
      <c r="E1013" t="s">
        <v>6</v>
      </c>
      <c r="F1013">
        <v>0.14449000000000001</v>
      </c>
    </row>
    <row r="1014" spans="1:6" x14ac:dyDescent="0.3">
      <c r="A1014" t="s">
        <v>5</v>
      </c>
      <c r="B1014" s="1">
        <v>45700</v>
      </c>
      <c r="C1014">
        <v>5</v>
      </c>
      <c r="D1014">
        <v>0.14699999999999999</v>
      </c>
      <c r="E1014" t="s">
        <v>6</v>
      </c>
      <c r="F1014">
        <v>0.14188999999999999</v>
      </c>
    </row>
    <row r="1015" spans="1:6" x14ac:dyDescent="0.3">
      <c r="A1015" t="s">
        <v>5</v>
      </c>
      <c r="B1015" s="1">
        <v>45700</v>
      </c>
      <c r="C1015">
        <v>6</v>
      </c>
      <c r="D1015">
        <v>0.14099999999999999</v>
      </c>
      <c r="E1015" t="s">
        <v>6</v>
      </c>
      <c r="F1015">
        <v>0.14424000000000001</v>
      </c>
    </row>
    <row r="1016" spans="1:6" x14ac:dyDescent="0.3">
      <c r="A1016" t="s">
        <v>5</v>
      </c>
      <c r="B1016" s="1">
        <v>45700</v>
      </c>
      <c r="C1016">
        <v>7</v>
      </c>
      <c r="D1016">
        <v>0.191</v>
      </c>
      <c r="E1016" t="s">
        <v>6</v>
      </c>
      <c r="F1016">
        <v>0.14771000000000001</v>
      </c>
    </row>
    <row r="1017" spans="1:6" x14ac:dyDescent="0.3">
      <c r="A1017" t="s">
        <v>5</v>
      </c>
      <c r="B1017" s="1">
        <v>45700</v>
      </c>
      <c r="C1017">
        <v>8</v>
      </c>
      <c r="D1017">
        <v>0.19700000000000001</v>
      </c>
      <c r="E1017" t="s">
        <v>6</v>
      </c>
      <c r="F1017">
        <v>0.19419999999999998</v>
      </c>
    </row>
    <row r="1018" spans="1:6" x14ac:dyDescent="0.3">
      <c r="A1018" t="s">
        <v>5</v>
      </c>
      <c r="B1018" s="1">
        <v>45700</v>
      </c>
      <c r="C1018">
        <v>9</v>
      </c>
      <c r="D1018">
        <v>0.14599999999999999</v>
      </c>
      <c r="E1018" t="s">
        <v>6</v>
      </c>
      <c r="F1018">
        <v>0.24481</v>
      </c>
    </row>
    <row r="1019" spans="1:6" x14ac:dyDescent="0.3">
      <c r="A1019" t="s">
        <v>5</v>
      </c>
      <c r="B1019" s="1">
        <v>45700</v>
      </c>
      <c r="C1019">
        <v>10</v>
      </c>
      <c r="D1019">
        <v>0.17100000000000001</v>
      </c>
      <c r="E1019" t="s">
        <v>6</v>
      </c>
      <c r="F1019">
        <v>0.20727000000000001</v>
      </c>
    </row>
    <row r="1020" spans="1:6" x14ac:dyDescent="0.3">
      <c r="A1020" t="s">
        <v>5</v>
      </c>
      <c r="B1020" s="1">
        <v>45700</v>
      </c>
      <c r="C1020">
        <v>11</v>
      </c>
      <c r="D1020">
        <v>0.126</v>
      </c>
      <c r="E1020" t="s">
        <v>6</v>
      </c>
      <c r="F1020">
        <v>0.22134999999999999</v>
      </c>
    </row>
    <row r="1021" spans="1:6" x14ac:dyDescent="0.3">
      <c r="A1021" t="s">
        <v>5</v>
      </c>
      <c r="B1021" s="1">
        <v>45700</v>
      </c>
      <c r="C1021">
        <v>12</v>
      </c>
      <c r="D1021">
        <v>0.14299999999999999</v>
      </c>
      <c r="E1021" t="s">
        <v>6</v>
      </c>
      <c r="F1021">
        <v>0.19475999999999999</v>
      </c>
    </row>
    <row r="1022" spans="1:6" x14ac:dyDescent="0.3">
      <c r="A1022" t="s">
        <v>5</v>
      </c>
      <c r="B1022" s="1">
        <v>45700</v>
      </c>
      <c r="C1022">
        <v>13</v>
      </c>
      <c r="D1022">
        <v>0.124</v>
      </c>
      <c r="E1022" t="s">
        <v>6</v>
      </c>
      <c r="F1022">
        <v>0.18084</v>
      </c>
    </row>
    <row r="1023" spans="1:6" x14ac:dyDescent="0.3">
      <c r="A1023" t="s">
        <v>5</v>
      </c>
      <c r="B1023" s="1">
        <v>45700</v>
      </c>
      <c r="C1023">
        <v>14</v>
      </c>
      <c r="D1023">
        <v>0.14399999999999999</v>
      </c>
      <c r="E1023" t="s">
        <v>6</v>
      </c>
      <c r="F1023">
        <v>0.18703999999999998</v>
      </c>
    </row>
    <row r="1024" spans="1:6" x14ac:dyDescent="0.3">
      <c r="A1024" t="s">
        <v>5</v>
      </c>
      <c r="B1024" s="1">
        <v>45700</v>
      </c>
      <c r="C1024">
        <v>15</v>
      </c>
      <c r="D1024">
        <v>0.21099999999999999</v>
      </c>
      <c r="E1024" t="s">
        <v>6</v>
      </c>
      <c r="F1024">
        <v>0.10511</v>
      </c>
    </row>
    <row r="1025" spans="1:6" x14ac:dyDescent="0.3">
      <c r="A1025" t="s">
        <v>5</v>
      </c>
      <c r="B1025" s="1">
        <v>45700</v>
      </c>
      <c r="C1025">
        <v>16</v>
      </c>
      <c r="D1025">
        <v>0.20200000000000001</v>
      </c>
      <c r="E1025" t="s">
        <v>6</v>
      </c>
      <c r="F1025">
        <v>0.1036</v>
      </c>
    </row>
    <row r="1026" spans="1:6" x14ac:dyDescent="0.3">
      <c r="A1026" t="s">
        <v>5</v>
      </c>
      <c r="B1026" s="1">
        <v>45700</v>
      </c>
      <c r="C1026">
        <v>17</v>
      </c>
      <c r="D1026">
        <v>0.14499999999999999</v>
      </c>
      <c r="E1026" t="s">
        <v>6</v>
      </c>
      <c r="F1026">
        <v>0.12803999999999999</v>
      </c>
    </row>
    <row r="1027" spans="1:6" x14ac:dyDescent="0.3">
      <c r="A1027" t="s">
        <v>5</v>
      </c>
      <c r="B1027" s="1">
        <v>45700</v>
      </c>
      <c r="C1027">
        <v>18</v>
      </c>
      <c r="D1027">
        <v>8.2000000000000003E-2</v>
      </c>
      <c r="E1027" t="s">
        <v>6</v>
      </c>
      <c r="F1027">
        <v>0.15827000000000002</v>
      </c>
    </row>
    <row r="1028" spans="1:6" x14ac:dyDescent="0.3">
      <c r="A1028" t="s">
        <v>5</v>
      </c>
      <c r="B1028" s="1">
        <v>45700</v>
      </c>
      <c r="C1028">
        <v>19</v>
      </c>
      <c r="D1028">
        <v>0.69599999999999995</v>
      </c>
      <c r="E1028" t="s">
        <v>6</v>
      </c>
      <c r="F1028">
        <v>0.26823000000000002</v>
      </c>
    </row>
    <row r="1029" spans="1:6" x14ac:dyDescent="0.3">
      <c r="A1029" t="s">
        <v>5</v>
      </c>
      <c r="B1029" s="1">
        <v>45700</v>
      </c>
      <c r="C1029">
        <v>20</v>
      </c>
      <c r="D1029">
        <v>0.33</v>
      </c>
      <c r="E1029" t="s">
        <v>6</v>
      </c>
      <c r="F1029">
        <v>0.32344000000000001</v>
      </c>
    </row>
    <row r="1030" spans="1:6" x14ac:dyDescent="0.3">
      <c r="A1030" t="s">
        <v>5</v>
      </c>
      <c r="B1030" s="1">
        <v>45700</v>
      </c>
      <c r="C1030">
        <v>21</v>
      </c>
      <c r="D1030">
        <v>0.89100000000000001</v>
      </c>
      <c r="E1030" t="s">
        <v>6</v>
      </c>
      <c r="F1030">
        <v>0.30323</v>
      </c>
    </row>
    <row r="1031" spans="1:6" x14ac:dyDescent="0.3">
      <c r="A1031" t="s">
        <v>5</v>
      </c>
      <c r="B1031" s="1">
        <v>45700</v>
      </c>
      <c r="C1031">
        <v>22</v>
      </c>
      <c r="D1031">
        <v>0.57599999999999996</v>
      </c>
      <c r="E1031" t="s">
        <v>6</v>
      </c>
      <c r="F1031">
        <v>0.27985000000000004</v>
      </c>
    </row>
    <row r="1032" spans="1:6" x14ac:dyDescent="0.3">
      <c r="A1032" t="s">
        <v>5</v>
      </c>
      <c r="B1032" s="1">
        <v>45700</v>
      </c>
      <c r="C1032">
        <v>23</v>
      </c>
      <c r="D1032">
        <v>0.311</v>
      </c>
      <c r="E1032" t="s">
        <v>6</v>
      </c>
      <c r="F1032">
        <v>0.20995</v>
      </c>
    </row>
    <row r="1033" spans="1:6" x14ac:dyDescent="0.3">
      <c r="A1033" t="s">
        <v>5</v>
      </c>
      <c r="B1033" s="1">
        <v>45700</v>
      </c>
      <c r="C1033">
        <v>24</v>
      </c>
      <c r="D1033">
        <v>0.27200000000000002</v>
      </c>
      <c r="E1033" t="s">
        <v>6</v>
      </c>
      <c r="F1033">
        <v>0.19902</v>
      </c>
    </row>
    <row r="1034" spans="1:6" x14ac:dyDescent="0.3">
      <c r="A1034" t="s">
        <v>5</v>
      </c>
      <c r="B1034" s="1">
        <v>45701</v>
      </c>
      <c r="C1034">
        <v>1</v>
      </c>
      <c r="D1034">
        <v>0.311</v>
      </c>
      <c r="E1034" t="s">
        <v>6</v>
      </c>
      <c r="F1034">
        <v>0.15531</v>
      </c>
    </row>
    <row r="1035" spans="1:6" x14ac:dyDescent="0.3">
      <c r="A1035" t="s">
        <v>5</v>
      </c>
      <c r="B1035" s="1">
        <v>45701</v>
      </c>
      <c r="C1035">
        <v>2</v>
      </c>
      <c r="D1035">
        <v>0.29199999999999998</v>
      </c>
      <c r="E1035" t="s">
        <v>6</v>
      </c>
      <c r="F1035">
        <v>0.14837</v>
      </c>
    </row>
    <row r="1036" spans="1:6" x14ac:dyDescent="0.3">
      <c r="A1036" t="s">
        <v>5</v>
      </c>
      <c r="B1036" s="1">
        <v>45701</v>
      </c>
      <c r="C1036">
        <v>3</v>
      </c>
      <c r="D1036">
        <v>0.33900000000000002</v>
      </c>
      <c r="E1036" t="s">
        <v>6</v>
      </c>
      <c r="F1036">
        <v>0.15928</v>
      </c>
    </row>
    <row r="1037" spans="1:6" x14ac:dyDescent="0.3">
      <c r="A1037" t="s">
        <v>5</v>
      </c>
      <c r="B1037" s="1">
        <v>45701</v>
      </c>
      <c r="C1037">
        <v>4</v>
      </c>
      <c r="D1037">
        <v>0.14699999999999999</v>
      </c>
      <c r="E1037" t="s">
        <v>6</v>
      </c>
      <c r="F1037">
        <v>0.14843999999999999</v>
      </c>
    </row>
    <row r="1038" spans="1:6" x14ac:dyDescent="0.3">
      <c r="A1038" t="s">
        <v>5</v>
      </c>
      <c r="B1038" s="1">
        <v>45701</v>
      </c>
      <c r="C1038">
        <v>5</v>
      </c>
      <c r="D1038">
        <v>0.14099999999999999</v>
      </c>
      <c r="E1038" t="s">
        <v>6</v>
      </c>
      <c r="F1038">
        <v>0.14324999999999999</v>
      </c>
    </row>
    <row r="1039" spans="1:6" x14ac:dyDescent="0.3">
      <c r="A1039" t="s">
        <v>5</v>
      </c>
      <c r="B1039" s="1">
        <v>45701</v>
      </c>
      <c r="C1039">
        <v>6</v>
      </c>
      <c r="D1039">
        <v>0.14499999999999999</v>
      </c>
      <c r="E1039" t="s">
        <v>6</v>
      </c>
      <c r="F1039">
        <v>0.13300999999999999</v>
      </c>
    </row>
    <row r="1040" spans="1:6" x14ac:dyDescent="0.3">
      <c r="A1040" t="s">
        <v>5</v>
      </c>
      <c r="B1040" s="1">
        <v>45701</v>
      </c>
      <c r="C1040">
        <v>7</v>
      </c>
      <c r="D1040">
        <v>0.125</v>
      </c>
      <c r="E1040" t="s">
        <v>6</v>
      </c>
      <c r="F1040">
        <v>0.15894999999999998</v>
      </c>
    </row>
    <row r="1041" spans="1:6" x14ac:dyDescent="0.3">
      <c r="A1041" t="s">
        <v>5</v>
      </c>
      <c r="B1041" s="1">
        <v>45701</v>
      </c>
      <c r="C1041">
        <v>8</v>
      </c>
      <c r="D1041">
        <v>0.151</v>
      </c>
      <c r="E1041" t="s">
        <v>6</v>
      </c>
      <c r="F1041">
        <v>0.19115000000000001</v>
      </c>
    </row>
    <row r="1042" spans="1:6" x14ac:dyDescent="0.3">
      <c r="A1042" t="s">
        <v>5</v>
      </c>
      <c r="B1042" s="1">
        <v>45701</v>
      </c>
      <c r="C1042">
        <v>9</v>
      </c>
      <c r="D1042">
        <v>0.16</v>
      </c>
      <c r="E1042" t="s">
        <v>6</v>
      </c>
      <c r="F1042">
        <v>0.25564999999999999</v>
      </c>
    </row>
    <row r="1043" spans="1:6" x14ac:dyDescent="0.3">
      <c r="A1043" t="s">
        <v>5</v>
      </c>
      <c r="B1043" s="1">
        <v>45701</v>
      </c>
      <c r="C1043">
        <v>10</v>
      </c>
      <c r="D1043">
        <v>0.17299999999999999</v>
      </c>
      <c r="E1043" t="s">
        <v>6</v>
      </c>
      <c r="F1043">
        <v>0.20185</v>
      </c>
    </row>
    <row r="1044" spans="1:6" x14ac:dyDescent="0.3">
      <c r="A1044" t="s">
        <v>5</v>
      </c>
      <c r="B1044" s="1">
        <v>45701</v>
      </c>
      <c r="C1044">
        <v>11</v>
      </c>
      <c r="D1044">
        <v>0.18099999999999999</v>
      </c>
      <c r="E1044" t="s">
        <v>6</v>
      </c>
      <c r="F1044">
        <v>0.20885000000000001</v>
      </c>
    </row>
    <row r="1045" spans="1:6" x14ac:dyDescent="0.3">
      <c r="A1045" t="s">
        <v>5</v>
      </c>
      <c r="B1045" s="1">
        <v>45701</v>
      </c>
      <c r="C1045">
        <v>12</v>
      </c>
      <c r="D1045">
        <v>0.127</v>
      </c>
      <c r="E1045" t="s">
        <v>6</v>
      </c>
      <c r="F1045">
        <v>0.19950999999999999</v>
      </c>
    </row>
    <row r="1046" spans="1:6" x14ac:dyDescent="0.3">
      <c r="A1046" t="s">
        <v>5</v>
      </c>
      <c r="B1046" s="1">
        <v>45701</v>
      </c>
      <c r="C1046">
        <v>13</v>
      </c>
      <c r="D1046">
        <v>0.129</v>
      </c>
      <c r="E1046" t="s">
        <v>6</v>
      </c>
      <c r="F1046">
        <v>0.19700999999999999</v>
      </c>
    </row>
    <row r="1047" spans="1:6" x14ac:dyDescent="0.3">
      <c r="A1047" t="s">
        <v>5</v>
      </c>
      <c r="B1047" s="1">
        <v>45701</v>
      </c>
      <c r="C1047">
        <v>14</v>
      </c>
      <c r="D1047">
        <v>0.94199999999999995</v>
      </c>
      <c r="E1047" t="s">
        <v>6</v>
      </c>
      <c r="F1047">
        <v>0.18621000000000001</v>
      </c>
    </row>
    <row r="1048" spans="1:6" x14ac:dyDescent="0.3">
      <c r="A1048" t="s">
        <v>5</v>
      </c>
      <c r="B1048" s="1">
        <v>45701</v>
      </c>
      <c r="C1048">
        <v>15</v>
      </c>
      <c r="D1048">
        <v>0.30599999999999999</v>
      </c>
      <c r="E1048" t="s">
        <v>6</v>
      </c>
      <c r="F1048">
        <v>0.11774</v>
      </c>
    </row>
    <row r="1049" spans="1:6" x14ac:dyDescent="0.3">
      <c r="A1049" t="s">
        <v>5</v>
      </c>
      <c r="B1049" s="1">
        <v>45701</v>
      </c>
      <c r="C1049">
        <v>16</v>
      </c>
      <c r="D1049">
        <v>0.19</v>
      </c>
      <c r="E1049" t="s">
        <v>6</v>
      </c>
      <c r="F1049">
        <v>0.12276999999999999</v>
      </c>
    </row>
    <row r="1050" spans="1:6" x14ac:dyDescent="0.3">
      <c r="A1050" t="s">
        <v>5</v>
      </c>
      <c r="B1050" s="1">
        <v>45701</v>
      </c>
      <c r="C1050">
        <v>17</v>
      </c>
      <c r="D1050">
        <v>0.22</v>
      </c>
      <c r="E1050" t="s">
        <v>6</v>
      </c>
      <c r="F1050">
        <v>0.13506000000000001</v>
      </c>
    </row>
    <row r="1051" spans="1:6" x14ac:dyDescent="0.3">
      <c r="A1051" t="s">
        <v>5</v>
      </c>
      <c r="B1051" s="1">
        <v>45701</v>
      </c>
      <c r="C1051">
        <v>18</v>
      </c>
      <c r="D1051">
        <v>0.26200000000000001</v>
      </c>
      <c r="E1051" t="s">
        <v>6</v>
      </c>
      <c r="F1051">
        <v>0.18004000000000001</v>
      </c>
    </row>
    <row r="1052" spans="1:6" x14ac:dyDescent="0.3">
      <c r="A1052" t="s">
        <v>5</v>
      </c>
      <c r="B1052" s="1">
        <v>45701</v>
      </c>
      <c r="C1052">
        <v>19</v>
      </c>
      <c r="D1052">
        <v>7.4999999999999997E-2</v>
      </c>
      <c r="E1052" t="s">
        <v>6</v>
      </c>
      <c r="F1052">
        <v>0.30920999999999998</v>
      </c>
    </row>
    <row r="1053" spans="1:6" x14ac:dyDescent="0.3">
      <c r="A1053" t="s">
        <v>5</v>
      </c>
      <c r="B1053" s="1">
        <v>45701</v>
      </c>
      <c r="C1053">
        <v>20</v>
      </c>
      <c r="D1053">
        <v>0.253</v>
      </c>
      <c r="E1053" t="s">
        <v>6</v>
      </c>
      <c r="F1053">
        <v>0.32066</v>
      </c>
    </row>
    <row r="1054" spans="1:6" x14ac:dyDescent="0.3">
      <c r="A1054" t="s">
        <v>5</v>
      </c>
      <c r="B1054" s="1">
        <v>45701</v>
      </c>
      <c r="C1054">
        <v>21</v>
      </c>
      <c r="D1054">
        <v>0.28599999999999998</v>
      </c>
      <c r="E1054" t="s">
        <v>6</v>
      </c>
      <c r="F1054">
        <v>0.32583999999999996</v>
      </c>
    </row>
    <row r="1055" spans="1:6" x14ac:dyDescent="0.3">
      <c r="A1055" t="s">
        <v>5</v>
      </c>
      <c r="B1055" s="1">
        <v>45701</v>
      </c>
      <c r="C1055">
        <v>22</v>
      </c>
      <c r="D1055">
        <v>0.49</v>
      </c>
      <c r="E1055" t="s">
        <v>6</v>
      </c>
      <c r="F1055">
        <v>0.28648000000000001</v>
      </c>
    </row>
    <row r="1056" spans="1:6" x14ac:dyDescent="0.3">
      <c r="A1056" t="s">
        <v>5</v>
      </c>
      <c r="B1056" s="1">
        <v>45701</v>
      </c>
      <c r="C1056">
        <v>23</v>
      </c>
      <c r="D1056">
        <v>0.20200000000000001</v>
      </c>
      <c r="E1056" t="s">
        <v>6</v>
      </c>
      <c r="F1056">
        <v>0.20397999999999999</v>
      </c>
    </row>
    <row r="1057" spans="1:6" x14ac:dyDescent="0.3">
      <c r="A1057" t="s">
        <v>5</v>
      </c>
      <c r="B1057" s="1">
        <v>45701</v>
      </c>
      <c r="C1057">
        <v>24</v>
      </c>
      <c r="D1057">
        <v>0.188</v>
      </c>
      <c r="E1057" t="s">
        <v>6</v>
      </c>
      <c r="F1057">
        <v>0.19321000000000002</v>
      </c>
    </row>
    <row r="1058" spans="1:6" x14ac:dyDescent="0.3">
      <c r="A1058" t="s">
        <v>5</v>
      </c>
      <c r="B1058" s="1">
        <v>45702</v>
      </c>
      <c r="C1058">
        <v>1</v>
      </c>
      <c r="D1058">
        <v>0.155</v>
      </c>
      <c r="E1058" t="s">
        <v>6</v>
      </c>
      <c r="F1058">
        <v>0.15866</v>
      </c>
    </row>
    <row r="1059" spans="1:6" x14ac:dyDescent="0.3">
      <c r="A1059" t="s">
        <v>5</v>
      </c>
      <c r="B1059" s="1">
        <v>45702</v>
      </c>
      <c r="C1059">
        <v>2</v>
      </c>
      <c r="D1059">
        <v>0.23200000000000001</v>
      </c>
      <c r="E1059" t="s">
        <v>6</v>
      </c>
      <c r="F1059">
        <v>0.15816999999999998</v>
      </c>
    </row>
    <row r="1060" spans="1:6" x14ac:dyDescent="0.3">
      <c r="A1060" t="s">
        <v>5</v>
      </c>
      <c r="B1060" s="1">
        <v>45702</v>
      </c>
      <c r="C1060">
        <v>3</v>
      </c>
      <c r="D1060">
        <v>0.17599999999999999</v>
      </c>
      <c r="E1060" t="s">
        <v>6</v>
      </c>
      <c r="F1060">
        <v>0.14868999999999999</v>
      </c>
    </row>
    <row r="1061" spans="1:6" x14ac:dyDescent="0.3">
      <c r="A1061" t="s">
        <v>5</v>
      </c>
      <c r="B1061" s="1">
        <v>45702</v>
      </c>
      <c r="C1061">
        <v>4</v>
      </c>
      <c r="D1061">
        <v>0.156</v>
      </c>
      <c r="E1061" t="s">
        <v>6</v>
      </c>
      <c r="F1061">
        <v>0.13958000000000001</v>
      </c>
    </row>
    <row r="1062" spans="1:6" x14ac:dyDescent="0.3">
      <c r="A1062" t="s">
        <v>5</v>
      </c>
      <c r="B1062" s="1">
        <v>45702</v>
      </c>
      <c r="C1062">
        <v>5</v>
      </c>
      <c r="D1062">
        <v>0.13500000000000001</v>
      </c>
      <c r="E1062" t="s">
        <v>6</v>
      </c>
      <c r="F1062">
        <v>0.13478000000000001</v>
      </c>
    </row>
    <row r="1063" spans="1:6" x14ac:dyDescent="0.3">
      <c r="A1063" t="s">
        <v>5</v>
      </c>
      <c r="B1063" s="1">
        <v>45702</v>
      </c>
      <c r="C1063">
        <v>6</v>
      </c>
      <c r="D1063">
        <v>0.72899999999999998</v>
      </c>
      <c r="E1063" t="s">
        <v>6</v>
      </c>
      <c r="F1063">
        <v>0.14638999999999999</v>
      </c>
    </row>
    <row r="1064" spans="1:6" x14ac:dyDescent="0.3">
      <c r="A1064" t="s">
        <v>5</v>
      </c>
      <c r="B1064" s="1">
        <v>45702</v>
      </c>
      <c r="C1064">
        <v>7</v>
      </c>
      <c r="D1064">
        <v>0.17</v>
      </c>
      <c r="E1064" t="s">
        <v>6</v>
      </c>
      <c r="F1064">
        <v>0.16096000000000002</v>
      </c>
    </row>
    <row r="1065" spans="1:6" x14ac:dyDescent="0.3">
      <c r="A1065" t="s">
        <v>5</v>
      </c>
      <c r="B1065" s="1">
        <v>45702</v>
      </c>
      <c r="C1065">
        <v>8</v>
      </c>
      <c r="D1065">
        <v>0.13700000000000001</v>
      </c>
      <c r="E1065" t="s">
        <v>6</v>
      </c>
      <c r="F1065">
        <v>0.19322999999999999</v>
      </c>
    </row>
    <row r="1066" spans="1:6" x14ac:dyDescent="0.3">
      <c r="A1066" t="s">
        <v>5</v>
      </c>
      <c r="B1066" s="1">
        <v>45702</v>
      </c>
      <c r="C1066">
        <v>9</v>
      </c>
      <c r="D1066">
        <v>0.219</v>
      </c>
      <c r="E1066" t="s">
        <v>6</v>
      </c>
      <c r="F1066">
        <v>0.25080000000000002</v>
      </c>
    </row>
    <row r="1067" spans="1:6" x14ac:dyDescent="0.3">
      <c r="A1067" t="s">
        <v>5</v>
      </c>
      <c r="B1067" s="1">
        <v>45702</v>
      </c>
      <c r="C1067">
        <v>10</v>
      </c>
      <c r="D1067">
        <v>0.16600000000000001</v>
      </c>
      <c r="E1067" t="s">
        <v>6</v>
      </c>
      <c r="F1067">
        <v>0.18143000000000001</v>
      </c>
    </row>
    <row r="1068" spans="1:6" x14ac:dyDescent="0.3">
      <c r="A1068" t="s">
        <v>5</v>
      </c>
      <c r="B1068" s="1">
        <v>45702</v>
      </c>
      <c r="C1068">
        <v>11</v>
      </c>
      <c r="D1068">
        <v>0.23100000000000001</v>
      </c>
      <c r="E1068" t="s">
        <v>6</v>
      </c>
      <c r="F1068">
        <v>0.20200000000000001</v>
      </c>
    </row>
    <row r="1069" spans="1:6" x14ac:dyDescent="0.3">
      <c r="A1069" t="s">
        <v>5</v>
      </c>
      <c r="B1069" s="1">
        <v>45702</v>
      </c>
      <c r="C1069">
        <v>12</v>
      </c>
      <c r="D1069">
        <v>0.154</v>
      </c>
      <c r="E1069" t="s">
        <v>6</v>
      </c>
      <c r="F1069">
        <v>0.1754</v>
      </c>
    </row>
    <row r="1070" spans="1:6" x14ac:dyDescent="0.3">
      <c r="A1070" t="s">
        <v>5</v>
      </c>
      <c r="B1070" s="1">
        <v>45702</v>
      </c>
      <c r="C1070">
        <v>13</v>
      </c>
      <c r="D1070">
        <v>0.106</v>
      </c>
      <c r="E1070" t="s">
        <v>6</v>
      </c>
      <c r="F1070">
        <v>0.16388</v>
      </c>
    </row>
    <row r="1071" spans="1:6" x14ac:dyDescent="0.3">
      <c r="A1071" t="s">
        <v>5</v>
      </c>
      <c r="B1071" s="1">
        <v>45702</v>
      </c>
      <c r="C1071">
        <v>14</v>
      </c>
      <c r="D1071">
        <v>7.2999999999999995E-2</v>
      </c>
      <c r="E1071" t="s">
        <v>6</v>
      </c>
      <c r="F1071">
        <v>0.16709000000000002</v>
      </c>
    </row>
    <row r="1072" spans="1:6" x14ac:dyDescent="0.3">
      <c r="A1072" t="s">
        <v>5</v>
      </c>
      <c r="B1072" s="1">
        <v>45702</v>
      </c>
      <c r="C1072">
        <v>15</v>
      </c>
      <c r="D1072">
        <v>8.1000000000000003E-2</v>
      </c>
      <c r="E1072" t="s">
        <v>6</v>
      </c>
      <c r="F1072">
        <v>9.0020000000000003E-2</v>
      </c>
    </row>
    <row r="1073" spans="1:6" x14ac:dyDescent="0.3">
      <c r="A1073" t="s">
        <v>5</v>
      </c>
      <c r="B1073" s="1">
        <v>45702</v>
      </c>
      <c r="C1073">
        <v>16</v>
      </c>
      <c r="D1073">
        <v>6.6000000000000003E-2</v>
      </c>
      <c r="E1073" t="s">
        <v>6</v>
      </c>
      <c r="F1073">
        <v>9.0680000000000011E-2</v>
      </c>
    </row>
    <row r="1074" spans="1:6" x14ac:dyDescent="0.3">
      <c r="A1074" t="s">
        <v>5</v>
      </c>
      <c r="B1074" s="1">
        <v>45702</v>
      </c>
      <c r="C1074">
        <v>17</v>
      </c>
      <c r="D1074">
        <v>7.1999999999999995E-2</v>
      </c>
      <c r="E1074" t="s">
        <v>6</v>
      </c>
      <c r="F1074">
        <v>0.10488</v>
      </c>
    </row>
    <row r="1075" spans="1:6" x14ac:dyDescent="0.3">
      <c r="A1075" t="s">
        <v>5</v>
      </c>
      <c r="B1075" s="1">
        <v>45702</v>
      </c>
      <c r="C1075">
        <v>18</v>
      </c>
      <c r="D1075">
        <v>0.14299999999999999</v>
      </c>
      <c r="E1075" t="s">
        <v>6</v>
      </c>
      <c r="F1075">
        <v>0.16355</v>
      </c>
    </row>
    <row r="1076" spans="1:6" x14ac:dyDescent="0.3">
      <c r="A1076" t="s">
        <v>5</v>
      </c>
      <c r="B1076" s="1">
        <v>45702</v>
      </c>
      <c r="C1076">
        <v>19</v>
      </c>
      <c r="D1076">
        <v>6.3E-2</v>
      </c>
      <c r="E1076" t="s">
        <v>6</v>
      </c>
      <c r="F1076">
        <v>0.29148000000000002</v>
      </c>
    </row>
    <row r="1077" spans="1:6" x14ac:dyDescent="0.3">
      <c r="A1077" t="s">
        <v>5</v>
      </c>
      <c r="B1077" s="1">
        <v>45702</v>
      </c>
      <c r="C1077">
        <v>20</v>
      </c>
      <c r="D1077">
        <v>7.0999999999999994E-2</v>
      </c>
      <c r="E1077" t="s">
        <v>6</v>
      </c>
      <c r="F1077">
        <v>0.33111000000000002</v>
      </c>
    </row>
    <row r="1078" spans="1:6" x14ac:dyDescent="0.3">
      <c r="A1078" t="s">
        <v>5</v>
      </c>
      <c r="B1078" s="1">
        <v>45702</v>
      </c>
      <c r="C1078">
        <v>21</v>
      </c>
      <c r="D1078">
        <v>7.9000000000000001E-2</v>
      </c>
      <c r="E1078" t="s">
        <v>6</v>
      </c>
      <c r="F1078">
        <v>0.30942000000000003</v>
      </c>
    </row>
    <row r="1079" spans="1:6" x14ac:dyDescent="0.3">
      <c r="A1079" t="s">
        <v>5</v>
      </c>
      <c r="B1079" s="1">
        <v>45702</v>
      </c>
      <c r="C1079">
        <v>22</v>
      </c>
      <c r="D1079">
        <v>6.3E-2</v>
      </c>
      <c r="E1079" t="s">
        <v>6</v>
      </c>
      <c r="F1079">
        <v>0.28160000000000002</v>
      </c>
    </row>
    <row r="1080" spans="1:6" x14ac:dyDescent="0.3">
      <c r="A1080" t="s">
        <v>5</v>
      </c>
      <c r="B1080" s="1">
        <v>45702</v>
      </c>
      <c r="C1080">
        <v>23</v>
      </c>
      <c r="D1080">
        <v>7.0999999999999994E-2</v>
      </c>
      <c r="E1080" t="s">
        <v>6</v>
      </c>
      <c r="F1080">
        <v>0.20773</v>
      </c>
    </row>
    <row r="1081" spans="1:6" x14ac:dyDescent="0.3">
      <c r="A1081" t="s">
        <v>5</v>
      </c>
      <c r="B1081" s="1">
        <v>45702</v>
      </c>
      <c r="C1081">
        <v>24</v>
      </c>
      <c r="D1081">
        <v>7.8E-2</v>
      </c>
      <c r="E1081" t="s">
        <v>6</v>
      </c>
      <c r="F1081">
        <v>0.19515000000000002</v>
      </c>
    </row>
    <row r="1082" spans="1:6" x14ac:dyDescent="0.3">
      <c r="A1082" t="s">
        <v>5</v>
      </c>
      <c r="B1082" s="1">
        <v>45703</v>
      </c>
      <c r="C1082">
        <v>1</v>
      </c>
      <c r="D1082">
        <v>6.2E-2</v>
      </c>
      <c r="E1082" t="s">
        <v>6</v>
      </c>
      <c r="F1082">
        <v>0.16319999999999998</v>
      </c>
    </row>
    <row r="1083" spans="1:6" x14ac:dyDescent="0.3">
      <c r="A1083" t="s">
        <v>5</v>
      </c>
      <c r="B1083" s="1">
        <v>45703</v>
      </c>
      <c r="C1083">
        <v>2</v>
      </c>
      <c r="D1083">
        <v>7.0000000000000007E-2</v>
      </c>
      <c r="E1083" t="s">
        <v>6</v>
      </c>
      <c r="F1083">
        <v>0.16174000000000002</v>
      </c>
    </row>
    <row r="1084" spans="1:6" x14ac:dyDescent="0.3">
      <c r="A1084" t="s">
        <v>5</v>
      </c>
      <c r="B1084" s="1">
        <v>45703</v>
      </c>
      <c r="C1084">
        <v>3</v>
      </c>
      <c r="D1084">
        <v>7.6999999999999999E-2</v>
      </c>
      <c r="E1084" t="s">
        <v>6</v>
      </c>
      <c r="F1084">
        <v>0.15243999999999999</v>
      </c>
    </row>
    <row r="1085" spans="1:6" x14ac:dyDescent="0.3">
      <c r="A1085" t="s">
        <v>5</v>
      </c>
      <c r="B1085" s="1">
        <v>45703</v>
      </c>
      <c r="C1085">
        <v>4</v>
      </c>
      <c r="D1085">
        <v>6.2E-2</v>
      </c>
      <c r="E1085" t="s">
        <v>6</v>
      </c>
      <c r="F1085">
        <v>0.14654</v>
      </c>
    </row>
    <row r="1086" spans="1:6" x14ac:dyDescent="0.3">
      <c r="A1086" t="s">
        <v>5</v>
      </c>
      <c r="B1086" s="1">
        <v>45703</v>
      </c>
      <c r="C1086">
        <v>5</v>
      </c>
      <c r="D1086">
        <v>6.8000000000000005E-2</v>
      </c>
      <c r="E1086" t="s">
        <v>6</v>
      </c>
      <c r="F1086">
        <v>0.14701</v>
      </c>
    </row>
    <row r="1087" spans="1:6" x14ac:dyDescent="0.3">
      <c r="A1087" t="s">
        <v>5</v>
      </c>
      <c r="B1087" s="1">
        <v>45703</v>
      </c>
      <c r="C1087">
        <v>6</v>
      </c>
      <c r="D1087">
        <v>8.1000000000000003E-2</v>
      </c>
      <c r="E1087" t="s">
        <v>6</v>
      </c>
      <c r="F1087">
        <v>0.14709999999999998</v>
      </c>
    </row>
    <row r="1088" spans="1:6" x14ac:dyDescent="0.3">
      <c r="A1088" t="s">
        <v>5</v>
      </c>
      <c r="B1088" s="1">
        <v>45703</v>
      </c>
      <c r="C1088">
        <v>7</v>
      </c>
      <c r="D1088">
        <v>6.2E-2</v>
      </c>
      <c r="E1088" t="s">
        <v>6</v>
      </c>
      <c r="F1088">
        <v>0.1434</v>
      </c>
    </row>
    <row r="1089" spans="1:6" x14ac:dyDescent="0.3">
      <c r="A1089" t="s">
        <v>5</v>
      </c>
      <c r="B1089" s="1">
        <v>45703</v>
      </c>
      <c r="C1089">
        <v>8</v>
      </c>
      <c r="D1089">
        <v>6.5000000000000002E-2</v>
      </c>
      <c r="E1089" t="s">
        <v>6</v>
      </c>
      <c r="F1089">
        <v>0.14587999999999998</v>
      </c>
    </row>
    <row r="1090" spans="1:6" x14ac:dyDescent="0.3">
      <c r="A1090" t="s">
        <v>5</v>
      </c>
      <c r="B1090" s="1">
        <v>45703</v>
      </c>
      <c r="C1090">
        <v>9</v>
      </c>
      <c r="D1090">
        <v>8.2000000000000003E-2</v>
      </c>
      <c r="E1090" t="s">
        <v>6</v>
      </c>
      <c r="F1090">
        <v>0.14202999999999999</v>
      </c>
    </row>
    <row r="1091" spans="1:6" x14ac:dyDescent="0.3">
      <c r="A1091" t="s">
        <v>5</v>
      </c>
      <c r="B1091" s="1">
        <v>45703</v>
      </c>
      <c r="C1091">
        <v>10</v>
      </c>
      <c r="D1091">
        <v>6.2E-2</v>
      </c>
      <c r="E1091" t="s">
        <v>6</v>
      </c>
      <c r="F1091">
        <v>0.12440000000000001</v>
      </c>
    </row>
    <row r="1092" spans="1:6" x14ac:dyDescent="0.3">
      <c r="A1092" t="s">
        <v>5</v>
      </c>
      <c r="B1092" s="1">
        <v>45703</v>
      </c>
      <c r="C1092">
        <v>11</v>
      </c>
      <c r="D1092">
        <v>6.2E-2</v>
      </c>
      <c r="E1092" t="s">
        <v>6</v>
      </c>
      <c r="F1092">
        <v>9.7250000000000003E-2</v>
      </c>
    </row>
    <row r="1093" spans="1:6" x14ac:dyDescent="0.3">
      <c r="A1093" t="s">
        <v>5</v>
      </c>
      <c r="B1093" s="1">
        <v>45703</v>
      </c>
      <c r="C1093">
        <v>12</v>
      </c>
      <c r="D1093">
        <v>8.4000000000000005E-2</v>
      </c>
      <c r="E1093" t="s">
        <v>6</v>
      </c>
      <c r="F1093">
        <v>7.7849999999999989E-2</v>
      </c>
    </row>
    <row r="1094" spans="1:6" x14ac:dyDescent="0.3">
      <c r="A1094" t="s">
        <v>5</v>
      </c>
      <c r="B1094" s="1">
        <v>45703</v>
      </c>
      <c r="C1094">
        <v>13</v>
      </c>
      <c r="D1094">
        <v>6.2E-2</v>
      </c>
      <c r="E1094" t="s">
        <v>6</v>
      </c>
      <c r="F1094">
        <v>5.883E-2</v>
      </c>
    </row>
    <row r="1095" spans="1:6" x14ac:dyDescent="0.3">
      <c r="A1095" t="s">
        <v>5</v>
      </c>
      <c r="B1095" s="1">
        <v>45703</v>
      </c>
      <c r="C1095">
        <v>14</v>
      </c>
      <c r="D1095">
        <v>6.2E-2</v>
      </c>
      <c r="E1095" t="s">
        <v>6</v>
      </c>
      <c r="F1095">
        <v>5.0220000000000001E-2</v>
      </c>
    </row>
    <row r="1096" spans="1:6" x14ac:dyDescent="0.3">
      <c r="A1096" t="s">
        <v>5</v>
      </c>
      <c r="B1096" s="1">
        <v>45703</v>
      </c>
      <c r="C1096">
        <v>15</v>
      </c>
      <c r="D1096">
        <v>8.1000000000000003E-2</v>
      </c>
      <c r="E1096" t="s">
        <v>6</v>
      </c>
      <c r="F1096">
        <v>4.1369999999999997E-2</v>
      </c>
    </row>
    <row r="1097" spans="1:6" x14ac:dyDescent="0.3">
      <c r="A1097" t="s">
        <v>5</v>
      </c>
      <c r="B1097" s="1">
        <v>45703</v>
      </c>
      <c r="C1097">
        <v>16</v>
      </c>
      <c r="D1097">
        <v>6.5000000000000002E-2</v>
      </c>
      <c r="E1097" t="s">
        <v>6</v>
      </c>
      <c r="F1097">
        <v>5.151E-2</v>
      </c>
    </row>
    <row r="1098" spans="1:6" x14ac:dyDescent="0.3">
      <c r="A1098" t="s">
        <v>5</v>
      </c>
      <c r="B1098" s="1">
        <v>45703</v>
      </c>
      <c r="C1098">
        <v>17</v>
      </c>
      <c r="D1098">
        <v>6.4000000000000001E-2</v>
      </c>
      <c r="E1098" t="s">
        <v>6</v>
      </c>
      <c r="F1098">
        <v>7.6450000000000004E-2</v>
      </c>
    </row>
    <row r="1099" spans="1:6" x14ac:dyDescent="0.3">
      <c r="A1099" t="s">
        <v>5</v>
      </c>
      <c r="B1099" s="1">
        <v>45703</v>
      </c>
      <c r="C1099">
        <v>18</v>
      </c>
      <c r="D1099">
        <v>7.4999999999999997E-2</v>
      </c>
      <c r="E1099" t="s">
        <v>6</v>
      </c>
      <c r="F1099">
        <v>0.10624</v>
      </c>
    </row>
    <row r="1100" spans="1:6" x14ac:dyDescent="0.3">
      <c r="A1100" t="s">
        <v>5</v>
      </c>
      <c r="B1100" s="1">
        <v>45703</v>
      </c>
      <c r="C1100">
        <v>19</v>
      </c>
      <c r="D1100">
        <v>7.0000000000000007E-2</v>
      </c>
      <c r="E1100" t="s">
        <v>6</v>
      </c>
      <c r="F1100">
        <v>0.14357</v>
      </c>
    </row>
    <row r="1101" spans="1:6" x14ac:dyDescent="0.3">
      <c r="A1101" t="s">
        <v>5</v>
      </c>
      <c r="B1101" s="1">
        <v>45703</v>
      </c>
      <c r="C1101">
        <v>20</v>
      </c>
      <c r="D1101">
        <v>6.3E-2</v>
      </c>
      <c r="E1101" t="s">
        <v>6</v>
      </c>
      <c r="F1101">
        <v>0.1668</v>
      </c>
    </row>
    <row r="1102" spans="1:6" x14ac:dyDescent="0.3">
      <c r="A1102" t="s">
        <v>5</v>
      </c>
      <c r="B1102" s="1">
        <v>45703</v>
      </c>
      <c r="C1102">
        <v>21</v>
      </c>
      <c r="D1102">
        <v>7.0000000000000007E-2</v>
      </c>
      <c r="E1102" t="s">
        <v>6</v>
      </c>
      <c r="F1102">
        <v>0.16716</v>
      </c>
    </row>
    <row r="1103" spans="1:6" x14ac:dyDescent="0.3">
      <c r="A1103" t="s">
        <v>5</v>
      </c>
      <c r="B1103" s="1">
        <v>45703</v>
      </c>
      <c r="C1103">
        <v>22</v>
      </c>
      <c r="D1103">
        <v>7.4999999999999997E-2</v>
      </c>
      <c r="E1103" t="s">
        <v>6</v>
      </c>
      <c r="F1103">
        <v>0.16312000000000001</v>
      </c>
    </row>
    <row r="1104" spans="1:6" x14ac:dyDescent="0.3">
      <c r="A1104" t="s">
        <v>5</v>
      </c>
      <c r="B1104" s="1">
        <v>45703</v>
      </c>
      <c r="C1104">
        <v>23</v>
      </c>
      <c r="D1104">
        <v>6.2E-2</v>
      </c>
      <c r="E1104" t="s">
        <v>6</v>
      </c>
      <c r="F1104">
        <v>0.16206999999999999</v>
      </c>
    </row>
    <row r="1105" spans="1:6" x14ac:dyDescent="0.3">
      <c r="A1105" t="s">
        <v>5</v>
      </c>
      <c r="B1105" s="1">
        <v>45703</v>
      </c>
      <c r="C1105">
        <v>24</v>
      </c>
      <c r="D1105">
        <v>6.5000000000000002E-2</v>
      </c>
      <c r="E1105" t="s">
        <v>6</v>
      </c>
      <c r="F1105">
        <v>0.15637999999999999</v>
      </c>
    </row>
    <row r="1106" spans="1:6" x14ac:dyDescent="0.3">
      <c r="A1106" t="s">
        <v>5</v>
      </c>
      <c r="B1106" s="1">
        <v>45704</v>
      </c>
      <c r="C1106">
        <v>1</v>
      </c>
      <c r="D1106">
        <v>8.1000000000000003E-2</v>
      </c>
      <c r="E1106" t="s">
        <v>6</v>
      </c>
      <c r="F1106">
        <v>0.14061999999999999</v>
      </c>
    </row>
    <row r="1107" spans="1:6" x14ac:dyDescent="0.3">
      <c r="A1107" t="s">
        <v>5</v>
      </c>
      <c r="B1107" s="1">
        <v>45704</v>
      </c>
      <c r="C1107">
        <v>2</v>
      </c>
      <c r="D1107">
        <v>6.2E-2</v>
      </c>
      <c r="E1107" t="s">
        <v>6</v>
      </c>
      <c r="F1107">
        <v>0.13572999999999999</v>
      </c>
    </row>
    <row r="1108" spans="1:6" x14ac:dyDescent="0.3">
      <c r="A1108" t="s">
        <v>5</v>
      </c>
      <c r="B1108" s="1">
        <v>45704</v>
      </c>
      <c r="C1108">
        <v>3</v>
      </c>
      <c r="D1108">
        <v>6.2E-2</v>
      </c>
      <c r="E1108" t="s">
        <v>6</v>
      </c>
      <c r="F1108">
        <v>0.14493</v>
      </c>
    </row>
    <row r="1109" spans="1:6" x14ac:dyDescent="0.3">
      <c r="A1109" t="s">
        <v>5</v>
      </c>
      <c r="B1109" s="1">
        <v>45704</v>
      </c>
      <c r="C1109">
        <v>4</v>
      </c>
      <c r="D1109">
        <v>0.08</v>
      </c>
      <c r="E1109" t="s">
        <v>6</v>
      </c>
      <c r="F1109">
        <v>0.14852000000000001</v>
      </c>
    </row>
    <row r="1110" spans="1:6" x14ac:dyDescent="0.3">
      <c r="A1110" t="s">
        <v>5</v>
      </c>
      <c r="B1110" s="1">
        <v>45704</v>
      </c>
      <c r="C1110">
        <v>5</v>
      </c>
      <c r="D1110">
        <v>6.6000000000000003E-2</v>
      </c>
      <c r="E1110" t="s">
        <v>6</v>
      </c>
      <c r="F1110">
        <v>0.14436000000000002</v>
      </c>
    </row>
    <row r="1111" spans="1:6" x14ac:dyDescent="0.3">
      <c r="A1111" t="s">
        <v>5</v>
      </c>
      <c r="B1111" s="1">
        <v>45704</v>
      </c>
      <c r="C1111">
        <v>6</v>
      </c>
      <c r="D1111">
        <v>6.2E-2</v>
      </c>
      <c r="E1111" t="s">
        <v>6</v>
      </c>
      <c r="F1111">
        <v>0.14540999999999998</v>
      </c>
    </row>
    <row r="1112" spans="1:6" x14ac:dyDescent="0.3">
      <c r="A1112" t="s">
        <v>5</v>
      </c>
      <c r="B1112" s="1">
        <v>45704</v>
      </c>
      <c r="C1112">
        <v>7</v>
      </c>
      <c r="D1112">
        <v>7.2999999999999995E-2</v>
      </c>
      <c r="E1112" t="s">
        <v>6</v>
      </c>
      <c r="F1112">
        <v>0.15255000000000002</v>
      </c>
    </row>
    <row r="1113" spans="1:6" x14ac:dyDescent="0.3">
      <c r="A1113" t="s">
        <v>5</v>
      </c>
      <c r="B1113" s="1">
        <v>45704</v>
      </c>
      <c r="C1113">
        <v>8</v>
      </c>
      <c r="D1113">
        <v>7.2999999999999995E-2</v>
      </c>
      <c r="E1113" t="s">
        <v>6</v>
      </c>
      <c r="F1113">
        <v>0.15436000000000002</v>
      </c>
    </row>
    <row r="1114" spans="1:6" x14ac:dyDescent="0.3">
      <c r="A1114" t="s">
        <v>5</v>
      </c>
      <c r="B1114" s="1">
        <v>45704</v>
      </c>
      <c r="C1114">
        <v>9</v>
      </c>
      <c r="D1114">
        <v>6.2E-2</v>
      </c>
      <c r="E1114" t="s">
        <v>6</v>
      </c>
      <c r="F1114">
        <v>0.1507</v>
      </c>
    </row>
    <row r="1115" spans="1:6" x14ac:dyDescent="0.3">
      <c r="A1115" t="s">
        <v>5</v>
      </c>
      <c r="B1115" s="1">
        <v>45704</v>
      </c>
      <c r="C1115">
        <v>10</v>
      </c>
      <c r="D1115">
        <v>6.3E-2</v>
      </c>
      <c r="E1115" t="s">
        <v>6</v>
      </c>
      <c r="F1115">
        <v>0.123</v>
      </c>
    </row>
    <row r="1116" spans="1:6" x14ac:dyDescent="0.3">
      <c r="A1116" t="s">
        <v>5</v>
      </c>
      <c r="B1116" s="1">
        <v>45704</v>
      </c>
      <c r="C1116">
        <v>11</v>
      </c>
      <c r="D1116">
        <v>8.1000000000000003E-2</v>
      </c>
      <c r="E1116" t="s">
        <v>6</v>
      </c>
      <c r="F1116">
        <v>9.282E-2</v>
      </c>
    </row>
    <row r="1117" spans="1:6" x14ac:dyDescent="0.3">
      <c r="A1117" t="s">
        <v>5</v>
      </c>
      <c r="B1117" s="1">
        <v>45704</v>
      </c>
      <c r="C1117">
        <v>12</v>
      </c>
      <c r="D1117">
        <v>6.2E-2</v>
      </c>
      <c r="E1117" t="s">
        <v>6</v>
      </c>
      <c r="F1117">
        <v>7.8569999999999987E-2</v>
      </c>
    </row>
    <row r="1118" spans="1:6" x14ac:dyDescent="0.3">
      <c r="A1118" t="s">
        <v>5</v>
      </c>
      <c r="B1118" s="1">
        <v>45704</v>
      </c>
      <c r="C1118">
        <v>13</v>
      </c>
      <c r="D1118">
        <v>6.2E-2</v>
      </c>
      <c r="E1118" t="s">
        <v>6</v>
      </c>
      <c r="F1118">
        <v>6.4200000000000007E-2</v>
      </c>
    </row>
    <row r="1119" spans="1:6" x14ac:dyDescent="0.3">
      <c r="A1119" t="s">
        <v>5</v>
      </c>
      <c r="B1119" s="1">
        <v>45704</v>
      </c>
      <c r="C1119">
        <v>14</v>
      </c>
      <c r="D1119">
        <v>7.5999999999999998E-2</v>
      </c>
      <c r="E1119" t="s">
        <v>6</v>
      </c>
      <c r="F1119">
        <v>5.8130000000000001E-2</v>
      </c>
    </row>
    <row r="1120" spans="1:6" x14ac:dyDescent="0.3">
      <c r="A1120" t="s">
        <v>5</v>
      </c>
      <c r="B1120" s="1">
        <v>45704</v>
      </c>
      <c r="C1120">
        <v>15</v>
      </c>
      <c r="D1120">
        <v>6.8000000000000005E-2</v>
      </c>
      <c r="E1120" t="s">
        <v>6</v>
      </c>
      <c r="F1120">
        <v>4.1239999999999999E-2</v>
      </c>
    </row>
    <row r="1121" spans="1:6" x14ac:dyDescent="0.3">
      <c r="A1121" t="s">
        <v>5</v>
      </c>
      <c r="B1121" s="1">
        <v>45704</v>
      </c>
      <c r="C1121">
        <v>16</v>
      </c>
      <c r="D1121">
        <v>6.3E-2</v>
      </c>
      <c r="E1121" t="s">
        <v>6</v>
      </c>
      <c r="F1121">
        <v>3.1850000000000003E-2</v>
      </c>
    </row>
    <row r="1122" spans="1:6" x14ac:dyDescent="0.3">
      <c r="A1122" t="s">
        <v>5</v>
      </c>
      <c r="B1122" s="1">
        <v>45704</v>
      </c>
      <c r="C1122">
        <v>17</v>
      </c>
      <c r="D1122">
        <v>6.7000000000000004E-2</v>
      </c>
      <c r="E1122" t="s">
        <v>6</v>
      </c>
      <c r="F1122">
        <v>6.8879999999999997E-2</v>
      </c>
    </row>
    <row r="1123" spans="1:6" x14ac:dyDescent="0.3">
      <c r="A1123" t="s">
        <v>5</v>
      </c>
      <c r="B1123" s="1">
        <v>45704</v>
      </c>
      <c r="C1123">
        <v>18</v>
      </c>
      <c r="D1123">
        <v>7.8E-2</v>
      </c>
      <c r="E1123" t="s">
        <v>6</v>
      </c>
      <c r="F1123">
        <v>0.11473999999999999</v>
      </c>
    </row>
    <row r="1124" spans="1:6" x14ac:dyDescent="0.3">
      <c r="A1124" t="s">
        <v>5</v>
      </c>
      <c r="B1124" s="1">
        <v>45704</v>
      </c>
      <c r="C1124">
        <v>19</v>
      </c>
      <c r="D1124">
        <v>6.5000000000000002E-2</v>
      </c>
      <c r="E1124" t="s">
        <v>6</v>
      </c>
      <c r="F1124">
        <v>0.16491</v>
      </c>
    </row>
    <row r="1125" spans="1:6" x14ac:dyDescent="0.3">
      <c r="A1125" t="s">
        <v>5</v>
      </c>
      <c r="B1125" s="1">
        <v>45704</v>
      </c>
      <c r="C1125">
        <v>20</v>
      </c>
      <c r="D1125">
        <v>7.1999999999999995E-2</v>
      </c>
      <c r="E1125" t="s">
        <v>6</v>
      </c>
      <c r="F1125">
        <v>0.20683000000000001</v>
      </c>
    </row>
    <row r="1126" spans="1:6" x14ac:dyDescent="0.3">
      <c r="A1126" t="s">
        <v>5</v>
      </c>
      <c r="B1126" s="1">
        <v>45704</v>
      </c>
      <c r="C1126">
        <v>21</v>
      </c>
      <c r="D1126">
        <v>0.33900000000000002</v>
      </c>
      <c r="E1126" t="s">
        <v>6</v>
      </c>
      <c r="F1126">
        <v>0.19888999999999998</v>
      </c>
    </row>
    <row r="1127" spans="1:6" x14ac:dyDescent="0.3">
      <c r="A1127" t="s">
        <v>5</v>
      </c>
      <c r="B1127" s="1">
        <v>45704</v>
      </c>
      <c r="C1127">
        <v>22</v>
      </c>
      <c r="D1127">
        <v>0.39</v>
      </c>
      <c r="E1127" t="s">
        <v>6</v>
      </c>
      <c r="F1127">
        <v>0.18289</v>
      </c>
    </row>
    <row r="1128" spans="1:6" x14ac:dyDescent="0.3">
      <c r="A1128" t="s">
        <v>5</v>
      </c>
      <c r="B1128" s="1">
        <v>45704</v>
      </c>
      <c r="C1128">
        <v>23</v>
      </c>
      <c r="D1128">
        <v>0.84399999999999997</v>
      </c>
      <c r="E1128" t="s">
        <v>6</v>
      </c>
      <c r="F1128">
        <v>0.18289</v>
      </c>
    </row>
    <row r="1129" spans="1:6" x14ac:dyDescent="0.3">
      <c r="A1129" t="s">
        <v>5</v>
      </c>
      <c r="B1129" s="1">
        <v>45704</v>
      </c>
      <c r="C1129">
        <v>24</v>
      </c>
      <c r="D1129">
        <v>0.59299999999999997</v>
      </c>
      <c r="E1129" t="s">
        <v>6</v>
      </c>
      <c r="F1129">
        <v>0.17830000000000001</v>
      </c>
    </row>
    <row r="1130" spans="1:6" x14ac:dyDescent="0.3">
      <c r="A1130" t="s">
        <v>5</v>
      </c>
      <c r="B1130" s="1">
        <v>45705</v>
      </c>
      <c r="C1130">
        <v>1</v>
      </c>
      <c r="D1130">
        <v>0.70599999999999996</v>
      </c>
      <c r="E1130" t="s">
        <v>6</v>
      </c>
      <c r="F1130">
        <v>0.14833000000000002</v>
      </c>
    </row>
    <row r="1131" spans="1:6" x14ac:dyDescent="0.3">
      <c r="A1131" t="s">
        <v>5</v>
      </c>
      <c r="B1131" s="1">
        <v>45705</v>
      </c>
      <c r="C1131">
        <v>2</v>
      </c>
      <c r="D1131">
        <v>9.2999999999999999E-2</v>
      </c>
      <c r="E1131" t="s">
        <v>6</v>
      </c>
      <c r="F1131">
        <v>0.14433000000000001</v>
      </c>
    </row>
    <row r="1132" spans="1:6" x14ac:dyDescent="0.3">
      <c r="A1132" t="s">
        <v>5</v>
      </c>
      <c r="B1132" s="1">
        <v>45705</v>
      </c>
      <c r="C1132">
        <v>3</v>
      </c>
      <c r="D1132">
        <v>6.4000000000000001E-2</v>
      </c>
      <c r="E1132" t="s">
        <v>6</v>
      </c>
      <c r="F1132">
        <v>0.15062999999999999</v>
      </c>
    </row>
    <row r="1133" spans="1:6" x14ac:dyDescent="0.3">
      <c r="A1133" t="s">
        <v>5</v>
      </c>
      <c r="B1133" s="1">
        <v>45705</v>
      </c>
      <c r="C1133">
        <v>4</v>
      </c>
      <c r="D1133">
        <v>6.9000000000000006E-2</v>
      </c>
      <c r="E1133" t="s">
        <v>6</v>
      </c>
      <c r="F1133">
        <v>0.14743999999999999</v>
      </c>
    </row>
    <row r="1134" spans="1:6" x14ac:dyDescent="0.3">
      <c r="A1134" t="s">
        <v>5</v>
      </c>
      <c r="B1134" s="1">
        <v>45705</v>
      </c>
      <c r="C1134">
        <v>5</v>
      </c>
      <c r="D1134">
        <v>8.5999999999999993E-2</v>
      </c>
      <c r="E1134" t="s">
        <v>6</v>
      </c>
      <c r="F1134">
        <v>0.14746000000000001</v>
      </c>
    </row>
    <row r="1135" spans="1:6" x14ac:dyDescent="0.3">
      <c r="A1135" t="s">
        <v>5</v>
      </c>
      <c r="B1135" s="1">
        <v>45705</v>
      </c>
      <c r="C1135">
        <v>6</v>
      </c>
      <c r="D1135">
        <v>6.4000000000000001E-2</v>
      </c>
      <c r="E1135" t="s">
        <v>6</v>
      </c>
      <c r="F1135">
        <v>0.15039</v>
      </c>
    </row>
    <row r="1136" spans="1:6" x14ac:dyDescent="0.3">
      <c r="A1136" t="s">
        <v>5</v>
      </c>
      <c r="B1136" s="1">
        <v>45705</v>
      </c>
      <c r="C1136">
        <v>7</v>
      </c>
      <c r="D1136">
        <v>6.6000000000000003E-2</v>
      </c>
      <c r="E1136" t="s">
        <v>6</v>
      </c>
      <c r="F1136">
        <v>0.15281</v>
      </c>
    </row>
    <row r="1137" spans="1:6" x14ac:dyDescent="0.3">
      <c r="A1137" t="s">
        <v>5</v>
      </c>
      <c r="B1137" s="1">
        <v>45705</v>
      </c>
      <c r="C1137">
        <v>8</v>
      </c>
      <c r="D1137">
        <v>0.26300000000000001</v>
      </c>
      <c r="E1137" t="s">
        <v>6</v>
      </c>
      <c r="F1137">
        <v>0.23649999999999999</v>
      </c>
    </row>
    <row r="1138" spans="1:6" x14ac:dyDescent="0.3">
      <c r="A1138" t="s">
        <v>5</v>
      </c>
      <c r="B1138" s="1">
        <v>45705</v>
      </c>
      <c r="C1138">
        <v>9</v>
      </c>
      <c r="D1138">
        <v>7.3999999999999996E-2</v>
      </c>
      <c r="E1138" t="s">
        <v>6</v>
      </c>
      <c r="F1138">
        <v>0.26543</v>
      </c>
    </row>
    <row r="1139" spans="1:6" x14ac:dyDescent="0.3">
      <c r="A1139" t="s">
        <v>5</v>
      </c>
      <c r="B1139" s="1">
        <v>45705</v>
      </c>
      <c r="C1139">
        <v>10</v>
      </c>
      <c r="D1139">
        <v>9.7000000000000003E-2</v>
      </c>
      <c r="E1139" t="s">
        <v>6</v>
      </c>
      <c r="F1139">
        <v>0.17871999999999999</v>
      </c>
    </row>
    <row r="1140" spans="1:6" x14ac:dyDescent="0.3">
      <c r="A1140" t="s">
        <v>5</v>
      </c>
      <c r="B1140" s="1">
        <v>45705</v>
      </c>
      <c r="C1140">
        <v>11</v>
      </c>
      <c r="D1140">
        <v>8.5999999999999993E-2</v>
      </c>
      <c r="E1140" t="s">
        <v>6</v>
      </c>
      <c r="F1140">
        <v>0.22236</v>
      </c>
    </row>
    <row r="1141" spans="1:6" x14ac:dyDescent="0.3">
      <c r="A1141" t="s">
        <v>5</v>
      </c>
      <c r="B1141" s="1">
        <v>45705</v>
      </c>
      <c r="C1141">
        <v>12</v>
      </c>
      <c r="D1141">
        <v>6.7000000000000004E-2</v>
      </c>
      <c r="E1141" t="s">
        <v>6</v>
      </c>
      <c r="F1141">
        <v>0.21837000000000001</v>
      </c>
    </row>
    <row r="1142" spans="1:6" x14ac:dyDescent="0.3">
      <c r="A1142" t="s">
        <v>5</v>
      </c>
      <c r="B1142" s="1">
        <v>45705</v>
      </c>
      <c r="C1142">
        <v>13</v>
      </c>
      <c r="D1142">
        <v>6.8000000000000005E-2</v>
      </c>
      <c r="E1142" t="s">
        <v>6</v>
      </c>
      <c r="F1142">
        <v>0.21052999999999999</v>
      </c>
    </row>
    <row r="1143" spans="1:6" x14ac:dyDescent="0.3">
      <c r="A1143" t="s">
        <v>5</v>
      </c>
      <c r="B1143" s="1">
        <v>45705</v>
      </c>
      <c r="C1143">
        <v>14</v>
      </c>
      <c r="D1143">
        <v>8.5000000000000006E-2</v>
      </c>
      <c r="E1143" t="s">
        <v>6</v>
      </c>
      <c r="F1143">
        <v>0.19681000000000001</v>
      </c>
    </row>
    <row r="1144" spans="1:6" x14ac:dyDescent="0.3">
      <c r="A1144" t="s">
        <v>5</v>
      </c>
      <c r="B1144" s="1">
        <v>45705</v>
      </c>
      <c r="C1144">
        <v>15</v>
      </c>
      <c r="D1144">
        <v>8.2000000000000003E-2</v>
      </c>
      <c r="E1144" t="s">
        <v>6</v>
      </c>
      <c r="F1144">
        <v>0.13072999999999999</v>
      </c>
    </row>
    <row r="1145" spans="1:6" x14ac:dyDescent="0.3">
      <c r="A1145" t="s">
        <v>5</v>
      </c>
      <c r="B1145" s="1">
        <v>45705</v>
      </c>
      <c r="C1145">
        <v>16</v>
      </c>
      <c r="D1145">
        <v>7.2999999999999995E-2</v>
      </c>
      <c r="E1145" t="s">
        <v>6</v>
      </c>
      <c r="F1145">
        <v>0.13305</v>
      </c>
    </row>
    <row r="1146" spans="1:6" x14ac:dyDescent="0.3">
      <c r="A1146" t="s">
        <v>5</v>
      </c>
      <c r="B1146" s="1">
        <v>45705</v>
      </c>
      <c r="C1146">
        <v>17</v>
      </c>
      <c r="D1146">
        <v>0.113</v>
      </c>
      <c r="E1146" t="s">
        <v>6</v>
      </c>
      <c r="F1146">
        <v>0.14610000000000001</v>
      </c>
    </row>
    <row r="1147" spans="1:6" x14ac:dyDescent="0.3">
      <c r="A1147" t="s">
        <v>5</v>
      </c>
      <c r="B1147" s="1">
        <v>45705</v>
      </c>
      <c r="C1147">
        <v>18</v>
      </c>
      <c r="D1147">
        <v>6.7000000000000004E-2</v>
      </c>
      <c r="E1147" t="s">
        <v>6</v>
      </c>
      <c r="F1147">
        <v>0.16846</v>
      </c>
    </row>
    <row r="1148" spans="1:6" x14ac:dyDescent="0.3">
      <c r="A1148" t="s">
        <v>5</v>
      </c>
      <c r="B1148" s="1">
        <v>45705</v>
      </c>
      <c r="C1148">
        <v>19</v>
      </c>
      <c r="D1148">
        <v>0.193</v>
      </c>
      <c r="E1148" t="s">
        <v>6</v>
      </c>
      <c r="F1148">
        <v>0.29394999999999999</v>
      </c>
    </row>
    <row r="1149" spans="1:6" x14ac:dyDescent="0.3">
      <c r="A1149" t="s">
        <v>5</v>
      </c>
      <c r="B1149" s="1">
        <v>45705</v>
      </c>
      <c r="C1149">
        <v>20</v>
      </c>
      <c r="D1149">
        <v>1.026</v>
      </c>
      <c r="E1149" t="s">
        <v>6</v>
      </c>
      <c r="F1149">
        <v>0.33799000000000001</v>
      </c>
    </row>
    <row r="1150" spans="1:6" x14ac:dyDescent="0.3">
      <c r="A1150" t="s">
        <v>5</v>
      </c>
      <c r="B1150" s="1">
        <v>45705</v>
      </c>
      <c r="C1150">
        <v>21</v>
      </c>
      <c r="D1150">
        <v>0.186</v>
      </c>
      <c r="E1150" t="s">
        <v>6</v>
      </c>
      <c r="F1150">
        <v>0.31962999999999997</v>
      </c>
    </row>
    <row r="1151" spans="1:6" x14ac:dyDescent="0.3">
      <c r="A1151" t="s">
        <v>5</v>
      </c>
      <c r="B1151" s="1">
        <v>45705</v>
      </c>
      <c r="C1151">
        <v>22</v>
      </c>
      <c r="D1151">
        <v>0.373</v>
      </c>
      <c r="E1151" t="s">
        <v>6</v>
      </c>
      <c r="F1151">
        <v>0.26656000000000002</v>
      </c>
    </row>
    <row r="1152" spans="1:6" x14ac:dyDescent="0.3">
      <c r="A1152" t="s">
        <v>5</v>
      </c>
      <c r="B1152" s="1">
        <v>45705</v>
      </c>
      <c r="C1152">
        <v>23</v>
      </c>
      <c r="D1152">
        <v>0.16800000000000001</v>
      </c>
      <c r="E1152" t="s">
        <v>6</v>
      </c>
      <c r="F1152">
        <v>0.18380000000000002</v>
      </c>
    </row>
    <row r="1153" spans="1:6" x14ac:dyDescent="0.3">
      <c r="A1153" t="s">
        <v>5</v>
      </c>
      <c r="B1153" s="1">
        <v>45705</v>
      </c>
      <c r="C1153">
        <v>24</v>
      </c>
      <c r="D1153">
        <v>0.14399999999999999</v>
      </c>
      <c r="E1153" t="s">
        <v>6</v>
      </c>
      <c r="F1153">
        <v>0.17487</v>
      </c>
    </row>
    <row r="1154" spans="1:6" x14ac:dyDescent="0.3">
      <c r="A1154" t="s">
        <v>5</v>
      </c>
      <c r="B1154" s="1">
        <v>45706</v>
      </c>
      <c r="C1154">
        <v>1</v>
      </c>
      <c r="D1154">
        <v>0.82299999999999995</v>
      </c>
      <c r="E1154" t="s">
        <v>6</v>
      </c>
      <c r="F1154">
        <v>0.14945</v>
      </c>
    </row>
    <row r="1155" spans="1:6" x14ac:dyDescent="0.3">
      <c r="A1155" t="s">
        <v>5</v>
      </c>
      <c r="B1155" s="1">
        <v>45706</v>
      </c>
      <c r="C1155">
        <v>2</v>
      </c>
      <c r="D1155">
        <v>0.185</v>
      </c>
      <c r="E1155" t="s">
        <v>6</v>
      </c>
      <c r="F1155">
        <v>0.13278999999999999</v>
      </c>
    </row>
    <row r="1156" spans="1:6" x14ac:dyDescent="0.3">
      <c r="A1156" t="s">
        <v>5</v>
      </c>
      <c r="B1156" s="1">
        <v>45706</v>
      </c>
      <c r="C1156">
        <v>3</v>
      </c>
      <c r="D1156">
        <v>9.2999999999999999E-2</v>
      </c>
      <c r="E1156" t="s">
        <v>6</v>
      </c>
      <c r="F1156">
        <v>0.12182999999999999</v>
      </c>
    </row>
    <row r="1157" spans="1:6" x14ac:dyDescent="0.3">
      <c r="A1157" t="s">
        <v>5</v>
      </c>
      <c r="B1157" s="1">
        <v>45706</v>
      </c>
      <c r="C1157">
        <v>4</v>
      </c>
      <c r="D1157">
        <v>0.09</v>
      </c>
      <c r="E1157" t="s">
        <v>6</v>
      </c>
      <c r="F1157">
        <v>0.11170999999999999</v>
      </c>
    </row>
    <row r="1158" spans="1:6" x14ac:dyDescent="0.3">
      <c r="A1158" t="s">
        <v>5</v>
      </c>
      <c r="B1158" s="1">
        <v>45706</v>
      </c>
      <c r="C1158">
        <v>5</v>
      </c>
      <c r="D1158">
        <v>6.8000000000000005E-2</v>
      </c>
      <c r="E1158" t="s">
        <v>6</v>
      </c>
      <c r="F1158">
        <v>0.10421999999999999</v>
      </c>
    </row>
    <row r="1159" spans="1:6" x14ac:dyDescent="0.3">
      <c r="A1159" t="s">
        <v>5</v>
      </c>
      <c r="B1159" s="1">
        <v>45706</v>
      </c>
      <c r="C1159">
        <v>6</v>
      </c>
      <c r="D1159">
        <v>7.8E-2</v>
      </c>
      <c r="E1159" t="s">
        <v>6</v>
      </c>
      <c r="F1159">
        <v>0.10073</v>
      </c>
    </row>
    <row r="1160" spans="1:6" x14ac:dyDescent="0.3">
      <c r="A1160" t="s">
        <v>5</v>
      </c>
      <c r="B1160" s="1">
        <v>45706</v>
      </c>
      <c r="C1160">
        <v>7</v>
      </c>
      <c r="D1160">
        <v>7.4999999999999997E-2</v>
      </c>
      <c r="E1160" t="s">
        <v>6</v>
      </c>
      <c r="F1160">
        <v>0.10925</v>
      </c>
    </row>
    <row r="1161" spans="1:6" x14ac:dyDescent="0.3">
      <c r="A1161" t="s">
        <v>5</v>
      </c>
      <c r="B1161" s="1">
        <v>45706</v>
      </c>
      <c r="C1161">
        <v>8</v>
      </c>
      <c r="D1161">
        <v>0.151</v>
      </c>
      <c r="E1161" t="s">
        <v>6</v>
      </c>
      <c r="F1161">
        <v>0.13611000000000001</v>
      </c>
    </row>
    <row r="1162" spans="1:6" x14ac:dyDescent="0.3">
      <c r="A1162" t="s">
        <v>5</v>
      </c>
      <c r="B1162" s="1">
        <v>45706</v>
      </c>
      <c r="C1162">
        <v>9</v>
      </c>
      <c r="D1162">
        <v>8.5999999999999993E-2</v>
      </c>
      <c r="E1162" t="s">
        <v>6</v>
      </c>
      <c r="F1162">
        <v>0.17038</v>
      </c>
    </row>
    <row r="1163" spans="1:6" x14ac:dyDescent="0.3">
      <c r="A1163" t="s">
        <v>5</v>
      </c>
      <c r="B1163" s="1">
        <v>45706</v>
      </c>
      <c r="C1163">
        <v>10</v>
      </c>
      <c r="D1163">
        <v>6.7000000000000004E-2</v>
      </c>
      <c r="E1163" t="s">
        <v>6</v>
      </c>
      <c r="F1163">
        <v>0.13928000000000001</v>
      </c>
    </row>
    <row r="1164" spans="1:6" x14ac:dyDescent="0.3">
      <c r="A1164" t="s">
        <v>5</v>
      </c>
      <c r="B1164" s="1">
        <v>45706</v>
      </c>
      <c r="C1164">
        <v>11</v>
      </c>
      <c r="D1164">
        <v>0.14599999999999999</v>
      </c>
      <c r="E1164" t="s">
        <v>6</v>
      </c>
      <c r="F1164">
        <v>0.18703999999999998</v>
      </c>
    </row>
    <row r="1165" spans="1:6" x14ac:dyDescent="0.3">
      <c r="A1165" t="s">
        <v>5</v>
      </c>
      <c r="B1165" s="1">
        <v>45706</v>
      </c>
      <c r="C1165">
        <v>12</v>
      </c>
      <c r="D1165">
        <v>0.13300000000000001</v>
      </c>
      <c r="E1165" t="s">
        <v>6</v>
      </c>
      <c r="F1165">
        <v>0.16757</v>
      </c>
    </row>
    <row r="1166" spans="1:6" x14ac:dyDescent="0.3">
      <c r="A1166" t="s">
        <v>5</v>
      </c>
      <c r="B1166" s="1">
        <v>45706</v>
      </c>
      <c r="C1166">
        <v>13</v>
      </c>
      <c r="D1166">
        <v>0.20300000000000001</v>
      </c>
      <c r="E1166" t="s">
        <v>6</v>
      </c>
      <c r="F1166">
        <v>0.12569</v>
      </c>
    </row>
    <row r="1167" spans="1:6" x14ac:dyDescent="0.3">
      <c r="A1167" t="s">
        <v>5</v>
      </c>
      <c r="B1167" s="1">
        <v>45706</v>
      </c>
      <c r="C1167">
        <v>14</v>
      </c>
      <c r="D1167">
        <v>0.20899999999999999</v>
      </c>
      <c r="E1167" t="s">
        <v>6</v>
      </c>
      <c r="F1167">
        <v>0.11309999999999999</v>
      </c>
    </row>
    <row r="1168" spans="1:6" x14ac:dyDescent="0.3">
      <c r="A1168" t="s">
        <v>5</v>
      </c>
      <c r="B1168" s="1">
        <v>45706</v>
      </c>
      <c r="C1168">
        <v>15</v>
      </c>
      <c r="D1168">
        <v>0.124</v>
      </c>
      <c r="E1168" t="s">
        <v>6</v>
      </c>
      <c r="F1168">
        <v>5.1619999999999999E-2</v>
      </c>
    </row>
    <row r="1169" spans="1:6" x14ac:dyDescent="0.3">
      <c r="A1169" t="s">
        <v>5</v>
      </c>
      <c r="B1169" s="1">
        <v>45706</v>
      </c>
      <c r="C1169">
        <v>16</v>
      </c>
      <c r="D1169">
        <v>0.33300000000000002</v>
      </c>
      <c r="E1169" t="s">
        <v>6</v>
      </c>
      <c r="F1169">
        <v>7.1440000000000003E-2</v>
      </c>
    </row>
    <row r="1170" spans="1:6" x14ac:dyDescent="0.3">
      <c r="A1170" t="s">
        <v>5</v>
      </c>
      <c r="B1170" s="1">
        <v>45706</v>
      </c>
      <c r="C1170">
        <v>17</v>
      </c>
      <c r="D1170">
        <v>0.32100000000000001</v>
      </c>
      <c r="E1170" t="s">
        <v>6</v>
      </c>
      <c r="F1170">
        <v>0.11466</v>
      </c>
    </row>
    <row r="1171" spans="1:6" x14ac:dyDescent="0.3">
      <c r="A1171" t="s">
        <v>5</v>
      </c>
      <c r="B1171" s="1">
        <v>45706</v>
      </c>
      <c r="C1171">
        <v>18</v>
      </c>
      <c r="D1171">
        <v>0.308</v>
      </c>
      <c r="E1171" t="s">
        <v>6</v>
      </c>
      <c r="F1171">
        <v>0.14021</v>
      </c>
    </row>
    <row r="1172" spans="1:6" x14ac:dyDescent="0.3">
      <c r="A1172" t="s">
        <v>5</v>
      </c>
      <c r="B1172" s="1">
        <v>45706</v>
      </c>
      <c r="C1172">
        <v>19</v>
      </c>
      <c r="D1172">
        <v>0.21199999999999999</v>
      </c>
      <c r="E1172" t="s">
        <v>6</v>
      </c>
      <c r="F1172">
        <v>0.24358000000000002</v>
      </c>
    </row>
    <row r="1173" spans="1:6" x14ac:dyDescent="0.3">
      <c r="A1173" t="s">
        <v>5</v>
      </c>
      <c r="B1173" s="1">
        <v>45706</v>
      </c>
      <c r="C1173">
        <v>20</v>
      </c>
      <c r="D1173">
        <v>0.14699999999999999</v>
      </c>
      <c r="E1173" t="s">
        <v>6</v>
      </c>
      <c r="F1173">
        <v>0.29693000000000003</v>
      </c>
    </row>
    <row r="1174" spans="1:6" x14ac:dyDescent="0.3">
      <c r="A1174" t="s">
        <v>5</v>
      </c>
      <c r="B1174" s="1">
        <v>45706</v>
      </c>
      <c r="C1174">
        <v>21</v>
      </c>
      <c r="D1174">
        <v>0.55800000000000005</v>
      </c>
      <c r="E1174" t="s">
        <v>6</v>
      </c>
      <c r="F1174">
        <v>0.28131</v>
      </c>
    </row>
    <row r="1175" spans="1:6" x14ac:dyDescent="0.3">
      <c r="A1175" t="s">
        <v>5</v>
      </c>
      <c r="B1175" s="1">
        <v>45706</v>
      </c>
      <c r="C1175">
        <v>22</v>
      </c>
      <c r="D1175">
        <v>0.32400000000000001</v>
      </c>
      <c r="E1175" t="s">
        <v>6</v>
      </c>
      <c r="F1175">
        <v>0.26962000000000003</v>
      </c>
    </row>
    <row r="1176" spans="1:6" x14ac:dyDescent="0.3">
      <c r="A1176" t="s">
        <v>5</v>
      </c>
      <c r="B1176" s="1">
        <v>45706</v>
      </c>
      <c r="C1176">
        <v>23</v>
      </c>
      <c r="D1176">
        <v>0.22900000000000001</v>
      </c>
      <c r="E1176" t="s">
        <v>6</v>
      </c>
      <c r="F1176">
        <v>0.19495999999999999</v>
      </c>
    </row>
    <row r="1177" spans="1:6" x14ac:dyDescent="0.3">
      <c r="A1177" t="s">
        <v>5</v>
      </c>
      <c r="B1177" s="1">
        <v>45706</v>
      </c>
      <c r="C1177">
        <v>24</v>
      </c>
      <c r="D1177">
        <v>0.17699999999999999</v>
      </c>
      <c r="E1177" t="s">
        <v>6</v>
      </c>
      <c r="F1177">
        <v>0.18715000000000001</v>
      </c>
    </row>
    <row r="1178" spans="1:6" x14ac:dyDescent="0.3">
      <c r="A1178" t="s">
        <v>5</v>
      </c>
      <c r="B1178" s="1">
        <v>45707</v>
      </c>
      <c r="C1178">
        <v>1</v>
      </c>
      <c r="D1178">
        <v>0.11700000000000001</v>
      </c>
      <c r="E1178" t="s">
        <v>6</v>
      </c>
      <c r="F1178">
        <v>0.13406999999999999</v>
      </c>
    </row>
    <row r="1179" spans="1:6" x14ac:dyDescent="0.3">
      <c r="A1179" t="s">
        <v>5</v>
      </c>
      <c r="B1179" s="1">
        <v>45707</v>
      </c>
      <c r="C1179">
        <v>2</v>
      </c>
      <c r="D1179">
        <v>8.5000000000000006E-2</v>
      </c>
      <c r="E1179" t="s">
        <v>6</v>
      </c>
      <c r="F1179">
        <v>0.13116999999999998</v>
      </c>
    </row>
    <row r="1180" spans="1:6" x14ac:dyDescent="0.3">
      <c r="A1180" t="s">
        <v>5</v>
      </c>
      <c r="B1180" s="1">
        <v>45707</v>
      </c>
      <c r="C1180">
        <v>3</v>
      </c>
      <c r="D1180">
        <v>7.0999999999999994E-2</v>
      </c>
      <c r="E1180" t="s">
        <v>6</v>
      </c>
      <c r="F1180">
        <v>0.13415000000000002</v>
      </c>
    </row>
    <row r="1181" spans="1:6" x14ac:dyDescent="0.3">
      <c r="A1181" t="s">
        <v>5</v>
      </c>
      <c r="B1181" s="1">
        <v>45707</v>
      </c>
      <c r="C1181">
        <v>4</v>
      </c>
      <c r="D1181">
        <v>8.1000000000000003E-2</v>
      </c>
      <c r="E1181" t="s">
        <v>6</v>
      </c>
      <c r="F1181">
        <v>0.12912000000000001</v>
      </c>
    </row>
    <row r="1182" spans="1:6" x14ac:dyDescent="0.3">
      <c r="A1182" t="s">
        <v>5</v>
      </c>
      <c r="B1182" s="1">
        <v>45707</v>
      </c>
      <c r="C1182">
        <v>5</v>
      </c>
      <c r="D1182">
        <v>6.9000000000000006E-2</v>
      </c>
      <c r="E1182" t="s">
        <v>6</v>
      </c>
      <c r="F1182">
        <v>0.12626000000000001</v>
      </c>
    </row>
    <row r="1183" spans="1:6" x14ac:dyDescent="0.3">
      <c r="A1183" t="s">
        <v>5</v>
      </c>
      <c r="B1183" s="1">
        <v>45707</v>
      </c>
      <c r="C1183">
        <v>6</v>
      </c>
      <c r="D1183">
        <v>0.08</v>
      </c>
      <c r="E1183" t="s">
        <v>6</v>
      </c>
      <c r="F1183">
        <v>0.13088</v>
      </c>
    </row>
    <row r="1184" spans="1:6" x14ac:dyDescent="0.3">
      <c r="A1184" t="s">
        <v>5</v>
      </c>
      <c r="B1184" s="1">
        <v>45707</v>
      </c>
      <c r="C1184">
        <v>7</v>
      </c>
      <c r="D1184">
        <v>6.9000000000000006E-2</v>
      </c>
      <c r="E1184" t="s">
        <v>6</v>
      </c>
      <c r="F1184">
        <v>0.14686000000000002</v>
      </c>
    </row>
    <row r="1185" spans="1:6" x14ac:dyDescent="0.3">
      <c r="A1185" t="s">
        <v>5</v>
      </c>
      <c r="B1185" s="1">
        <v>45707</v>
      </c>
      <c r="C1185">
        <v>8</v>
      </c>
      <c r="D1185">
        <v>0.33800000000000002</v>
      </c>
      <c r="E1185" t="s">
        <v>6</v>
      </c>
      <c r="F1185">
        <v>0.17496</v>
      </c>
    </row>
    <row r="1186" spans="1:6" x14ac:dyDescent="0.3">
      <c r="A1186" t="s">
        <v>5</v>
      </c>
      <c r="B1186" s="1">
        <v>45707</v>
      </c>
      <c r="C1186">
        <v>9</v>
      </c>
      <c r="D1186">
        <v>0.84699999999999998</v>
      </c>
      <c r="E1186" t="s">
        <v>6</v>
      </c>
      <c r="F1186">
        <v>0.22066999999999998</v>
      </c>
    </row>
    <row r="1187" spans="1:6" x14ac:dyDescent="0.3">
      <c r="A1187" t="s">
        <v>5</v>
      </c>
      <c r="B1187" s="1">
        <v>45707</v>
      </c>
      <c r="C1187">
        <v>10</v>
      </c>
      <c r="D1187">
        <v>1.1459999999999999</v>
      </c>
      <c r="E1187" t="s">
        <v>6</v>
      </c>
      <c r="F1187">
        <v>0.18414</v>
      </c>
    </row>
    <row r="1188" spans="1:6" x14ac:dyDescent="0.3">
      <c r="A1188" t="s">
        <v>5</v>
      </c>
      <c r="B1188" s="1">
        <v>45707</v>
      </c>
      <c r="C1188">
        <v>11</v>
      </c>
      <c r="D1188">
        <v>0.27600000000000002</v>
      </c>
      <c r="E1188" t="s">
        <v>6</v>
      </c>
      <c r="F1188">
        <v>0.22331000000000001</v>
      </c>
    </row>
    <row r="1189" spans="1:6" x14ac:dyDescent="0.3">
      <c r="A1189" t="s">
        <v>5</v>
      </c>
      <c r="B1189" s="1">
        <v>45707</v>
      </c>
      <c r="C1189">
        <v>12</v>
      </c>
      <c r="D1189">
        <v>8.5000000000000006E-2</v>
      </c>
      <c r="E1189" t="s">
        <v>6</v>
      </c>
      <c r="F1189">
        <v>0.21653</v>
      </c>
    </row>
    <row r="1190" spans="1:6" x14ac:dyDescent="0.3">
      <c r="A1190" t="s">
        <v>5</v>
      </c>
      <c r="B1190" s="1">
        <v>45707</v>
      </c>
      <c r="C1190">
        <v>13</v>
      </c>
      <c r="D1190">
        <v>0.105</v>
      </c>
      <c r="E1190" t="s">
        <v>6</v>
      </c>
      <c r="F1190">
        <v>0.21205000000000002</v>
      </c>
    </row>
    <row r="1191" spans="1:6" x14ac:dyDescent="0.3">
      <c r="A1191" t="s">
        <v>5</v>
      </c>
      <c r="B1191" s="1">
        <v>45707</v>
      </c>
      <c r="C1191">
        <v>14</v>
      </c>
      <c r="D1191">
        <v>0.15</v>
      </c>
      <c r="E1191" t="s">
        <v>6</v>
      </c>
      <c r="F1191">
        <v>0.20097000000000001</v>
      </c>
    </row>
    <row r="1192" spans="1:6" x14ac:dyDescent="0.3">
      <c r="A1192" t="s">
        <v>5</v>
      </c>
      <c r="B1192" s="1">
        <v>45707</v>
      </c>
      <c r="C1192">
        <v>15</v>
      </c>
      <c r="D1192">
        <v>0.442</v>
      </c>
      <c r="E1192" t="s">
        <v>6</v>
      </c>
      <c r="F1192">
        <v>0.12869999999999998</v>
      </c>
    </row>
    <row r="1193" spans="1:6" x14ac:dyDescent="0.3">
      <c r="A1193" t="s">
        <v>5</v>
      </c>
      <c r="B1193" s="1">
        <v>45707</v>
      </c>
      <c r="C1193">
        <v>16</v>
      </c>
      <c r="D1193">
        <v>0.14599999999999999</v>
      </c>
      <c r="E1193" t="s">
        <v>6</v>
      </c>
      <c r="F1193">
        <v>0.12938</v>
      </c>
    </row>
    <row r="1194" spans="1:6" x14ac:dyDescent="0.3">
      <c r="A1194" t="s">
        <v>5</v>
      </c>
      <c r="B1194" s="1">
        <v>45707</v>
      </c>
      <c r="C1194">
        <v>17</v>
      </c>
      <c r="D1194">
        <v>0.22500000000000001</v>
      </c>
      <c r="E1194" t="s">
        <v>6</v>
      </c>
      <c r="F1194">
        <v>0.14584</v>
      </c>
    </row>
    <row r="1195" spans="1:6" x14ac:dyDescent="0.3">
      <c r="A1195" t="s">
        <v>5</v>
      </c>
      <c r="B1195" s="1">
        <v>45707</v>
      </c>
      <c r="C1195">
        <v>18</v>
      </c>
      <c r="D1195">
        <v>0.187</v>
      </c>
      <c r="E1195" t="s">
        <v>6</v>
      </c>
      <c r="F1195">
        <v>0.16734000000000002</v>
      </c>
    </row>
    <row r="1196" spans="1:6" x14ac:dyDescent="0.3">
      <c r="A1196" t="s">
        <v>5</v>
      </c>
      <c r="B1196" s="1">
        <v>45707</v>
      </c>
      <c r="C1196">
        <v>19</v>
      </c>
      <c r="D1196">
        <v>0.23100000000000001</v>
      </c>
      <c r="E1196" t="s">
        <v>6</v>
      </c>
      <c r="F1196">
        <v>0.26599</v>
      </c>
    </row>
    <row r="1197" spans="1:6" x14ac:dyDescent="0.3">
      <c r="A1197" t="s">
        <v>5</v>
      </c>
      <c r="B1197" s="1">
        <v>45707</v>
      </c>
      <c r="C1197">
        <v>20</v>
      </c>
      <c r="D1197">
        <v>0.29799999999999999</v>
      </c>
      <c r="E1197" t="s">
        <v>6</v>
      </c>
      <c r="F1197">
        <v>0.30701999999999996</v>
      </c>
    </row>
    <row r="1198" spans="1:6" x14ac:dyDescent="0.3">
      <c r="A1198" t="s">
        <v>5</v>
      </c>
      <c r="B1198" s="1">
        <v>45707</v>
      </c>
      <c r="C1198">
        <v>21</v>
      </c>
      <c r="D1198">
        <v>0.26200000000000001</v>
      </c>
      <c r="E1198" t="s">
        <v>6</v>
      </c>
      <c r="F1198">
        <v>0.33249000000000001</v>
      </c>
    </row>
    <row r="1199" spans="1:6" x14ac:dyDescent="0.3">
      <c r="A1199" t="s">
        <v>5</v>
      </c>
      <c r="B1199" s="1">
        <v>45707</v>
      </c>
      <c r="C1199">
        <v>22</v>
      </c>
      <c r="D1199">
        <v>0.629</v>
      </c>
      <c r="E1199" t="s">
        <v>6</v>
      </c>
      <c r="F1199">
        <v>0.29125999999999996</v>
      </c>
    </row>
    <row r="1200" spans="1:6" x14ac:dyDescent="0.3">
      <c r="A1200" t="s">
        <v>5</v>
      </c>
      <c r="B1200" s="1">
        <v>45707</v>
      </c>
      <c r="C1200">
        <v>23</v>
      </c>
      <c r="D1200">
        <v>0.58899999999999997</v>
      </c>
      <c r="E1200" t="s">
        <v>6</v>
      </c>
      <c r="F1200">
        <v>0.19069</v>
      </c>
    </row>
    <row r="1201" spans="1:6" x14ac:dyDescent="0.3">
      <c r="A1201" t="s">
        <v>5</v>
      </c>
      <c r="B1201" s="1">
        <v>45707</v>
      </c>
      <c r="C1201">
        <v>24</v>
      </c>
      <c r="D1201">
        <v>0.871</v>
      </c>
      <c r="E1201" t="s">
        <v>6</v>
      </c>
      <c r="F1201">
        <v>0.16928000000000001</v>
      </c>
    </row>
    <row r="1202" spans="1:6" x14ac:dyDescent="0.3">
      <c r="A1202" t="s">
        <v>5</v>
      </c>
      <c r="B1202" s="1">
        <v>45708</v>
      </c>
      <c r="C1202">
        <v>1</v>
      </c>
      <c r="D1202">
        <v>0.124</v>
      </c>
      <c r="E1202" t="s">
        <v>6</v>
      </c>
      <c r="F1202">
        <v>0.14157</v>
      </c>
    </row>
    <row r="1203" spans="1:6" x14ac:dyDescent="0.3">
      <c r="A1203" t="s">
        <v>5</v>
      </c>
      <c r="B1203" s="1">
        <v>45708</v>
      </c>
      <c r="C1203">
        <v>2</v>
      </c>
      <c r="D1203">
        <v>8.5000000000000006E-2</v>
      </c>
      <c r="E1203" t="s">
        <v>6</v>
      </c>
      <c r="F1203">
        <v>0.13880999999999999</v>
      </c>
    </row>
    <row r="1204" spans="1:6" x14ac:dyDescent="0.3">
      <c r="A1204" t="s">
        <v>5</v>
      </c>
      <c r="B1204" s="1">
        <v>45708</v>
      </c>
      <c r="C1204">
        <v>3</v>
      </c>
      <c r="D1204">
        <v>7.9000000000000001E-2</v>
      </c>
      <c r="E1204" t="s">
        <v>6</v>
      </c>
      <c r="F1204">
        <v>0.14019000000000001</v>
      </c>
    </row>
    <row r="1205" spans="1:6" x14ac:dyDescent="0.3">
      <c r="A1205" t="s">
        <v>5</v>
      </c>
      <c r="B1205" s="1">
        <v>45708</v>
      </c>
      <c r="C1205">
        <v>4</v>
      </c>
      <c r="D1205">
        <v>6.5000000000000002E-2</v>
      </c>
      <c r="E1205" t="s">
        <v>6</v>
      </c>
      <c r="F1205">
        <v>0.12996000000000002</v>
      </c>
    </row>
    <row r="1206" spans="1:6" x14ac:dyDescent="0.3">
      <c r="A1206" t="s">
        <v>5</v>
      </c>
      <c r="B1206" s="1">
        <v>45708</v>
      </c>
      <c r="C1206">
        <v>5</v>
      </c>
      <c r="D1206">
        <v>8.3000000000000004E-2</v>
      </c>
      <c r="E1206" t="s">
        <v>6</v>
      </c>
      <c r="F1206">
        <v>0.12890000000000001</v>
      </c>
    </row>
    <row r="1207" spans="1:6" x14ac:dyDescent="0.3">
      <c r="A1207" t="s">
        <v>5</v>
      </c>
      <c r="B1207" s="1">
        <v>45708</v>
      </c>
      <c r="C1207">
        <v>6</v>
      </c>
      <c r="D1207">
        <v>6.6000000000000003E-2</v>
      </c>
      <c r="E1207" t="s">
        <v>6</v>
      </c>
      <c r="F1207">
        <v>0.12990000000000002</v>
      </c>
    </row>
    <row r="1208" spans="1:6" x14ac:dyDescent="0.3">
      <c r="A1208" t="s">
        <v>5</v>
      </c>
      <c r="B1208" s="1">
        <v>45708</v>
      </c>
      <c r="C1208">
        <v>7</v>
      </c>
      <c r="D1208">
        <v>8.1000000000000003E-2</v>
      </c>
      <c r="E1208" t="s">
        <v>6</v>
      </c>
      <c r="F1208">
        <v>0.13929</v>
      </c>
    </row>
    <row r="1209" spans="1:6" x14ac:dyDescent="0.3">
      <c r="A1209" t="s">
        <v>5</v>
      </c>
      <c r="B1209" s="1">
        <v>45708</v>
      </c>
      <c r="C1209">
        <v>8</v>
      </c>
      <c r="D1209">
        <v>7.8E-2</v>
      </c>
      <c r="E1209" t="s">
        <v>6</v>
      </c>
      <c r="F1209">
        <v>0.15064</v>
      </c>
    </row>
    <row r="1210" spans="1:6" x14ac:dyDescent="0.3">
      <c r="A1210" t="s">
        <v>5</v>
      </c>
      <c r="B1210" s="1">
        <v>45708</v>
      </c>
      <c r="C1210">
        <v>9</v>
      </c>
      <c r="D1210">
        <v>0.246</v>
      </c>
      <c r="E1210" t="s">
        <v>6</v>
      </c>
      <c r="F1210">
        <v>0.19594999999999999</v>
      </c>
    </row>
    <row r="1211" spans="1:6" x14ac:dyDescent="0.3">
      <c r="A1211" t="s">
        <v>5</v>
      </c>
      <c r="B1211" s="1">
        <v>45708</v>
      </c>
      <c r="C1211">
        <v>10</v>
      </c>
      <c r="D1211">
        <v>0.307</v>
      </c>
      <c r="E1211" t="s">
        <v>6</v>
      </c>
      <c r="F1211">
        <v>0.16261</v>
      </c>
    </row>
    <row r="1212" spans="1:6" x14ac:dyDescent="0.3">
      <c r="A1212" t="s">
        <v>5</v>
      </c>
      <c r="B1212" s="1">
        <v>45708</v>
      </c>
      <c r="C1212">
        <v>11</v>
      </c>
      <c r="D1212">
        <v>0.11</v>
      </c>
      <c r="E1212" t="s">
        <v>6</v>
      </c>
      <c r="F1212">
        <v>0.19775999999999999</v>
      </c>
    </row>
    <row r="1213" spans="1:6" x14ac:dyDescent="0.3">
      <c r="A1213" t="s">
        <v>5</v>
      </c>
      <c r="B1213" s="1">
        <v>45708</v>
      </c>
      <c r="C1213">
        <v>12</v>
      </c>
      <c r="D1213">
        <v>0.08</v>
      </c>
      <c r="E1213" t="s">
        <v>6</v>
      </c>
      <c r="F1213">
        <v>0.16952</v>
      </c>
    </row>
    <row r="1214" spans="1:6" x14ac:dyDescent="0.3">
      <c r="A1214" t="s">
        <v>5</v>
      </c>
      <c r="B1214" s="1">
        <v>45708</v>
      </c>
      <c r="C1214">
        <v>13</v>
      </c>
      <c r="D1214">
        <v>7.8E-2</v>
      </c>
      <c r="E1214" t="s">
        <v>6</v>
      </c>
      <c r="F1214">
        <v>0.14757000000000001</v>
      </c>
    </row>
    <row r="1215" spans="1:6" x14ac:dyDescent="0.3">
      <c r="A1215" t="s">
        <v>5</v>
      </c>
      <c r="B1215" s="1">
        <v>45708</v>
      </c>
      <c r="C1215">
        <v>14</v>
      </c>
      <c r="D1215">
        <v>0.16300000000000001</v>
      </c>
      <c r="E1215" t="s">
        <v>6</v>
      </c>
      <c r="F1215">
        <v>0.13700000000000001</v>
      </c>
    </row>
    <row r="1216" spans="1:6" x14ac:dyDescent="0.3">
      <c r="A1216" t="s">
        <v>5</v>
      </c>
      <c r="B1216" s="1">
        <v>45708</v>
      </c>
      <c r="C1216">
        <v>15</v>
      </c>
      <c r="D1216">
        <v>0.92600000000000005</v>
      </c>
      <c r="E1216" t="s">
        <v>6</v>
      </c>
      <c r="F1216">
        <v>6.2729999999999994E-2</v>
      </c>
    </row>
    <row r="1217" spans="1:6" x14ac:dyDescent="0.3">
      <c r="A1217" t="s">
        <v>5</v>
      </c>
      <c r="B1217" s="1">
        <v>45708</v>
      </c>
      <c r="C1217">
        <v>16</v>
      </c>
      <c r="D1217">
        <v>0.65800000000000003</v>
      </c>
      <c r="E1217" t="s">
        <v>6</v>
      </c>
      <c r="F1217">
        <v>7.2489999999999999E-2</v>
      </c>
    </row>
    <row r="1218" spans="1:6" x14ac:dyDescent="0.3">
      <c r="A1218" t="s">
        <v>5</v>
      </c>
      <c r="B1218" s="1">
        <v>45708</v>
      </c>
      <c r="C1218">
        <v>17</v>
      </c>
      <c r="D1218">
        <v>0.74399999999999999</v>
      </c>
      <c r="E1218" t="s">
        <v>6</v>
      </c>
      <c r="F1218">
        <v>0.10084</v>
      </c>
    </row>
    <row r="1219" spans="1:6" x14ac:dyDescent="0.3">
      <c r="A1219" t="s">
        <v>5</v>
      </c>
      <c r="B1219" s="1">
        <v>45708</v>
      </c>
      <c r="C1219">
        <v>18</v>
      </c>
      <c r="D1219">
        <v>0.112</v>
      </c>
      <c r="E1219" t="s">
        <v>6</v>
      </c>
      <c r="F1219">
        <v>0.13513</v>
      </c>
    </row>
    <row r="1220" spans="1:6" x14ac:dyDescent="0.3">
      <c r="A1220" t="s">
        <v>5</v>
      </c>
      <c r="B1220" s="1">
        <v>45708</v>
      </c>
      <c r="C1220">
        <v>19</v>
      </c>
      <c r="D1220">
        <v>8.1000000000000003E-2</v>
      </c>
      <c r="E1220" t="s">
        <v>6</v>
      </c>
      <c r="F1220">
        <v>0.25496999999999997</v>
      </c>
    </row>
    <row r="1221" spans="1:6" x14ac:dyDescent="0.3">
      <c r="A1221" t="s">
        <v>5</v>
      </c>
      <c r="B1221" s="1">
        <v>45708</v>
      </c>
      <c r="C1221">
        <v>20</v>
      </c>
      <c r="D1221">
        <v>0.28999999999999998</v>
      </c>
      <c r="E1221" t="s">
        <v>6</v>
      </c>
      <c r="F1221">
        <v>0.27385000000000004</v>
      </c>
    </row>
    <row r="1222" spans="1:6" x14ac:dyDescent="0.3">
      <c r="A1222" t="s">
        <v>5</v>
      </c>
      <c r="B1222" s="1">
        <v>45708</v>
      </c>
      <c r="C1222">
        <v>21</v>
      </c>
      <c r="D1222">
        <v>0.245</v>
      </c>
      <c r="E1222" t="s">
        <v>6</v>
      </c>
      <c r="F1222">
        <v>0.28455000000000003</v>
      </c>
    </row>
    <row r="1223" spans="1:6" x14ac:dyDescent="0.3">
      <c r="A1223" t="s">
        <v>5</v>
      </c>
      <c r="B1223" s="1">
        <v>45708</v>
      </c>
      <c r="C1223">
        <v>22</v>
      </c>
      <c r="D1223">
        <v>8.5999999999999993E-2</v>
      </c>
      <c r="E1223" t="s">
        <v>6</v>
      </c>
      <c r="F1223">
        <v>0.26230999999999999</v>
      </c>
    </row>
    <row r="1224" spans="1:6" x14ac:dyDescent="0.3">
      <c r="A1224" t="s">
        <v>5</v>
      </c>
      <c r="B1224" s="1">
        <v>45708</v>
      </c>
      <c r="C1224">
        <v>23</v>
      </c>
      <c r="D1224">
        <v>0.58799999999999997</v>
      </c>
      <c r="E1224" t="s">
        <v>6</v>
      </c>
      <c r="F1224">
        <v>0.16406999999999999</v>
      </c>
    </row>
    <row r="1225" spans="1:6" x14ac:dyDescent="0.3">
      <c r="A1225" t="s">
        <v>5</v>
      </c>
      <c r="B1225" s="1">
        <v>45708</v>
      </c>
      <c r="C1225">
        <v>24</v>
      </c>
      <c r="D1225">
        <v>0.65100000000000002</v>
      </c>
      <c r="E1225" t="s">
        <v>6</v>
      </c>
      <c r="F1225">
        <v>0.1535</v>
      </c>
    </row>
    <row r="1226" spans="1:6" x14ac:dyDescent="0.3">
      <c r="A1226" t="s">
        <v>5</v>
      </c>
      <c r="B1226" s="1">
        <v>45709</v>
      </c>
      <c r="C1226">
        <v>1</v>
      </c>
      <c r="D1226">
        <v>0.66600000000000004</v>
      </c>
      <c r="E1226" t="s">
        <v>6</v>
      </c>
      <c r="F1226">
        <v>0.13200000000000001</v>
      </c>
    </row>
    <row r="1227" spans="1:6" x14ac:dyDescent="0.3">
      <c r="A1227" t="s">
        <v>5</v>
      </c>
      <c r="B1227" s="1">
        <v>45709</v>
      </c>
      <c r="C1227">
        <v>2</v>
      </c>
      <c r="D1227">
        <v>0.45800000000000002</v>
      </c>
      <c r="E1227" t="s">
        <v>6</v>
      </c>
      <c r="F1227">
        <v>0.12900999999999999</v>
      </c>
    </row>
    <row r="1228" spans="1:6" x14ac:dyDescent="0.3">
      <c r="A1228" t="s">
        <v>5</v>
      </c>
      <c r="B1228" s="1">
        <v>45709</v>
      </c>
      <c r="C1228">
        <v>3</v>
      </c>
      <c r="D1228">
        <v>8.1000000000000003E-2</v>
      </c>
      <c r="E1228" t="s">
        <v>6</v>
      </c>
      <c r="F1228">
        <v>0.10945000000000001</v>
      </c>
    </row>
    <row r="1229" spans="1:6" x14ac:dyDescent="0.3">
      <c r="A1229" t="s">
        <v>5</v>
      </c>
      <c r="B1229" s="1">
        <v>45709</v>
      </c>
      <c r="C1229">
        <v>4</v>
      </c>
      <c r="D1229">
        <v>7.4999999999999997E-2</v>
      </c>
      <c r="E1229" t="s">
        <v>6</v>
      </c>
      <c r="F1229">
        <v>0.10732999999999999</v>
      </c>
    </row>
    <row r="1230" spans="1:6" x14ac:dyDescent="0.3">
      <c r="A1230" t="s">
        <v>5</v>
      </c>
      <c r="B1230" s="1">
        <v>45709</v>
      </c>
      <c r="C1230">
        <v>5</v>
      </c>
      <c r="D1230">
        <v>9.6000000000000002E-2</v>
      </c>
      <c r="E1230" t="s">
        <v>6</v>
      </c>
      <c r="F1230">
        <v>9.376000000000001E-2</v>
      </c>
    </row>
    <row r="1231" spans="1:6" x14ac:dyDescent="0.3">
      <c r="A1231" t="s">
        <v>5</v>
      </c>
      <c r="B1231" s="1">
        <v>45709</v>
      </c>
      <c r="C1231">
        <v>6</v>
      </c>
      <c r="D1231">
        <v>8.6999999999999994E-2</v>
      </c>
      <c r="E1231" t="s">
        <v>6</v>
      </c>
      <c r="F1231">
        <v>9.1920000000000002E-2</v>
      </c>
    </row>
    <row r="1232" spans="1:6" x14ac:dyDescent="0.3">
      <c r="A1232" t="s">
        <v>5</v>
      </c>
      <c r="B1232" s="1">
        <v>45709</v>
      </c>
      <c r="C1232">
        <v>7</v>
      </c>
      <c r="D1232">
        <v>0.13300000000000001</v>
      </c>
      <c r="E1232" t="s">
        <v>6</v>
      </c>
      <c r="F1232">
        <v>0.10865000000000001</v>
      </c>
    </row>
    <row r="1233" spans="1:6" x14ac:dyDescent="0.3">
      <c r="A1233" t="s">
        <v>5</v>
      </c>
      <c r="B1233" s="1">
        <v>45709</v>
      </c>
      <c r="C1233">
        <v>8</v>
      </c>
      <c r="D1233">
        <v>0.16500000000000001</v>
      </c>
      <c r="E1233" t="s">
        <v>6</v>
      </c>
      <c r="F1233">
        <v>0.11612</v>
      </c>
    </row>
    <row r="1234" spans="1:6" x14ac:dyDescent="0.3">
      <c r="A1234" t="s">
        <v>5</v>
      </c>
      <c r="B1234" s="1">
        <v>45709</v>
      </c>
      <c r="C1234">
        <v>9</v>
      </c>
      <c r="D1234">
        <v>0.13900000000000001</v>
      </c>
      <c r="E1234" t="s">
        <v>6</v>
      </c>
      <c r="F1234">
        <v>0.14454</v>
      </c>
    </row>
    <row r="1235" spans="1:6" x14ac:dyDescent="0.3">
      <c r="A1235" t="s">
        <v>5</v>
      </c>
      <c r="B1235" s="1">
        <v>45709</v>
      </c>
      <c r="C1235">
        <v>10</v>
      </c>
      <c r="D1235">
        <v>0.17</v>
      </c>
      <c r="E1235" t="s">
        <v>6</v>
      </c>
      <c r="F1235">
        <v>0.14041000000000001</v>
      </c>
    </row>
    <row r="1236" spans="1:6" x14ac:dyDescent="0.3">
      <c r="A1236" t="s">
        <v>5</v>
      </c>
      <c r="B1236" s="1">
        <v>45709</v>
      </c>
      <c r="C1236">
        <v>11</v>
      </c>
      <c r="D1236">
        <v>0.14499999999999999</v>
      </c>
      <c r="E1236" t="s">
        <v>6</v>
      </c>
      <c r="F1236">
        <v>0.17887</v>
      </c>
    </row>
    <row r="1237" spans="1:6" x14ac:dyDescent="0.3">
      <c r="A1237" t="s">
        <v>5</v>
      </c>
      <c r="B1237" s="1">
        <v>45709</v>
      </c>
      <c r="C1237">
        <v>12</v>
      </c>
      <c r="D1237">
        <v>7.9000000000000001E-2</v>
      </c>
      <c r="E1237" t="s">
        <v>6</v>
      </c>
      <c r="F1237">
        <v>0.14025000000000001</v>
      </c>
    </row>
    <row r="1238" spans="1:6" x14ac:dyDescent="0.3">
      <c r="A1238" t="s">
        <v>5</v>
      </c>
      <c r="B1238" s="1">
        <v>45709</v>
      </c>
      <c r="C1238">
        <v>13</v>
      </c>
      <c r="D1238">
        <v>0.114</v>
      </c>
      <c r="E1238" t="s">
        <v>6</v>
      </c>
      <c r="F1238">
        <v>0.12806000000000001</v>
      </c>
    </row>
    <row r="1239" spans="1:6" x14ac:dyDescent="0.3">
      <c r="A1239" t="s">
        <v>5</v>
      </c>
      <c r="B1239" s="1">
        <v>45709</v>
      </c>
      <c r="C1239">
        <v>14</v>
      </c>
      <c r="D1239">
        <v>0.14599999999999999</v>
      </c>
      <c r="E1239" t="s">
        <v>6</v>
      </c>
      <c r="F1239">
        <v>0.12545999999999999</v>
      </c>
    </row>
    <row r="1240" spans="1:6" x14ac:dyDescent="0.3">
      <c r="A1240" t="s">
        <v>5</v>
      </c>
      <c r="B1240" s="1">
        <v>45709</v>
      </c>
      <c r="C1240">
        <v>15</v>
      </c>
      <c r="D1240">
        <v>0.20100000000000001</v>
      </c>
      <c r="E1240" t="s">
        <v>6</v>
      </c>
      <c r="F1240">
        <v>6.0499999999999998E-2</v>
      </c>
    </row>
    <row r="1241" spans="1:6" x14ac:dyDescent="0.3">
      <c r="A1241" t="s">
        <v>5</v>
      </c>
      <c r="B1241" s="1">
        <v>45709</v>
      </c>
      <c r="C1241">
        <v>16</v>
      </c>
      <c r="D1241">
        <v>0.19600000000000001</v>
      </c>
      <c r="E1241" t="s">
        <v>6</v>
      </c>
      <c r="F1241">
        <v>6.1499999999999999E-2</v>
      </c>
    </row>
    <row r="1242" spans="1:6" x14ac:dyDescent="0.3">
      <c r="A1242" t="s">
        <v>5</v>
      </c>
      <c r="B1242" s="1">
        <v>45709</v>
      </c>
      <c r="C1242">
        <v>17</v>
      </c>
      <c r="D1242">
        <v>7.4999999999999997E-2</v>
      </c>
      <c r="E1242" t="s">
        <v>6</v>
      </c>
      <c r="F1242">
        <v>6.4939999999999998E-2</v>
      </c>
    </row>
    <row r="1243" spans="1:6" x14ac:dyDescent="0.3">
      <c r="A1243" t="s">
        <v>5</v>
      </c>
      <c r="B1243" s="1">
        <v>45709</v>
      </c>
      <c r="C1243">
        <v>18</v>
      </c>
      <c r="D1243">
        <v>7.4999999999999997E-2</v>
      </c>
      <c r="E1243" t="s">
        <v>6</v>
      </c>
      <c r="F1243">
        <v>0.11201999999999999</v>
      </c>
    </row>
    <row r="1244" spans="1:6" x14ac:dyDescent="0.3">
      <c r="A1244" t="s">
        <v>5</v>
      </c>
      <c r="B1244" s="1">
        <v>45709</v>
      </c>
      <c r="C1244">
        <v>19</v>
      </c>
      <c r="D1244">
        <v>6.8000000000000005E-2</v>
      </c>
      <c r="E1244" t="s">
        <v>6</v>
      </c>
      <c r="F1244">
        <v>0.18994</v>
      </c>
    </row>
    <row r="1245" spans="1:6" x14ac:dyDescent="0.3">
      <c r="A1245" t="s">
        <v>5</v>
      </c>
      <c r="B1245" s="1">
        <v>45709</v>
      </c>
      <c r="C1245">
        <v>20</v>
      </c>
      <c r="D1245">
        <v>6.5000000000000002E-2</v>
      </c>
      <c r="E1245" t="s">
        <v>6</v>
      </c>
      <c r="F1245">
        <v>0.23691999999999999</v>
      </c>
    </row>
    <row r="1246" spans="1:6" x14ac:dyDescent="0.3">
      <c r="A1246" t="s">
        <v>5</v>
      </c>
      <c r="B1246" s="1">
        <v>45709</v>
      </c>
      <c r="C1246">
        <v>21</v>
      </c>
      <c r="D1246">
        <v>7.3999999999999996E-2</v>
      </c>
      <c r="E1246" t="s">
        <v>6</v>
      </c>
      <c r="F1246">
        <v>0.22686000000000001</v>
      </c>
    </row>
    <row r="1247" spans="1:6" x14ac:dyDescent="0.3">
      <c r="A1247" t="s">
        <v>5</v>
      </c>
      <c r="B1247" s="1">
        <v>45709</v>
      </c>
      <c r="C1247">
        <v>22</v>
      </c>
      <c r="D1247">
        <v>7.1999999999999995E-2</v>
      </c>
      <c r="E1247" t="s">
        <v>6</v>
      </c>
      <c r="F1247">
        <v>0.21129000000000001</v>
      </c>
    </row>
    <row r="1248" spans="1:6" x14ac:dyDescent="0.3">
      <c r="A1248" t="s">
        <v>5</v>
      </c>
      <c r="B1248" s="1">
        <v>45709</v>
      </c>
      <c r="C1248">
        <v>23</v>
      </c>
      <c r="D1248">
        <v>5.7000000000000002E-2</v>
      </c>
      <c r="E1248" t="s">
        <v>6</v>
      </c>
      <c r="F1248">
        <v>0.14476</v>
      </c>
    </row>
    <row r="1249" spans="1:6" x14ac:dyDescent="0.3">
      <c r="A1249" t="s">
        <v>5</v>
      </c>
      <c r="B1249" s="1">
        <v>45709</v>
      </c>
      <c r="C1249">
        <v>24</v>
      </c>
      <c r="D1249">
        <v>6.9000000000000006E-2</v>
      </c>
      <c r="E1249" t="s">
        <v>6</v>
      </c>
      <c r="F1249">
        <v>0.14867</v>
      </c>
    </row>
    <row r="1250" spans="1:6" x14ac:dyDescent="0.3">
      <c r="A1250" t="s">
        <v>5</v>
      </c>
      <c r="B1250" s="1">
        <v>45710</v>
      </c>
      <c r="C1250">
        <v>1</v>
      </c>
      <c r="D1250">
        <v>7.1999999999999995E-2</v>
      </c>
      <c r="E1250" t="s">
        <v>6</v>
      </c>
      <c r="F1250">
        <v>0.10365000000000001</v>
      </c>
    </row>
    <row r="1251" spans="1:6" x14ac:dyDescent="0.3">
      <c r="A1251" t="s">
        <v>5</v>
      </c>
      <c r="B1251" s="1">
        <v>45710</v>
      </c>
      <c r="C1251">
        <v>2</v>
      </c>
      <c r="D1251">
        <v>7.0999999999999994E-2</v>
      </c>
      <c r="E1251" t="s">
        <v>6</v>
      </c>
      <c r="F1251">
        <v>9.9049999999999999E-2</v>
      </c>
    </row>
    <row r="1252" spans="1:6" x14ac:dyDescent="0.3">
      <c r="A1252" t="s">
        <v>5</v>
      </c>
      <c r="B1252" s="1">
        <v>45710</v>
      </c>
      <c r="C1252">
        <v>3</v>
      </c>
      <c r="D1252">
        <v>6.2E-2</v>
      </c>
      <c r="E1252" t="s">
        <v>6</v>
      </c>
      <c r="F1252">
        <v>0.10174999999999999</v>
      </c>
    </row>
    <row r="1253" spans="1:6" x14ac:dyDescent="0.3">
      <c r="A1253" t="s">
        <v>5</v>
      </c>
      <c r="B1253" s="1">
        <v>45710</v>
      </c>
      <c r="C1253">
        <v>4</v>
      </c>
      <c r="D1253">
        <v>6.9000000000000006E-2</v>
      </c>
      <c r="E1253" t="s">
        <v>6</v>
      </c>
      <c r="F1253">
        <v>9.6329999999999999E-2</v>
      </c>
    </row>
    <row r="1254" spans="1:6" x14ac:dyDescent="0.3">
      <c r="A1254" t="s">
        <v>5</v>
      </c>
      <c r="B1254" s="1">
        <v>45710</v>
      </c>
      <c r="C1254">
        <v>5</v>
      </c>
      <c r="D1254">
        <v>7.0999999999999994E-2</v>
      </c>
      <c r="E1254" t="s">
        <v>6</v>
      </c>
      <c r="F1254">
        <v>9.3900000000000011E-2</v>
      </c>
    </row>
    <row r="1255" spans="1:6" x14ac:dyDescent="0.3">
      <c r="A1255" t="s">
        <v>5</v>
      </c>
      <c r="B1255" s="1">
        <v>45710</v>
      </c>
      <c r="C1255">
        <v>6</v>
      </c>
      <c r="D1255">
        <v>6.9000000000000006E-2</v>
      </c>
      <c r="E1255" t="s">
        <v>6</v>
      </c>
      <c r="F1255">
        <v>0.10823999999999999</v>
      </c>
    </row>
    <row r="1256" spans="1:6" x14ac:dyDescent="0.3">
      <c r="A1256" t="s">
        <v>5</v>
      </c>
      <c r="B1256" s="1">
        <v>45710</v>
      </c>
      <c r="C1256">
        <v>7</v>
      </c>
      <c r="D1256">
        <v>5.8000000000000003E-2</v>
      </c>
      <c r="E1256" t="s">
        <v>6</v>
      </c>
      <c r="F1256">
        <v>0.1082</v>
      </c>
    </row>
    <row r="1257" spans="1:6" x14ac:dyDescent="0.3">
      <c r="A1257" t="s">
        <v>5</v>
      </c>
      <c r="B1257" s="1">
        <v>45710</v>
      </c>
      <c r="C1257">
        <v>8</v>
      </c>
      <c r="D1257">
        <v>6.7000000000000004E-2</v>
      </c>
      <c r="E1257" t="s">
        <v>6</v>
      </c>
      <c r="F1257">
        <v>0.11164</v>
      </c>
    </row>
    <row r="1258" spans="1:6" x14ac:dyDescent="0.3">
      <c r="A1258" t="s">
        <v>5</v>
      </c>
      <c r="B1258" s="1">
        <v>45710</v>
      </c>
      <c r="C1258">
        <v>9</v>
      </c>
      <c r="D1258">
        <v>7.0000000000000007E-2</v>
      </c>
      <c r="E1258" t="s">
        <v>6</v>
      </c>
      <c r="F1258">
        <v>0.11417000000000001</v>
      </c>
    </row>
    <row r="1259" spans="1:6" x14ac:dyDescent="0.3">
      <c r="A1259" t="s">
        <v>5</v>
      </c>
      <c r="B1259" s="1">
        <v>45710</v>
      </c>
      <c r="C1259">
        <v>10</v>
      </c>
      <c r="D1259">
        <v>7.0999999999999994E-2</v>
      </c>
      <c r="E1259" t="s">
        <v>6</v>
      </c>
      <c r="F1259">
        <v>0.11667</v>
      </c>
    </row>
    <row r="1260" spans="1:6" x14ac:dyDescent="0.3">
      <c r="A1260" t="s">
        <v>5</v>
      </c>
      <c r="B1260" s="1">
        <v>45710</v>
      </c>
      <c r="C1260">
        <v>11</v>
      </c>
      <c r="D1260">
        <v>6.6000000000000003E-2</v>
      </c>
      <c r="E1260" t="s">
        <v>6</v>
      </c>
      <c r="F1260">
        <v>0.10274</v>
      </c>
    </row>
    <row r="1261" spans="1:6" x14ac:dyDescent="0.3">
      <c r="A1261" t="s">
        <v>5</v>
      </c>
      <c r="B1261" s="1">
        <v>45710</v>
      </c>
      <c r="C1261">
        <v>12</v>
      </c>
      <c r="D1261">
        <v>6.4000000000000001E-2</v>
      </c>
      <c r="E1261" t="s">
        <v>6</v>
      </c>
      <c r="F1261">
        <v>0.10093000000000001</v>
      </c>
    </row>
    <row r="1262" spans="1:6" x14ac:dyDescent="0.3">
      <c r="A1262" t="s">
        <v>5</v>
      </c>
      <c r="B1262" s="1">
        <v>45710</v>
      </c>
      <c r="C1262">
        <v>13</v>
      </c>
      <c r="D1262">
        <v>7.0000000000000007E-2</v>
      </c>
      <c r="E1262" t="s">
        <v>6</v>
      </c>
      <c r="F1262">
        <v>8.5559999999999997E-2</v>
      </c>
    </row>
    <row r="1263" spans="1:6" x14ac:dyDescent="0.3">
      <c r="A1263" t="s">
        <v>5</v>
      </c>
      <c r="B1263" s="1">
        <v>45710</v>
      </c>
      <c r="C1263">
        <v>14</v>
      </c>
      <c r="D1263">
        <v>7.0999999999999994E-2</v>
      </c>
      <c r="E1263" t="s">
        <v>6</v>
      </c>
      <c r="F1263">
        <v>7.7560000000000004E-2</v>
      </c>
    </row>
    <row r="1264" spans="1:6" x14ac:dyDescent="0.3">
      <c r="A1264" t="s">
        <v>5</v>
      </c>
      <c r="B1264" s="1">
        <v>45710</v>
      </c>
      <c r="C1264">
        <v>15</v>
      </c>
      <c r="D1264">
        <v>5.8999999999999997E-2</v>
      </c>
      <c r="E1264" t="s">
        <v>6</v>
      </c>
      <c r="F1264">
        <v>7.4380000000000002E-2</v>
      </c>
    </row>
    <row r="1265" spans="1:6" x14ac:dyDescent="0.3">
      <c r="A1265" t="s">
        <v>5</v>
      </c>
      <c r="B1265" s="1">
        <v>45710</v>
      </c>
      <c r="C1265">
        <v>16</v>
      </c>
      <c r="D1265">
        <v>6.4000000000000001E-2</v>
      </c>
      <c r="E1265" t="s">
        <v>6</v>
      </c>
      <c r="F1265">
        <v>7.3790000000000008E-2</v>
      </c>
    </row>
    <row r="1266" spans="1:6" x14ac:dyDescent="0.3">
      <c r="A1266" t="s">
        <v>5</v>
      </c>
      <c r="B1266" s="1">
        <v>45710</v>
      </c>
      <c r="C1266">
        <v>17</v>
      </c>
      <c r="D1266">
        <v>7.0999999999999994E-2</v>
      </c>
      <c r="E1266" t="s">
        <v>6</v>
      </c>
      <c r="F1266">
        <v>8.2970000000000002E-2</v>
      </c>
    </row>
    <row r="1267" spans="1:6" x14ac:dyDescent="0.3">
      <c r="A1267" t="s">
        <v>5</v>
      </c>
      <c r="B1267" s="1">
        <v>45710</v>
      </c>
      <c r="C1267">
        <v>18</v>
      </c>
      <c r="D1267">
        <v>7.0999999999999994E-2</v>
      </c>
      <c r="E1267" t="s">
        <v>6</v>
      </c>
      <c r="F1267">
        <v>0.12107</v>
      </c>
    </row>
    <row r="1268" spans="1:6" x14ac:dyDescent="0.3">
      <c r="A1268" t="s">
        <v>5</v>
      </c>
      <c r="B1268" s="1">
        <v>45710</v>
      </c>
      <c r="C1268">
        <v>19</v>
      </c>
      <c r="D1268">
        <v>6.5000000000000002E-2</v>
      </c>
      <c r="E1268" t="s">
        <v>6</v>
      </c>
      <c r="F1268">
        <v>0.16947999999999999</v>
      </c>
    </row>
    <row r="1269" spans="1:6" x14ac:dyDescent="0.3">
      <c r="A1269" t="s">
        <v>5</v>
      </c>
      <c r="B1269" s="1">
        <v>45710</v>
      </c>
      <c r="C1269">
        <v>20</v>
      </c>
      <c r="D1269">
        <v>6.6000000000000003E-2</v>
      </c>
      <c r="E1269" t="s">
        <v>6</v>
      </c>
      <c r="F1269">
        <v>0.17699999999999999</v>
      </c>
    </row>
    <row r="1270" spans="1:6" x14ac:dyDescent="0.3">
      <c r="A1270" t="s">
        <v>5</v>
      </c>
      <c r="B1270" s="1">
        <v>45710</v>
      </c>
      <c r="C1270">
        <v>21</v>
      </c>
      <c r="D1270">
        <v>7.1999999999999995E-2</v>
      </c>
      <c r="E1270" t="s">
        <v>6</v>
      </c>
      <c r="F1270">
        <v>0.16550999999999999</v>
      </c>
    </row>
    <row r="1271" spans="1:6" x14ac:dyDescent="0.3">
      <c r="A1271" t="s">
        <v>5</v>
      </c>
      <c r="B1271" s="1">
        <v>45710</v>
      </c>
      <c r="C1271">
        <v>22</v>
      </c>
      <c r="D1271">
        <v>6.9000000000000006E-2</v>
      </c>
      <c r="E1271" t="s">
        <v>6</v>
      </c>
      <c r="F1271">
        <v>0.15694999999999998</v>
      </c>
    </row>
    <row r="1272" spans="1:6" x14ac:dyDescent="0.3">
      <c r="A1272" t="s">
        <v>5</v>
      </c>
      <c r="B1272" s="1">
        <v>45710</v>
      </c>
      <c r="C1272">
        <v>23</v>
      </c>
      <c r="D1272">
        <v>5.6000000000000001E-2</v>
      </c>
      <c r="E1272" t="s">
        <v>6</v>
      </c>
      <c r="F1272">
        <v>0.15393000000000001</v>
      </c>
    </row>
    <row r="1273" spans="1:6" x14ac:dyDescent="0.3">
      <c r="A1273" t="s">
        <v>5</v>
      </c>
      <c r="B1273" s="1">
        <v>45710</v>
      </c>
      <c r="C1273">
        <v>24</v>
      </c>
      <c r="D1273">
        <v>6.9000000000000006E-2</v>
      </c>
      <c r="E1273" t="s">
        <v>6</v>
      </c>
      <c r="F1273">
        <v>0.15290999999999999</v>
      </c>
    </row>
    <row r="1274" spans="1:6" x14ac:dyDescent="0.3">
      <c r="A1274" t="s">
        <v>5</v>
      </c>
      <c r="B1274" s="1">
        <v>45711</v>
      </c>
      <c r="C1274">
        <v>1</v>
      </c>
      <c r="D1274">
        <v>7.0999999999999994E-2</v>
      </c>
      <c r="E1274" t="s">
        <v>6</v>
      </c>
      <c r="F1274">
        <v>0.14015</v>
      </c>
    </row>
    <row r="1275" spans="1:6" x14ac:dyDescent="0.3">
      <c r="A1275" t="s">
        <v>5</v>
      </c>
      <c r="B1275" s="1">
        <v>45711</v>
      </c>
      <c r="C1275">
        <v>2</v>
      </c>
      <c r="D1275">
        <v>7.0999999999999994E-2</v>
      </c>
      <c r="E1275" t="s">
        <v>6</v>
      </c>
      <c r="F1275">
        <v>0.13346</v>
      </c>
    </row>
    <row r="1276" spans="1:6" x14ac:dyDescent="0.3">
      <c r="A1276" t="s">
        <v>5</v>
      </c>
      <c r="B1276" s="1">
        <v>45711</v>
      </c>
      <c r="C1276">
        <v>3</v>
      </c>
      <c r="D1276">
        <v>0.06</v>
      </c>
      <c r="E1276" t="s">
        <v>6</v>
      </c>
      <c r="F1276">
        <v>0.13508000000000001</v>
      </c>
    </row>
    <row r="1277" spans="1:6" x14ac:dyDescent="0.3">
      <c r="A1277" t="s">
        <v>5</v>
      </c>
      <c r="B1277" s="1">
        <v>45711</v>
      </c>
      <c r="C1277">
        <v>4</v>
      </c>
      <c r="D1277">
        <v>7.0999999999999994E-2</v>
      </c>
      <c r="E1277" t="s">
        <v>6</v>
      </c>
      <c r="F1277">
        <v>0.13733999999999999</v>
      </c>
    </row>
    <row r="1278" spans="1:6" x14ac:dyDescent="0.3">
      <c r="A1278" t="s">
        <v>5</v>
      </c>
      <c r="B1278" s="1">
        <v>45711</v>
      </c>
      <c r="C1278">
        <v>5</v>
      </c>
      <c r="D1278">
        <v>7.0999999999999994E-2</v>
      </c>
      <c r="E1278" t="s">
        <v>6</v>
      </c>
      <c r="F1278">
        <v>0.1358</v>
      </c>
    </row>
    <row r="1279" spans="1:6" x14ac:dyDescent="0.3">
      <c r="A1279" t="s">
        <v>5</v>
      </c>
      <c r="B1279" s="1">
        <v>45711</v>
      </c>
      <c r="C1279">
        <v>6</v>
      </c>
      <c r="D1279">
        <v>6.2E-2</v>
      </c>
      <c r="E1279" t="s">
        <v>6</v>
      </c>
      <c r="F1279">
        <v>0.13704</v>
      </c>
    </row>
    <row r="1280" spans="1:6" x14ac:dyDescent="0.3">
      <c r="A1280" t="s">
        <v>5</v>
      </c>
      <c r="B1280" s="1">
        <v>45711</v>
      </c>
      <c r="C1280">
        <v>7</v>
      </c>
      <c r="D1280">
        <v>6.0999999999999999E-2</v>
      </c>
      <c r="E1280" t="s">
        <v>6</v>
      </c>
      <c r="F1280">
        <v>0.13994999999999999</v>
      </c>
    </row>
    <row r="1281" spans="1:6" x14ac:dyDescent="0.3">
      <c r="A1281" t="s">
        <v>5</v>
      </c>
      <c r="B1281" s="1">
        <v>45711</v>
      </c>
      <c r="C1281">
        <v>8</v>
      </c>
      <c r="D1281">
        <v>7.0999999999999994E-2</v>
      </c>
      <c r="E1281" t="s">
        <v>6</v>
      </c>
      <c r="F1281">
        <v>0.13711000000000001</v>
      </c>
    </row>
    <row r="1282" spans="1:6" x14ac:dyDescent="0.3">
      <c r="A1282" t="s">
        <v>5</v>
      </c>
      <c r="B1282" s="1">
        <v>45711</v>
      </c>
      <c r="C1282">
        <v>9</v>
      </c>
      <c r="D1282">
        <v>7.0999999999999994E-2</v>
      </c>
      <c r="E1282" t="s">
        <v>6</v>
      </c>
      <c r="F1282">
        <v>0.12997</v>
      </c>
    </row>
    <row r="1283" spans="1:6" x14ac:dyDescent="0.3">
      <c r="A1283" t="s">
        <v>5</v>
      </c>
      <c r="B1283" s="1">
        <v>45711</v>
      </c>
      <c r="C1283">
        <v>10</v>
      </c>
      <c r="D1283">
        <v>0.128</v>
      </c>
      <c r="E1283" t="s">
        <v>6</v>
      </c>
      <c r="F1283">
        <v>0.11394</v>
      </c>
    </row>
    <row r="1284" spans="1:6" x14ac:dyDescent="0.3">
      <c r="A1284" t="s">
        <v>5</v>
      </c>
      <c r="B1284" s="1">
        <v>45711</v>
      </c>
      <c r="C1284">
        <v>11</v>
      </c>
      <c r="D1284">
        <v>8.7999999999999995E-2</v>
      </c>
      <c r="E1284" t="s">
        <v>6</v>
      </c>
      <c r="F1284">
        <v>6.1869999999999994E-2</v>
      </c>
    </row>
    <row r="1285" spans="1:6" x14ac:dyDescent="0.3">
      <c r="A1285" t="s">
        <v>5</v>
      </c>
      <c r="B1285" s="1">
        <v>45711</v>
      </c>
      <c r="C1285">
        <v>12</v>
      </c>
      <c r="D1285">
        <v>7.0999999999999994E-2</v>
      </c>
      <c r="E1285" t="s">
        <v>6</v>
      </c>
      <c r="F1285">
        <v>4.6210000000000001E-2</v>
      </c>
    </row>
    <row r="1286" spans="1:6" x14ac:dyDescent="0.3">
      <c r="A1286" t="s">
        <v>5</v>
      </c>
      <c r="B1286" s="1">
        <v>45711</v>
      </c>
      <c r="C1286">
        <v>13</v>
      </c>
      <c r="D1286">
        <v>6.6000000000000003E-2</v>
      </c>
      <c r="E1286" t="s">
        <v>6</v>
      </c>
      <c r="F1286">
        <v>3.5020000000000003E-2</v>
      </c>
    </row>
    <row r="1287" spans="1:6" x14ac:dyDescent="0.3">
      <c r="A1287" t="s">
        <v>5</v>
      </c>
      <c r="B1287" s="1">
        <v>45711</v>
      </c>
      <c r="C1287">
        <v>14</v>
      </c>
      <c r="D1287">
        <v>5.7000000000000002E-2</v>
      </c>
      <c r="E1287" t="s">
        <v>6</v>
      </c>
      <c r="F1287">
        <v>4.122E-2</v>
      </c>
    </row>
    <row r="1288" spans="1:6" x14ac:dyDescent="0.3">
      <c r="A1288" t="s">
        <v>5</v>
      </c>
      <c r="B1288" s="1">
        <v>45711</v>
      </c>
      <c r="C1288">
        <v>15</v>
      </c>
      <c r="D1288">
        <v>7.0999999999999994E-2</v>
      </c>
      <c r="E1288" t="s">
        <v>6</v>
      </c>
      <c r="F1288">
        <v>4.1000000000000002E-2</v>
      </c>
    </row>
    <row r="1289" spans="1:6" x14ac:dyDescent="0.3">
      <c r="A1289" t="s">
        <v>5</v>
      </c>
      <c r="B1289" s="1">
        <v>45711</v>
      </c>
      <c r="C1289">
        <v>16</v>
      </c>
      <c r="D1289">
        <v>7.1999999999999995E-2</v>
      </c>
      <c r="E1289" t="s">
        <v>6</v>
      </c>
      <c r="F1289">
        <v>3.2659999999999995E-2</v>
      </c>
    </row>
    <row r="1290" spans="1:6" x14ac:dyDescent="0.3">
      <c r="A1290" t="s">
        <v>5</v>
      </c>
      <c r="B1290" s="1">
        <v>45711</v>
      </c>
      <c r="C1290">
        <v>17</v>
      </c>
      <c r="D1290">
        <v>6.9000000000000006E-2</v>
      </c>
      <c r="E1290" t="s">
        <v>6</v>
      </c>
      <c r="F1290">
        <v>4.1520000000000001E-2</v>
      </c>
    </row>
    <row r="1291" spans="1:6" x14ac:dyDescent="0.3">
      <c r="A1291" t="s">
        <v>5</v>
      </c>
      <c r="B1291" s="1">
        <v>45711</v>
      </c>
      <c r="C1291">
        <v>18</v>
      </c>
      <c r="D1291">
        <v>6.2E-2</v>
      </c>
      <c r="E1291" t="s">
        <v>6</v>
      </c>
      <c r="F1291">
        <v>9.4090000000000007E-2</v>
      </c>
    </row>
    <row r="1292" spans="1:6" x14ac:dyDescent="0.3">
      <c r="A1292" t="s">
        <v>5</v>
      </c>
      <c r="B1292" s="1">
        <v>45711</v>
      </c>
      <c r="C1292">
        <v>19</v>
      </c>
      <c r="D1292">
        <v>7.1999999999999995E-2</v>
      </c>
      <c r="E1292" t="s">
        <v>6</v>
      </c>
      <c r="F1292">
        <v>0.15105000000000002</v>
      </c>
    </row>
    <row r="1293" spans="1:6" x14ac:dyDescent="0.3">
      <c r="A1293" t="s">
        <v>5</v>
      </c>
      <c r="B1293" s="1">
        <v>45711</v>
      </c>
      <c r="C1293">
        <v>20</v>
      </c>
      <c r="D1293">
        <v>7.0000000000000007E-2</v>
      </c>
      <c r="E1293" t="s">
        <v>6</v>
      </c>
      <c r="F1293">
        <v>0.17046</v>
      </c>
    </row>
    <row r="1294" spans="1:6" x14ac:dyDescent="0.3">
      <c r="A1294" t="s">
        <v>5</v>
      </c>
      <c r="B1294" s="1">
        <v>45711</v>
      </c>
      <c r="C1294">
        <v>21</v>
      </c>
      <c r="D1294">
        <v>0.13300000000000001</v>
      </c>
      <c r="E1294" t="s">
        <v>6</v>
      </c>
      <c r="F1294">
        <v>0.18533000000000002</v>
      </c>
    </row>
    <row r="1295" spans="1:6" x14ac:dyDescent="0.3">
      <c r="A1295" t="s">
        <v>5</v>
      </c>
      <c r="B1295" s="1">
        <v>45711</v>
      </c>
      <c r="C1295">
        <v>22</v>
      </c>
      <c r="D1295">
        <v>0.255</v>
      </c>
      <c r="E1295" t="s">
        <v>6</v>
      </c>
      <c r="F1295">
        <v>0.17468</v>
      </c>
    </row>
    <row r="1296" spans="1:6" x14ac:dyDescent="0.3">
      <c r="A1296" t="s">
        <v>5</v>
      </c>
      <c r="B1296" s="1">
        <v>45711</v>
      </c>
      <c r="C1296">
        <v>23</v>
      </c>
      <c r="D1296">
        <v>0.20899999999999999</v>
      </c>
      <c r="E1296" t="s">
        <v>6</v>
      </c>
      <c r="F1296">
        <v>0.15115999999999999</v>
      </c>
    </row>
    <row r="1297" spans="1:6" x14ac:dyDescent="0.3">
      <c r="A1297" t="s">
        <v>5</v>
      </c>
      <c r="B1297" s="1">
        <v>45711</v>
      </c>
      <c r="C1297">
        <v>24</v>
      </c>
      <c r="D1297">
        <v>8.4000000000000005E-2</v>
      </c>
      <c r="E1297" t="s">
        <v>6</v>
      </c>
      <c r="F1297">
        <v>0.13224</v>
      </c>
    </row>
    <row r="1298" spans="1:6" x14ac:dyDescent="0.3">
      <c r="A1298" t="s">
        <v>5</v>
      </c>
      <c r="B1298" s="1">
        <v>45712</v>
      </c>
      <c r="C1298">
        <v>1</v>
      </c>
      <c r="D1298">
        <v>8.6999999999999994E-2</v>
      </c>
      <c r="E1298" t="s">
        <v>6</v>
      </c>
      <c r="F1298">
        <v>0.12254000000000001</v>
      </c>
    </row>
    <row r="1299" spans="1:6" x14ac:dyDescent="0.3">
      <c r="A1299" t="s">
        <v>5</v>
      </c>
      <c r="B1299" s="1">
        <v>45712</v>
      </c>
      <c r="C1299">
        <v>2</v>
      </c>
      <c r="D1299">
        <v>7.0000000000000007E-2</v>
      </c>
      <c r="E1299" t="s">
        <v>6</v>
      </c>
      <c r="F1299">
        <v>0.11042</v>
      </c>
    </row>
    <row r="1300" spans="1:6" x14ac:dyDescent="0.3">
      <c r="A1300" t="s">
        <v>5</v>
      </c>
      <c r="B1300" s="1">
        <v>45712</v>
      </c>
      <c r="C1300">
        <v>3</v>
      </c>
      <c r="D1300">
        <v>8.1000000000000003E-2</v>
      </c>
      <c r="E1300" t="s">
        <v>6</v>
      </c>
      <c r="F1300">
        <v>0.10387</v>
      </c>
    </row>
    <row r="1301" spans="1:6" x14ac:dyDescent="0.3">
      <c r="A1301" t="s">
        <v>5</v>
      </c>
      <c r="B1301" s="1">
        <v>45712</v>
      </c>
      <c r="C1301">
        <v>4</v>
      </c>
      <c r="D1301">
        <v>0.06</v>
      </c>
      <c r="E1301" t="s">
        <v>6</v>
      </c>
      <c r="F1301">
        <v>9.8400000000000001E-2</v>
      </c>
    </row>
    <row r="1302" spans="1:6" x14ac:dyDescent="0.3">
      <c r="A1302" t="s">
        <v>5</v>
      </c>
      <c r="B1302" s="1">
        <v>45712</v>
      </c>
      <c r="C1302">
        <v>5</v>
      </c>
      <c r="D1302">
        <v>0.08</v>
      </c>
      <c r="E1302" t="s">
        <v>6</v>
      </c>
      <c r="F1302">
        <v>9.5260000000000011E-2</v>
      </c>
    </row>
    <row r="1303" spans="1:6" x14ac:dyDescent="0.3">
      <c r="A1303" t="s">
        <v>5</v>
      </c>
      <c r="B1303" s="1">
        <v>45712</v>
      </c>
      <c r="C1303">
        <v>6</v>
      </c>
      <c r="D1303">
        <v>0.115</v>
      </c>
      <c r="E1303" t="s">
        <v>6</v>
      </c>
      <c r="F1303">
        <v>0.10363</v>
      </c>
    </row>
    <row r="1304" spans="1:6" x14ac:dyDescent="0.3">
      <c r="A1304" t="s">
        <v>5</v>
      </c>
      <c r="B1304" s="1">
        <v>45712</v>
      </c>
      <c r="C1304">
        <v>7</v>
      </c>
      <c r="D1304">
        <v>0.13500000000000001</v>
      </c>
      <c r="E1304" t="s">
        <v>6</v>
      </c>
      <c r="F1304">
        <v>0.11851</v>
      </c>
    </row>
    <row r="1305" spans="1:6" x14ac:dyDescent="0.3">
      <c r="A1305" t="s">
        <v>5</v>
      </c>
      <c r="B1305" s="1">
        <v>45712</v>
      </c>
      <c r="C1305">
        <v>8</v>
      </c>
      <c r="D1305">
        <v>0.248</v>
      </c>
      <c r="E1305" t="s">
        <v>6</v>
      </c>
      <c r="F1305">
        <v>0.14463999999999999</v>
      </c>
    </row>
    <row r="1306" spans="1:6" x14ac:dyDescent="0.3">
      <c r="A1306" t="s">
        <v>5</v>
      </c>
      <c r="B1306" s="1">
        <v>45712</v>
      </c>
      <c r="C1306">
        <v>9</v>
      </c>
      <c r="D1306">
        <v>0.14399999999999999</v>
      </c>
      <c r="E1306" t="s">
        <v>6</v>
      </c>
      <c r="F1306">
        <v>0.18158000000000002</v>
      </c>
    </row>
    <row r="1307" spans="1:6" x14ac:dyDescent="0.3">
      <c r="A1307" t="s">
        <v>5</v>
      </c>
      <c r="B1307" s="1">
        <v>45712</v>
      </c>
      <c r="C1307">
        <v>10</v>
      </c>
      <c r="D1307">
        <v>0.112</v>
      </c>
      <c r="E1307" t="s">
        <v>6</v>
      </c>
      <c r="F1307">
        <v>0.16708000000000001</v>
      </c>
    </row>
    <row r="1308" spans="1:6" x14ac:dyDescent="0.3">
      <c r="A1308" t="s">
        <v>5</v>
      </c>
      <c r="B1308" s="1">
        <v>45712</v>
      </c>
      <c r="C1308">
        <v>11</v>
      </c>
      <c r="D1308">
        <v>8.2000000000000003E-2</v>
      </c>
      <c r="E1308" t="s">
        <v>6</v>
      </c>
      <c r="F1308">
        <v>0.21768000000000001</v>
      </c>
    </row>
    <row r="1309" spans="1:6" x14ac:dyDescent="0.3">
      <c r="A1309" t="s">
        <v>5</v>
      </c>
      <c r="B1309" s="1">
        <v>45712</v>
      </c>
      <c r="C1309">
        <v>12</v>
      </c>
      <c r="D1309">
        <v>5.8999999999999997E-2</v>
      </c>
      <c r="E1309" t="s">
        <v>6</v>
      </c>
      <c r="F1309">
        <v>0.20119999999999999</v>
      </c>
    </row>
    <row r="1310" spans="1:6" x14ac:dyDescent="0.3">
      <c r="A1310" t="s">
        <v>5</v>
      </c>
      <c r="B1310" s="1">
        <v>45712</v>
      </c>
      <c r="C1310">
        <v>13</v>
      </c>
      <c r="D1310">
        <v>7.8E-2</v>
      </c>
      <c r="E1310" t="s">
        <v>6</v>
      </c>
      <c r="F1310">
        <v>0.1802</v>
      </c>
    </row>
    <row r="1311" spans="1:6" x14ac:dyDescent="0.3">
      <c r="A1311" t="s">
        <v>5</v>
      </c>
      <c r="B1311" s="1">
        <v>45712</v>
      </c>
      <c r="C1311">
        <v>14</v>
      </c>
      <c r="D1311">
        <v>0.151</v>
      </c>
      <c r="E1311" t="s">
        <v>6</v>
      </c>
      <c r="F1311">
        <v>0.15966</v>
      </c>
    </row>
    <row r="1312" spans="1:6" x14ac:dyDescent="0.3">
      <c r="A1312" t="s">
        <v>5</v>
      </c>
      <c r="B1312" s="1">
        <v>45712</v>
      </c>
      <c r="C1312">
        <v>15</v>
      </c>
      <c r="D1312">
        <v>0.17299999999999999</v>
      </c>
      <c r="E1312" t="s">
        <v>6</v>
      </c>
      <c r="F1312">
        <v>8.5180000000000006E-2</v>
      </c>
    </row>
    <row r="1313" spans="1:6" x14ac:dyDescent="0.3">
      <c r="A1313" t="s">
        <v>5</v>
      </c>
      <c r="B1313" s="1">
        <v>45712</v>
      </c>
      <c r="C1313">
        <v>16</v>
      </c>
      <c r="D1313">
        <v>8.8999999999999996E-2</v>
      </c>
      <c r="E1313" t="s">
        <v>6</v>
      </c>
      <c r="F1313">
        <v>8.7719999999999992E-2</v>
      </c>
    </row>
    <row r="1314" spans="1:6" x14ac:dyDescent="0.3">
      <c r="A1314" t="s">
        <v>5</v>
      </c>
      <c r="B1314" s="1">
        <v>45712</v>
      </c>
      <c r="C1314">
        <v>17</v>
      </c>
      <c r="D1314">
        <v>6.0999999999999999E-2</v>
      </c>
      <c r="E1314" t="s">
        <v>6</v>
      </c>
      <c r="F1314">
        <v>9.8290000000000002E-2</v>
      </c>
    </row>
    <row r="1315" spans="1:6" x14ac:dyDescent="0.3">
      <c r="A1315" t="s">
        <v>5</v>
      </c>
      <c r="B1315" s="1">
        <v>45712</v>
      </c>
      <c r="C1315">
        <v>18</v>
      </c>
      <c r="D1315">
        <v>7.9000000000000001E-2</v>
      </c>
      <c r="E1315" t="s">
        <v>6</v>
      </c>
      <c r="F1315">
        <v>0.12755</v>
      </c>
    </row>
    <row r="1316" spans="1:6" x14ac:dyDescent="0.3">
      <c r="A1316" t="s">
        <v>5</v>
      </c>
      <c r="B1316" s="1">
        <v>45712</v>
      </c>
      <c r="C1316">
        <v>19</v>
      </c>
      <c r="D1316">
        <v>0.19700000000000001</v>
      </c>
      <c r="E1316" t="s">
        <v>6</v>
      </c>
      <c r="F1316">
        <v>0.24065999999999999</v>
      </c>
    </row>
    <row r="1317" spans="1:6" x14ac:dyDescent="0.3">
      <c r="A1317" t="s">
        <v>5</v>
      </c>
      <c r="B1317" s="1">
        <v>45712</v>
      </c>
      <c r="C1317">
        <v>20</v>
      </c>
      <c r="D1317">
        <v>0.14399999999999999</v>
      </c>
      <c r="E1317" t="s">
        <v>6</v>
      </c>
      <c r="F1317">
        <v>0.29763999999999996</v>
      </c>
    </row>
    <row r="1318" spans="1:6" x14ac:dyDescent="0.3">
      <c r="A1318" t="s">
        <v>5</v>
      </c>
      <c r="B1318" s="1">
        <v>45712</v>
      </c>
      <c r="C1318">
        <v>21</v>
      </c>
      <c r="D1318">
        <v>1.1719999999999999</v>
      </c>
      <c r="E1318" t="s">
        <v>6</v>
      </c>
      <c r="F1318">
        <v>0.26793</v>
      </c>
    </row>
    <row r="1319" spans="1:6" x14ac:dyDescent="0.3">
      <c r="A1319" t="s">
        <v>5</v>
      </c>
      <c r="B1319" s="1">
        <v>45712</v>
      </c>
      <c r="C1319">
        <v>22</v>
      </c>
      <c r="D1319">
        <v>0.35</v>
      </c>
      <c r="E1319" t="s">
        <v>6</v>
      </c>
      <c r="F1319">
        <v>0.24702000000000002</v>
      </c>
    </row>
    <row r="1320" spans="1:6" x14ac:dyDescent="0.3">
      <c r="A1320" t="s">
        <v>5</v>
      </c>
      <c r="B1320" s="1">
        <v>45712</v>
      </c>
      <c r="C1320">
        <v>23</v>
      </c>
      <c r="D1320">
        <v>0.36799999999999999</v>
      </c>
      <c r="E1320" t="s">
        <v>6</v>
      </c>
      <c r="F1320">
        <v>0.16553999999999999</v>
      </c>
    </row>
    <row r="1321" spans="1:6" x14ac:dyDescent="0.3">
      <c r="A1321" t="s">
        <v>5</v>
      </c>
      <c r="B1321" s="1">
        <v>45712</v>
      </c>
      <c r="C1321">
        <v>24</v>
      </c>
      <c r="D1321">
        <v>0.254</v>
      </c>
      <c r="E1321" t="s">
        <v>6</v>
      </c>
      <c r="F1321">
        <v>0.14546000000000001</v>
      </c>
    </row>
    <row r="1322" spans="1:6" x14ac:dyDescent="0.3">
      <c r="A1322" t="s">
        <v>5</v>
      </c>
      <c r="B1322" s="1">
        <v>45713</v>
      </c>
      <c r="C1322">
        <v>1</v>
      </c>
      <c r="D1322">
        <v>0.189</v>
      </c>
      <c r="E1322" t="s">
        <v>6</v>
      </c>
      <c r="F1322">
        <v>0.10656</v>
      </c>
    </row>
    <row r="1323" spans="1:6" x14ac:dyDescent="0.3">
      <c r="A1323" t="s">
        <v>5</v>
      </c>
      <c r="B1323" s="1">
        <v>45713</v>
      </c>
      <c r="C1323">
        <v>2</v>
      </c>
      <c r="D1323">
        <v>0.74099999999999999</v>
      </c>
      <c r="E1323" t="s">
        <v>6</v>
      </c>
      <c r="F1323">
        <v>0.10862999999999999</v>
      </c>
    </row>
    <row r="1324" spans="1:6" x14ac:dyDescent="0.3">
      <c r="A1324" t="s">
        <v>5</v>
      </c>
      <c r="B1324" s="1">
        <v>45713</v>
      </c>
      <c r="C1324">
        <v>3</v>
      </c>
      <c r="D1324">
        <v>0.56399999999999995</v>
      </c>
      <c r="E1324" t="s">
        <v>6</v>
      </c>
      <c r="F1324">
        <v>0.11028</v>
      </c>
    </row>
    <row r="1325" spans="1:6" x14ac:dyDescent="0.3">
      <c r="A1325" t="s">
        <v>5</v>
      </c>
      <c r="B1325" s="1">
        <v>45713</v>
      </c>
      <c r="C1325">
        <v>4</v>
      </c>
      <c r="D1325">
        <v>0.73899999999999999</v>
      </c>
      <c r="E1325" t="s">
        <v>6</v>
      </c>
      <c r="F1325">
        <v>0.10981</v>
      </c>
    </row>
    <row r="1326" spans="1:6" x14ac:dyDescent="0.3">
      <c r="A1326" t="s">
        <v>5</v>
      </c>
      <c r="B1326" s="1">
        <v>45713</v>
      </c>
      <c r="C1326">
        <v>5</v>
      </c>
      <c r="D1326">
        <v>8.8999999999999996E-2</v>
      </c>
      <c r="E1326" t="s">
        <v>6</v>
      </c>
      <c r="F1326">
        <v>0.11869</v>
      </c>
    </row>
    <row r="1327" spans="1:6" x14ac:dyDescent="0.3">
      <c r="A1327" t="s">
        <v>5</v>
      </c>
      <c r="B1327" s="1">
        <v>45713</v>
      </c>
      <c r="C1327">
        <v>6</v>
      </c>
      <c r="D1327">
        <v>7.0000000000000007E-2</v>
      </c>
      <c r="E1327" t="s">
        <v>6</v>
      </c>
      <c r="F1327">
        <v>0.12802000000000002</v>
      </c>
    </row>
    <row r="1328" spans="1:6" x14ac:dyDescent="0.3">
      <c r="A1328" t="s">
        <v>5</v>
      </c>
      <c r="B1328" s="1">
        <v>45713</v>
      </c>
      <c r="C1328">
        <v>7</v>
      </c>
      <c r="D1328">
        <v>8.6999999999999994E-2</v>
      </c>
      <c r="E1328" t="s">
        <v>6</v>
      </c>
      <c r="F1328">
        <v>0.13671</v>
      </c>
    </row>
    <row r="1329" spans="1:6" x14ac:dyDescent="0.3">
      <c r="A1329" t="s">
        <v>5</v>
      </c>
      <c r="B1329" s="1">
        <v>45713</v>
      </c>
      <c r="C1329">
        <v>8</v>
      </c>
      <c r="D1329">
        <v>0.10199999999999999</v>
      </c>
      <c r="E1329" t="s">
        <v>6</v>
      </c>
      <c r="F1329">
        <v>0.16244999999999998</v>
      </c>
    </row>
    <row r="1330" spans="1:6" x14ac:dyDescent="0.3">
      <c r="A1330" t="s">
        <v>5</v>
      </c>
      <c r="B1330" s="1">
        <v>45713</v>
      </c>
      <c r="C1330">
        <v>9</v>
      </c>
      <c r="D1330">
        <v>0.08</v>
      </c>
      <c r="E1330" t="s">
        <v>6</v>
      </c>
      <c r="F1330">
        <v>0.20111000000000001</v>
      </c>
    </row>
    <row r="1331" spans="1:6" x14ac:dyDescent="0.3">
      <c r="A1331" t="s">
        <v>5</v>
      </c>
      <c r="B1331" s="1">
        <v>45713</v>
      </c>
      <c r="C1331">
        <v>10</v>
      </c>
      <c r="D1331">
        <v>0.19800000000000001</v>
      </c>
      <c r="E1331" t="s">
        <v>6</v>
      </c>
      <c r="F1331">
        <v>0.18840999999999999</v>
      </c>
    </row>
    <row r="1332" spans="1:6" x14ac:dyDescent="0.3">
      <c r="A1332" t="s">
        <v>5</v>
      </c>
      <c r="B1332" s="1">
        <v>45713</v>
      </c>
      <c r="C1332">
        <v>11</v>
      </c>
      <c r="D1332">
        <v>0.154</v>
      </c>
      <c r="E1332" t="s">
        <v>6</v>
      </c>
      <c r="F1332">
        <v>0.23249</v>
      </c>
    </row>
    <row r="1333" spans="1:6" x14ac:dyDescent="0.3">
      <c r="A1333" t="s">
        <v>5</v>
      </c>
      <c r="B1333" s="1">
        <v>45713</v>
      </c>
      <c r="C1333">
        <v>12</v>
      </c>
      <c r="D1333">
        <v>5.8999999999999997E-2</v>
      </c>
      <c r="E1333" t="s">
        <v>6</v>
      </c>
      <c r="F1333">
        <v>0.21051</v>
      </c>
    </row>
    <row r="1334" spans="1:6" x14ac:dyDescent="0.3">
      <c r="A1334" t="s">
        <v>5</v>
      </c>
      <c r="B1334" s="1">
        <v>45713</v>
      </c>
      <c r="C1334">
        <v>13</v>
      </c>
      <c r="D1334">
        <v>0.20699999999999999</v>
      </c>
      <c r="E1334" t="s">
        <v>6</v>
      </c>
      <c r="F1334">
        <v>0.19478000000000001</v>
      </c>
    </row>
    <row r="1335" spans="1:6" x14ac:dyDescent="0.3">
      <c r="A1335" t="s">
        <v>5</v>
      </c>
      <c r="B1335" s="1">
        <v>45713</v>
      </c>
      <c r="C1335">
        <v>14</v>
      </c>
      <c r="D1335">
        <v>0.33200000000000002</v>
      </c>
      <c r="E1335" t="s">
        <v>6</v>
      </c>
      <c r="F1335">
        <v>0.18736000000000003</v>
      </c>
    </row>
    <row r="1336" spans="1:6" x14ac:dyDescent="0.3">
      <c r="A1336" t="s">
        <v>5</v>
      </c>
      <c r="B1336" s="1">
        <v>45713</v>
      </c>
      <c r="C1336">
        <v>15</v>
      </c>
      <c r="D1336">
        <v>0.35899999999999999</v>
      </c>
      <c r="E1336" t="s">
        <v>6</v>
      </c>
      <c r="F1336">
        <v>0.10817</v>
      </c>
    </row>
    <row r="1337" spans="1:6" x14ac:dyDescent="0.3">
      <c r="A1337" t="s">
        <v>5</v>
      </c>
      <c r="B1337" s="1">
        <v>45713</v>
      </c>
      <c r="C1337">
        <v>16</v>
      </c>
      <c r="D1337">
        <v>0.254</v>
      </c>
      <c r="E1337" t="s">
        <v>6</v>
      </c>
      <c r="F1337">
        <v>0.10514</v>
      </c>
    </row>
    <row r="1338" spans="1:6" x14ac:dyDescent="0.3">
      <c r="A1338" t="s">
        <v>5</v>
      </c>
      <c r="B1338" s="1">
        <v>45713</v>
      </c>
      <c r="C1338">
        <v>17</v>
      </c>
      <c r="D1338">
        <v>0.19800000000000001</v>
      </c>
      <c r="E1338" t="s">
        <v>6</v>
      </c>
      <c r="F1338">
        <v>0.10859999999999999</v>
      </c>
    </row>
    <row r="1339" spans="1:6" x14ac:dyDescent="0.3">
      <c r="A1339" t="s">
        <v>5</v>
      </c>
      <c r="B1339" s="1">
        <v>45713</v>
      </c>
      <c r="C1339">
        <v>18</v>
      </c>
      <c r="D1339">
        <v>0.16300000000000001</v>
      </c>
      <c r="E1339" t="s">
        <v>6</v>
      </c>
      <c r="F1339">
        <v>0.13275000000000001</v>
      </c>
    </row>
    <row r="1340" spans="1:6" x14ac:dyDescent="0.3">
      <c r="A1340" t="s">
        <v>5</v>
      </c>
      <c r="B1340" s="1">
        <v>45713</v>
      </c>
      <c r="C1340">
        <v>19</v>
      </c>
      <c r="D1340">
        <v>0.158</v>
      </c>
      <c r="E1340" t="s">
        <v>6</v>
      </c>
      <c r="F1340">
        <v>0.23158000000000001</v>
      </c>
    </row>
    <row r="1341" spans="1:6" x14ac:dyDescent="0.3">
      <c r="A1341" t="s">
        <v>5</v>
      </c>
      <c r="B1341" s="1">
        <v>45713</v>
      </c>
      <c r="C1341">
        <v>20</v>
      </c>
      <c r="D1341">
        <v>0.16400000000000001</v>
      </c>
      <c r="E1341" t="s">
        <v>6</v>
      </c>
      <c r="F1341">
        <v>0.26780999999999999</v>
      </c>
    </row>
    <row r="1342" spans="1:6" x14ac:dyDescent="0.3">
      <c r="A1342" t="s">
        <v>5</v>
      </c>
      <c r="B1342" s="1">
        <v>45713</v>
      </c>
      <c r="C1342">
        <v>21</v>
      </c>
      <c r="D1342">
        <v>0.106</v>
      </c>
      <c r="E1342" t="s">
        <v>6</v>
      </c>
      <c r="F1342">
        <v>0.26504</v>
      </c>
    </row>
    <row r="1343" spans="1:6" x14ac:dyDescent="0.3">
      <c r="A1343" t="s">
        <v>5</v>
      </c>
      <c r="B1343" s="1">
        <v>45713</v>
      </c>
      <c r="C1343">
        <v>22</v>
      </c>
      <c r="D1343">
        <v>0.316</v>
      </c>
      <c r="E1343" t="s">
        <v>6</v>
      </c>
      <c r="F1343">
        <v>0.25535000000000002</v>
      </c>
    </row>
    <row r="1344" spans="1:6" x14ac:dyDescent="0.3">
      <c r="A1344" t="s">
        <v>5</v>
      </c>
      <c r="B1344" s="1">
        <v>45713</v>
      </c>
      <c r="C1344">
        <v>23</v>
      </c>
      <c r="D1344">
        <v>0.29299999999999998</v>
      </c>
      <c r="E1344" t="s">
        <v>6</v>
      </c>
      <c r="F1344">
        <v>0.17343</v>
      </c>
    </row>
    <row r="1345" spans="1:6" x14ac:dyDescent="0.3">
      <c r="A1345" t="s">
        <v>5</v>
      </c>
      <c r="B1345" s="1">
        <v>45713</v>
      </c>
      <c r="C1345">
        <v>24</v>
      </c>
      <c r="D1345">
        <v>0.14299999999999999</v>
      </c>
      <c r="E1345" t="s">
        <v>6</v>
      </c>
      <c r="F1345">
        <v>0.15991</v>
      </c>
    </row>
    <row r="1346" spans="1:6" x14ac:dyDescent="0.3">
      <c r="A1346" t="s">
        <v>5</v>
      </c>
      <c r="B1346" s="1">
        <v>45714</v>
      </c>
      <c r="C1346">
        <v>1</v>
      </c>
      <c r="D1346">
        <v>0.10299999999999999</v>
      </c>
      <c r="E1346" t="s">
        <v>6</v>
      </c>
      <c r="F1346">
        <v>0.13453999999999999</v>
      </c>
    </row>
    <row r="1347" spans="1:6" x14ac:dyDescent="0.3">
      <c r="A1347" t="s">
        <v>5</v>
      </c>
      <c r="B1347" s="1">
        <v>45714</v>
      </c>
      <c r="C1347">
        <v>2</v>
      </c>
      <c r="D1347">
        <v>8.5000000000000006E-2</v>
      </c>
      <c r="E1347" t="s">
        <v>6</v>
      </c>
      <c r="F1347">
        <v>0.1179</v>
      </c>
    </row>
    <row r="1348" spans="1:6" x14ac:dyDescent="0.3">
      <c r="A1348" t="s">
        <v>5</v>
      </c>
      <c r="B1348" s="1">
        <v>45714</v>
      </c>
      <c r="C1348">
        <v>3</v>
      </c>
      <c r="D1348">
        <v>7.0999999999999994E-2</v>
      </c>
      <c r="E1348" t="s">
        <v>6</v>
      </c>
      <c r="F1348">
        <v>0.12997999999999998</v>
      </c>
    </row>
    <row r="1349" spans="1:6" x14ac:dyDescent="0.3">
      <c r="A1349" t="s">
        <v>5</v>
      </c>
      <c r="B1349" s="1">
        <v>45714</v>
      </c>
      <c r="C1349">
        <v>4</v>
      </c>
      <c r="D1349">
        <v>8.1000000000000003E-2</v>
      </c>
      <c r="E1349" t="s">
        <v>6</v>
      </c>
      <c r="F1349">
        <v>0.1201</v>
      </c>
    </row>
    <row r="1350" spans="1:6" x14ac:dyDescent="0.3">
      <c r="A1350" t="s">
        <v>5</v>
      </c>
      <c r="B1350" s="1">
        <v>45714</v>
      </c>
      <c r="C1350">
        <v>5</v>
      </c>
      <c r="D1350">
        <v>6.7000000000000004E-2</v>
      </c>
      <c r="E1350" t="s">
        <v>6</v>
      </c>
      <c r="F1350">
        <v>0.12282</v>
      </c>
    </row>
    <row r="1351" spans="1:6" x14ac:dyDescent="0.3">
      <c r="A1351" t="s">
        <v>5</v>
      </c>
      <c r="B1351" s="1">
        <v>45714</v>
      </c>
      <c r="C1351">
        <v>6</v>
      </c>
      <c r="D1351">
        <v>8.3000000000000004E-2</v>
      </c>
      <c r="E1351" t="s">
        <v>6</v>
      </c>
      <c r="F1351">
        <v>0.13220999999999999</v>
      </c>
    </row>
    <row r="1352" spans="1:6" x14ac:dyDescent="0.3">
      <c r="A1352" t="s">
        <v>5</v>
      </c>
      <c r="B1352" s="1">
        <v>45714</v>
      </c>
      <c r="C1352">
        <v>7</v>
      </c>
      <c r="D1352">
        <v>6.8000000000000005E-2</v>
      </c>
      <c r="E1352" t="s">
        <v>6</v>
      </c>
      <c r="F1352">
        <v>0.14559</v>
      </c>
    </row>
    <row r="1353" spans="1:6" x14ac:dyDescent="0.3">
      <c r="A1353" t="s">
        <v>5</v>
      </c>
      <c r="B1353" s="1">
        <v>45714</v>
      </c>
      <c r="C1353">
        <v>8</v>
      </c>
      <c r="D1353">
        <v>0.22800000000000001</v>
      </c>
      <c r="E1353" t="s">
        <v>6</v>
      </c>
      <c r="F1353">
        <v>0.16971</v>
      </c>
    </row>
    <row r="1354" spans="1:6" x14ac:dyDescent="0.3">
      <c r="A1354" t="s">
        <v>5</v>
      </c>
      <c r="B1354" s="1">
        <v>45714</v>
      </c>
      <c r="C1354">
        <v>9</v>
      </c>
      <c r="D1354">
        <v>0.21299999999999999</v>
      </c>
      <c r="E1354" t="s">
        <v>6</v>
      </c>
      <c r="F1354">
        <v>0.19675000000000001</v>
      </c>
    </row>
    <row r="1355" spans="1:6" x14ac:dyDescent="0.3">
      <c r="A1355" t="s">
        <v>5</v>
      </c>
      <c r="B1355" s="1">
        <v>45714</v>
      </c>
      <c r="C1355">
        <v>10</v>
      </c>
      <c r="D1355">
        <v>0.13500000000000001</v>
      </c>
      <c r="E1355" t="s">
        <v>6</v>
      </c>
      <c r="F1355">
        <v>0.16021000000000002</v>
      </c>
    </row>
    <row r="1356" spans="1:6" x14ac:dyDescent="0.3">
      <c r="A1356" t="s">
        <v>5</v>
      </c>
      <c r="B1356" s="1">
        <v>45714</v>
      </c>
      <c r="C1356">
        <v>11</v>
      </c>
      <c r="D1356">
        <v>0.17599999999999999</v>
      </c>
      <c r="E1356" t="s">
        <v>6</v>
      </c>
      <c r="F1356">
        <v>0.17630999999999999</v>
      </c>
    </row>
    <row r="1357" spans="1:6" x14ac:dyDescent="0.3">
      <c r="A1357" t="s">
        <v>5</v>
      </c>
      <c r="B1357" s="1">
        <v>45714</v>
      </c>
      <c r="C1357">
        <v>12</v>
      </c>
      <c r="D1357">
        <v>8.1000000000000003E-2</v>
      </c>
      <c r="E1357" t="s">
        <v>6</v>
      </c>
      <c r="F1357">
        <v>0.18203</v>
      </c>
    </row>
    <row r="1358" spans="1:6" x14ac:dyDescent="0.3">
      <c r="A1358" t="s">
        <v>5</v>
      </c>
      <c r="B1358" s="1">
        <v>45714</v>
      </c>
      <c r="C1358">
        <v>13</v>
      </c>
      <c r="D1358">
        <v>6.8000000000000005E-2</v>
      </c>
      <c r="E1358" t="s">
        <v>6</v>
      </c>
      <c r="F1358">
        <v>0.16919999999999999</v>
      </c>
    </row>
    <row r="1359" spans="1:6" x14ac:dyDescent="0.3">
      <c r="A1359" t="s">
        <v>5</v>
      </c>
      <c r="B1359" s="1">
        <v>45714</v>
      </c>
      <c r="C1359">
        <v>14</v>
      </c>
      <c r="D1359">
        <v>0.104</v>
      </c>
      <c r="E1359" t="s">
        <v>6</v>
      </c>
      <c r="F1359">
        <v>0.16513</v>
      </c>
    </row>
    <row r="1360" spans="1:6" x14ac:dyDescent="0.3">
      <c r="A1360" t="s">
        <v>5</v>
      </c>
      <c r="B1360" s="1">
        <v>45714</v>
      </c>
      <c r="C1360">
        <v>15</v>
      </c>
      <c r="D1360">
        <v>0.88100000000000001</v>
      </c>
      <c r="E1360" t="s">
        <v>6</v>
      </c>
      <c r="F1360">
        <v>9.6290000000000001E-2</v>
      </c>
    </row>
    <row r="1361" spans="1:6" x14ac:dyDescent="0.3">
      <c r="A1361" t="s">
        <v>5</v>
      </c>
      <c r="B1361" s="1">
        <v>45714</v>
      </c>
      <c r="C1361">
        <v>16</v>
      </c>
      <c r="D1361">
        <v>0.67100000000000004</v>
      </c>
      <c r="E1361" t="s">
        <v>6</v>
      </c>
      <c r="F1361">
        <v>0.10127</v>
      </c>
    </row>
    <row r="1362" spans="1:6" x14ac:dyDescent="0.3">
      <c r="A1362" t="s">
        <v>5</v>
      </c>
      <c r="B1362" s="1">
        <v>45714</v>
      </c>
      <c r="C1362">
        <v>17</v>
      </c>
      <c r="D1362">
        <v>1.3979999999999999</v>
      </c>
      <c r="E1362" t="s">
        <v>6</v>
      </c>
      <c r="F1362">
        <v>0.11688</v>
      </c>
    </row>
    <row r="1363" spans="1:6" x14ac:dyDescent="0.3">
      <c r="A1363" t="s">
        <v>5</v>
      </c>
      <c r="B1363" s="1">
        <v>45714</v>
      </c>
      <c r="C1363">
        <v>18</v>
      </c>
      <c r="D1363">
        <v>0.749</v>
      </c>
      <c r="E1363" t="s">
        <v>6</v>
      </c>
      <c r="F1363">
        <v>0.14533000000000001</v>
      </c>
    </row>
    <row r="1364" spans="1:6" x14ac:dyDescent="0.3">
      <c r="A1364" t="s">
        <v>5</v>
      </c>
      <c r="B1364" s="1">
        <v>45714</v>
      </c>
      <c r="C1364">
        <v>19</v>
      </c>
      <c r="D1364">
        <v>0.30499999999999999</v>
      </c>
      <c r="E1364" t="s">
        <v>6</v>
      </c>
      <c r="F1364">
        <v>0.24631</v>
      </c>
    </row>
    <row r="1365" spans="1:6" x14ac:dyDescent="0.3">
      <c r="A1365" t="s">
        <v>5</v>
      </c>
      <c r="B1365" s="1">
        <v>45714</v>
      </c>
      <c r="C1365">
        <v>20</v>
      </c>
      <c r="D1365">
        <v>0.16400000000000001</v>
      </c>
      <c r="E1365" t="s">
        <v>6</v>
      </c>
      <c r="F1365">
        <v>0.28936000000000001</v>
      </c>
    </row>
    <row r="1366" spans="1:6" x14ac:dyDescent="0.3">
      <c r="A1366" t="s">
        <v>5</v>
      </c>
      <c r="B1366" s="1">
        <v>45714</v>
      </c>
      <c r="C1366">
        <v>21</v>
      </c>
      <c r="D1366">
        <v>0.45700000000000002</v>
      </c>
      <c r="E1366" t="s">
        <v>6</v>
      </c>
      <c r="F1366">
        <v>0.36793999999999999</v>
      </c>
    </row>
    <row r="1367" spans="1:6" x14ac:dyDescent="0.3">
      <c r="A1367" t="s">
        <v>5</v>
      </c>
      <c r="B1367" s="1">
        <v>45714</v>
      </c>
      <c r="C1367">
        <v>22</v>
      </c>
      <c r="D1367">
        <v>0.27400000000000002</v>
      </c>
      <c r="E1367" t="s">
        <v>6</v>
      </c>
      <c r="F1367">
        <v>0.31457000000000002</v>
      </c>
    </row>
    <row r="1368" spans="1:6" x14ac:dyDescent="0.3">
      <c r="A1368" t="s">
        <v>5</v>
      </c>
      <c r="B1368" s="1">
        <v>45714</v>
      </c>
      <c r="C1368">
        <v>23</v>
      </c>
      <c r="D1368">
        <v>9.9000000000000005E-2</v>
      </c>
      <c r="E1368" t="s">
        <v>6</v>
      </c>
      <c r="F1368">
        <v>0.18250999999999998</v>
      </c>
    </row>
    <row r="1369" spans="1:6" x14ac:dyDescent="0.3">
      <c r="A1369" t="s">
        <v>5</v>
      </c>
      <c r="B1369" s="1">
        <v>45714</v>
      </c>
      <c r="C1369">
        <v>24</v>
      </c>
      <c r="D1369">
        <v>8.8999999999999996E-2</v>
      </c>
      <c r="E1369" t="s">
        <v>6</v>
      </c>
      <c r="F1369">
        <v>0.18368000000000001</v>
      </c>
    </row>
    <row r="1370" spans="1:6" x14ac:dyDescent="0.3">
      <c r="A1370" t="s">
        <v>5</v>
      </c>
      <c r="B1370" s="1">
        <v>45715</v>
      </c>
      <c r="C1370">
        <v>1</v>
      </c>
      <c r="D1370">
        <v>0.10299999999999999</v>
      </c>
      <c r="E1370" t="s">
        <v>6</v>
      </c>
      <c r="F1370">
        <v>0.14646000000000001</v>
      </c>
    </row>
    <row r="1371" spans="1:6" x14ac:dyDescent="0.3">
      <c r="A1371" t="s">
        <v>5</v>
      </c>
      <c r="B1371" s="1">
        <v>45715</v>
      </c>
      <c r="C1371">
        <v>2</v>
      </c>
      <c r="D1371">
        <v>9.1999999999999998E-2</v>
      </c>
      <c r="E1371" t="s">
        <v>6</v>
      </c>
      <c r="F1371">
        <v>0.14452999999999999</v>
      </c>
    </row>
    <row r="1372" spans="1:6" x14ac:dyDescent="0.3">
      <c r="A1372" t="s">
        <v>5</v>
      </c>
      <c r="B1372" s="1">
        <v>45715</v>
      </c>
      <c r="C1372">
        <v>3</v>
      </c>
      <c r="D1372">
        <v>0.13800000000000001</v>
      </c>
      <c r="E1372" t="s">
        <v>6</v>
      </c>
      <c r="F1372">
        <v>0.13774</v>
      </c>
    </row>
    <row r="1373" spans="1:6" x14ac:dyDescent="0.3">
      <c r="A1373" t="s">
        <v>5</v>
      </c>
      <c r="B1373" s="1">
        <v>45715</v>
      </c>
      <c r="C1373">
        <v>4</v>
      </c>
      <c r="D1373">
        <v>0.114</v>
      </c>
      <c r="E1373" t="s">
        <v>6</v>
      </c>
      <c r="F1373">
        <v>0.13281000000000001</v>
      </c>
    </row>
    <row r="1374" spans="1:6" x14ac:dyDescent="0.3">
      <c r="A1374" t="s">
        <v>5</v>
      </c>
      <c r="B1374" s="1">
        <v>45715</v>
      </c>
      <c r="C1374">
        <v>5</v>
      </c>
      <c r="D1374">
        <v>7.0999999999999994E-2</v>
      </c>
      <c r="E1374" t="s">
        <v>6</v>
      </c>
      <c r="F1374">
        <v>0.12984000000000001</v>
      </c>
    </row>
    <row r="1375" spans="1:6" x14ac:dyDescent="0.3">
      <c r="A1375" t="s">
        <v>5</v>
      </c>
      <c r="B1375" s="1">
        <v>45715</v>
      </c>
      <c r="C1375">
        <v>6</v>
      </c>
      <c r="D1375">
        <v>0.09</v>
      </c>
      <c r="E1375" t="s">
        <v>6</v>
      </c>
      <c r="F1375">
        <v>0.13206999999999999</v>
      </c>
    </row>
    <row r="1376" spans="1:6" x14ac:dyDescent="0.3">
      <c r="A1376" t="s">
        <v>5</v>
      </c>
      <c r="B1376" s="1">
        <v>45715</v>
      </c>
      <c r="C1376">
        <v>7</v>
      </c>
      <c r="D1376">
        <v>7.8E-2</v>
      </c>
      <c r="E1376" t="s">
        <v>6</v>
      </c>
      <c r="F1376">
        <v>0.14333000000000001</v>
      </c>
    </row>
    <row r="1377" spans="1:6" x14ac:dyDescent="0.3">
      <c r="A1377" t="s">
        <v>5</v>
      </c>
      <c r="B1377" s="1">
        <v>45715</v>
      </c>
      <c r="C1377">
        <v>8</v>
      </c>
      <c r="D1377">
        <v>0.16800000000000001</v>
      </c>
      <c r="E1377" t="s">
        <v>6</v>
      </c>
      <c r="F1377">
        <v>0.17169000000000001</v>
      </c>
    </row>
    <row r="1378" spans="1:6" x14ac:dyDescent="0.3">
      <c r="A1378" t="s">
        <v>5</v>
      </c>
      <c r="B1378" s="1">
        <v>45715</v>
      </c>
      <c r="C1378">
        <v>9</v>
      </c>
      <c r="D1378">
        <v>0.20300000000000001</v>
      </c>
      <c r="E1378" t="s">
        <v>6</v>
      </c>
      <c r="F1378">
        <v>0.22496000000000002</v>
      </c>
    </row>
    <row r="1379" spans="1:6" x14ac:dyDescent="0.3">
      <c r="A1379" t="s">
        <v>5</v>
      </c>
      <c r="B1379" s="1">
        <v>45715</v>
      </c>
      <c r="C1379">
        <v>10</v>
      </c>
      <c r="D1379">
        <v>0.14399999999999999</v>
      </c>
      <c r="E1379" t="s">
        <v>6</v>
      </c>
      <c r="F1379">
        <v>0.17688999999999999</v>
      </c>
    </row>
    <row r="1380" spans="1:6" x14ac:dyDescent="0.3">
      <c r="A1380" t="s">
        <v>5</v>
      </c>
      <c r="B1380" s="1">
        <v>45715</v>
      </c>
      <c r="C1380">
        <v>11</v>
      </c>
      <c r="D1380">
        <v>0.155</v>
      </c>
      <c r="E1380" t="s">
        <v>6</v>
      </c>
      <c r="F1380">
        <v>0.22015999999999999</v>
      </c>
    </row>
    <row r="1381" spans="1:6" x14ac:dyDescent="0.3">
      <c r="A1381" t="s">
        <v>5</v>
      </c>
      <c r="B1381" s="1">
        <v>45715</v>
      </c>
      <c r="C1381">
        <v>12</v>
      </c>
      <c r="D1381">
        <v>8.4000000000000005E-2</v>
      </c>
      <c r="E1381" t="s">
        <v>6</v>
      </c>
      <c r="F1381">
        <v>0.20930000000000001</v>
      </c>
    </row>
    <row r="1382" spans="1:6" x14ac:dyDescent="0.3">
      <c r="A1382" t="s">
        <v>5</v>
      </c>
      <c r="B1382" s="1">
        <v>45715</v>
      </c>
      <c r="C1382">
        <v>13</v>
      </c>
      <c r="D1382">
        <v>9.5000000000000001E-2</v>
      </c>
      <c r="E1382" t="s">
        <v>6</v>
      </c>
      <c r="F1382">
        <v>0.19982</v>
      </c>
    </row>
    <row r="1383" spans="1:6" x14ac:dyDescent="0.3">
      <c r="A1383" t="s">
        <v>5</v>
      </c>
      <c r="B1383" s="1">
        <v>45715</v>
      </c>
      <c r="C1383">
        <v>14</v>
      </c>
      <c r="D1383">
        <v>0.10199999999999999</v>
      </c>
      <c r="E1383" t="s">
        <v>6</v>
      </c>
      <c r="F1383">
        <v>0.19308</v>
      </c>
    </row>
    <row r="1384" spans="1:6" x14ac:dyDescent="0.3">
      <c r="A1384" t="s">
        <v>5</v>
      </c>
      <c r="B1384" s="1">
        <v>45715</v>
      </c>
      <c r="C1384">
        <v>15</v>
      </c>
      <c r="D1384">
        <v>0.224</v>
      </c>
      <c r="E1384" t="s">
        <v>6</v>
      </c>
      <c r="F1384">
        <v>0.12542</v>
      </c>
    </row>
    <row r="1385" spans="1:6" x14ac:dyDescent="0.3">
      <c r="A1385" t="s">
        <v>5</v>
      </c>
      <c r="B1385" s="1">
        <v>45715</v>
      </c>
      <c r="C1385">
        <v>16</v>
      </c>
      <c r="D1385">
        <v>0.19500000000000001</v>
      </c>
      <c r="E1385" t="s">
        <v>6</v>
      </c>
      <c r="F1385">
        <v>0.12812999999999999</v>
      </c>
    </row>
    <row r="1386" spans="1:6" x14ac:dyDescent="0.3">
      <c r="A1386" t="s">
        <v>5</v>
      </c>
      <c r="B1386" s="1">
        <v>45715</v>
      </c>
      <c r="C1386">
        <v>17</v>
      </c>
      <c r="D1386">
        <v>0.16700000000000001</v>
      </c>
      <c r="E1386" t="s">
        <v>6</v>
      </c>
      <c r="F1386">
        <v>0.14484</v>
      </c>
    </row>
    <row r="1387" spans="1:6" x14ac:dyDescent="0.3">
      <c r="A1387" t="s">
        <v>5</v>
      </c>
      <c r="B1387" s="1">
        <v>45715</v>
      </c>
      <c r="C1387">
        <v>18</v>
      </c>
      <c r="D1387">
        <v>0.124</v>
      </c>
      <c r="E1387" t="s">
        <v>6</v>
      </c>
      <c r="F1387">
        <v>0.16306999999999999</v>
      </c>
    </row>
    <row r="1388" spans="1:6" x14ac:dyDescent="0.3">
      <c r="A1388" t="s">
        <v>5</v>
      </c>
      <c r="B1388" s="1">
        <v>45715</v>
      </c>
      <c r="C1388">
        <v>19</v>
      </c>
      <c r="D1388">
        <v>0.109</v>
      </c>
      <c r="E1388" t="s">
        <v>6</v>
      </c>
      <c r="F1388">
        <v>0.25039</v>
      </c>
    </row>
    <row r="1389" spans="1:6" x14ac:dyDescent="0.3">
      <c r="A1389" t="s">
        <v>5</v>
      </c>
      <c r="B1389" s="1">
        <v>45715</v>
      </c>
      <c r="C1389">
        <v>20</v>
      </c>
      <c r="D1389">
        <v>0.16200000000000001</v>
      </c>
      <c r="E1389" t="s">
        <v>6</v>
      </c>
      <c r="F1389">
        <v>0.28538999999999998</v>
      </c>
    </row>
    <row r="1390" spans="1:6" x14ac:dyDescent="0.3">
      <c r="A1390" t="s">
        <v>5</v>
      </c>
      <c r="B1390" s="1">
        <v>45715</v>
      </c>
      <c r="C1390">
        <v>21</v>
      </c>
      <c r="D1390">
        <v>0.27900000000000003</v>
      </c>
      <c r="E1390" t="s">
        <v>6</v>
      </c>
      <c r="F1390">
        <v>0.35308</v>
      </c>
    </row>
    <row r="1391" spans="1:6" x14ac:dyDescent="0.3">
      <c r="A1391" t="s">
        <v>5</v>
      </c>
      <c r="B1391" s="1">
        <v>45715</v>
      </c>
      <c r="C1391">
        <v>22</v>
      </c>
      <c r="D1391">
        <v>0.55300000000000005</v>
      </c>
      <c r="E1391" t="s">
        <v>6</v>
      </c>
      <c r="F1391">
        <v>0.26452999999999999</v>
      </c>
    </row>
    <row r="1392" spans="1:6" x14ac:dyDescent="0.3">
      <c r="A1392" t="s">
        <v>5</v>
      </c>
      <c r="B1392" s="1">
        <v>45715</v>
      </c>
      <c r="C1392">
        <v>23</v>
      </c>
      <c r="D1392">
        <v>0.35099999999999998</v>
      </c>
      <c r="E1392" t="s">
        <v>6</v>
      </c>
      <c r="F1392">
        <v>0.17083000000000001</v>
      </c>
    </row>
    <row r="1393" spans="1:6" x14ac:dyDescent="0.3">
      <c r="A1393" t="s">
        <v>5</v>
      </c>
      <c r="B1393" s="1">
        <v>45715</v>
      </c>
      <c r="C1393">
        <v>24</v>
      </c>
      <c r="D1393">
        <v>7.2999999999999995E-2</v>
      </c>
      <c r="E1393" t="s">
        <v>6</v>
      </c>
      <c r="F1393">
        <v>0.16340000000000002</v>
      </c>
    </row>
    <row r="1394" spans="1:6" x14ac:dyDescent="0.3">
      <c r="A1394" t="s">
        <v>5</v>
      </c>
      <c r="B1394" s="1">
        <v>45716</v>
      </c>
      <c r="C1394">
        <v>1</v>
      </c>
      <c r="D1394">
        <v>9.6000000000000002E-2</v>
      </c>
      <c r="E1394" t="s">
        <v>6</v>
      </c>
      <c r="F1394">
        <v>0.14768000000000001</v>
      </c>
    </row>
    <row r="1395" spans="1:6" x14ac:dyDescent="0.3">
      <c r="A1395" t="s">
        <v>5</v>
      </c>
      <c r="B1395" s="1">
        <v>45716</v>
      </c>
      <c r="C1395">
        <v>2</v>
      </c>
      <c r="D1395">
        <v>8.8999999999999996E-2</v>
      </c>
      <c r="E1395" t="s">
        <v>6</v>
      </c>
      <c r="F1395">
        <v>0.14204</v>
      </c>
    </row>
    <row r="1396" spans="1:6" x14ac:dyDescent="0.3">
      <c r="A1396" t="s">
        <v>5</v>
      </c>
      <c r="B1396" s="1">
        <v>45716</v>
      </c>
      <c r="C1396">
        <v>3</v>
      </c>
      <c r="D1396">
        <v>9.2999999999999999E-2</v>
      </c>
      <c r="E1396" t="s">
        <v>6</v>
      </c>
      <c r="F1396">
        <v>0.14201</v>
      </c>
    </row>
    <row r="1397" spans="1:6" x14ac:dyDescent="0.3">
      <c r="A1397" t="s">
        <v>5</v>
      </c>
      <c r="B1397" s="1">
        <v>45716</v>
      </c>
      <c r="C1397">
        <v>4</v>
      </c>
      <c r="D1397">
        <v>7.4999999999999997E-2</v>
      </c>
      <c r="E1397" t="s">
        <v>6</v>
      </c>
      <c r="F1397">
        <v>0.13425000000000001</v>
      </c>
    </row>
    <row r="1398" spans="1:6" x14ac:dyDescent="0.3">
      <c r="A1398" t="s">
        <v>5</v>
      </c>
      <c r="B1398" s="1">
        <v>45716</v>
      </c>
      <c r="C1398">
        <v>5</v>
      </c>
      <c r="D1398">
        <v>7.1999999999999995E-2</v>
      </c>
      <c r="E1398" t="s">
        <v>6</v>
      </c>
      <c r="F1398">
        <v>0.13340000000000002</v>
      </c>
    </row>
    <row r="1399" spans="1:6" x14ac:dyDescent="0.3">
      <c r="A1399" t="s">
        <v>5</v>
      </c>
      <c r="B1399" s="1">
        <v>45716</v>
      </c>
      <c r="C1399">
        <v>6</v>
      </c>
      <c r="D1399">
        <v>7.4999999999999997E-2</v>
      </c>
      <c r="E1399" t="s">
        <v>6</v>
      </c>
      <c r="F1399">
        <v>0.13263</v>
      </c>
    </row>
    <row r="1400" spans="1:6" x14ac:dyDescent="0.3">
      <c r="A1400" t="s">
        <v>5</v>
      </c>
      <c r="B1400" s="1">
        <v>45716</v>
      </c>
      <c r="C1400">
        <v>7</v>
      </c>
      <c r="D1400">
        <v>6.9000000000000006E-2</v>
      </c>
      <c r="E1400" t="s">
        <v>6</v>
      </c>
      <c r="F1400">
        <v>0.14488999999999999</v>
      </c>
    </row>
    <row r="1401" spans="1:6" x14ac:dyDescent="0.3">
      <c r="A1401" t="s">
        <v>5</v>
      </c>
      <c r="B1401" s="1">
        <v>45716</v>
      </c>
      <c r="C1401">
        <v>8</v>
      </c>
      <c r="D1401">
        <v>8.6999999999999994E-2</v>
      </c>
      <c r="E1401" t="s">
        <v>6</v>
      </c>
      <c r="F1401">
        <v>0.16244999999999998</v>
      </c>
    </row>
    <row r="1402" spans="1:6" x14ac:dyDescent="0.3">
      <c r="A1402" t="s">
        <v>5</v>
      </c>
      <c r="B1402" s="1">
        <v>45716</v>
      </c>
      <c r="C1402">
        <v>9</v>
      </c>
      <c r="D1402">
        <v>7.5999999999999998E-2</v>
      </c>
      <c r="E1402" t="s">
        <v>6</v>
      </c>
      <c r="F1402">
        <v>0.19717999999999999</v>
      </c>
    </row>
    <row r="1403" spans="1:6" x14ac:dyDescent="0.3">
      <c r="A1403" t="s">
        <v>5</v>
      </c>
      <c r="B1403" s="1">
        <v>45716</v>
      </c>
      <c r="C1403">
        <v>10</v>
      </c>
      <c r="D1403">
        <v>0.17299999999999999</v>
      </c>
      <c r="E1403" t="s">
        <v>6</v>
      </c>
      <c r="F1403">
        <v>0.16588</v>
      </c>
    </row>
    <row r="1404" spans="1:6" x14ac:dyDescent="0.3">
      <c r="A1404" t="s">
        <v>5</v>
      </c>
      <c r="B1404" s="1">
        <v>45716</v>
      </c>
      <c r="C1404">
        <v>11</v>
      </c>
      <c r="D1404">
        <v>0.16400000000000001</v>
      </c>
      <c r="E1404" t="s">
        <v>6</v>
      </c>
      <c r="F1404">
        <v>0.21468999999999999</v>
      </c>
    </row>
    <row r="1405" spans="1:6" x14ac:dyDescent="0.3">
      <c r="A1405" t="s">
        <v>5</v>
      </c>
      <c r="B1405" s="1">
        <v>45716</v>
      </c>
      <c r="C1405">
        <v>12</v>
      </c>
      <c r="D1405">
        <v>0.107</v>
      </c>
      <c r="E1405" t="s">
        <v>6</v>
      </c>
      <c r="F1405">
        <v>0.20479</v>
      </c>
    </row>
    <row r="1406" spans="1:6" x14ac:dyDescent="0.3">
      <c r="A1406" t="s">
        <v>5</v>
      </c>
      <c r="B1406" s="1">
        <v>45716</v>
      </c>
      <c r="C1406">
        <v>13</v>
      </c>
      <c r="D1406">
        <v>0.14099999999999999</v>
      </c>
      <c r="E1406" t="s">
        <v>6</v>
      </c>
      <c r="F1406">
        <v>0.20208999999999999</v>
      </c>
    </row>
    <row r="1407" spans="1:6" x14ac:dyDescent="0.3">
      <c r="A1407" t="s">
        <v>5</v>
      </c>
      <c r="B1407" s="1">
        <v>45716</v>
      </c>
      <c r="C1407">
        <v>14</v>
      </c>
      <c r="D1407">
        <v>6.9000000000000006E-2</v>
      </c>
      <c r="E1407" t="s">
        <v>6</v>
      </c>
      <c r="F1407">
        <v>0.18686000000000003</v>
      </c>
    </row>
    <row r="1408" spans="1:6" x14ac:dyDescent="0.3">
      <c r="A1408" t="s">
        <v>5</v>
      </c>
      <c r="B1408" s="1">
        <v>45716</v>
      </c>
      <c r="C1408">
        <v>15</v>
      </c>
      <c r="D1408">
        <v>0.114</v>
      </c>
      <c r="E1408" t="s">
        <v>6</v>
      </c>
      <c r="F1408">
        <v>0.12852000000000002</v>
      </c>
    </row>
    <row r="1409" spans="1:6" x14ac:dyDescent="0.3">
      <c r="A1409" t="s">
        <v>5</v>
      </c>
      <c r="B1409" s="1">
        <v>45716</v>
      </c>
      <c r="C1409">
        <v>16</v>
      </c>
      <c r="D1409">
        <v>6.6000000000000003E-2</v>
      </c>
      <c r="E1409" t="s">
        <v>6</v>
      </c>
      <c r="F1409">
        <v>0.13883000000000001</v>
      </c>
    </row>
    <row r="1410" spans="1:6" x14ac:dyDescent="0.3">
      <c r="A1410" t="s">
        <v>5</v>
      </c>
      <c r="B1410" s="1">
        <v>45716</v>
      </c>
      <c r="C1410">
        <v>17</v>
      </c>
      <c r="D1410">
        <v>7.8E-2</v>
      </c>
      <c r="E1410" t="s">
        <v>6</v>
      </c>
      <c r="F1410">
        <v>0.14407</v>
      </c>
    </row>
    <row r="1411" spans="1:6" x14ac:dyDescent="0.3">
      <c r="A1411" t="s">
        <v>5</v>
      </c>
      <c r="B1411" s="1">
        <v>45716</v>
      </c>
      <c r="C1411">
        <v>18</v>
      </c>
      <c r="D1411">
        <v>5.8999999999999997E-2</v>
      </c>
      <c r="E1411" t="s">
        <v>6</v>
      </c>
      <c r="F1411">
        <v>0.16863999999999998</v>
      </c>
    </row>
    <row r="1412" spans="1:6" x14ac:dyDescent="0.3">
      <c r="A1412" t="s">
        <v>5</v>
      </c>
      <c r="B1412" s="1">
        <v>45716</v>
      </c>
      <c r="C1412">
        <v>19</v>
      </c>
      <c r="D1412">
        <v>0.14000000000000001</v>
      </c>
      <c r="E1412" t="s">
        <v>6</v>
      </c>
      <c r="F1412">
        <v>0.23890999999999998</v>
      </c>
    </row>
    <row r="1413" spans="1:6" x14ac:dyDescent="0.3">
      <c r="A1413" t="s">
        <v>5</v>
      </c>
      <c r="B1413" s="1">
        <v>45716</v>
      </c>
      <c r="C1413">
        <v>20</v>
      </c>
      <c r="D1413">
        <v>0.11899999999999999</v>
      </c>
      <c r="E1413" t="s">
        <v>6</v>
      </c>
      <c r="F1413">
        <v>0.27407999999999999</v>
      </c>
    </row>
    <row r="1414" spans="1:6" x14ac:dyDescent="0.3">
      <c r="A1414" t="s">
        <v>5</v>
      </c>
      <c r="B1414" s="1">
        <v>45716</v>
      </c>
      <c r="C1414">
        <v>21</v>
      </c>
      <c r="D1414">
        <v>9.2999999999999999E-2</v>
      </c>
      <c r="E1414" t="s">
        <v>6</v>
      </c>
      <c r="F1414">
        <v>0.25281999999999999</v>
      </c>
    </row>
    <row r="1415" spans="1:6" x14ac:dyDescent="0.3">
      <c r="A1415" t="s">
        <v>5</v>
      </c>
      <c r="B1415" s="1">
        <v>45716</v>
      </c>
      <c r="C1415">
        <v>22</v>
      </c>
      <c r="D1415">
        <v>5.8999999999999997E-2</v>
      </c>
      <c r="E1415" t="s">
        <v>6</v>
      </c>
      <c r="F1415">
        <v>0.23863000000000001</v>
      </c>
    </row>
    <row r="1416" spans="1:6" x14ac:dyDescent="0.3">
      <c r="A1416" t="s">
        <v>5</v>
      </c>
      <c r="B1416" s="1">
        <v>45716</v>
      </c>
      <c r="C1416">
        <v>23</v>
      </c>
      <c r="D1416">
        <v>7.6999999999999999E-2</v>
      </c>
      <c r="E1416" t="s">
        <v>6</v>
      </c>
      <c r="F1416">
        <v>0.16569</v>
      </c>
    </row>
    <row r="1417" spans="1:6" x14ac:dyDescent="0.3">
      <c r="A1417" t="s">
        <v>5</v>
      </c>
      <c r="B1417" s="1">
        <v>45716</v>
      </c>
      <c r="C1417">
        <v>24</v>
      </c>
      <c r="D1417">
        <v>5.8999999999999997E-2</v>
      </c>
      <c r="E1417" t="s">
        <v>6</v>
      </c>
      <c r="F1417">
        <v>0.15691999999999998</v>
      </c>
    </row>
    <row r="1418" spans="1:6" x14ac:dyDescent="0.3">
      <c r="A1418" t="s">
        <v>5</v>
      </c>
      <c r="B1418" s="1">
        <v>45717</v>
      </c>
      <c r="C1418">
        <v>1</v>
      </c>
      <c r="D1418">
        <v>0.111</v>
      </c>
      <c r="E1418" t="s">
        <v>6</v>
      </c>
      <c r="F1418">
        <v>0.15416999999999997</v>
      </c>
    </row>
    <row r="1419" spans="1:6" x14ac:dyDescent="0.3">
      <c r="A1419" t="s">
        <v>5</v>
      </c>
      <c r="B1419" s="1">
        <v>45717</v>
      </c>
      <c r="C1419">
        <v>2</v>
      </c>
      <c r="D1419">
        <v>0.11899999999999999</v>
      </c>
      <c r="E1419" t="s">
        <v>6</v>
      </c>
      <c r="F1419">
        <v>0.13295999999999999</v>
      </c>
    </row>
    <row r="1420" spans="1:6" x14ac:dyDescent="0.3">
      <c r="A1420" t="s">
        <v>5</v>
      </c>
      <c r="B1420" s="1">
        <v>45717</v>
      </c>
      <c r="C1420">
        <v>3</v>
      </c>
      <c r="D1420">
        <v>0.11</v>
      </c>
      <c r="E1420" t="s">
        <v>6</v>
      </c>
      <c r="F1420">
        <v>0.13163</v>
      </c>
    </row>
    <row r="1421" spans="1:6" x14ac:dyDescent="0.3">
      <c r="A1421" t="s">
        <v>5</v>
      </c>
      <c r="B1421" s="1">
        <v>45717</v>
      </c>
      <c r="C1421">
        <v>4</v>
      </c>
      <c r="D1421">
        <v>5.8999999999999997E-2</v>
      </c>
      <c r="E1421" t="s">
        <v>6</v>
      </c>
      <c r="F1421">
        <v>0.12615000000000001</v>
      </c>
    </row>
    <row r="1422" spans="1:6" x14ac:dyDescent="0.3">
      <c r="A1422" t="s">
        <v>5</v>
      </c>
      <c r="B1422" s="1">
        <v>45717</v>
      </c>
      <c r="C1422">
        <v>5</v>
      </c>
      <c r="D1422">
        <v>7.6999999999999999E-2</v>
      </c>
      <c r="E1422" t="s">
        <v>6</v>
      </c>
      <c r="F1422">
        <v>0.12029999999999999</v>
      </c>
    </row>
    <row r="1423" spans="1:6" x14ac:dyDescent="0.3">
      <c r="A1423" t="s">
        <v>5</v>
      </c>
      <c r="B1423" s="1">
        <v>45717</v>
      </c>
      <c r="C1423">
        <v>6</v>
      </c>
      <c r="D1423">
        <v>5.8999999999999997E-2</v>
      </c>
      <c r="E1423" t="s">
        <v>6</v>
      </c>
      <c r="F1423">
        <v>0.11543</v>
      </c>
    </row>
    <row r="1424" spans="1:6" x14ac:dyDescent="0.3">
      <c r="A1424" t="s">
        <v>5</v>
      </c>
      <c r="B1424" s="1">
        <v>45717</v>
      </c>
      <c r="C1424">
        <v>7</v>
      </c>
      <c r="D1424">
        <v>0.13200000000000001</v>
      </c>
      <c r="E1424" t="s">
        <v>6</v>
      </c>
      <c r="F1424">
        <v>0.12401000000000001</v>
      </c>
    </row>
    <row r="1425" spans="1:6" x14ac:dyDescent="0.3">
      <c r="A1425" t="s">
        <v>5</v>
      </c>
      <c r="B1425" s="1">
        <v>45717</v>
      </c>
      <c r="C1425">
        <v>8</v>
      </c>
      <c r="D1425">
        <v>0.11799999999999999</v>
      </c>
      <c r="E1425" t="s">
        <v>6</v>
      </c>
      <c r="F1425">
        <v>0.12593000000000001</v>
      </c>
    </row>
    <row r="1426" spans="1:6" x14ac:dyDescent="0.3">
      <c r="A1426" t="s">
        <v>5</v>
      </c>
      <c r="B1426" s="1">
        <v>45717</v>
      </c>
      <c r="C1426">
        <v>9</v>
      </c>
      <c r="D1426">
        <v>0.13600000000000001</v>
      </c>
      <c r="E1426" t="s">
        <v>6</v>
      </c>
      <c r="F1426">
        <v>0.12162000000000001</v>
      </c>
    </row>
    <row r="1427" spans="1:6" x14ac:dyDescent="0.3">
      <c r="A1427" t="s">
        <v>5</v>
      </c>
      <c r="B1427" s="1">
        <v>45717</v>
      </c>
      <c r="C1427">
        <v>10</v>
      </c>
      <c r="D1427">
        <v>0.11899999999999999</v>
      </c>
      <c r="E1427" t="s">
        <v>6</v>
      </c>
      <c r="F1427">
        <v>0.11234000000000001</v>
      </c>
    </row>
    <row r="1428" spans="1:6" x14ac:dyDescent="0.3">
      <c r="A1428" t="s">
        <v>5</v>
      </c>
      <c r="B1428" s="1">
        <v>45717</v>
      </c>
      <c r="C1428">
        <v>11</v>
      </c>
      <c r="D1428">
        <v>0.13400000000000001</v>
      </c>
      <c r="E1428" t="s">
        <v>6</v>
      </c>
      <c r="F1428">
        <v>8.8569999999999996E-2</v>
      </c>
    </row>
    <row r="1429" spans="1:6" x14ac:dyDescent="0.3">
      <c r="A1429" t="s">
        <v>5</v>
      </c>
      <c r="B1429" s="1">
        <v>45717</v>
      </c>
      <c r="C1429">
        <v>12</v>
      </c>
      <c r="D1429">
        <v>0.122</v>
      </c>
      <c r="E1429" t="s">
        <v>6</v>
      </c>
      <c r="F1429">
        <v>7.5639999999999999E-2</v>
      </c>
    </row>
    <row r="1430" spans="1:6" x14ac:dyDescent="0.3">
      <c r="A1430" t="s">
        <v>5</v>
      </c>
      <c r="B1430" s="1">
        <v>45717</v>
      </c>
      <c r="C1430">
        <v>13</v>
      </c>
      <c r="D1430">
        <v>0.108</v>
      </c>
      <c r="E1430" t="s">
        <v>6</v>
      </c>
      <c r="F1430">
        <v>6.8970000000000004E-2</v>
      </c>
    </row>
    <row r="1431" spans="1:6" x14ac:dyDescent="0.3">
      <c r="A1431" t="s">
        <v>5</v>
      </c>
      <c r="B1431" s="1">
        <v>45717</v>
      </c>
      <c r="C1431">
        <v>14</v>
      </c>
      <c r="D1431">
        <v>6.4000000000000001E-2</v>
      </c>
      <c r="E1431" t="s">
        <v>6</v>
      </c>
      <c r="F1431">
        <v>6.8459999999999993E-2</v>
      </c>
    </row>
    <row r="1432" spans="1:6" x14ac:dyDescent="0.3">
      <c r="A1432" t="s">
        <v>5</v>
      </c>
      <c r="B1432" s="1">
        <v>45717</v>
      </c>
      <c r="C1432">
        <v>15</v>
      </c>
      <c r="D1432">
        <v>7.0999999999999994E-2</v>
      </c>
      <c r="E1432" t="s">
        <v>6</v>
      </c>
      <c r="F1432">
        <v>6.336E-2</v>
      </c>
    </row>
    <row r="1433" spans="1:6" x14ac:dyDescent="0.3">
      <c r="A1433" t="s">
        <v>5</v>
      </c>
      <c r="B1433" s="1">
        <v>45717</v>
      </c>
      <c r="C1433">
        <v>16</v>
      </c>
      <c r="D1433">
        <v>6.5000000000000002E-2</v>
      </c>
      <c r="E1433" t="s">
        <v>6</v>
      </c>
      <c r="F1433">
        <v>6.021E-2</v>
      </c>
    </row>
    <row r="1434" spans="1:6" x14ac:dyDescent="0.3">
      <c r="A1434" t="s">
        <v>5</v>
      </c>
      <c r="B1434" s="1">
        <v>45717</v>
      </c>
      <c r="C1434">
        <v>17</v>
      </c>
      <c r="D1434">
        <v>6.9000000000000006E-2</v>
      </c>
      <c r="E1434" t="s">
        <v>6</v>
      </c>
      <c r="F1434">
        <v>6.812E-2</v>
      </c>
    </row>
    <row r="1435" spans="1:6" x14ac:dyDescent="0.3">
      <c r="A1435" t="s">
        <v>5</v>
      </c>
      <c r="B1435" s="1">
        <v>45717</v>
      </c>
      <c r="C1435">
        <v>18</v>
      </c>
      <c r="D1435">
        <v>0.121</v>
      </c>
      <c r="E1435" t="s">
        <v>6</v>
      </c>
      <c r="F1435">
        <v>7.3700000000000002E-2</v>
      </c>
    </row>
    <row r="1436" spans="1:6" x14ac:dyDescent="0.3">
      <c r="A1436" t="s">
        <v>5</v>
      </c>
      <c r="B1436" s="1">
        <v>45717</v>
      </c>
      <c r="C1436">
        <v>19</v>
      </c>
      <c r="D1436">
        <v>0.126</v>
      </c>
      <c r="E1436" t="s">
        <v>6</v>
      </c>
      <c r="F1436">
        <v>0.10198</v>
      </c>
    </row>
    <row r="1437" spans="1:6" x14ac:dyDescent="0.3">
      <c r="A1437" t="s">
        <v>5</v>
      </c>
      <c r="B1437" s="1">
        <v>45717</v>
      </c>
      <c r="C1437">
        <v>20</v>
      </c>
      <c r="D1437">
        <v>7.1999999999999995E-2</v>
      </c>
      <c r="E1437" t="s">
        <v>6</v>
      </c>
      <c r="F1437">
        <v>0.10787000000000001</v>
      </c>
    </row>
    <row r="1438" spans="1:6" x14ac:dyDescent="0.3">
      <c r="A1438" t="s">
        <v>5</v>
      </c>
      <c r="B1438" s="1">
        <v>45717</v>
      </c>
      <c r="C1438">
        <v>21</v>
      </c>
      <c r="D1438">
        <v>6.3E-2</v>
      </c>
      <c r="E1438" t="s">
        <v>6</v>
      </c>
      <c r="F1438">
        <v>0.11853</v>
      </c>
    </row>
    <row r="1439" spans="1:6" x14ac:dyDescent="0.3">
      <c r="A1439" t="s">
        <v>5</v>
      </c>
      <c r="B1439" s="1">
        <v>45717</v>
      </c>
      <c r="C1439">
        <v>22</v>
      </c>
      <c r="D1439">
        <v>7.2999999999999995E-2</v>
      </c>
      <c r="E1439" t="s">
        <v>6</v>
      </c>
      <c r="F1439">
        <v>0.11874</v>
      </c>
    </row>
    <row r="1440" spans="1:6" x14ac:dyDescent="0.3">
      <c r="A1440" t="s">
        <v>5</v>
      </c>
      <c r="B1440" s="1">
        <v>45717</v>
      </c>
      <c r="C1440">
        <v>23</v>
      </c>
      <c r="D1440">
        <v>8.5000000000000006E-2</v>
      </c>
      <c r="E1440" t="s">
        <v>6</v>
      </c>
      <c r="F1440">
        <v>0.12465999999999999</v>
      </c>
    </row>
    <row r="1441" spans="1:6" x14ac:dyDescent="0.3">
      <c r="A1441" t="s">
        <v>5</v>
      </c>
      <c r="B1441" s="1">
        <v>45717</v>
      </c>
      <c r="C1441">
        <v>24</v>
      </c>
      <c r="D1441">
        <v>0.13500000000000001</v>
      </c>
      <c r="E1441" t="s">
        <v>6</v>
      </c>
      <c r="F1441">
        <v>0.10460999999999999</v>
      </c>
    </row>
    <row r="1442" spans="1:6" x14ac:dyDescent="0.3">
      <c r="A1442" t="s">
        <v>5</v>
      </c>
      <c r="B1442" s="1">
        <v>45718</v>
      </c>
      <c r="C1442">
        <v>1</v>
      </c>
      <c r="D1442">
        <v>0.11799999999999999</v>
      </c>
      <c r="E1442" t="s">
        <v>6</v>
      </c>
      <c r="F1442">
        <v>0.10315000000000001</v>
      </c>
    </row>
    <row r="1443" spans="1:6" x14ac:dyDescent="0.3">
      <c r="A1443" t="s">
        <v>5</v>
      </c>
      <c r="B1443" s="1">
        <v>45718</v>
      </c>
      <c r="C1443">
        <v>2</v>
      </c>
      <c r="D1443">
        <v>0.13800000000000001</v>
      </c>
      <c r="E1443" t="s">
        <v>6</v>
      </c>
      <c r="F1443">
        <v>9.3530000000000002E-2</v>
      </c>
    </row>
    <row r="1444" spans="1:6" x14ac:dyDescent="0.3">
      <c r="A1444" t="s">
        <v>5</v>
      </c>
      <c r="B1444" s="1">
        <v>45718</v>
      </c>
      <c r="C1444">
        <v>3</v>
      </c>
      <c r="D1444">
        <v>0.12</v>
      </c>
      <c r="E1444" t="s">
        <v>6</v>
      </c>
      <c r="F1444">
        <v>9.4349999999999989E-2</v>
      </c>
    </row>
    <row r="1445" spans="1:6" x14ac:dyDescent="0.3">
      <c r="A1445" t="s">
        <v>5</v>
      </c>
      <c r="B1445" s="1">
        <v>45718</v>
      </c>
      <c r="C1445">
        <v>4</v>
      </c>
      <c r="D1445">
        <v>0.13900000000000001</v>
      </c>
      <c r="E1445" t="s">
        <v>6</v>
      </c>
      <c r="F1445">
        <v>9.5439999999999997E-2</v>
      </c>
    </row>
    <row r="1446" spans="1:6" x14ac:dyDescent="0.3">
      <c r="A1446" t="s">
        <v>5</v>
      </c>
      <c r="B1446" s="1">
        <v>45718</v>
      </c>
      <c r="C1446">
        <v>5</v>
      </c>
      <c r="D1446">
        <v>0.12</v>
      </c>
      <c r="E1446" t="s">
        <v>6</v>
      </c>
      <c r="F1446">
        <v>9.7659999999999997E-2</v>
      </c>
    </row>
    <row r="1447" spans="1:6" x14ac:dyDescent="0.3">
      <c r="A1447" t="s">
        <v>5</v>
      </c>
      <c r="B1447" s="1">
        <v>45718</v>
      </c>
      <c r="C1447">
        <v>6</v>
      </c>
      <c r="D1447">
        <v>0.13900000000000001</v>
      </c>
      <c r="E1447" t="s">
        <v>6</v>
      </c>
      <c r="F1447">
        <v>9.8790000000000003E-2</v>
      </c>
    </row>
    <row r="1448" spans="1:6" x14ac:dyDescent="0.3">
      <c r="A1448" t="s">
        <v>5</v>
      </c>
      <c r="B1448" s="1">
        <v>45718</v>
      </c>
      <c r="C1448">
        <v>7</v>
      </c>
      <c r="D1448">
        <v>0.12</v>
      </c>
      <c r="E1448" t="s">
        <v>6</v>
      </c>
      <c r="F1448">
        <v>9.759000000000001E-2</v>
      </c>
    </row>
    <row r="1449" spans="1:6" x14ac:dyDescent="0.3">
      <c r="A1449" t="s">
        <v>5</v>
      </c>
      <c r="B1449" s="1">
        <v>45718</v>
      </c>
      <c r="C1449">
        <v>8</v>
      </c>
      <c r="D1449">
        <v>0.13700000000000001</v>
      </c>
      <c r="E1449" t="s">
        <v>6</v>
      </c>
      <c r="F1449">
        <v>9.5159999999999995E-2</v>
      </c>
    </row>
    <row r="1450" spans="1:6" x14ac:dyDescent="0.3">
      <c r="A1450" t="s">
        <v>5</v>
      </c>
      <c r="B1450" s="1">
        <v>45718</v>
      </c>
      <c r="C1450">
        <v>9</v>
      </c>
      <c r="D1450">
        <v>0.122</v>
      </c>
      <c r="E1450" t="s">
        <v>6</v>
      </c>
      <c r="F1450">
        <v>9.3010000000000009E-2</v>
      </c>
    </row>
    <row r="1451" spans="1:6" x14ac:dyDescent="0.3">
      <c r="A1451" t="s">
        <v>5</v>
      </c>
      <c r="B1451" s="1">
        <v>45718</v>
      </c>
      <c r="C1451">
        <v>10</v>
      </c>
      <c r="D1451">
        <v>0.13</v>
      </c>
      <c r="E1451" t="s">
        <v>6</v>
      </c>
      <c r="F1451">
        <v>9.6149999999999999E-2</v>
      </c>
    </row>
    <row r="1452" spans="1:6" x14ac:dyDescent="0.3">
      <c r="A1452" t="s">
        <v>5</v>
      </c>
      <c r="B1452" s="1">
        <v>45718</v>
      </c>
      <c r="C1452">
        <v>11</v>
      </c>
      <c r="D1452">
        <v>0.127</v>
      </c>
      <c r="E1452" t="s">
        <v>6</v>
      </c>
      <c r="F1452">
        <v>0.10043000000000001</v>
      </c>
    </row>
    <row r="1453" spans="1:6" x14ac:dyDescent="0.3">
      <c r="A1453" t="s">
        <v>5</v>
      </c>
      <c r="B1453" s="1">
        <v>45718</v>
      </c>
      <c r="C1453">
        <v>12</v>
      </c>
      <c r="D1453">
        <v>0.127</v>
      </c>
      <c r="E1453" t="s">
        <v>6</v>
      </c>
      <c r="F1453">
        <v>9.0700000000000003E-2</v>
      </c>
    </row>
    <row r="1454" spans="1:6" x14ac:dyDescent="0.3">
      <c r="A1454" t="s">
        <v>5</v>
      </c>
      <c r="B1454" s="1">
        <v>45718</v>
      </c>
      <c r="C1454">
        <v>13</v>
      </c>
      <c r="D1454">
        <v>0.13</v>
      </c>
      <c r="E1454" t="s">
        <v>6</v>
      </c>
      <c r="F1454">
        <v>5.389E-2</v>
      </c>
    </row>
    <row r="1455" spans="1:6" x14ac:dyDescent="0.3">
      <c r="A1455" t="s">
        <v>5</v>
      </c>
      <c r="B1455" s="1">
        <v>45718</v>
      </c>
      <c r="C1455">
        <v>14</v>
      </c>
      <c r="D1455">
        <v>0.121</v>
      </c>
      <c r="E1455" t="s">
        <v>6</v>
      </c>
      <c r="F1455">
        <v>7.4139999999999998E-2</v>
      </c>
    </row>
    <row r="1456" spans="1:6" x14ac:dyDescent="0.3">
      <c r="A1456" t="s">
        <v>5</v>
      </c>
      <c r="B1456" s="1">
        <v>45718</v>
      </c>
      <c r="C1456">
        <v>15</v>
      </c>
      <c r="D1456">
        <v>0.13400000000000001</v>
      </c>
      <c r="E1456" t="s">
        <v>6</v>
      </c>
      <c r="F1456">
        <v>7.7109999999999998E-2</v>
      </c>
    </row>
    <row r="1457" spans="1:6" x14ac:dyDescent="0.3">
      <c r="A1457" t="s">
        <v>5</v>
      </c>
      <c r="B1457" s="1">
        <v>45718</v>
      </c>
      <c r="C1457">
        <v>16</v>
      </c>
      <c r="D1457">
        <v>0.11799999999999999</v>
      </c>
      <c r="E1457" t="s">
        <v>6</v>
      </c>
      <c r="F1457">
        <v>8.9799999999999991E-2</v>
      </c>
    </row>
    <row r="1458" spans="1:6" x14ac:dyDescent="0.3">
      <c r="A1458" t="s">
        <v>5</v>
      </c>
      <c r="B1458" s="1">
        <v>45718</v>
      </c>
      <c r="C1458">
        <v>17</v>
      </c>
      <c r="D1458">
        <v>0.13800000000000001</v>
      </c>
      <c r="E1458" t="s">
        <v>6</v>
      </c>
      <c r="F1458">
        <v>0.11985999999999999</v>
      </c>
    </row>
    <row r="1459" spans="1:6" x14ac:dyDescent="0.3">
      <c r="A1459" t="s">
        <v>5</v>
      </c>
      <c r="B1459" s="1">
        <v>45718</v>
      </c>
      <c r="C1459">
        <v>18</v>
      </c>
      <c r="D1459">
        <v>0.11799999999999999</v>
      </c>
      <c r="E1459" t="s">
        <v>6</v>
      </c>
      <c r="F1459">
        <v>0.12163</v>
      </c>
    </row>
    <row r="1460" spans="1:6" x14ac:dyDescent="0.3">
      <c r="A1460" t="s">
        <v>5</v>
      </c>
      <c r="B1460" s="1">
        <v>45718</v>
      </c>
      <c r="C1460">
        <v>19</v>
      </c>
      <c r="D1460">
        <v>0.13700000000000001</v>
      </c>
      <c r="E1460" t="s">
        <v>6</v>
      </c>
      <c r="F1460">
        <v>0.12878999999999999</v>
      </c>
    </row>
    <row r="1461" spans="1:6" x14ac:dyDescent="0.3">
      <c r="A1461" t="s">
        <v>5</v>
      </c>
      <c r="B1461" s="1">
        <v>45718</v>
      </c>
      <c r="C1461">
        <v>20</v>
      </c>
      <c r="D1461">
        <v>0.11799999999999999</v>
      </c>
      <c r="E1461" t="s">
        <v>6</v>
      </c>
      <c r="F1461">
        <v>0.15575999999999998</v>
      </c>
    </row>
    <row r="1462" spans="1:6" x14ac:dyDescent="0.3">
      <c r="A1462" t="s">
        <v>5</v>
      </c>
      <c r="B1462" s="1">
        <v>45718</v>
      </c>
      <c r="C1462">
        <v>21</v>
      </c>
      <c r="D1462">
        <v>0.47</v>
      </c>
      <c r="E1462" t="s">
        <v>6</v>
      </c>
      <c r="F1462">
        <v>0.16788</v>
      </c>
    </row>
    <row r="1463" spans="1:6" x14ac:dyDescent="0.3">
      <c r="A1463" t="s">
        <v>5</v>
      </c>
      <c r="B1463" s="1">
        <v>45718</v>
      </c>
      <c r="C1463">
        <v>22</v>
      </c>
      <c r="D1463">
        <v>0.58299999999999996</v>
      </c>
      <c r="E1463" t="s">
        <v>6</v>
      </c>
      <c r="F1463">
        <v>0.16685</v>
      </c>
    </row>
    <row r="1464" spans="1:6" x14ac:dyDescent="0.3">
      <c r="A1464" t="s">
        <v>5</v>
      </c>
      <c r="B1464" s="1">
        <v>45718</v>
      </c>
      <c r="C1464">
        <v>23</v>
      </c>
      <c r="D1464">
        <v>0.316</v>
      </c>
      <c r="E1464" t="s">
        <v>6</v>
      </c>
      <c r="F1464">
        <v>0.13291999999999998</v>
      </c>
    </row>
    <row r="1465" spans="1:6" x14ac:dyDescent="0.3">
      <c r="A1465" t="s">
        <v>5</v>
      </c>
      <c r="B1465" s="1">
        <v>45718</v>
      </c>
      <c r="C1465">
        <v>24</v>
      </c>
      <c r="D1465">
        <v>0.72099999999999997</v>
      </c>
      <c r="E1465" t="s">
        <v>6</v>
      </c>
      <c r="F1465">
        <v>0.11896</v>
      </c>
    </row>
    <row r="1466" spans="1:6" x14ac:dyDescent="0.3">
      <c r="A1466" t="s">
        <v>5</v>
      </c>
      <c r="B1466" s="1">
        <v>45719</v>
      </c>
      <c r="C1466">
        <v>1</v>
      </c>
      <c r="D1466">
        <v>0.88200000000000001</v>
      </c>
      <c r="E1466" t="s">
        <v>6</v>
      </c>
      <c r="F1466">
        <v>0.10959000000000001</v>
      </c>
    </row>
    <row r="1467" spans="1:6" x14ac:dyDescent="0.3">
      <c r="A1467" t="s">
        <v>5</v>
      </c>
      <c r="B1467" s="1">
        <v>45719</v>
      </c>
      <c r="C1467">
        <v>2</v>
      </c>
      <c r="D1467">
        <v>6.9000000000000006E-2</v>
      </c>
      <c r="E1467" t="s">
        <v>6</v>
      </c>
      <c r="F1467">
        <v>0.10502</v>
      </c>
    </row>
    <row r="1468" spans="1:6" x14ac:dyDescent="0.3">
      <c r="A1468" t="s">
        <v>5</v>
      </c>
      <c r="B1468" s="1">
        <v>45719</v>
      </c>
      <c r="C1468">
        <v>3</v>
      </c>
      <c r="D1468">
        <v>8.8999999999999996E-2</v>
      </c>
      <c r="E1468" t="s">
        <v>6</v>
      </c>
      <c r="F1468">
        <v>0.10205</v>
      </c>
    </row>
    <row r="1469" spans="1:6" x14ac:dyDescent="0.3">
      <c r="A1469" t="s">
        <v>5</v>
      </c>
      <c r="B1469" s="1">
        <v>45719</v>
      </c>
      <c r="C1469">
        <v>4</v>
      </c>
      <c r="D1469">
        <v>6.4000000000000001E-2</v>
      </c>
      <c r="E1469" t="s">
        <v>6</v>
      </c>
      <c r="F1469">
        <v>0.10366</v>
      </c>
    </row>
    <row r="1470" spans="1:6" x14ac:dyDescent="0.3">
      <c r="A1470" t="s">
        <v>5</v>
      </c>
      <c r="B1470" s="1">
        <v>45719</v>
      </c>
      <c r="C1470">
        <v>5</v>
      </c>
      <c r="D1470">
        <v>8.3000000000000004E-2</v>
      </c>
      <c r="E1470" t="s">
        <v>6</v>
      </c>
      <c r="F1470">
        <v>0.10324</v>
      </c>
    </row>
    <row r="1471" spans="1:6" x14ac:dyDescent="0.3">
      <c r="A1471" t="s">
        <v>5</v>
      </c>
      <c r="B1471" s="1">
        <v>45719</v>
      </c>
      <c r="C1471">
        <v>6</v>
      </c>
      <c r="D1471">
        <v>7.1999999999999995E-2</v>
      </c>
      <c r="E1471" t="s">
        <v>6</v>
      </c>
      <c r="F1471">
        <v>0.11339</v>
      </c>
    </row>
    <row r="1472" spans="1:6" x14ac:dyDescent="0.3">
      <c r="A1472" t="s">
        <v>5</v>
      </c>
      <c r="B1472" s="1">
        <v>45719</v>
      </c>
      <c r="C1472">
        <v>7</v>
      </c>
      <c r="D1472">
        <v>7.0000000000000007E-2</v>
      </c>
      <c r="E1472" t="s">
        <v>6</v>
      </c>
      <c r="F1472">
        <v>0.12887999999999999</v>
      </c>
    </row>
    <row r="1473" spans="1:6" x14ac:dyDescent="0.3">
      <c r="A1473" t="s">
        <v>5</v>
      </c>
      <c r="B1473" s="1">
        <v>45719</v>
      </c>
      <c r="C1473">
        <v>8</v>
      </c>
      <c r="D1473">
        <v>0.107</v>
      </c>
      <c r="E1473" t="s">
        <v>6</v>
      </c>
      <c r="F1473">
        <v>0.13363</v>
      </c>
    </row>
    <row r="1474" spans="1:6" x14ac:dyDescent="0.3">
      <c r="A1474" t="s">
        <v>5</v>
      </c>
      <c r="B1474" s="1">
        <v>45719</v>
      </c>
      <c r="C1474">
        <v>9</v>
      </c>
      <c r="D1474">
        <v>0.123</v>
      </c>
      <c r="E1474" t="s">
        <v>6</v>
      </c>
      <c r="F1474">
        <v>0.16858999999999999</v>
      </c>
    </row>
    <row r="1475" spans="1:6" x14ac:dyDescent="0.3">
      <c r="A1475" t="s">
        <v>5</v>
      </c>
      <c r="B1475" s="1">
        <v>45719</v>
      </c>
      <c r="C1475">
        <v>10</v>
      </c>
      <c r="D1475">
        <v>0.13</v>
      </c>
      <c r="E1475" t="s">
        <v>6</v>
      </c>
      <c r="F1475">
        <v>0.15524000000000002</v>
      </c>
    </row>
    <row r="1476" spans="1:6" x14ac:dyDescent="0.3">
      <c r="A1476" t="s">
        <v>5</v>
      </c>
      <c r="B1476" s="1">
        <v>45719</v>
      </c>
      <c r="C1476">
        <v>11</v>
      </c>
      <c r="D1476">
        <v>0.11700000000000001</v>
      </c>
      <c r="E1476" t="s">
        <v>6</v>
      </c>
      <c r="F1476">
        <v>0.22137000000000001</v>
      </c>
    </row>
    <row r="1477" spans="1:6" x14ac:dyDescent="0.3">
      <c r="A1477" t="s">
        <v>5</v>
      </c>
      <c r="B1477" s="1">
        <v>45719</v>
      </c>
      <c r="C1477">
        <v>12</v>
      </c>
      <c r="D1477">
        <v>7.8E-2</v>
      </c>
      <c r="E1477" t="s">
        <v>6</v>
      </c>
      <c r="F1477">
        <v>0.21944</v>
      </c>
    </row>
    <row r="1478" spans="1:6" x14ac:dyDescent="0.3">
      <c r="A1478" t="s">
        <v>5</v>
      </c>
      <c r="B1478" s="1">
        <v>45719</v>
      </c>
      <c r="C1478">
        <v>13</v>
      </c>
      <c r="D1478">
        <v>6.3E-2</v>
      </c>
      <c r="E1478" t="s">
        <v>6</v>
      </c>
      <c r="F1478">
        <v>0.20482</v>
      </c>
    </row>
    <row r="1479" spans="1:6" x14ac:dyDescent="0.3">
      <c r="A1479" t="s">
        <v>5</v>
      </c>
      <c r="B1479" s="1">
        <v>45719</v>
      </c>
      <c r="C1479">
        <v>14</v>
      </c>
      <c r="D1479">
        <v>7.3999999999999996E-2</v>
      </c>
      <c r="E1479" t="s">
        <v>6</v>
      </c>
      <c r="F1479">
        <v>0.20211999999999999</v>
      </c>
    </row>
    <row r="1480" spans="1:6" x14ac:dyDescent="0.3">
      <c r="A1480" t="s">
        <v>5</v>
      </c>
      <c r="B1480" s="1">
        <v>45719</v>
      </c>
      <c r="C1480">
        <v>15</v>
      </c>
      <c r="D1480">
        <v>6.8000000000000005E-2</v>
      </c>
      <c r="E1480" t="s">
        <v>6</v>
      </c>
      <c r="F1480">
        <v>0.11392000000000001</v>
      </c>
    </row>
    <row r="1481" spans="1:6" x14ac:dyDescent="0.3">
      <c r="A1481" t="s">
        <v>5</v>
      </c>
      <c r="B1481" s="1">
        <v>45719</v>
      </c>
      <c r="C1481">
        <v>16</v>
      </c>
      <c r="D1481">
        <v>7.3999999999999996E-2</v>
      </c>
      <c r="E1481" t="s">
        <v>6</v>
      </c>
      <c r="F1481">
        <v>0.13657</v>
      </c>
    </row>
    <row r="1482" spans="1:6" x14ac:dyDescent="0.3">
      <c r="A1482" t="s">
        <v>5</v>
      </c>
      <c r="B1482" s="1">
        <v>45719</v>
      </c>
      <c r="C1482">
        <v>17</v>
      </c>
      <c r="D1482">
        <v>0.111</v>
      </c>
      <c r="E1482" t="s">
        <v>6</v>
      </c>
      <c r="F1482">
        <v>0.14978999999999998</v>
      </c>
    </row>
    <row r="1483" spans="1:6" x14ac:dyDescent="0.3">
      <c r="A1483" t="s">
        <v>5</v>
      </c>
      <c r="B1483" s="1">
        <v>45719</v>
      </c>
      <c r="C1483">
        <v>18</v>
      </c>
      <c r="D1483">
        <v>0.25800000000000001</v>
      </c>
      <c r="E1483" t="s">
        <v>6</v>
      </c>
      <c r="F1483">
        <v>0.15064</v>
      </c>
    </row>
    <row r="1484" spans="1:6" x14ac:dyDescent="0.3">
      <c r="A1484" t="s">
        <v>5</v>
      </c>
      <c r="B1484" s="1">
        <v>45719</v>
      </c>
      <c r="C1484">
        <v>19</v>
      </c>
      <c r="D1484">
        <v>0.224</v>
      </c>
      <c r="E1484" t="s">
        <v>6</v>
      </c>
      <c r="F1484">
        <v>0.23079</v>
      </c>
    </row>
    <row r="1485" spans="1:6" x14ac:dyDescent="0.3">
      <c r="A1485" t="s">
        <v>5</v>
      </c>
      <c r="B1485" s="1">
        <v>45719</v>
      </c>
      <c r="C1485">
        <v>20</v>
      </c>
      <c r="D1485">
        <v>0.112</v>
      </c>
      <c r="E1485" t="s">
        <v>6</v>
      </c>
      <c r="F1485">
        <v>0.25786000000000003</v>
      </c>
    </row>
    <row r="1486" spans="1:6" x14ac:dyDescent="0.3">
      <c r="A1486" t="s">
        <v>5</v>
      </c>
      <c r="B1486" s="1">
        <v>45719</v>
      </c>
      <c r="C1486">
        <v>21</v>
      </c>
      <c r="D1486">
        <v>0.19700000000000001</v>
      </c>
      <c r="E1486" t="s">
        <v>6</v>
      </c>
      <c r="F1486">
        <v>0.27400000000000002</v>
      </c>
    </row>
    <row r="1487" spans="1:6" x14ac:dyDescent="0.3">
      <c r="A1487" t="s">
        <v>5</v>
      </c>
      <c r="B1487" s="1">
        <v>45719</v>
      </c>
      <c r="C1487">
        <v>22</v>
      </c>
      <c r="D1487">
        <v>0.45200000000000001</v>
      </c>
      <c r="E1487" t="s">
        <v>6</v>
      </c>
      <c r="F1487">
        <v>0.24384999999999998</v>
      </c>
    </row>
    <row r="1488" spans="1:6" x14ac:dyDescent="0.3">
      <c r="A1488" t="s">
        <v>5</v>
      </c>
      <c r="B1488" s="1">
        <v>45719</v>
      </c>
      <c r="C1488">
        <v>23</v>
      </c>
      <c r="D1488">
        <v>0.33100000000000002</v>
      </c>
      <c r="E1488" t="s">
        <v>6</v>
      </c>
      <c r="F1488">
        <v>0.17061999999999999</v>
      </c>
    </row>
    <row r="1489" spans="1:6" x14ac:dyDescent="0.3">
      <c r="A1489" t="s">
        <v>5</v>
      </c>
      <c r="B1489" s="1">
        <v>45719</v>
      </c>
      <c r="C1489">
        <v>24</v>
      </c>
      <c r="D1489">
        <v>0.19700000000000001</v>
      </c>
      <c r="E1489" t="s">
        <v>6</v>
      </c>
      <c r="F1489">
        <v>0.15237999999999999</v>
      </c>
    </row>
    <row r="1490" spans="1:6" x14ac:dyDescent="0.3">
      <c r="A1490" t="s">
        <v>5</v>
      </c>
      <c r="B1490" s="1">
        <v>45720</v>
      </c>
      <c r="C1490">
        <v>1</v>
      </c>
      <c r="D1490">
        <v>0.19400000000000001</v>
      </c>
      <c r="E1490" t="s">
        <v>6</v>
      </c>
      <c r="F1490">
        <v>0.13241</v>
      </c>
    </row>
    <row r="1491" spans="1:6" x14ac:dyDescent="0.3">
      <c r="A1491" t="s">
        <v>5</v>
      </c>
      <c r="B1491" s="1">
        <v>45720</v>
      </c>
      <c r="C1491">
        <v>2</v>
      </c>
      <c r="D1491">
        <v>8.7999999999999995E-2</v>
      </c>
      <c r="E1491" t="s">
        <v>6</v>
      </c>
      <c r="F1491">
        <v>0.13849</v>
      </c>
    </row>
    <row r="1492" spans="1:6" x14ac:dyDescent="0.3">
      <c r="A1492" t="s">
        <v>5</v>
      </c>
      <c r="B1492" s="1">
        <v>45720</v>
      </c>
      <c r="C1492">
        <v>3</v>
      </c>
      <c r="D1492">
        <v>7.0999999999999994E-2</v>
      </c>
      <c r="E1492" t="s">
        <v>6</v>
      </c>
      <c r="F1492">
        <v>0.13707</v>
      </c>
    </row>
    <row r="1493" spans="1:6" x14ac:dyDescent="0.3">
      <c r="A1493" t="s">
        <v>5</v>
      </c>
      <c r="B1493" s="1">
        <v>45720</v>
      </c>
      <c r="C1493">
        <v>4</v>
      </c>
      <c r="D1493">
        <v>7.9000000000000001E-2</v>
      </c>
      <c r="E1493" t="s">
        <v>6</v>
      </c>
      <c r="F1493">
        <v>0.13331999999999999</v>
      </c>
    </row>
    <row r="1494" spans="1:6" x14ac:dyDescent="0.3">
      <c r="A1494" t="s">
        <v>5</v>
      </c>
      <c r="B1494" s="1">
        <v>45720</v>
      </c>
      <c r="C1494">
        <v>5</v>
      </c>
      <c r="D1494">
        <v>0.06</v>
      </c>
      <c r="E1494" t="s">
        <v>6</v>
      </c>
      <c r="F1494">
        <v>0.13186</v>
      </c>
    </row>
    <row r="1495" spans="1:6" x14ac:dyDescent="0.3">
      <c r="A1495" t="s">
        <v>5</v>
      </c>
      <c r="B1495" s="1">
        <v>45720</v>
      </c>
      <c r="C1495">
        <v>6</v>
      </c>
      <c r="D1495">
        <v>7.6999999999999999E-2</v>
      </c>
      <c r="E1495" t="s">
        <v>6</v>
      </c>
      <c r="F1495">
        <v>0.13496</v>
      </c>
    </row>
    <row r="1496" spans="1:6" x14ac:dyDescent="0.3">
      <c r="A1496" t="s">
        <v>5</v>
      </c>
      <c r="B1496" s="1">
        <v>45720</v>
      </c>
      <c r="C1496">
        <v>7</v>
      </c>
      <c r="D1496">
        <v>6.4000000000000001E-2</v>
      </c>
      <c r="E1496" t="s">
        <v>6</v>
      </c>
      <c r="F1496">
        <v>0.12634000000000001</v>
      </c>
    </row>
    <row r="1497" spans="1:6" x14ac:dyDescent="0.3">
      <c r="A1497" t="s">
        <v>5</v>
      </c>
      <c r="B1497" s="1">
        <v>45720</v>
      </c>
      <c r="C1497">
        <v>8</v>
      </c>
      <c r="D1497">
        <v>0.106</v>
      </c>
      <c r="E1497" t="s">
        <v>6</v>
      </c>
      <c r="F1497">
        <v>0.13483000000000001</v>
      </c>
    </row>
    <row r="1498" spans="1:6" x14ac:dyDescent="0.3">
      <c r="A1498" t="s">
        <v>5</v>
      </c>
      <c r="B1498" s="1">
        <v>45720</v>
      </c>
      <c r="C1498">
        <v>9</v>
      </c>
      <c r="D1498">
        <v>7.0000000000000007E-2</v>
      </c>
      <c r="E1498" t="s">
        <v>6</v>
      </c>
      <c r="F1498">
        <v>0.16233</v>
      </c>
    </row>
    <row r="1499" spans="1:6" x14ac:dyDescent="0.3">
      <c r="A1499" t="s">
        <v>5</v>
      </c>
      <c r="B1499" s="1">
        <v>45720</v>
      </c>
      <c r="C1499">
        <v>10</v>
      </c>
      <c r="D1499">
        <v>0.16200000000000001</v>
      </c>
      <c r="E1499" t="s">
        <v>6</v>
      </c>
      <c r="F1499">
        <v>0.15258000000000002</v>
      </c>
    </row>
    <row r="1500" spans="1:6" x14ac:dyDescent="0.3">
      <c r="A1500" t="s">
        <v>5</v>
      </c>
      <c r="B1500" s="1">
        <v>45720</v>
      </c>
      <c r="C1500">
        <v>11</v>
      </c>
      <c r="D1500">
        <v>0.16700000000000001</v>
      </c>
      <c r="E1500" t="s">
        <v>6</v>
      </c>
      <c r="F1500">
        <v>0.21208000000000002</v>
      </c>
    </row>
    <row r="1501" spans="1:6" x14ac:dyDescent="0.3">
      <c r="A1501" t="s">
        <v>5</v>
      </c>
      <c r="B1501" s="1">
        <v>45720</v>
      </c>
      <c r="C1501">
        <v>12</v>
      </c>
      <c r="D1501">
        <v>6.3E-2</v>
      </c>
      <c r="E1501" t="s">
        <v>6</v>
      </c>
      <c r="F1501">
        <v>0.19278000000000001</v>
      </c>
    </row>
    <row r="1502" spans="1:6" x14ac:dyDescent="0.3">
      <c r="A1502" t="s">
        <v>5</v>
      </c>
      <c r="B1502" s="1">
        <v>45720</v>
      </c>
      <c r="C1502">
        <v>13</v>
      </c>
      <c r="D1502">
        <v>7.5999999999999998E-2</v>
      </c>
      <c r="E1502" t="s">
        <v>6</v>
      </c>
      <c r="F1502">
        <v>0.17612</v>
      </c>
    </row>
    <row r="1503" spans="1:6" x14ac:dyDescent="0.3">
      <c r="A1503" t="s">
        <v>5</v>
      </c>
      <c r="B1503" s="1">
        <v>45720</v>
      </c>
      <c r="C1503">
        <v>14</v>
      </c>
      <c r="D1503">
        <v>5.8999999999999997E-2</v>
      </c>
      <c r="E1503" t="s">
        <v>6</v>
      </c>
      <c r="F1503">
        <v>0.15709000000000001</v>
      </c>
    </row>
    <row r="1504" spans="1:6" x14ac:dyDescent="0.3">
      <c r="A1504" t="s">
        <v>5</v>
      </c>
      <c r="B1504" s="1">
        <v>45720</v>
      </c>
      <c r="C1504">
        <v>15</v>
      </c>
      <c r="D1504">
        <v>0.24199999999999999</v>
      </c>
      <c r="E1504" t="s">
        <v>6</v>
      </c>
      <c r="F1504">
        <v>9.8909999999999998E-2</v>
      </c>
    </row>
    <row r="1505" spans="1:6" x14ac:dyDescent="0.3">
      <c r="A1505" t="s">
        <v>5</v>
      </c>
      <c r="B1505" s="1">
        <v>45720</v>
      </c>
      <c r="C1505">
        <v>16</v>
      </c>
      <c r="D1505">
        <v>0.113</v>
      </c>
      <c r="E1505" t="s">
        <v>6</v>
      </c>
      <c r="F1505">
        <v>0.11379</v>
      </c>
    </row>
    <row r="1506" spans="1:6" x14ac:dyDescent="0.3">
      <c r="A1506" t="s">
        <v>5</v>
      </c>
      <c r="B1506" s="1">
        <v>45720</v>
      </c>
      <c r="C1506">
        <v>17</v>
      </c>
      <c r="D1506">
        <v>7.5999999999999998E-2</v>
      </c>
      <c r="E1506" t="s">
        <v>6</v>
      </c>
      <c r="F1506">
        <v>0.13033</v>
      </c>
    </row>
    <row r="1507" spans="1:6" x14ac:dyDescent="0.3">
      <c r="A1507" t="s">
        <v>5</v>
      </c>
      <c r="B1507" s="1">
        <v>45720</v>
      </c>
      <c r="C1507">
        <v>18</v>
      </c>
      <c r="D1507">
        <v>0.27100000000000002</v>
      </c>
      <c r="E1507" t="s">
        <v>6</v>
      </c>
      <c r="F1507">
        <v>0.15402000000000002</v>
      </c>
    </row>
    <row r="1508" spans="1:6" x14ac:dyDescent="0.3">
      <c r="A1508" t="s">
        <v>5</v>
      </c>
      <c r="B1508" s="1">
        <v>45720</v>
      </c>
      <c r="C1508">
        <v>19</v>
      </c>
      <c r="D1508">
        <v>0.09</v>
      </c>
      <c r="E1508" t="s">
        <v>6</v>
      </c>
      <c r="F1508">
        <v>0.22037000000000001</v>
      </c>
    </row>
    <row r="1509" spans="1:6" x14ac:dyDescent="0.3">
      <c r="A1509" t="s">
        <v>5</v>
      </c>
      <c r="B1509" s="1">
        <v>45720</v>
      </c>
      <c r="C1509">
        <v>20</v>
      </c>
      <c r="D1509">
        <v>0.19400000000000001</v>
      </c>
      <c r="E1509" t="s">
        <v>6</v>
      </c>
      <c r="F1509">
        <v>0.26944000000000001</v>
      </c>
    </row>
    <row r="1510" spans="1:6" x14ac:dyDescent="0.3">
      <c r="A1510" t="s">
        <v>5</v>
      </c>
      <c r="B1510" s="1">
        <v>45720</v>
      </c>
      <c r="C1510">
        <v>21</v>
      </c>
      <c r="D1510">
        <v>0.13200000000000001</v>
      </c>
      <c r="E1510" t="s">
        <v>6</v>
      </c>
      <c r="F1510">
        <v>0.25428000000000001</v>
      </c>
    </row>
    <row r="1511" spans="1:6" x14ac:dyDescent="0.3">
      <c r="A1511" t="s">
        <v>5</v>
      </c>
      <c r="B1511" s="1">
        <v>45720</v>
      </c>
      <c r="C1511">
        <v>22</v>
      </c>
      <c r="D1511">
        <v>0.45200000000000001</v>
      </c>
      <c r="E1511" t="s">
        <v>6</v>
      </c>
      <c r="F1511">
        <v>0.23723</v>
      </c>
    </row>
    <row r="1512" spans="1:6" x14ac:dyDescent="0.3">
      <c r="A1512" t="s">
        <v>5</v>
      </c>
      <c r="B1512" s="1">
        <v>45720</v>
      </c>
      <c r="C1512">
        <v>23</v>
      </c>
      <c r="D1512">
        <v>0.59599999999999997</v>
      </c>
      <c r="E1512" t="s">
        <v>6</v>
      </c>
      <c r="F1512">
        <v>0.15728999999999999</v>
      </c>
    </row>
    <row r="1513" spans="1:6" x14ac:dyDescent="0.3">
      <c r="A1513" t="s">
        <v>5</v>
      </c>
      <c r="B1513" s="1">
        <v>45720</v>
      </c>
      <c r="C1513">
        <v>24</v>
      </c>
      <c r="D1513">
        <v>0.34</v>
      </c>
      <c r="E1513" t="s">
        <v>6</v>
      </c>
      <c r="F1513">
        <v>0.15871000000000002</v>
      </c>
    </row>
    <row r="1514" spans="1:6" x14ac:dyDescent="0.3">
      <c r="A1514" t="s">
        <v>5</v>
      </c>
      <c r="B1514" s="1">
        <v>45721</v>
      </c>
      <c r="C1514">
        <v>1</v>
      </c>
      <c r="D1514">
        <v>0.157</v>
      </c>
      <c r="E1514" t="s">
        <v>6</v>
      </c>
      <c r="F1514">
        <v>0.12470999999999999</v>
      </c>
    </row>
    <row r="1515" spans="1:6" x14ac:dyDescent="0.3">
      <c r="A1515" t="s">
        <v>5</v>
      </c>
      <c r="B1515" s="1">
        <v>45721</v>
      </c>
      <c r="C1515">
        <v>2</v>
      </c>
      <c r="D1515">
        <v>8.1000000000000003E-2</v>
      </c>
      <c r="E1515" t="s">
        <v>6</v>
      </c>
      <c r="F1515">
        <v>0.12509000000000001</v>
      </c>
    </row>
    <row r="1516" spans="1:6" x14ac:dyDescent="0.3">
      <c r="A1516" t="s">
        <v>5</v>
      </c>
      <c r="B1516" s="1">
        <v>45721</v>
      </c>
      <c r="C1516">
        <v>3</v>
      </c>
      <c r="D1516">
        <v>8.4000000000000005E-2</v>
      </c>
      <c r="E1516" t="s">
        <v>6</v>
      </c>
      <c r="F1516">
        <v>0.12637000000000001</v>
      </c>
    </row>
    <row r="1517" spans="1:6" x14ac:dyDescent="0.3">
      <c r="A1517" t="s">
        <v>5</v>
      </c>
      <c r="B1517" s="1">
        <v>45721</v>
      </c>
      <c r="C1517">
        <v>4</v>
      </c>
      <c r="D1517">
        <v>7.4999999999999997E-2</v>
      </c>
      <c r="E1517" t="s">
        <v>6</v>
      </c>
      <c r="F1517">
        <v>0.1205</v>
      </c>
    </row>
    <row r="1518" spans="1:6" x14ac:dyDescent="0.3">
      <c r="A1518" t="s">
        <v>5</v>
      </c>
      <c r="B1518" s="1">
        <v>45721</v>
      </c>
      <c r="C1518">
        <v>5</v>
      </c>
      <c r="D1518">
        <v>6.8000000000000005E-2</v>
      </c>
      <c r="E1518" t="s">
        <v>6</v>
      </c>
      <c r="F1518">
        <v>0.11946999999999999</v>
      </c>
    </row>
    <row r="1519" spans="1:6" x14ac:dyDescent="0.3">
      <c r="A1519" t="s">
        <v>5</v>
      </c>
      <c r="B1519" s="1">
        <v>45721</v>
      </c>
      <c r="C1519">
        <v>6</v>
      </c>
      <c r="D1519">
        <v>7.8E-2</v>
      </c>
      <c r="E1519" t="s">
        <v>6</v>
      </c>
      <c r="F1519">
        <v>0.11481999999999999</v>
      </c>
    </row>
    <row r="1520" spans="1:6" x14ac:dyDescent="0.3">
      <c r="A1520" t="s">
        <v>5</v>
      </c>
      <c r="B1520" s="1">
        <v>45721</v>
      </c>
      <c r="C1520">
        <v>7</v>
      </c>
      <c r="D1520">
        <v>5.8999999999999997E-2</v>
      </c>
      <c r="E1520" t="s">
        <v>6</v>
      </c>
      <c r="F1520">
        <v>0.12168999999999999</v>
      </c>
    </row>
    <row r="1521" spans="1:6" x14ac:dyDescent="0.3">
      <c r="A1521" t="s">
        <v>5</v>
      </c>
      <c r="B1521" s="1">
        <v>45721</v>
      </c>
      <c r="C1521">
        <v>8</v>
      </c>
      <c r="D1521">
        <v>0.105</v>
      </c>
      <c r="E1521" t="s">
        <v>6</v>
      </c>
      <c r="F1521">
        <v>0.14646999999999999</v>
      </c>
    </row>
    <row r="1522" spans="1:6" x14ac:dyDescent="0.3">
      <c r="A1522" t="s">
        <v>5</v>
      </c>
      <c r="B1522" s="1">
        <v>45721</v>
      </c>
      <c r="C1522">
        <v>9</v>
      </c>
      <c r="D1522">
        <v>0.10199999999999999</v>
      </c>
      <c r="E1522" t="s">
        <v>6</v>
      </c>
      <c r="F1522">
        <v>0.15975999999999999</v>
      </c>
    </row>
    <row r="1523" spans="1:6" x14ac:dyDescent="0.3">
      <c r="A1523" t="s">
        <v>5</v>
      </c>
      <c r="B1523" s="1">
        <v>45721</v>
      </c>
      <c r="C1523">
        <v>10</v>
      </c>
      <c r="D1523">
        <v>0.14199999999999999</v>
      </c>
      <c r="E1523" t="s">
        <v>6</v>
      </c>
      <c r="F1523">
        <v>0.13778000000000001</v>
      </c>
    </row>
    <row r="1524" spans="1:6" x14ac:dyDescent="0.3">
      <c r="A1524" t="s">
        <v>5</v>
      </c>
      <c r="B1524" s="1">
        <v>45721</v>
      </c>
      <c r="C1524">
        <v>11</v>
      </c>
      <c r="D1524">
        <v>0.124</v>
      </c>
      <c r="E1524" t="s">
        <v>6</v>
      </c>
      <c r="F1524">
        <v>0.18984000000000001</v>
      </c>
    </row>
    <row r="1525" spans="1:6" x14ac:dyDescent="0.3">
      <c r="A1525" t="s">
        <v>5</v>
      </c>
      <c r="B1525" s="1">
        <v>45721</v>
      </c>
      <c r="C1525">
        <v>12</v>
      </c>
      <c r="D1525">
        <v>5.8999999999999997E-2</v>
      </c>
      <c r="E1525" t="s">
        <v>6</v>
      </c>
      <c r="F1525">
        <v>0.16666</v>
      </c>
    </row>
    <row r="1526" spans="1:6" x14ac:dyDescent="0.3">
      <c r="A1526" t="s">
        <v>5</v>
      </c>
      <c r="B1526" s="1">
        <v>45721</v>
      </c>
      <c r="C1526">
        <v>13</v>
      </c>
      <c r="D1526">
        <v>8.6999999999999994E-2</v>
      </c>
      <c r="E1526" t="s">
        <v>6</v>
      </c>
      <c r="F1526">
        <v>0.15565999999999999</v>
      </c>
    </row>
    <row r="1527" spans="1:6" x14ac:dyDescent="0.3">
      <c r="A1527" t="s">
        <v>5</v>
      </c>
      <c r="B1527" s="1">
        <v>45721</v>
      </c>
      <c r="C1527">
        <v>14</v>
      </c>
      <c r="D1527">
        <v>0.28999999999999998</v>
      </c>
      <c r="E1527" t="s">
        <v>6</v>
      </c>
      <c r="F1527">
        <v>0.14574999999999999</v>
      </c>
    </row>
    <row r="1528" spans="1:6" x14ac:dyDescent="0.3">
      <c r="A1528" t="s">
        <v>5</v>
      </c>
      <c r="B1528" s="1">
        <v>45721</v>
      </c>
      <c r="C1528">
        <v>15</v>
      </c>
      <c r="D1528">
        <v>0.19600000000000001</v>
      </c>
      <c r="E1528" t="s">
        <v>6</v>
      </c>
      <c r="F1528">
        <v>8.133E-2</v>
      </c>
    </row>
    <row r="1529" spans="1:6" x14ac:dyDescent="0.3">
      <c r="A1529" t="s">
        <v>5</v>
      </c>
      <c r="B1529" s="1">
        <v>45721</v>
      </c>
      <c r="C1529">
        <v>16</v>
      </c>
      <c r="D1529">
        <v>0.42899999999999999</v>
      </c>
      <c r="E1529" t="s">
        <v>6</v>
      </c>
      <c r="F1529">
        <v>0.10104</v>
      </c>
    </row>
    <row r="1530" spans="1:6" x14ac:dyDescent="0.3">
      <c r="A1530" t="s">
        <v>5</v>
      </c>
      <c r="B1530" s="1">
        <v>45721</v>
      </c>
      <c r="C1530">
        <v>17</v>
      </c>
      <c r="D1530">
        <v>1.0720000000000001</v>
      </c>
      <c r="E1530" t="s">
        <v>6</v>
      </c>
      <c r="F1530">
        <v>0.12451999999999999</v>
      </c>
    </row>
    <row r="1531" spans="1:6" x14ac:dyDescent="0.3">
      <c r="A1531" t="s">
        <v>5</v>
      </c>
      <c r="B1531" s="1">
        <v>45721</v>
      </c>
      <c r="C1531">
        <v>18</v>
      </c>
      <c r="D1531">
        <v>1.109</v>
      </c>
      <c r="E1531" t="s">
        <v>6</v>
      </c>
      <c r="F1531">
        <v>0.13594999999999999</v>
      </c>
    </row>
    <row r="1532" spans="1:6" x14ac:dyDescent="0.3">
      <c r="A1532" t="s">
        <v>5</v>
      </c>
      <c r="B1532" s="1">
        <v>45721</v>
      </c>
      <c r="C1532">
        <v>19</v>
      </c>
      <c r="D1532">
        <v>1.542</v>
      </c>
      <c r="E1532" t="s">
        <v>6</v>
      </c>
      <c r="F1532">
        <v>0.21243999999999999</v>
      </c>
    </row>
    <row r="1533" spans="1:6" x14ac:dyDescent="0.3">
      <c r="A1533" t="s">
        <v>5</v>
      </c>
      <c r="B1533" s="1">
        <v>45721</v>
      </c>
      <c r="C1533">
        <v>20</v>
      </c>
      <c r="D1533">
        <v>0.54700000000000004</v>
      </c>
      <c r="E1533" t="s">
        <v>6</v>
      </c>
      <c r="F1533">
        <v>0.23810000000000001</v>
      </c>
    </row>
    <row r="1534" spans="1:6" x14ac:dyDescent="0.3">
      <c r="A1534" t="s">
        <v>5</v>
      </c>
      <c r="B1534" s="1">
        <v>45721</v>
      </c>
      <c r="C1534">
        <v>21</v>
      </c>
      <c r="D1534">
        <v>0.41099999999999998</v>
      </c>
      <c r="E1534" t="s">
        <v>6</v>
      </c>
      <c r="F1534">
        <v>0.23981</v>
      </c>
    </row>
    <row r="1535" spans="1:6" x14ac:dyDescent="0.3">
      <c r="A1535" t="s">
        <v>5</v>
      </c>
      <c r="B1535" s="1">
        <v>45721</v>
      </c>
      <c r="C1535">
        <v>22</v>
      </c>
      <c r="D1535">
        <v>1.671</v>
      </c>
      <c r="E1535" t="s">
        <v>6</v>
      </c>
      <c r="F1535">
        <v>0.23332</v>
      </c>
    </row>
    <row r="1536" spans="1:6" x14ac:dyDescent="0.3">
      <c r="A1536" t="s">
        <v>5</v>
      </c>
      <c r="B1536" s="1">
        <v>45721</v>
      </c>
      <c r="C1536">
        <v>23</v>
      </c>
      <c r="D1536">
        <v>0.33700000000000002</v>
      </c>
      <c r="E1536" t="s">
        <v>6</v>
      </c>
      <c r="F1536">
        <v>0.15863999999999998</v>
      </c>
    </row>
    <row r="1537" spans="1:6" x14ac:dyDescent="0.3">
      <c r="A1537" t="s">
        <v>5</v>
      </c>
      <c r="B1537" s="1">
        <v>45721</v>
      </c>
      <c r="C1537">
        <v>24</v>
      </c>
      <c r="D1537">
        <v>0.32200000000000001</v>
      </c>
      <c r="E1537" t="s">
        <v>6</v>
      </c>
      <c r="F1537">
        <v>0.14044999999999999</v>
      </c>
    </row>
    <row r="1538" spans="1:6" x14ac:dyDescent="0.3">
      <c r="A1538" t="s">
        <v>5</v>
      </c>
      <c r="B1538" s="1">
        <v>45722</v>
      </c>
      <c r="C1538">
        <v>1</v>
      </c>
      <c r="D1538">
        <v>0.17399999999999999</v>
      </c>
      <c r="E1538" t="s">
        <v>6</v>
      </c>
      <c r="F1538">
        <v>9.6090000000000009E-2</v>
      </c>
    </row>
    <row r="1539" spans="1:6" x14ac:dyDescent="0.3">
      <c r="A1539" t="s">
        <v>5</v>
      </c>
      <c r="B1539" s="1">
        <v>45722</v>
      </c>
      <c r="C1539">
        <v>2</v>
      </c>
      <c r="D1539">
        <v>8.3000000000000004E-2</v>
      </c>
      <c r="E1539" t="s">
        <v>6</v>
      </c>
      <c r="F1539">
        <v>9.11E-2</v>
      </c>
    </row>
    <row r="1540" spans="1:6" x14ac:dyDescent="0.3">
      <c r="A1540" t="s">
        <v>5</v>
      </c>
      <c r="B1540" s="1">
        <v>45722</v>
      </c>
      <c r="C1540">
        <v>3</v>
      </c>
      <c r="D1540">
        <v>9.0999999999999998E-2</v>
      </c>
      <c r="E1540" t="s">
        <v>6</v>
      </c>
      <c r="F1540">
        <v>0.10329000000000001</v>
      </c>
    </row>
    <row r="1541" spans="1:6" x14ac:dyDescent="0.3">
      <c r="A1541" t="s">
        <v>5</v>
      </c>
      <c r="B1541" s="1">
        <v>45722</v>
      </c>
      <c r="C1541">
        <v>4</v>
      </c>
      <c r="D1541">
        <v>7.9000000000000001E-2</v>
      </c>
      <c r="E1541" t="s">
        <v>6</v>
      </c>
      <c r="F1541">
        <v>0.10485999999999999</v>
      </c>
    </row>
    <row r="1542" spans="1:6" x14ac:dyDescent="0.3">
      <c r="A1542" t="s">
        <v>5</v>
      </c>
      <c r="B1542" s="1">
        <v>45722</v>
      </c>
      <c r="C1542">
        <v>5</v>
      </c>
      <c r="D1542">
        <v>6.7000000000000004E-2</v>
      </c>
      <c r="E1542" t="s">
        <v>6</v>
      </c>
      <c r="F1542">
        <v>0.10685</v>
      </c>
    </row>
    <row r="1543" spans="1:6" x14ac:dyDescent="0.3">
      <c r="A1543" t="s">
        <v>5</v>
      </c>
      <c r="B1543" s="1">
        <v>45722</v>
      </c>
      <c r="C1543">
        <v>6</v>
      </c>
      <c r="D1543">
        <v>0.08</v>
      </c>
      <c r="E1543" t="s">
        <v>6</v>
      </c>
      <c r="F1543">
        <v>0.10815999999999999</v>
      </c>
    </row>
    <row r="1544" spans="1:6" x14ac:dyDescent="0.3">
      <c r="A1544" t="s">
        <v>5</v>
      </c>
      <c r="B1544" s="1">
        <v>45722</v>
      </c>
      <c r="C1544">
        <v>7</v>
      </c>
      <c r="D1544">
        <v>7.0999999999999994E-2</v>
      </c>
      <c r="E1544" t="s">
        <v>6</v>
      </c>
      <c r="F1544">
        <v>0.11279</v>
      </c>
    </row>
    <row r="1545" spans="1:6" x14ac:dyDescent="0.3">
      <c r="A1545" t="s">
        <v>5</v>
      </c>
      <c r="B1545" s="1">
        <v>45722</v>
      </c>
      <c r="C1545">
        <v>8</v>
      </c>
      <c r="D1545">
        <v>9.1999999999999998E-2</v>
      </c>
      <c r="E1545" t="s">
        <v>6</v>
      </c>
      <c r="F1545">
        <v>0.13449</v>
      </c>
    </row>
    <row r="1546" spans="1:6" x14ac:dyDescent="0.3">
      <c r="A1546" t="s">
        <v>5</v>
      </c>
      <c r="B1546" s="1">
        <v>45722</v>
      </c>
      <c r="C1546">
        <v>9</v>
      </c>
      <c r="D1546">
        <v>7.6999999999999999E-2</v>
      </c>
      <c r="E1546" t="s">
        <v>6</v>
      </c>
      <c r="F1546">
        <v>0.16338999999999998</v>
      </c>
    </row>
    <row r="1547" spans="1:6" x14ac:dyDescent="0.3">
      <c r="A1547" t="s">
        <v>5</v>
      </c>
      <c r="B1547" s="1">
        <v>45722</v>
      </c>
      <c r="C1547">
        <v>10</v>
      </c>
      <c r="D1547">
        <v>0.20100000000000001</v>
      </c>
      <c r="E1547" t="s">
        <v>6</v>
      </c>
      <c r="F1547">
        <v>0.13428000000000001</v>
      </c>
    </row>
    <row r="1548" spans="1:6" x14ac:dyDescent="0.3">
      <c r="A1548" t="s">
        <v>5</v>
      </c>
      <c r="B1548" s="1">
        <v>45722</v>
      </c>
      <c r="C1548">
        <v>11</v>
      </c>
      <c r="D1548">
        <v>0.13800000000000001</v>
      </c>
      <c r="E1548" t="s">
        <v>6</v>
      </c>
      <c r="F1548">
        <v>0.19278000000000001</v>
      </c>
    </row>
    <row r="1549" spans="1:6" x14ac:dyDescent="0.3">
      <c r="A1549" t="s">
        <v>5</v>
      </c>
      <c r="B1549" s="1">
        <v>45722</v>
      </c>
      <c r="C1549">
        <v>12</v>
      </c>
      <c r="D1549">
        <v>6.0999999999999999E-2</v>
      </c>
      <c r="E1549" t="s">
        <v>6</v>
      </c>
      <c r="F1549">
        <v>0.19171000000000002</v>
      </c>
    </row>
    <row r="1550" spans="1:6" x14ac:dyDescent="0.3">
      <c r="A1550" t="s">
        <v>5</v>
      </c>
      <c r="B1550" s="1">
        <v>45722</v>
      </c>
      <c r="C1550">
        <v>13</v>
      </c>
      <c r="D1550">
        <v>8.3000000000000004E-2</v>
      </c>
      <c r="E1550" t="s">
        <v>6</v>
      </c>
      <c r="F1550">
        <v>0.18700999999999998</v>
      </c>
    </row>
    <row r="1551" spans="1:6" x14ac:dyDescent="0.3">
      <c r="A1551" t="s">
        <v>5</v>
      </c>
      <c r="B1551" s="1">
        <v>45722</v>
      </c>
      <c r="C1551">
        <v>14</v>
      </c>
      <c r="D1551">
        <v>6.3E-2</v>
      </c>
      <c r="E1551" t="s">
        <v>6</v>
      </c>
      <c r="F1551">
        <v>0.17621999999999999</v>
      </c>
    </row>
    <row r="1552" spans="1:6" x14ac:dyDescent="0.3">
      <c r="A1552" t="s">
        <v>5</v>
      </c>
      <c r="B1552" s="1">
        <v>45722</v>
      </c>
      <c r="C1552">
        <v>15</v>
      </c>
      <c r="D1552">
        <v>0.23699999999999999</v>
      </c>
      <c r="E1552" t="s">
        <v>6</v>
      </c>
      <c r="F1552">
        <v>0.10521</v>
      </c>
    </row>
    <row r="1553" spans="1:6" x14ac:dyDescent="0.3">
      <c r="A1553" t="s">
        <v>5</v>
      </c>
      <c r="B1553" s="1">
        <v>45722</v>
      </c>
      <c r="C1553">
        <v>16</v>
      </c>
      <c r="D1553">
        <v>0.35399999999999998</v>
      </c>
      <c r="E1553" t="s">
        <v>6</v>
      </c>
      <c r="F1553">
        <v>0.10736</v>
      </c>
    </row>
    <row r="1554" spans="1:6" x14ac:dyDescent="0.3">
      <c r="A1554" t="s">
        <v>5</v>
      </c>
      <c r="B1554" s="1">
        <v>45722</v>
      </c>
      <c r="C1554">
        <v>17</v>
      </c>
      <c r="D1554">
        <v>0.34599999999999997</v>
      </c>
      <c r="E1554" t="s">
        <v>6</v>
      </c>
      <c r="F1554">
        <v>0.11438</v>
      </c>
    </row>
    <row r="1555" spans="1:6" x14ac:dyDescent="0.3">
      <c r="A1555" t="s">
        <v>5</v>
      </c>
      <c r="B1555" s="1">
        <v>45722</v>
      </c>
      <c r="C1555">
        <v>18</v>
      </c>
      <c r="D1555">
        <v>8.8999999999999996E-2</v>
      </c>
      <c r="E1555" t="s">
        <v>6</v>
      </c>
      <c r="F1555">
        <v>0.1336</v>
      </c>
    </row>
    <row r="1556" spans="1:6" x14ac:dyDescent="0.3">
      <c r="A1556" t="s">
        <v>5</v>
      </c>
      <c r="B1556" s="1">
        <v>45722</v>
      </c>
      <c r="C1556">
        <v>19</v>
      </c>
      <c r="D1556">
        <v>0.19700000000000001</v>
      </c>
      <c r="E1556" t="s">
        <v>6</v>
      </c>
      <c r="F1556">
        <v>0.22950999999999999</v>
      </c>
    </row>
    <row r="1557" spans="1:6" x14ac:dyDescent="0.3">
      <c r="A1557" t="s">
        <v>5</v>
      </c>
      <c r="B1557" s="1">
        <v>45722</v>
      </c>
      <c r="C1557">
        <v>20</v>
      </c>
      <c r="D1557">
        <v>0.315</v>
      </c>
      <c r="E1557" t="s">
        <v>6</v>
      </c>
      <c r="F1557">
        <v>0.25924000000000003</v>
      </c>
    </row>
    <row r="1558" spans="1:6" x14ac:dyDescent="0.3">
      <c r="A1558" t="s">
        <v>5</v>
      </c>
      <c r="B1558" s="1">
        <v>45722</v>
      </c>
      <c r="C1558">
        <v>21</v>
      </c>
      <c r="D1558">
        <v>0.375</v>
      </c>
      <c r="E1558" t="s">
        <v>6</v>
      </c>
      <c r="F1558">
        <v>0.25015999999999999</v>
      </c>
    </row>
    <row r="1559" spans="1:6" x14ac:dyDescent="0.3">
      <c r="A1559" t="s">
        <v>5</v>
      </c>
      <c r="B1559" s="1">
        <v>45722</v>
      </c>
      <c r="C1559">
        <v>22</v>
      </c>
      <c r="D1559">
        <v>0.25700000000000001</v>
      </c>
      <c r="E1559" t="s">
        <v>6</v>
      </c>
      <c r="F1559">
        <v>0.23677000000000001</v>
      </c>
    </row>
    <row r="1560" spans="1:6" x14ac:dyDescent="0.3">
      <c r="A1560" t="s">
        <v>5</v>
      </c>
      <c r="B1560" s="1">
        <v>45722</v>
      </c>
      <c r="C1560">
        <v>23</v>
      </c>
      <c r="D1560">
        <v>0.108</v>
      </c>
      <c r="E1560" t="s">
        <v>6</v>
      </c>
      <c r="F1560">
        <v>0.15822</v>
      </c>
    </row>
    <row r="1561" spans="1:6" x14ac:dyDescent="0.3">
      <c r="A1561" t="s">
        <v>5</v>
      </c>
      <c r="B1561" s="1">
        <v>45722</v>
      </c>
      <c r="C1561">
        <v>24</v>
      </c>
      <c r="D1561">
        <v>0.98599999999999999</v>
      </c>
      <c r="E1561" t="s">
        <v>6</v>
      </c>
      <c r="F1561">
        <v>0.1391</v>
      </c>
    </row>
    <row r="1562" spans="1:6" x14ac:dyDescent="0.3">
      <c r="A1562" t="s">
        <v>5</v>
      </c>
      <c r="B1562" s="1">
        <v>45723</v>
      </c>
      <c r="C1562">
        <v>1</v>
      </c>
      <c r="D1562">
        <v>0.59199999999999997</v>
      </c>
      <c r="E1562" t="s">
        <v>6</v>
      </c>
      <c r="F1562">
        <v>0.12878999999999999</v>
      </c>
    </row>
    <row r="1563" spans="1:6" x14ac:dyDescent="0.3">
      <c r="A1563" t="s">
        <v>5</v>
      </c>
      <c r="B1563" s="1">
        <v>45723</v>
      </c>
      <c r="C1563">
        <v>2</v>
      </c>
      <c r="D1563">
        <v>0.623</v>
      </c>
      <c r="E1563" t="s">
        <v>6</v>
      </c>
      <c r="F1563">
        <v>0.12264</v>
      </c>
    </row>
    <row r="1564" spans="1:6" x14ac:dyDescent="0.3">
      <c r="A1564" t="s">
        <v>5</v>
      </c>
      <c r="B1564" s="1">
        <v>45723</v>
      </c>
      <c r="C1564">
        <v>3</v>
      </c>
      <c r="D1564">
        <v>0.42199999999999999</v>
      </c>
      <c r="E1564" t="s">
        <v>6</v>
      </c>
      <c r="F1564">
        <v>0.11728</v>
      </c>
    </row>
    <row r="1565" spans="1:6" x14ac:dyDescent="0.3">
      <c r="A1565" t="s">
        <v>5</v>
      </c>
      <c r="B1565" s="1">
        <v>45723</v>
      </c>
      <c r="C1565">
        <v>4</v>
      </c>
      <c r="D1565">
        <v>9.2999999999999999E-2</v>
      </c>
      <c r="E1565" t="s">
        <v>6</v>
      </c>
      <c r="F1565">
        <v>0.11090999999999999</v>
      </c>
    </row>
    <row r="1566" spans="1:6" x14ac:dyDescent="0.3">
      <c r="A1566" t="s">
        <v>5</v>
      </c>
      <c r="B1566" s="1">
        <v>45723</v>
      </c>
      <c r="C1566">
        <v>5</v>
      </c>
      <c r="D1566">
        <v>8.8999999999999996E-2</v>
      </c>
      <c r="E1566" t="s">
        <v>6</v>
      </c>
      <c r="F1566">
        <v>0.11173000000000001</v>
      </c>
    </row>
    <row r="1567" spans="1:6" x14ac:dyDescent="0.3">
      <c r="A1567" t="s">
        <v>5</v>
      </c>
      <c r="B1567" s="1">
        <v>45723</v>
      </c>
      <c r="C1567">
        <v>6</v>
      </c>
      <c r="D1567">
        <v>8.5999999999999993E-2</v>
      </c>
      <c r="E1567" t="s">
        <v>6</v>
      </c>
      <c r="F1567">
        <v>0.1152</v>
      </c>
    </row>
    <row r="1568" spans="1:6" x14ac:dyDescent="0.3">
      <c r="A1568" t="s">
        <v>5</v>
      </c>
      <c r="B1568" s="1">
        <v>45723</v>
      </c>
      <c r="C1568">
        <v>7</v>
      </c>
      <c r="D1568">
        <v>0.115</v>
      </c>
      <c r="E1568" t="s">
        <v>6</v>
      </c>
      <c r="F1568">
        <v>0.11805</v>
      </c>
    </row>
    <row r="1569" spans="1:6" x14ac:dyDescent="0.3">
      <c r="A1569" t="s">
        <v>5</v>
      </c>
      <c r="B1569" s="1">
        <v>45723</v>
      </c>
      <c r="C1569">
        <v>8</v>
      </c>
      <c r="D1569">
        <v>0.111</v>
      </c>
      <c r="E1569" t="s">
        <v>6</v>
      </c>
      <c r="F1569">
        <v>0.12367</v>
      </c>
    </row>
    <row r="1570" spans="1:6" x14ac:dyDescent="0.3">
      <c r="A1570" t="s">
        <v>5</v>
      </c>
      <c r="B1570" s="1">
        <v>45723</v>
      </c>
      <c r="C1570">
        <v>9</v>
      </c>
      <c r="D1570">
        <v>0.122</v>
      </c>
      <c r="E1570" t="s">
        <v>6</v>
      </c>
      <c r="F1570">
        <v>0.15018000000000001</v>
      </c>
    </row>
    <row r="1571" spans="1:6" x14ac:dyDescent="0.3">
      <c r="A1571" t="s">
        <v>5</v>
      </c>
      <c r="B1571" s="1">
        <v>45723</v>
      </c>
      <c r="C1571">
        <v>10</v>
      </c>
      <c r="D1571">
        <v>0.114</v>
      </c>
      <c r="E1571" t="s">
        <v>6</v>
      </c>
      <c r="F1571">
        <v>0.13069999999999998</v>
      </c>
    </row>
    <row r="1572" spans="1:6" x14ac:dyDescent="0.3">
      <c r="A1572" t="s">
        <v>5</v>
      </c>
      <c r="B1572" s="1">
        <v>45723</v>
      </c>
      <c r="C1572">
        <v>11</v>
      </c>
      <c r="D1572">
        <v>0.311</v>
      </c>
      <c r="E1572" t="s">
        <v>6</v>
      </c>
      <c r="F1572">
        <v>0.19303000000000001</v>
      </c>
    </row>
    <row r="1573" spans="1:6" x14ac:dyDescent="0.3">
      <c r="A1573" t="s">
        <v>5</v>
      </c>
      <c r="B1573" s="1">
        <v>45723</v>
      </c>
      <c r="C1573">
        <v>12</v>
      </c>
      <c r="D1573">
        <v>8.6999999999999994E-2</v>
      </c>
      <c r="E1573" t="s">
        <v>6</v>
      </c>
      <c r="F1573">
        <v>0.16172999999999998</v>
      </c>
    </row>
    <row r="1574" spans="1:6" x14ac:dyDescent="0.3">
      <c r="A1574" t="s">
        <v>5</v>
      </c>
      <c r="B1574" s="1">
        <v>45723</v>
      </c>
      <c r="C1574">
        <v>13</v>
      </c>
      <c r="D1574">
        <v>8.3000000000000004E-2</v>
      </c>
      <c r="E1574" t="s">
        <v>6</v>
      </c>
      <c r="F1574">
        <v>0.14421999999999999</v>
      </c>
    </row>
    <row r="1575" spans="1:6" x14ac:dyDescent="0.3">
      <c r="A1575" t="s">
        <v>5</v>
      </c>
      <c r="B1575" s="1">
        <v>45723</v>
      </c>
      <c r="C1575">
        <v>14</v>
      </c>
      <c r="D1575">
        <v>7.6999999999999999E-2</v>
      </c>
      <c r="E1575" t="s">
        <v>6</v>
      </c>
      <c r="F1575">
        <v>0.12706000000000001</v>
      </c>
    </row>
    <row r="1576" spans="1:6" x14ac:dyDescent="0.3">
      <c r="A1576" t="s">
        <v>5</v>
      </c>
      <c r="B1576" s="1">
        <v>45723</v>
      </c>
      <c r="C1576">
        <v>15</v>
      </c>
      <c r="D1576">
        <v>0.73</v>
      </c>
      <c r="E1576" t="s">
        <v>6</v>
      </c>
      <c r="F1576">
        <v>8.0939999999999998E-2</v>
      </c>
    </row>
    <row r="1577" spans="1:6" x14ac:dyDescent="0.3">
      <c r="A1577" t="s">
        <v>5</v>
      </c>
      <c r="B1577" s="1">
        <v>45723</v>
      </c>
      <c r="C1577">
        <v>16</v>
      </c>
      <c r="D1577">
        <v>0.628</v>
      </c>
      <c r="E1577" t="s">
        <v>6</v>
      </c>
      <c r="F1577">
        <v>7.1599999999999997E-2</v>
      </c>
    </row>
    <row r="1578" spans="1:6" x14ac:dyDescent="0.3">
      <c r="A1578" t="s">
        <v>5</v>
      </c>
      <c r="B1578" s="1">
        <v>45723</v>
      </c>
      <c r="C1578">
        <v>17</v>
      </c>
      <c r="D1578">
        <v>0.78300000000000003</v>
      </c>
      <c r="E1578" t="s">
        <v>6</v>
      </c>
      <c r="F1578">
        <v>8.2430000000000003E-2</v>
      </c>
    </row>
    <row r="1579" spans="1:6" x14ac:dyDescent="0.3">
      <c r="A1579" t="s">
        <v>5</v>
      </c>
      <c r="B1579" s="1">
        <v>45723</v>
      </c>
      <c r="C1579">
        <v>18</v>
      </c>
      <c r="D1579">
        <v>0.157</v>
      </c>
      <c r="E1579" t="s">
        <v>6</v>
      </c>
      <c r="F1579">
        <v>9.146E-2</v>
      </c>
    </row>
    <row r="1580" spans="1:6" x14ac:dyDescent="0.3">
      <c r="A1580" t="s">
        <v>5</v>
      </c>
      <c r="B1580" s="1">
        <v>45723</v>
      </c>
      <c r="C1580">
        <v>19</v>
      </c>
      <c r="D1580">
        <v>0.34599999999999997</v>
      </c>
      <c r="E1580" t="s">
        <v>6</v>
      </c>
      <c r="F1580">
        <v>0.17493</v>
      </c>
    </row>
    <row r="1581" spans="1:6" x14ac:dyDescent="0.3">
      <c r="A1581" t="s">
        <v>5</v>
      </c>
      <c r="B1581" s="1">
        <v>45723</v>
      </c>
      <c r="C1581">
        <v>20</v>
      </c>
      <c r="D1581">
        <v>0.20300000000000001</v>
      </c>
      <c r="E1581" t="s">
        <v>6</v>
      </c>
      <c r="F1581">
        <v>0.17449999999999999</v>
      </c>
    </row>
    <row r="1582" spans="1:6" x14ac:dyDescent="0.3">
      <c r="A1582" t="s">
        <v>5</v>
      </c>
      <c r="B1582" s="1">
        <v>45723</v>
      </c>
      <c r="C1582">
        <v>21</v>
      </c>
      <c r="D1582">
        <v>0.22500000000000001</v>
      </c>
      <c r="E1582" t="s">
        <v>6</v>
      </c>
      <c r="F1582">
        <v>0.18365000000000001</v>
      </c>
    </row>
    <row r="1583" spans="1:6" x14ac:dyDescent="0.3">
      <c r="A1583" t="s">
        <v>5</v>
      </c>
      <c r="B1583" s="1">
        <v>45723</v>
      </c>
      <c r="C1583">
        <v>22</v>
      </c>
      <c r="D1583">
        <v>0.125</v>
      </c>
      <c r="E1583" t="s">
        <v>6</v>
      </c>
      <c r="F1583">
        <v>0.18013999999999999</v>
      </c>
    </row>
    <row r="1584" spans="1:6" x14ac:dyDescent="0.3">
      <c r="A1584" t="s">
        <v>5</v>
      </c>
      <c r="B1584" s="1">
        <v>45723</v>
      </c>
      <c r="C1584">
        <v>23</v>
      </c>
      <c r="D1584">
        <v>8.4000000000000005E-2</v>
      </c>
      <c r="E1584" t="s">
        <v>6</v>
      </c>
      <c r="F1584">
        <v>0.11595999999999999</v>
      </c>
    </row>
    <row r="1585" spans="1:6" x14ac:dyDescent="0.3">
      <c r="A1585" t="s">
        <v>5</v>
      </c>
      <c r="B1585" s="1">
        <v>45723</v>
      </c>
      <c r="C1585">
        <v>24</v>
      </c>
      <c r="D1585">
        <v>7.0000000000000007E-2</v>
      </c>
      <c r="E1585" t="s">
        <v>6</v>
      </c>
      <c r="F1585">
        <v>0.10990999999999999</v>
      </c>
    </row>
    <row r="1586" spans="1:6" x14ac:dyDescent="0.3">
      <c r="A1586" t="s">
        <v>5</v>
      </c>
      <c r="B1586" s="1">
        <v>45724</v>
      </c>
      <c r="C1586">
        <v>1</v>
      </c>
      <c r="D1586">
        <v>7.6999999999999999E-2</v>
      </c>
      <c r="E1586" t="s">
        <v>6</v>
      </c>
      <c r="F1586">
        <v>8.1420000000000006E-2</v>
      </c>
    </row>
    <row r="1587" spans="1:6" x14ac:dyDescent="0.3">
      <c r="A1587" t="s">
        <v>5</v>
      </c>
      <c r="B1587" s="1">
        <v>45724</v>
      </c>
      <c r="C1587">
        <v>2</v>
      </c>
      <c r="D1587">
        <v>8.2000000000000003E-2</v>
      </c>
      <c r="E1587" t="s">
        <v>6</v>
      </c>
      <c r="F1587">
        <v>6.6519999999999996E-2</v>
      </c>
    </row>
    <row r="1588" spans="1:6" x14ac:dyDescent="0.3">
      <c r="A1588" t="s">
        <v>5</v>
      </c>
      <c r="B1588" s="1">
        <v>45724</v>
      </c>
      <c r="C1588">
        <v>3</v>
      </c>
      <c r="D1588">
        <v>7.5999999999999998E-2</v>
      </c>
      <c r="E1588" t="s">
        <v>6</v>
      </c>
      <c r="F1588">
        <v>7.0559999999999998E-2</v>
      </c>
    </row>
    <row r="1589" spans="1:6" x14ac:dyDescent="0.3">
      <c r="A1589" t="s">
        <v>5</v>
      </c>
      <c r="B1589" s="1">
        <v>45724</v>
      </c>
      <c r="C1589">
        <v>4</v>
      </c>
      <c r="D1589">
        <v>6.9000000000000006E-2</v>
      </c>
      <c r="E1589" t="s">
        <v>6</v>
      </c>
      <c r="F1589">
        <v>6.812E-2</v>
      </c>
    </row>
    <row r="1590" spans="1:6" x14ac:dyDescent="0.3">
      <c r="A1590" t="s">
        <v>5</v>
      </c>
      <c r="B1590" s="1">
        <v>45724</v>
      </c>
      <c r="C1590">
        <v>5</v>
      </c>
      <c r="D1590">
        <v>8.1000000000000003E-2</v>
      </c>
      <c r="E1590" t="s">
        <v>6</v>
      </c>
      <c r="F1590">
        <v>6.2850000000000003E-2</v>
      </c>
    </row>
    <row r="1591" spans="1:6" x14ac:dyDescent="0.3">
      <c r="A1591" t="s">
        <v>5</v>
      </c>
      <c r="B1591" s="1">
        <v>45724</v>
      </c>
      <c r="C1591">
        <v>6</v>
      </c>
      <c r="D1591">
        <v>8.1000000000000003E-2</v>
      </c>
      <c r="E1591" t="s">
        <v>6</v>
      </c>
      <c r="F1591">
        <v>6.0270000000000004E-2</v>
      </c>
    </row>
    <row r="1592" spans="1:6" x14ac:dyDescent="0.3">
      <c r="A1592" t="s">
        <v>5</v>
      </c>
      <c r="B1592" s="1">
        <v>45724</v>
      </c>
      <c r="C1592">
        <v>7</v>
      </c>
      <c r="D1592">
        <v>6.5000000000000002E-2</v>
      </c>
      <c r="E1592" t="s">
        <v>6</v>
      </c>
      <c r="F1592">
        <v>6.3630000000000006E-2</v>
      </c>
    </row>
    <row r="1593" spans="1:6" x14ac:dyDescent="0.3">
      <c r="A1593" t="s">
        <v>5</v>
      </c>
      <c r="B1593" s="1">
        <v>45724</v>
      </c>
      <c r="C1593">
        <v>8</v>
      </c>
      <c r="D1593">
        <v>0.08</v>
      </c>
      <c r="E1593" t="s">
        <v>6</v>
      </c>
      <c r="F1593">
        <v>6.4430000000000001E-2</v>
      </c>
    </row>
    <row r="1594" spans="1:6" x14ac:dyDescent="0.3">
      <c r="A1594" t="s">
        <v>5</v>
      </c>
      <c r="B1594" s="1">
        <v>45724</v>
      </c>
      <c r="C1594">
        <v>9</v>
      </c>
      <c r="D1594">
        <v>0.08</v>
      </c>
      <c r="E1594" t="s">
        <v>6</v>
      </c>
      <c r="F1594">
        <v>5.5119999999999995E-2</v>
      </c>
    </row>
    <row r="1595" spans="1:6" x14ac:dyDescent="0.3">
      <c r="A1595" t="s">
        <v>5</v>
      </c>
      <c r="B1595" s="1">
        <v>45724</v>
      </c>
      <c r="C1595">
        <v>10</v>
      </c>
      <c r="D1595">
        <v>7.0000000000000007E-2</v>
      </c>
      <c r="E1595" t="s">
        <v>6</v>
      </c>
      <c r="F1595">
        <v>6.0899999999999996E-2</v>
      </c>
    </row>
    <row r="1596" spans="1:6" x14ac:dyDescent="0.3">
      <c r="A1596" t="s">
        <v>5</v>
      </c>
      <c r="B1596" s="1">
        <v>45724</v>
      </c>
      <c r="C1596">
        <v>11</v>
      </c>
      <c r="D1596">
        <v>7.3999999999999996E-2</v>
      </c>
      <c r="E1596" t="s">
        <v>6</v>
      </c>
      <c r="F1596">
        <v>5.3679999999999999E-2</v>
      </c>
    </row>
    <row r="1597" spans="1:6" x14ac:dyDescent="0.3">
      <c r="A1597" t="s">
        <v>5</v>
      </c>
      <c r="B1597" s="1">
        <v>45724</v>
      </c>
      <c r="C1597">
        <v>12</v>
      </c>
      <c r="D1597">
        <v>8.1000000000000003E-2</v>
      </c>
      <c r="E1597" t="s">
        <v>6</v>
      </c>
      <c r="F1597">
        <v>4.7850000000000004E-2</v>
      </c>
    </row>
    <row r="1598" spans="1:6" x14ac:dyDescent="0.3">
      <c r="A1598" t="s">
        <v>5</v>
      </c>
      <c r="B1598" s="1">
        <v>45724</v>
      </c>
      <c r="C1598">
        <v>13</v>
      </c>
      <c r="D1598">
        <v>7.2999999999999995E-2</v>
      </c>
      <c r="E1598" t="s">
        <v>6</v>
      </c>
      <c r="F1598">
        <v>4.6359999999999998E-2</v>
      </c>
    </row>
    <row r="1599" spans="1:6" x14ac:dyDescent="0.3">
      <c r="A1599" t="s">
        <v>5</v>
      </c>
      <c r="B1599" s="1">
        <v>45724</v>
      </c>
      <c r="C1599">
        <v>14</v>
      </c>
      <c r="D1599">
        <v>7.0999999999999994E-2</v>
      </c>
      <c r="E1599" t="s">
        <v>6</v>
      </c>
      <c r="F1599">
        <v>4.4179999999999997E-2</v>
      </c>
    </row>
    <row r="1600" spans="1:6" x14ac:dyDescent="0.3">
      <c r="A1600" t="s">
        <v>5</v>
      </c>
      <c r="B1600" s="1">
        <v>45724</v>
      </c>
      <c r="C1600">
        <v>15</v>
      </c>
      <c r="D1600">
        <v>0.08</v>
      </c>
      <c r="E1600" t="s">
        <v>6</v>
      </c>
      <c r="F1600">
        <v>4.3470000000000002E-2</v>
      </c>
    </row>
    <row r="1601" spans="1:6" x14ac:dyDescent="0.3">
      <c r="A1601" t="s">
        <v>5</v>
      </c>
      <c r="B1601" s="1">
        <v>45724</v>
      </c>
      <c r="C1601">
        <v>16</v>
      </c>
      <c r="D1601">
        <v>7.6999999999999999E-2</v>
      </c>
      <c r="E1601" t="s">
        <v>6</v>
      </c>
      <c r="F1601">
        <v>4.4020000000000004E-2</v>
      </c>
    </row>
    <row r="1602" spans="1:6" x14ac:dyDescent="0.3">
      <c r="A1602" t="s">
        <v>5</v>
      </c>
      <c r="B1602" s="1">
        <v>45724</v>
      </c>
      <c r="C1602">
        <v>17</v>
      </c>
      <c r="D1602">
        <v>6.8000000000000005E-2</v>
      </c>
      <c r="E1602" t="s">
        <v>6</v>
      </c>
      <c r="F1602">
        <v>4.6310000000000004E-2</v>
      </c>
    </row>
    <row r="1603" spans="1:6" x14ac:dyDescent="0.3">
      <c r="A1603" t="s">
        <v>5</v>
      </c>
      <c r="B1603" s="1">
        <v>45724</v>
      </c>
      <c r="C1603">
        <v>18</v>
      </c>
      <c r="D1603">
        <v>0.08</v>
      </c>
      <c r="E1603" t="s">
        <v>6</v>
      </c>
      <c r="F1603">
        <v>5.7640000000000004E-2</v>
      </c>
    </row>
    <row r="1604" spans="1:6" x14ac:dyDescent="0.3">
      <c r="A1604" t="s">
        <v>5</v>
      </c>
      <c r="B1604" s="1">
        <v>45724</v>
      </c>
      <c r="C1604">
        <v>19</v>
      </c>
      <c r="D1604">
        <v>0.08</v>
      </c>
      <c r="E1604" t="s">
        <v>6</v>
      </c>
      <c r="F1604">
        <v>8.8059999999999999E-2</v>
      </c>
    </row>
    <row r="1605" spans="1:6" x14ac:dyDescent="0.3">
      <c r="A1605" t="s">
        <v>5</v>
      </c>
      <c r="B1605" s="1">
        <v>45724</v>
      </c>
      <c r="C1605">
        <v>20</v>
      </c>
      <c r="D1605">
        <v>6.5000000000000002E-2</v>
      </c>
      <c r="E1605" t="s">
        <v>6</v>
      </c>
      <c r="F1605">
        <v>9.4799999999999995E-2</v>
      </c>
    </row>
    <row r="1606" spans="1:6" x14ac:dyDescent="0.3">
      <c r="A1606" t="s">
        <v>5</v>
      </c>
      <c r="B1606" s="1">
        <v>45724</v>
      </c>
      <c r="C1606">
        <v>21</v>
      </c>
      <c r="D1606">
        <v>8.1000000000000003E-2</v>
      </c>
      <c r="E1606" t="s">
        <v>6</v>
      </c>
      <c r="F1606">
        <v>9.2999999999999999E-2</v>
      </c>
    </row>
    <row r="1607" spans="1:6" x14ac:dyDescent="0.3">
      <c r="A1607" t="s">
        <v>5</v>
      </c>
      <c r="B1607" s="1">
        <v>45724</v>
      </c>
      <c r="C1607">
        <v>22</v>
      </c>
      <c r="D1607">
        <v>0.08</v>
      </c>
      <c r="E1607" t="s">
        <v>6</v>
      </c>
      <c r="F1607">
        <v>9.5200000000000007E-2</v>
      </c>
    </row>
    <row r="1608" spans="1:6" x14ac:dyDescent="0.3">
      <c r="A1608" t="s">
        <v>5</v>
      </c>
      <c r="B1608" s="1">
        <v>45724</v>
      </c>
      <c r="C1608">
        <v>23</v>
      </c>
      <c r="D1608">
        <v>6.5000000000000002E-2</v>
      </c>
      <c r="E1608" t="s">
        <v>6</v>
      </c>
      <c r="F1608">
        <v>9.5829999999999999E-2</v>
      </c>
    </row>
    <row r="1609" spans="1:6" x14ac:dyDescent="0.3">
      <c r="A1609" t="s">
        <v>5</v>
      </c>
      <c r="B1609" s="1">
        <v>45724</v>
      </c>
      <c r="C1609">
        <v>24</v>
      </c>
      <c r="D1609">
        <v>8.1000000000000003E-2</v>
      </c>
      <c r="E1609" t="s">
        <v>6</v>
      </c>
      <c r="F1609">
        <v>9.3849999999999989E-2</v>
      </c>
    </row>
    <row r="1610" spans="1:6" x14ac:dyDescent="0.3">
      <c r="A1610" t="s">
        <v>5</v>
      </c>
      <c r="B1610" s="1">
        <v>45725</v>
      </c>
      <c r="C1610">
        <v>1</v>
      </c>
      <c r="D1610">
        <v>0.08</v>
      </c>
      <c r="E1610" t="s">
        <v>6</v>
      </c>
      <c r="F1610">
        <v>8.4129999999999996E-2</v>
      </c>
    </row>
    <row r="1611" spans="1:6" x14ac:dyDescent="0.3">
      <c r="A1611" t="s">
        <v>5</v>
      </c>
      <c r="B1611" s="1">
        <v>45725</v>
      </c>
      <c r="C1611">
        <v>2</v>
      </c>
      <c r="D1611">
        <v>6.4000000000000001E-2</v>
      </c>
      <c r="E1611" t="s">
        <v>6</v>
      </c>
      <c r="F1611">
        <v>8.7080000000000005E-2</v>
      </c>
    </row>
    <row r="1612" spans="1:6" x14ac:dyDescent="0.3">
      <c r="A1612" t="s">
        <v>5</v>
      </c>
      <c r="B1612" s="1">
        <v>45725</v>
      </c>
      <c r="C1612">
        <v>3</v>
      </c>
      <c r="D1612">
        <v>0.08</v>
      </c>
      <c r="E1612" t="s">
        <v>6</v>
      </c>
      <c r="F1612">
        <v>8.967E-2</v>
      </c>
    </row>
    <row r="1613" spans="1:6" x14ac:dyDescent="0.3">
      <c r="A1613" t="s">
        <v>5</v>
      </c>
      <c r="B1613" s="1">
        <v>45725</v>
      </c>
      <c r="C1613">
        <v>4</v>
      </c>
      <c r="D1613">
        <v>8.1000000000000003E-2</v>
      </c>
      <c r="E1613" t="s">
        <v>6</v>
      </c>
      <c r="F1613">
        <v>9.1609999999999997E-2</v>
      </c>
    </row>
    <row r="1614" spans="1:6" x14ac:dyDescent="0.3">
      <c r="A1614" t="s">
        <v>5</v>
      </c>
      <c r="B1614" s="1">
        <v>45725</v>
      </c>
      <c r="C1614">
        <v>5</v>
      </c>
      <c r="D1614">
        <v>6.4000000000000001E-2</v>
      </c>
      <c r="E1614" t="s">
        <v>6</v>
      </c>
      <c r="F1614">
        <v>8.9370000000000005E-2</v>
      </c>
    </row>
    <row r="1615" spans="1:6" x14ac:dyDescent="0.3">
      <c r="A1615" t="s">
        <v>5</v>
      </c>
      <c r="B1615" s="1">
        <v>45725</v>
      </c>
      <c r="C1615">
        <v>6</v>
      </c>
      <c r="D1615">
        <v>8.1000000000000003E-2</v>
      </c>
      <c r="E1615" t="s">
        <v>6</v>
      </c>
      <c r="F1615">
        <v>9.015999999999999E-2</v>
      </c>
    </row>
    <row r="1616" spans="1:6" x14ac:dyDescent="0.3">
      <c r="A1616" t="s">
        <v>5</v>
      </c>
      <c r="B1616" s="1">
        <v>45725</v>
      </c>
      <c r="C1616">
        <v>7</v>
      </c>
      <c r="D1616">
        <v>0.08</v>
      </c>
      <c r="E1616" t="s">
        <v>6</v>
      </c>
      <c r="F1616">
        <v>8.8819999999999996E-2</v>
      </c>
    </row>
    <row r="1617" spans="1:6" x14ac:dyDescent="0.3">
      <c r="A1617" t="s">
        <v>5</v>
      </c>
      <c r="B1617" s="1">
        <v>45725</v>
      </c>
      <c r="C1617">
        <v>8</v>
      </c>
      <c r="D1617">
        <v>6.4000000000000001E-2</v>
      </c>
      <c r="E1617" t="s">
        <v>6</v>
      </c>
      <c r="F1617">
        <v>8.7959999999999997E-2</v>
      </c>
    </row>
    <row r="1618" spans="1:6" x14ac:dyDescent="0.3">
      <c r="A1618" t="s">
        <v>5</v>
      </c>
      <c r="B1618" s="1">
        <v>45725</v>
      </c>
      <c r="C1618">
        <v>9</v>
      </c>
      <c r="D1618">
        <v>7.9000000000000001E-2</v>
      </c>
      <c r="E1618" t="s">
        <v>6</v>
      </c>
      <c r="F1618">
        <v>0.14208999999999999</v>
      </c>
    </row>
    <row r="1619" spans="1:6" x14ac:dyDescent="0.3">
      <c r="A1619" t="s">
        <v>5</v>
      </c>
      <c r="B1619" s="1">
        <v>45725</v>
      </c>
      <c r="C1619">
        <v>10</v>
      </c>
      <c r="D1619">
        <v>0.08</v>
      </c>
      <c r="E1619" t="s">
        <v>6</v>
      </c>
      <c r="F1619">
        <v>7.85E-2</v>
      </c>
    </row>
    <row r="1620" spans="1:6" x14ac:dyDescent="0.3">
      <c r="A1620" t="s">
        <v>5</v>
      </c>
      <c r="B1620" s="1">
        <v>45725</v>
      </c>
      <c r="C1620">
        <v>11</v>
      </c>
      <c r="D1620">
        <v>6.4000000000000001E-2</v>
      </c>
      <c r="E1620" t="s">
        <v>6</v>
      </c>
      <c r="F1620">
        <v>4.9100000000000005E-2</v>
      </c>
    </row>
    <row r="1621" spans="1:6" x14ac:dyDescent="0.3">
      <c r="A1621" t="s">
        <v>5</v>
      </c>
      <c r="B1621" s="1">
        <v>45725</v>
      </c>
      <c r="C1621">
        <v>12</v>
      </c>
      <c r="D1621">
        <v>7.9000000000000001E-2</v>
      </c>
      <c r="E1621" t="s">
        <v>6</v>
      </c>
      <c r="F1621">
        <v>4.4179999999999997E-2</v>
      </c>
    </row>
    <row r="1622" spans="1:6" x14ac:dyDescent="0.3">
      <c r="A1622" t="s">
        <v>5</v>
      </c>
      <c r="B1622" s="1">
        <v>45725</v>
      </c>
      <c r="C1622">
        <v>13</v>
      </c>
      <c r="D1622">
        <v>0.08</v>
      </c>
      <c r="E1622" t="s">
        <v>6</v>
      </c>
      <c r="F1622">
        <v>4.8250000000000001E-2</v>
      </c>
    </row>
    <row r="1623" spans="1:6" x14ac:dyDescent="0.3">
      <c r="A1623" t="s">
        <v>5</v>
      </c>
      <c r="B1623" s="1">
        <v>45725</v>
      </c>
      <c r="C1623">
        <v>14</v>
      </c>
      <c r="D1623">
        <v>6.5000000000000002E-2</v>
      </c>
      <c r="E1623" t="s">
        <v>6</v>
      </c>
      <c r="F1623">
        <v>4.0840000000000001E-2</v>
      </c>
    </row>
    <row r="1624" spans="1:6" x14ac:dyDescent="0.3">
      <c r="A1624" t="s">
        <v>5</v>
      </c>
      <c r="B1624" s="1">
        <v>45725</v>
      </c>
      <c r="C1624">
        <v>15</v>
      </c>
      <c r="D1624">
        <v>8.1000000000000003E-2</v>
      </c>
      <c r="E1624" t="s">
        <v>6</v>
      </c>
      <c r="F1624">
        <v>3.7229999999999999E-2</v>
      </c>
    </row>
    <row r="1625" spans="1:6" x14ac:dyDescent="0.3">
      <c r="A1625" t="s">
        <v>5</v>
      </c>
      <c r="B1625" s="1">
        <v>45725</v>
      </c>
      <c r="C1625">
        <v>16</v>
      </c>
      <c r="D1625">
        <v>7.6999999999999999E-2</v>
      </c>
      <c r="E1625" t="s">
        <v>6</v>
      </c>
      <c r="F1625">
        <v>5.7239999999999999E-2</v>
      </c>
    </row>
    <row r="1626" spans="1:6" x14ac:dyDescent="0.3">
      <c r="A1626" t="s">
        <v>5</v>
      </c>
      <c r="B1626" s="1">
        <v>45725</v>
      </c>
      <c r="C1626">
        <v>17</v>
      </c>
      <c r="D1626">
        <v>6.7000000000000004E-2</v>
      </c>
      <c r="E1626" t="s">
        <v>6</v>
      </c>
      <c r="F1626">
        <v>8.4019999999999997E-2</v>
      </c>
    </row>
    <row r="1627" spans="1:6" x14ac:dyDescent="0.3">
      <c r="A1627" t="s">
        <v>5</v>
      </c>
      <c r="B1627" s="1">
        <v>45725</v>
      </c>
      <c r="C1627">
        <v>18</v>
      </c>
      <c r="D1627">
        <v>0.08</v>
      </c>
      <c r="E1627" t="s">
        <v>6</v>
      </c>
      <c r="F1627">
        <v>9.7939999999999999E-2</v>
      </c>
    </row>
    <row r="1628" spans="1:6" x14ac:dyDescent="0.3">
      <c r="A1628" t="s">
        <v>5</v>
      </c>
      <c r="B1628" s="1">
        <v>45725</v>
      </c>
      <c r="C1628">
        <v>19</v>
      </c>
      <c r="D1628">
        <v>0.16700000000000001</v>
      </c>
      <c r="E1628" t="s">
        <v>6</v>
      </c>
      <c r="F1628">
        <v>0.14627000000000001</v>
      </c>
    </row>
    <row r="1629" spans="1:6" x14ac:dyDescent="0.3">
      <c r="A1629" t="s">
        <v>5</v>
      </c>
      <c r="B1629" s="1">
        <v>45725</v>
      </c>
      <c r="C1629">
        <v>20</v>
      </c>
      <c r="D1629">
        <v>0.23200000000000001</v>
      </c>
      <c r="E1629" t="s">
        <v>6</v>
      </c>
      <c r="F1629">
        <v>0.17782000000000001</v>
      </c>
    </row>
    <row r="1630" spans="1:6" x14ac:dyDescent="0.3">
      <c r="A1630" t="s">
        <v>5</v>
      </c>
      <c r="B1630" s="1">
        <v>45725</v>
      </c>
      <c r="C1630">
        <v>21</v>
      </c>
      <c r="D1630">
        <v>0.49299999999999999</v>
      </c>
      <c r="E1630" t="s">
        <v>6</v>
      </c>
      <c r="F1630">
        <v>0.18090000000000001</v>
      </c>
    </row>
    <row r="1631" spans="1:6" x14ac:dyDescent="0.3">
      <c r="A1631" t="s">
        <v>5</v>
      </c>
      <c r="B1631" s="1">
        <v>45725</v>
      </c>
      <c r="C1631">
        <v>22</v>
      </c>
      <c r="D1631">
        <v>0.378</v>
      </c>
      <c r="E1631" t="s">
        <v>6</v>
      </c>
      <c r="F1631">
        <v>0.16986000000000001</v>
      </c>
    </row>
    <row r="1632" spans="1:6" x14ac:dyDescent="0.3">
      <c r="A1632" t="s">
        <v>5</v>
      </c>
      <c r="B1632" s="1">
        <v>45725</v>
      </c>
      <c r="C1632">
        <v>23</v>
      </c>
      <c r="D1632">
        <v>0.45100000000000001</v>
      </c>
      <c r="E1632" t="s">
        <v>6</v>
      </c>
      <c r="F1632">
        <v>0.15001</v>
      </c>
    </row>
    <row r="1633" spans="1:6" x14ac:dyDescent="0.3">
      <c r="A1633" t="s">
        <v>5</v>
      </c>
      <c r="B1633" s="1">
        <v>45725</v>
      </c>
      <c r="C1633">
        <v>24</v>
      </c>
      <c r="D1633">
        <v>0.374</v>
      </c>
      <c r="E1633" t="s">
        <v>6</v>
      </c>
      <c r="F1633">
        <v>0.14452999999999999</v>
      </c>
    </row>
    <row r="1634" spans="1:6" x14ac:dyDescent="0.3">
      <c r="A1634" t="s">
        <v>5</v>
      </c>
      <c r="B1634" s="1">
        <v>45726</v>
      </c>
      <c r="C1634">
        <v>1</v>
      </c>
      <c r="D1634">
        <v>0.2</v>
      </c>
      <c r="E1634" t="s">
        <v>6</v>
      </c>
      <c r="F1634">
        <v>0.12005</v>
      </c>
    </row>
    <row r="1635" spans="1:6" x14ac:dyDescent="0.3">
      <c r="A1635" t="s">
        <v>5</v>
      </c>
      <c r="B1635" s="1">
        <v>45726</v>
      </c>
      <c r="C1635">
        <v>2</v>
      </c>
      <c r="D1635">
        <v>0.11600000000000001</v>
      </c>
      <c r="E1635" t="s">
        <v>6</v>
      </c>
      <c r="F1635">
        <v>0.11342000000000001</v>
      </c>
    </row>
    <row r="1636" spans="1:6" x14ac:dyDescent="0.3">
      <c r="A1636" t="s">
        <v>5</v>
      </c>
      <c r="B1636" s="1">
        <v>45726</v>
      </c>
      <c r="C1636">
        <v>3</v>
      </c>
      <c r="D1636">
        <v>8.1000000000000003E-2</v>
      </c>
      <c r="E1636" t="s">
        <v>6</v>
      </c>
      <c r="F1636">
        <v>0.10962000000000001</v>
      </c>
    </row>
    <row r="1637" spans="1:6" x14ac:dyDescent="0.3">
      <c r="A1637" t="s">
        <v>5</v>
      </c>
      <c r="B1637" s="1">
        <v>45726</v>
      </c>
      <c r="C1637">
        <v>4</v>
      </c>
      <c r="D1637">
        <v>7.0999999999999994E-2</v>
      </c>
      <c r="E1637" t="s">
        <v>6</v>
      </c>
      <c r="F1637">
        <v>0.10906</v>
      </c>
    </row>
    <row r="1638" spans="1:6" x14ac:dyDescent="0.3">
      <c r="A1638" t="s">
        <v>5</v>
      </c>
      <c r="B1638" s="1">
        <v>45726</v>
      </c>
      <c r="C1638">
        <v>5</v>
      </c>
      <c r="D1638">
        <v>8.2000000000000003E-2</v>
      </c>
      <c r="E1638" t="s">
        <v>6</v>
      </c>
      <c r="F1638">
        <v>0.10357999999999999</v>
      </c>
    </row>
    <row r="1639" spans="1:6" x14ac:dyDescent="0.3">
      <c r="A1639" t="s">
        <v>5</v>
      </c>
      <c r="B1639" s="1">
        <v>45726</v>
      </c>
      <c r="C1639">
        <v>6</v>
      </c>
      <c r="D1639">
        <v>8.5000000000000006E-2</v>
      </c>
      <c r="E1639" t="s">
        <v>6</v>
      </c>
      <c r="F1639">
        <v>0.10979999999999999</v>
      </c>
    </row>
    <row r="1640" spans="1:6" x14ac:dyDescent="0.3">
      <c r="A1640" t="s">
        <v>5</v>
      </c>
      <c r="B1640" s="1">
        <v>45726</v>
      </c>
      <c r="C1640">
        <v>7</v>
      </c>
      <c r="D1640">
        <v>6.9000000000000006E-2</v>
      </c>
      <c r="E1640" t="s">
        <v>6</v>
      </c>
      <c r="F1640">
        <v>0.13611999999999999</v>
      </c>
    </row>
    <row r="1641" spans="1:6" x14ac:dyDescent="0.3">
      <c r="A1641" t="s">
        <v>5</v>
      </c>
      <c r="B1641" s="1">
        <v>45726</v>
      </c>
      <c r="C1641">
        <v>8</v>
      </c>
      <c r="D1641">
        <v>0.107</v>
      </c>
      <c r="E1641" t="s">
        <v>6</v>
      </c>
      <c r="F1641">
        <v>0.16116999999999998</v>
      </c>
    </row>
    <row r="1642" spans="1:6" x14ac:dyDescent="0.3">
      <c r="A1642" t="s">
        <v>5</v>
      </c>
      <c r="B1642" s="1">
        <v>45726</v>
      </c>
      <c r="C1642">
        <v>9</v>
      </c>
      <c r="D1642">
        <v>7.4999999999999997E-2</v>
      </c>
      <c r="E1642" t="s">
        <v>6</v>
      </c>
      <c r="F1642">
        <v>0.1925</v>
      </c>
    </row>
    <row r="1643" spans="1:6" x14ac:dyDescent="0.3">
      <c r="A1643" t="s">
        <v>5</v>
      </c>
      <c r="B1643" s="1">
        <v>45726</v>
      </c>
      <c r="C1643">
        <v>10</v>
      </c>
      <c r="D1643">
        <v>6.6000000000000003E-2</v>
      </c>
      <c r="E1643" t="s">
        <v>6</v>
      </c>
      <c r="F1643">
        <v>0.14862</v>
      </c>
    </row>
    <row r="1644" spans="1:6" x14ac:dyDescent="0.3">
      <c r="A1644" t="s">
        <v>5</v>
      </c>
      <c r="B1644" s="1">
        <v>45726</v>
      </c>
      <c r="C1644">
        <v>11</v>
      </c>
      <c r="D1644">
        <v>0.111</v>
      </c>
      <c r="E1644" t="s">
        <v>6</v>
      </c>
      <c r="F1644">
        <v>0.19800000000000001</v>
      </c>
    </row>
    <row r="1645" spans="1:6" x14ac:dyDescent="0.3">
      <c r="A1645" t="s">
        <v>5</v>
      </c>
      <c r="B1645" s="1">
        <v>45726</v>
      </c>
      <c r="C1645">
        <v>12</v>
      </c>
      <c r="D1645">
        <v>0.14699999999999999</v>
      </c>
      <c r="E1645" t="s">
        <v>6</v>
      </c>
      <c r="F1645">
        <v>0.19169999999999998</v>
      </c>
    </row>
    <row r="1646" spans="1:6" x14ac:dyDescent="0.3">
      <c r="A1646" t="s">
        <v>5</v>
      </c>
      <c r="B1646" s="1">
        <v>45726</v>
      </c>
      <c r="C1646">
        <v>13</v>
      </c>
      <c r="D1646">
        <v>0.19900000000000001</v>
      </c>
      <c r="E1646" t="s">
        <v>6</v>
      </c>
      <c r="F1646">
        <v>0.19030000000000002</v>
      </c>
    </row>
    <row r="1647" spans="1:6" x14ac:dyDescent="0.3">
      <c r="A1647" t="s">
        <v>5</v>
      </c>
      <c r="B1647" s="1">
        <v>45726</v>
      </c>
      <c r="C1647">
        <v>14</v>
      </c>
      <c r="D1647">
        <v>0.17299999999999999</v>
      </c>
      <c r="E1647" t="s">
        <v>6</v>
      </c>
      <c r="F1647">
        <v>0.18924000000000002</v>
      </c>
    </row>
    <row r="1648" spans="1:6" x14ac:dyDescent="0.3">
      <c r="A1648" t="s">
        <v>5</v>
      </c>
      <c r="B1648" s="1">
        <v>45726</v>
      </c>
      <c r="C1648">
        <v>15</v>
      </c>
      <c r="D1648">
        <v>7.8E-2</v>
      </c>
      <c r="E1648" t="s">
        <v>6</v>
      </c>
      <c r="F1648">
        <v>0.12301000000000001</v>
      </c>
    </row>
    <row r="1649" spans="1:6" x14ac:dyDescent="0.3">
      <c r="A1649" t="s">
        <v>5</v>
      </c>
      <c r="B1649" s="1">
        <v>45726</v>
      </c>
      <c r="C1649">
        <v>16</v>
      </c>
      <c r="D1649">
        <v>8.4000000000000005E-2</v>
      </c>
      <c r="E1649" t="s">
        <v>6</v>
      </c>
      <c r="F1649">
        <v>0.11753</v>
      </c>
    </row>
    <row r="1650" spans="1:6" x14ac:dyDescent="0.3">
      <c r="A1650" t="s">
        <v>5</v>
      </c>
      <c r="B1650" s="1">
        <v>45726</v>
      </c>
      <c r="C1650">
        <v>17</v>
      </c>
      <c r="D1650">
        <v>5.7000000000000002E-2</v>
      </c>
      <c r="E1650" t="s">
        <v>6</v>
      </c>
      <c r="F1650">
        <v>0.12881000000000001</v>
      </c>
    </row>
    <row r="1651" spans="1:6" x14ac:dyDescent="0.3">
      <c r="A1651" t="s">
        <v>5</v>
      </c>
      <c r="B1651" s="1">
        <v>45726</v>
      </c>
      <c r="C1651">
        <v>18</v>
      </c>
      <c r="D1651">
        <v>0.16900000000000001</v>
      </c>
      <c r="E1651" t="s">
        <v>6</v>
      </c>
      <c r="F1651">
        <v>0.15434999999999999</v>
      </c>
    </row>
    <row r="1652" spans="1:6" x14ac:dyDescent="0.3">
      <c r="A1652" t="s">
        <v>5</v>
      </c>
      <c r="B1652" s="1">
        <v>45726</v>
      </c>
      <c r="C1652">
        <v>19</v>
      </c>
      <c r="D1652">
        <v>8.6999999999999994E-2</v>
      </c>
      <c r="E1652" t="s">
        <v>6</v>
      </c>
      <c r="F1652">
        <v>0.24409</v>
      </c>
    </row>
    <row r="1653" spans="1:6" x14ac:dyDescent="0.3">
      <c r="A1653" t="s">
        <v>5</v>
      </c>
      <c r="B1653" s="1">
        <v>45726</v>
      </c>
      <c r="C1653">
        <v>20</v>
      </c>
      <c r="D1653">
        <v>0.317</v>
      </c>
      <c r="E1653" t="s">
        <v>6</v>
      </c>
      <c r="F1653">
        <v>0.28104000000000001</v>
      </c>
    </row>
    <row r="1654" spans="1:6" x14ac:dyDescent="0.3">
      <c r="A1654" t="s">
        <v>5</v>
      </c>
      <c r="B1654" s="1">
        <v>45726</v>
      </c>
      <c r="C1654">
        <v>21</v>
      </c>
      <c r="D1654">
        <v>0.34200000000000003</v>
      </c>
      <c r="E1654" t="s">
        <v>6</v>
      </c>
      <c r="F1654">
        <v>0.25611</v>
      </c>
    </row>
    <row r="1655" spans="1:6" x14ac:dyDescent="0.3">
      <c r="A1655" t="s">
        <v>5</v>
      </c>
      <c r="B1655" s="1">
        <v>45726</v>
      </c>
      <c r="C1655">
        <v>22</v>
      </c>
      <c r="D1655">
        <v>0.79600000000000004</v>
      </c>
      <c r="E1655" t="s">
        <v>6</v>
      </c>
      <c r="F1655">
        <v>0.23133999999999999</v>
      </c>
    </row>
    <row r="1656" spans="1:6" x14ac:dyDescent="0.3">
      <c r="A1656" t="s">
        <v>5</v>
      </c>
      <c r="B1656" s="1">
        <v>45726</v>
      </c>
      <c r="C1656">
        <v>23</v>
      </c>
      <c r="D1656">
        <v>0.60799999999999998</v>
      </c>
      <c r="E1656" t="s">
        <v>6</v>
      </c>
      <c r="F1656">
        <v>0.15587999999999999</v>
      </c>
    </row>
    <row r="1657" spans="1:6" x14ac:dyDescent="0.3">
      <c r="A1657" t="s">
        <v>5</v>
      </c>
      <c r="B1657" s="1">
        <v>45726</v>
      </c>
      <c r="C1657">
        <v>24</v>
      </c>
      <c r="D1657">
        <v>0.24199999999999999</v>
      </c>
      <c r="E1657" t="s">
        <v>6</v>
      </c>
      <c r="F1657">
        <v>0.14856999999999998</v>
      </c>
    </row>
    <row r="1658" spans="1:6" x14ac:dyDescent="0.3">
      <c r="A1658" t="s">
        <v>5</v>
      </c>
      <c r="B1658" s="1">
        <v>45727</v>
      </c>
      <c r="C1658">
        <v>1</v>
      </c>
      <c r="D1658">
        <v>0.113</v>
      </c>
      <c r="E1658" t="s">
        <v>6</v>
      </c>
      <c r="F1658">
        <v>0.12111</v>
      </c>
    </row>
    <row r="1659" spans="1:6" x14ac:dyDescent="0.3">
      <c r="A1659" t="s">
        <v>5</v>
      </c>
      <c r="B1659" s="1">
        <v>45727</v>
      </c>
      <c r="C1659">
        <v>2</v>
      </c>
      <c r="D1659">
        <v>0.10100000000000001</v>
      </c>
      <c r="E1659" t="s">
        <v>6</v>
      </c>
      <c r="F1659">
        <v>0.11813</v>
      </c>
    </row>
    <row r="1660" spans="1:6" x14ac:dyDescent="0.3">
      <c r="A1660" t="s">
        <v>5</v>
      </c>
      <c r="B1660" s="1">
        <v>45727</v>
      </c>
      <c r="C1660">
        <v>3</v>
      </c>
      <c r="D1660">
        <v>6.8000000000000005E-2</v>
      </c>
      <c r="E1660" t="s">
        <v>6</v>
      </c>
      <c r="F1660">
        <v>0.11598</v>
      </c>
    </row>
    <row r="1661" spans="1:6" x14ac:dyDescent="0.3">
      <c r="A1661" t="s">
        <v>5</v>
      </c>
      <c r="B1661" s="1">
        <v>45727</v>
      </c>
      <c r="C1661">
        <v>4</v>
      </c>
      <c r="D1661">
        <v>8.1000000000000003E-2</v>
      </c>
      <c r="E1661" t="s">
        <v>6</v>
      </c>
      <c r="F1661">
        <v>0.11197</v>
      </c>
    </row>
    <row r="1662" spans="1:6" x14ac:dyDescent="0.3">
      <c r="A1662" t="s">
        <v>5</v>
      </c>
      <c r="B1662" s="1">
        <v>45727</v>
      </c>
      <c r="C1662">
        <v>5</v>
      </c>
      <c r="D1662">
        <v>7.9000000000000001E-2</v>
      </c>
      <c r="E1662" t="s">
        <v>6</v>
      </c>
      <c r="F1662">
        <v>0.11181000000000001</v>
      </c>
    </row>
    <row r="1663" spans="1:6" x14ac:dyDescent="0.3">
      <c r="A1663" t="s">
        <v>5</v>
      </c>
      <c r="B1663" s="1">
        <v>45727</v>
      </c>
      <c r="C1663">
        <v>6</v>
      </c>
      <c r="D1663">
        <v>6.6000000000000003E-2</v>
      </c>
      <c r="E1663" t="s">
        <v>6</v>
      </c>
      <c r="F1663">
        <v>0.12167</v>
      </c>
    </row>
    <row r="1664" spans="1:6" x14ac:dyDescent="0.3">
      <c r="A1664" t="s">
        <v>5</v>
      </c>
      <c r="B1664" s="1">
        <v>45727</v>
      </c>
      <c r="C1664">
        <v>7</v>
      </c>
      <c r="D1664">
        <v>8.2000000000000003E-2</v>
      </c>
      <c r="E1664" t="s">
        <v>6</v>
      </c>
      <c r="F1664">
        <v>0.12326000000000001</v>
      </c>
    </row>
    <row r="1665" spans="1:6" x14ac:dyDescent="0.3">
      <c r="A1665" t="s">
        <v>5</v>
      </c>
      <c r="B1665" s="1">
        <v>45727</v>
      </c>
      <c r="C1665">
        <v>8</v>
      </c>
      <c r="D1665">
        <v>0.64</v>
      </c>
      <c r="E1665" t="s">
        <v>6</v>
      </c>
      <c r="F1665">
        <v>0.14646999999999999</v>
      </c>
    </row>
    <row r="1666" spans="1:6" x14ac:dyDescent="0.3">
      <c r="A1666" t="s">
        <v>5</v>
      </c>
      <c r="B1666" s="1">
        <v>45727</v>
      </c>
      <c r="C1666">
        <v>9</v>
      </c>
      <c r="D1666">
        <v>0.51200000000000001</v>
      </c>
      <c r="E1666" t="s">
        <v>6</v>
      </c>
      <c r="F1666">
        <v>0.18831999999999999</v>
      </c>
    </row>
    <row r="1667" spans="1:6" x14ac:dyDescent="0.3">
      <c r="A1667" t="s">
        <v>5</v>
      </c>
      <c r="B1667" s="1">
        <v>45727</v>
      </c>
      <c r="C1667">
        <v>10</v>
      </c>
      <c r="D1667">
        <v>0.82399999999999995</v>
      </c>
      <c r="E1667" t="s">
        <v>6</v>
      </c>
      <c r="F1667">
        <v>0.15431</v>
      </c>
    </row>
    <row r="1668" spans="1:6" x14ac:dyDescent="0.3">
      <c r="A1668" t="s">
        <v>5</v>
      </c>
      <c r="B1668" s="1">
        <v>45727</v>
      </c>
      <c r="C1668">
        <v>11</v>
      </c>
      <c r="D1668">
        <v>0.317</v>
      </c>
      <c r="E1668" t="s">
        <v>6</v>
      </c>
      <c r="F1668">
        <v>0.20732</v>
      </c>
    </row>
    <row r="1669" spans="1:6" x14ac:dyDescent="0.3">
      <c r="A1669" t="s">
        <v>5</v>
      </c>
      <c r="B1669" s="1">
        <v>45727</v>
      </c>
      <c r="C1669">
        <v>12</v>
      </c>
      <c r="D1669">
        <v>5.8000000000000003E-2</v>
      </c>
      <c r="E1669" t="s">
        <v>6</v>
      </c>
      <c r="F1669">
        <v>0.19413</v>
      </c>
    </row>
    <row r="1670" spans="1:6" x14ac:dyDescent="0.3">
      <c r="A1670" t="s">
        <v>5</v>
      </c>
      <c r="B1670" s="1">
        <v>45727</v>
      </c>
      <c r="C1670">
        <v>13</v>
      </c>
      <c r="D1670">
        <v>8.5000000000000006E-2</v>
      </c>
      <c r="E1670" t="s">
        <v>6</v>
      </c>
      <c r="F1670">
        <v>0.1961</v>
      </c>
    </row>
    <row r="1671" spans="1:6" x14ac:dyDescent="0.3">
      <c r="A1671" t="s">
        <v>5</v>
      </c>
      <c r="B1671" s="1">
        <v>45727</v>
      </c>
      <c r="C1671">
        <v>14</v>
      </c>
      <c r="D1671">
        <v>0.23300000000000001</v>
      </c>
      <c r="E1671" t="s">
        <v>6</v>
      </c>
      <c r="F1671">
        <v>0.18787999999999999</v>
      </c>
    </row>
    <row r="1672" spans="1:6" x14ac:dyDescent="0.3">
      <c r="A1672" t="s">
        <v>5</v>
      </c>
      <c r="B1672" s="1">
        <v>45727</v>
      </c>
      <c r="C1672">
        <v>15</v>
      </c>
      <c r="D1672">
        <v>0.2</v>
      </c>
      <c r="E1672" t="s">
        <v>6</v>
      </c>
      <c r="F1672">
        <v>0.12104999999999999</v>
      </c>
    </row>
    <row r="1673" spans="1:6" x14ac:dyDescent="0.3">
      <c r="A1673" t="s">
        <v>5</v>
      </c>
      <c r="B1673" s="1">
        <v>45727</v>
      </c>
      <c r="C1673">
        <v>16</v>
      </c>
      <c r="D1673">
        <v>0.108</v>
      </c>
      <c r="E1673" t="s">
        <v>6</v>
      </c>
      <c r="F1673">
        <v>0.1167</v>
      </c>
    </row>
    <row r="1674" spans="1:6" x14ac:dyDescent="0.3">
      <c r="A1674" t="s">
        <v>5</v>
      </c>
      <c r="B1674" s="1">
        <v>45727</v>
      </c>
      <c r="C1674">
        <v>17</v>
      </c>
      <c r="D1674">
        <v>0.16600000000000001</v>
      </c>
      <c r="E1674" t="s">
        <v>6</v>
      </c>
      <c r="F1674">
        <v>0.11701</v>
      </c>
    </row>
    <row r="1675" spans="1:6" x14ac:dyDescent="0.3">
      <c r="A1675" t="s">
        <v>5</v>
      </c>
      <c r="B1675" s="1">
        <v>45727</v>
      </c>
      <c r="C1675">
        <v>18</v>
      </c>
      <c r="D1675">
        <v>0.157</v>
      </c>
      <c r="E1675" t="s">
        <v>6</v>
      </c>
      <c r="F1675">
        <v>0.13125000000000001</v>
      </c>
    </row>
    <row r="1676" spans="1:6" x14ac:dyDescent="0.3">
      <c r="A1676" t="s">
        <v>5</v>
      </c>
      <c r="B1676" s="1">
        <v>45727</v>
      </c>
      <c r="C1676">
        <v>19</v>
      </c>
      <c r="D1676">
        <v>0.111</v>
      </c>
      <c r="E1676" t="s">
        <v>6</v>
      </c>
      <c r="F1676">
        <v>0.23721999999999999</v>
      </c>
    </row>
    <row r="1677" spans="1:6" x14ac:dyDescent="0.3">
      <c r="A1677" t="s">
        <v>5</v>
      </c>
      <c r="B1677" s="1">
        <v>45727</v>
      </c>
      <c r="C1677">
        <v>20</v>
      </c>
      <c r="D1677">
        <v>8.3000000000000004E-2</v>
      </c>
      <c r="E1677" t="s">
        <v>6</v>
      </c>
      <c r="F1677">
        <v>0.28567999999999999</v>
      </c>
    </row>
    <row r="1678" spans="1:6" x14ac:dyDescent="0.3">
      <c r="A1678" t="s">
        <v>5</v>
      </c>
      <c r="B1678" s="1">
        <v>45727</v>
      </c>
      <c r="C1678">
        <v>21</v>
      </c>
      <c r="D1678">
        <v>7.2999999999999995E-2</v>
      </c>
      <c r="E1678" t="s">
        <v>6</v>
      </c>
      <c r="F1678">
        <v>0.26177</v>
      </c>
    </row>
    <row r="1679" spans="1:6" x14ac:dyDescent="0.3">
      <c r="A1679" t="s">
        <v>5</v>
      </c>
      <c r="B1679" s="1">
        <v>45727</v>
      </c>
      <c r="C1679">
        <v>22</v>
      </c>
      <c r="D1679">
        <v>0.157</v>
      </c>
      <c r="E1679" t="s">
        <v>6</v>
      </c>
      <c r="F1679">
        <v>0.23996999999999999</v>
      </c>
    </row>
    <row r="1680" spans="1:6" x14ac:dyDescent="0.3">
      <c r="A1680" t="s">
        <v>5</v>
      </c>
      <c r="B1680" s="1">
        <v>45727</v>
      </c>
      <c r="C1680">
        <v>23</v>
      </c>
      <c r="D1680">
        <v>1.161</v>
      </c>
      <c r="E1680" t="s">
        <v>6</v>
      </c>
      <c r="F1680">
        <v>0.16399</v>
      </c>
    </row>
    <row r="1681" spans="1:6" x14ac:dyDescent="0.3">
      <c r="A1681" t="s">
        <v>5</v>
      </c>
      <c r="B1681" s="1">
        <v>45727</v>
      </c>
      <c r="C1681">
        <v>24</v>
      </c>
      <c r="D1681">
        <v>0.38400000000000001</v>
      </c>
      <c r="E1681" t="s">
        <v>6</v>
      </c>
      <c r="F1681">
        <v>0.16206999999999999</v>
      </c>
    </row>
    <row r="1682" spans="1:6" x14ac:dyDescent="0.3">
      <c r="A1682" t="s">
        <v>5</v>
      </c>
      <c r="B1682" s="1">
        <v>45728</v>
      </c>
      <c r="C1682">
        <v>1</v>
      </c>
      <c r="D1682">
        <v>0.23100000000000001</v>
      </c>
      <c r="E1682" t="s">
        <v>6</v>
      </c>
      <c r="F1682">
        <v>0.11618000000000001</v>
      </c>
    </row>
    <row r="1683" spans="1:6" x14ac:dyDescent="0.3">
      <c r="A1683" t="s">
        <v>5</v>
      </c>
      <c r="B1683" s="1">
        <v>45728</v>
      </c>
      <c r="C1683">
        <v>2</v>
      </c>
      <c r="D1683">
        <v>0.11700000000000001</v>
      </c>
      <c r="E1683" t="s">
        <v>6</v>
      </c>
      <c r="F1683">
        <v>0.10302</v>
      </c>
    </row>
    <row r="1684" spans="1:6" x14ac:dyDescent="0.3">
      <c r="A1684" t="s">
        <v>5</v>
      </c>
      <c r="B1684" s="1">
        <v>45728</v>
      </c>
      <c r="C1684">
        <v>3</v>
      </c>
      <c r="D1684">
        <v>6.7000000000000004E-2</v>
      </c>
      <c r="E1684" t="s">
        <v>6</v>
      </c>
      <c r="F1684">
        <v>0.10079</v>
      </c>
    </row>
    <row r="1685" spans="1:6" x14ac:dyDescent="0.3">
      <c r="A1685" t="s">
        <v>5</v>
      </c>
      <c r="B1685" s="1">
        <v>45728</v>
      </c>
      <c r="C1685">
        <v>4</v>
      </c>
      <c r="D1685">
        <v>0.08</v>
      </c>
      <c r="E1685" t="s">
        <v>6</v>
      </c>
      <c r="F1685">
        <v>0.10104</v>
      </c>
    </row>
    <row r="1686" spans="1:6" x14ac:dyDescent="0.3">
      <c r="A1686" t="s">
        <v>5</v>
      </c>
      <c r="B1686" s="1">
        <v>45728</v>
      </c>
      <c r="C1686">
        <v>5</v>
      </c>
      <c r="D1686">
        <v>7.6999999999999999E-2</v>
      </c>
      <c r="E1686" t="s">
        <v>6</v>
      </c>
      <c r="F1686">
        <v>0.10105</v>
      </c>
    </row>
    <row r="1687" spans="1:6" x14ac:dyDescent="0.3">
      <c r="A1687" t="s">
        <v>5</v>
      </c>
      <c r="B1687" s="1">
        <v>45728</v>
      </c>
      <c r="C1687">
        <v>6</v>
      </c>
      <c r="D1687">
        <v>6.3E-2</v>
      </c>
      <c r="E1687" t="s">
        <v>6</v>
      </c>
      <c r="F1687">
        <v>9.8670000000000008E-2</v>
      </c>
    </row>
    <row r="1688" spans="1:6" x14ac:dyDescent="0.3">
      <c r="A1688" t="s">
        <v>5</v>
      </c>
      <c r="B1688" s="1">
        <v>45728</v>
      </c>
      <c r="C1688">
        <v>7</v>
      </c>
      <c r="D1688">
        <v>8.3000000000000004E-2</v>
      </c>
      <c r="E1688" t="s">
        <v>6</v>
      </c>
      <c r="F1688">
        <v>0.10909000000000001</v>
      </c>
    </row>
    <row r="1689" spans="1:6" x14ac:dyDescent="0.3">
      <c r="A1689" t="s">
        <v>5</v>
      </c>
      <c r="B1689" s="1">
        <v>45728</v>
      </c>
      <c r="C1689">
        <v>8</v>
      </c>
      <c r="D1689">
        <v>0.105</v>
      </c>
      <c r="E1689" t="s">
        <v>6</v>
      </c>
      <c r="F1689">
        <v>0.13315000000000002</v>
      </c>
    </row>
    <row r="1690" spans="1:6" x14ac:dyDescent="0.3">
      <c r="A1690" t="s">
        <v>5</v>
      </c>
      <c r="B1690" s="1">
        <v>45728</v>
      </c>
      <c r="C1690">
        <v>9</v>
      </c>
      <c r="D1690">
        <v>6.3E-2</v>
      </c>
      <c r="E1690" t="s">
        <v>6</v>
      </c>
      <c r="F1690">
        <v>0.15958</v>
      </c>
    </row>
    <row r="1691" spans="1:6" x14ac:dyDescent="0.3">
      <c r="A1691" t="s">
        <v>5</v>
      </c>
      <c r="B1691" s="1">
        <v>45728</v>
      </c>
      <c r="C1691">
        <v>10</v>
      </c>
      <c r="D1691">
        <v>8.6999999999999994E-2</v>
      </c>
      <c r="E1691" t="s">
        <v>6</v>
      </c>
      <c r="F1691">
        <v>0.13566999999999999</v>
      </c>
    </row>
    <row r="1692" spans="1:6" x14ac:dyDescent="0.3">
      <c r="A1692" t="s">
        <v>5</v>
      </c>
      <c r="B1692" s="1">
        <v>45728</v>
      </c>
      <c r="C1692">
        <v>11</v>
      </c>
      <c r="D1692">
        <v>0.158</v>
      </c>
      <c r="E1692" t="s">
        <v>6</v>
      </c>
      <c r="F1692">
        <v>0.19333</v>
      </c>
    </row>
    <row r="1693" spans="1:6" x14ac:dyDescent="0.3">
      <c r="A1693" t="s">
        <v>5</v>
      </c>
      <c r="B1693" s="1">
        <v>45728</v>
      </c>
      <c r="C1693">
        <v>12</v>
      </c>
      <c r="D1693">
        <v>7.0000000000000007E-2</v>
      </c>
      <c r="E1693" t="s">
        <v>6</v>
      </c>
      <c r="F1693">
        <v>0.18802000000000002</v>
      </c>
    </row>
    <row r="1694" spans="1:6" x14ac:dyDescent="0.3">
      <c r="A1694" t="s">
        <v>5</v>
      </c>
      <c r="B1694" s="1">
        <v>45728</v>
      </c>
      <c r="C1694">
        <v>13</v>
      </c>
      <c r="D1694">
        <v>6.0999999999999999E-2</v>
      </c>
      <c r="E1694" t="s">
        <v>6</v>
      </c>
      <c r="F1694">
        <v>0.18546000000000001</v>
      </c>
    </row>
    <row r="1695" spans="1:6" x14ac:dyDescent="0.3">
      <c r="A1695" t="s">
        <v>5</v>
      </c>
      <c r="B1695" s="1">
        <v>45728</v>
      </c>
      <c r="C1695">
        <v>14</v>
      </c>
      <c r="D1695">
        <v>7.1999999999999995E-2</v>
      </c>
      <c r="E1695" t="s">
        <v>6</v>
      </c>
      <c r="F1695">
        <v>0.18180000000000002</v>
      </c>
    </row>
    <row r="1696" spans="1:6" x14ac:dyDescent="0.3">
      <c r="A1696" t="s">
        <v>5</v>
      </c>
      <c r="B1696" s="1">
        <v>45728</v>
      </c>
      <c r="C1696">
        <v>15</v>
      </c>
      <c r="D1696">
        <v>0.189</v>
      </c>
      <c r="E1696" t="s">
        <v>6</v>
      </c>
      <c r="F1696">
        <v>0.11734</v>
      </c>
    </row>
    <row r="1697" spans="1:6" x14ac:dyDescent="0.3">
      <c r="A1697" t="s">
        <v>5</v>
      </c>
      <c r="B1697" s="1">
        <v>45728</v>
      </c>
      <c r="C1697">
        <v>16</v>
      </c>
      <c r="D1697">
        <v>0.28000000000000003</v>
      </c>
      <c r="E1697" t="s">
        <v>6</v>
      </c>
      <c r="F1697">
        <v>0.12121999999999999</v>
      </c>
    </row>
    <row r="1698" spans="1:6" x14ac:dyDescent="0.3">
      <c r="A1698" t="s">
        <v>5</v>
      </c>
      <c r="B1698" s="1">
        <v>45728</v>
      </c>
      <c r="C1698">
        <v>17</v>
      </c>
      <c r="D1698">
        <v>7.8E-2</v>
      </c>
      <c r="E1698" t="s">
        <v>6</v>
      </c>
      <c r="F1698">
        <v>0.12631999999999999</v>
      </c>
    </row>
    <row r="1699" spans="1:6" x14ac:dyDescent="0.3">
      <c r="A1699" t="s">
        <v>5</v>
      </c>
      <c r="B1699" s="1">
        <v>45728</v>
      </c>
      <c r="C1699">
        <v>18</v>
      </c>
      <c r="D1699">
        <v>0.121</v>
      </c>
      <c r="E1699" t="s">
        <v>6</v>
      </c>
      <c r="F1699">
        <v>0.15788999999999997</v>
      </c>
    </row>
    <row r="1700" spans="1:6" x14ac:dyDescent="0.3">
      <c r="A1700" t="s">
        <v>5</v>
      </c>
      <c r="B1700" s="1">
        <v>45728</v>
      </c>
      <c r="C1700">
        <v>19</v>
      </c>
      <c r="D1700">
        <v>0.14299999999999999</v>
      </c>
      <c r="E1700" t="s">
        <v>6</v>
      </c>
      <c r="F1700">
        <v>0.25663999999999998</v>
      </c>
    </row>
    <row r="1701" spans="1:6" x14ac:dyDescent="0.3">
      <c r="A1701" t="s">
        <v>5</v>
      </c>
      <c r="B1701" s="1">
        <v>45728</v>
      </c>
      <c r="C1701">
        <v>20</v>
      </c>
      <c r="D1701">
        <v>0.126</v>
      </c>
      <c r="E1701" t="s">
        <v>6</v>
      </c>
      <c r="F1701">
        <v>0.31056</v>
      </c>
    </row>
    <row r="1702" spans="1:6" x14ac:dyDescent="0.3">
      <c r="A1702" t="s">
        <v>5</v>
      </c>
      <c r="B1702" s="1">
        <v>45728</v>
      </c>
      <c r="C1702">
        <v>21</v>
      </c>
      <c r="D1702">
        <v>0.43</v>
      </c>
      <c r="E1702" t="s">
        <v>6</v>
      </c>
      <c r="F1702">
        <v>0.27360000000000001</v>
      </c>
    </row>
    <row r="1703" spans="1:6" x14ac:dyDescent="0.3">
      <c r="A1703" t="s">
        <v>5</v>
      </c>
      <c r="B1703" s="1">
        <v>45728</v>
      </c>
      <c r="C1703">
        <v>22</v>
      </c>
      <c r="D1703">
        <v>0.40899999999999997</v>
      </c>
      <c r="E1703" t="s">
        <v>6</v>
      </c>
      <c r="F1703">
        <v>0.25749</v>
      </c>
    </row>
    <row r="1704" spans="1:6" x14ac:dyDescent="0.3">
      <c r="A1704" t="s">
        <v>5</v>
      </c>
      <c r="B1704" s="1">
        <v>45728</v>
      </c>
      <c r="C1704">
        <v>23</v>
      </c>
      <c r="D1704">
        <v>0.35599999999999998</v>
      </c>
      <c r="E1704" t="s">
        <v>6</v>
      </c>
      <c r="F1704">
        <v>0.17946999999999999</v>
      </c>
    </row>
    <row r="1705" spans="1:6" x14ac:dyDescent="0.3">
      <c r="A1705" t="s">
        <v>5</v>
      </c>
      <c r="B1705" s="1">
        <v>45728</v>
      </c>
      <c r="C1705">
        <v>24</v>
      </c>
      <c r="D1705">
        <v>0.38200000000000001</v>
      </c>
      <c r="E1705" t="s">
        <v>6</v>
      </c>
      <c r="F1705">
        <v>0.17036000000000001</v>
      </c>
    </row>
    <row r="1706" spans="1:6" x14ac:dyDescent="0.3">
      <c r="A1706" t="s">
        <v>5</v>
      </c>
      <c r="B1706" s="1">
        <v>45729</v>
      </c>
      <c r="C1706">
        <v>1</v>
      </c>
      <c r="D1706">
        <v>0.84199999999999997</v>
      </c>
      <c r="E1706" t="s">
        <v>6</v>
      </c>
      <c r="F1706">
        <v>0.13825999999999999</v>
      </c>
    </row>
    <row r="1707" spans="1:6" x14ac:dyDescent="0.3">
      <c r="A1707" t="s">
        <v>5</v>
      </c>
      <c r="B1707" s="1">
        <v>45729</v>
      </c>
      <c r="C1707">
        <v>2</v>
      </c>
      <c r="D1707">
        <v>0.80700000000000005</v>
      </c>
      <c r="E1707" t="s">
        <v>6</v>
      </c>
      <c r="F1707">
        <v>0.13452</v>
      </c>
    </row>
    <row r="1708" spans="1:6" x14ac:dyDescent="0.3">
      <c r="A1708" t="s">
        <v>5</v>
      </c>
      <c r="B1708" s="1">
        <v>45729</v>
      </c>
      <c r="C1708">
        <v>3</v>
      </c>
      <c r="D1708">
        <v>8.5999999999999993E-2</v>
      </c>
      <c r="E1708" t="s">
        <v>6</v>
      </c>
      <c r="F1708">
        <v>0.13324</v>
      </c>
    </row>
    <row r="1709" spans="1:6" x14ac:dyDescent="0.3">
      <c r="A1709" t="s">
        <v>5</v>
      </c>
      <c r="B1709" s="1">
        <v>45729</v>
      </c>
      <c r="C1709">
        <v>4</v>
      </c>
      <c r="D1709">
        <v>8.8999999999999996E-2</v>
      </c>
      <c r="E1709" t="s">
        <v>6</v>
      </c>
      <c r="F1709">
        <v>0.12392</v>
      </c>
    </row>
    <row r="1710" spans="1:6" x14ac:dyDescent="0.3">
      <c r="A1710" t="s">
        <v>5</v>
      </c>
      <c r="B1710" s="1">
        <v>45729</v>
      </c>
      <c r="C1710">
        <v>5</v>
      </c>
      <c r="D1710">
        <v>0.10100000000000001</v>
      </c>
      <c r="E1710" t="s">
        <v>6</v>
      </c>
      <c r="F1710">
        <v>0.11884</v>
      </c>
    </row>
    <row r="1711" spans="1:6" x14ac:dyDescent="0.3">
      <c r="A1711" t="s">
        <v>5</v>
      </c>
      <c r="B1711" s="1">
        <v>45729</v>
      </c>
      <c r="C1711">
        <v>6</v>
      </c>
      <c r="D1711">
        <v>8.2000000000000003E-2</v>
      </c>
      <c r="E1711" t="s">
        <v>6</v>
      </c>
      <c r="F1711">
        <v>0.12741</v>
      </c>
    </row>
    <row r="1712" spans="1:6" x14ac:dyDescent="0.3">
      <c r="A1712" t="s">
        <v>5</v>
      </c>
      <c r="B1712" s="1">
        <v>45729</v>
      </c>
      <c r="C1712">
        <v>7</v>
      </c>
      <c r="D1712">
        <v>0.105</v>
      </c>
      <c r="E1712" t="s">
        <v>6</v>
      </c>
      <c r="F1712">
        <v>0.14069999999999999</v>
      </c>
    </row>
    <row r="1713" spans="1:6" x14ac:dyDescent="0.3">
      <c r="A1713" t="s">
        <v>5</v>
      </c>
      <c r="B1713" s="1">
        <v>45729</v>
      </c>
      <c r="C1713">
        <v>8</v>
      </c>
      <c r="D1713">
        <v>0.13100000000000001</v>
      </c>
      <c r="E1713" t="s">
        <v>6</v>
      </c>
      <c r="F1713">
        <v>0.18744999999999998</v>
      </c>
    </row>
    <row r="1714" spans="1:6" x14ac:dyDescent="0.3">
      <c r="A1714" t="s">
        <v>5</v>
      </c>
      <c r="B1714" s="1">
        <v>45729</v>
      </c>
      <c r="C1714">
        <v>9</v>
      </c>
      <c r="D1714">
        <v>0.14799999999999999</v>
      </c>
      <c r="E1714" t="s">
        <v>6</v>
      </c>
      <c r="F1714">
        <v>0.21775</v>
      </c>
    </row>
    <row r="1715" spans="1:6" x14ac:dyDescent="0.3">
      <c r="A1715" t="s">
        <v>5</v>
      </c>
      <c r="B1715" s="1">
        <v>45729</v>
      </c>
      <c r="C1715">
        <v>10</v>
      </c>
      <c r="D1715">
        <v>6.9000000000000006E-2</v>
      </c>
      <c r="E1715" t="s">
        <v>6</v>
      </c>
      <c r="F1715">
        <v>0.19288999999999998</v>
      </c>
    </row>
    <row r="1716" spans="1:6" x14ac:dyDescent="0.3">
      <c r="A1716" t="s">
        <v>5</v>
      </c>
      <c r="B1716" s="1">
        <v>45729</v>
      </c>
      <c r="C1716">
        <v>11</v>
      </c>
      <c r="D1716">
        <v>0.152</v>
      </c>
      <c r="E1716" t="s">
        <v>6</v>
      </c>
      <c r="F1716">
        <v>0.23089999999999999</v>
      </c>
    </row>
    <row r="1717" spans="1:6" x14ac:dyDescent="0.3">
      <c r="A1717" t="s">
        <v>5</v>
      </c>
      <c r="B1717" s="1">
        <v>45729</v>
      </c>
      <c r="C1717">
        <v>12</v>
      </c>
      <c r="D1717">
        <v>7.1999999999999995E-2</v>
      </c>
      <c r="E1717" t="s">
        <v>6</v>
      </c>
      <c r="F1717">
        <v>0.22111</v>
      </c>
    </row>
    <row r="1718" spans="1:6" x14ac:dyDescent="0.3">
      <c r="A1718" t="s">
        <v>5</v>
      </c>
      <c r="B1718" s="1">
        <v>45729</v>
      </c>
      <c r="C1718">
        <v>13</v>
      </c>
      <c r="D1718">
        <v>6.7000000000000004E-2</v>
      </c>
      <c r="E1718" t="s">
        <v>6</v>
      </c>
      <c r="F1718">
        <v>0.2122</v>
      </c>
    </row>
    <row r="1719" spans="1:6" x14ac:dyDescent="0.3">
      <c r="A1719" t="s">
        <v>5</v>
      </c>
      <c r="B1719" s="1">
        <v>45729</v>
      </c>
      <c r="C1719">
        <v>14</v>
      </c>
      <c r="D1719">
        <v>0.21099999999999999</v>
      </c>
      <c r="E1719" t="s">
        <v>6</v>
      </c>
      <c r="F1719">
        <v>0.20115</v>
      </c>
    </row>
    <row r="1720" spans="1:6" x14ac:dyDescent="0.3">
      <c r="A1720" t="s">
        <v>5</v>
      </c>
      <c r="B1720" s="1">
        <v>45729</v>
      </c>
      <c r="C1720">
        <v>15</v>
      </c>
      <c r="D1720">
        <v>0.129</v>
      </c>
      <c r="E1720" t="s">
        <v>6</v>
      </c>
      <c r="F1720">
        <v>0.13553999999999999</v>
      </c>
    </row>
    <row r="1721" spans="1:6" x14ac:dyDescent="0.3">
      <c r="A1721" t="s">
        <v>5</v>
      </c>
      <c r="B1721" s="1">
        <v>45729</v>
      </c>
      <c r="C1721">
        <v>16</v>
      </c>
      <c r="D1721">
        <v>0.188</v>
      </c>
      <c r="E1721" t="s">
        <v>6</v>
      </c>
      <c r="F1721">
        <v>0.13758000000000001</v>
      </c>
    </row>
    <row r="1722" spans="1:6" x14ac:dyDescent="0.3">
      <c r="A1722" t="s">
        <v>5</v>
      </c>
      <c r="B1722" s="1">
        <v>45729</v>
      </c>
      <c r="C1722">
        <v>17</v>
      </c>
      <c r="D1722">
        <v>0.112</v>
      </c>
      <c r="E1722" t="s">
        <v>6</v>
      </c>
      <c r="F1722">
        <v>0.13930999999999999</v>
      </c>
    </row>
    <row r="1723" spans="1:6" x14ac:dyDescent="0.3">
      <c r="A1723" t="s">
        <v>5</v>
      </c>
      <c r="B1723" s="1">
        <v>45729</v>
      </c>
      <c r="C1723">
        <v>18</v>
      </c>
      <c r="D1723">
        <v>8.8999999999999996E-2</v>
      </c>
      <c r="E1723" t="s">
        <v>6</v>
      </c>
      <c r="F1723">
        <v>0.13854</v>
      </c>
    </row>
    <row r="1724" spans="1:6" x14ac:dyDescent="0.3">
      <c r="A1724" t="s">
        <v>5</v>
      </c>
      <c r="B1724" s="1">
        <v>45729</v>
      </c>
      <c r="C1724">
        <v>19</v>
      </c>
      <c r="D1724">
        <v>0.183</v>
      </c>
      <c r="E1724" t="s">
        <v>6</v>
      </c>
      <c r="F1724">
        <v>0.22162999999999999</v>
      </c>
    </row>
    <row r="1725" spans="1:6" x14ac:dyDescent="0.3">
      <c r="A1725" t="s">
        <v>5</v>
      </c>
      <c r="B1725" s="1">
        <v>45729</v>
      </c>
      <c r="C1725">
        <v>20</v>
      </c>
      <c r="D1725">
        <v>0.38100000000000001</v>
      </c>
      <c r="E1725" t="s">
        <v>6</v>
      </c>
      <c r="F1725">
        <v>0.28514</v>
      </c>
    </row>
    <row r="1726" spans="1:6" x14ac:dyDescent="0.3">
      <c r="A1726" t="s">
        <v>5</v>
      </c>
      <c r="B1726" s="1">
        <v>45729</v>
      </c>
      <c r="C1726">
        <v>21</v>
      </c>
      <c r="D1726">
        <v>0.14000000000000001</v>
      </c>
      <c r="E1726" t="s">
        <v>6</v>
      </c>
      <c r="F1726">
        <v>0.27032</v>
      </c>
    </row>
    <row r="1727" spans="1:6" x14ac:dyDescent="0.3">
      <c r="A1727" t="s">
        <v>5</v>
      </c>
      <c r="B1727" s="1">
        <v>45729</v>
      </c>
      <c r="C1727">
        <v>22</v>
      </c>
      <c r="D1727">
        <v>0.42599999999999999</v>
      </c>
      <c r="E1727" t="s">
        <v>6</v>
      </c>
      <c r="F1727">
        <v>0.24288999999999999</v>
      </c>
    </row>
    <row r="1728" spans="1:6" x14ac:dyDescent="0.3">
      <c r="A1728" t="s">
        <v>5</v>
      </c>
      <c r="B1728" s="1">
        <v>45729</v>
      </c>
      <c r="C1728">
        <v>23</v>
      </c>
      <c r="D1728">
        <v>0.25800000000000001</v>
      </c>
      <c r="E1728" t="s">
        <v>6</v>
      </c>
      <c r="F1728">
        <v>0.15255000000000002</v>
      </c>
    </row>
    <row r="1729" spans="1:6" x14ac:dyDescent="0.3">
      <c r="A1729" t="s">
        <v>5</v>
      </c>
      <c r="B1729" s="1">
        <v>45729</v>
      </c>
      <c r="C1729">
        <v>24</v>
      </c>
      <c r="D1729">
        <v>0.28499999999999998</v>
      </c>
      <c r="E1729" t="s">
        <v>6</v>
      </c>
      <c r="F1729">
        <v>0.12928999999999999</v>
      </c>
    </row>
    <row r="1730" spans="1:6" x14ac:dyDescent="0.3">
      <c r="A1730" t="s">
        <v>5</v>
      </c>
      <c r="B1730" s="1">
        <v>45730</v>
      </c>
      <c r="C1730">
        <v>1</v>
      </c>
      <c r="D1730">
        <v>0.247</v>
      </c>
      <c r="E1730" t="s">
        <v>6</v>
      </c>
      <c r="F1730">
        <v>9.0380000000000002E-2</v>
      </c>
    </row>
    <row r="1731" spans="1:6" x14ac:dyDescent="0.3">
      <c r="A1731" t="s">
        <v>5</v>
      </c>
      <c r="B1731" s="1">
        <v>45730</v>
      </c>
      <c r="C1731">
        <v>2</v>
      </c>
      <c r="D1731">
        <v>0.115</v>
      </c>
      <c r="E1731" t="s">
        <v>6</v>
      </c>
      <c r="F1731">
        <v>7.7540000000000012E-2</v>
      </c>
    </row>
    <row r="1732" spans="1:6" x14ac:dyDescent="0.3">
      <c r="A1732" t="s">
        <v>5</v>
      </c>
      <c r="B1732" s="1">
        <v>45730</v>
      </c>
      <c r="C1732">
        <v>3</v>
      </c>
      <c r="D1732">
        <v>7.8E-2</v>
      </c>
      <c r="E1732" t="s">
        <v>6</v>
      </c>
      <c r="F1732">
        <v>7.5829999999999995E-2</v>
      </c>
    </row>
    <row r="1733" spans="1:6" x14ac:dyDescent="0.3">
      <c r="A1733" t="s">
        <v>5</v>
      </c>
      <c r="B1733" s="1">
        <v>45730</v>
      </c>
      <c r="C1733">
        <v>4</v>
      </c>
      <c r="D1733">
        <v>7.4999999999999997E-2</v>
      </c>
      <c r="E1733" t="s">
        <v>6</v>
      </c>
      <c r="F1733">
        <v>7.5049999999999992E-2</v>
      </c>
    </row>
    <row r="1734" spans="1:6" x14ac:dyDescent="0.3">
      <c r="A1734" t="s">
        <v>5</v>
      </c>
      <c r="B1734" s="1">
        <v>45730</v>
      </c>
      <c r="C1734">
        <v>5</v>
      </c>
      <c r="D1734">
        <v>6.9000000000000006E-2</v>
      </c>
      <c r="E1734" t="s">
        <v>6</v>
      </c>
      <c r="F1734">
        <v>7.757E-2</v>
      </c>
    </row>
    <row r="1735" spans="1:6" x14ac:dyDescent="0.3">
      <c r="A1735" t="s">
        <v>5</v>
      </c>
      <c r="B1735" s="1">
        <v>45730</v>
      </c>
      <c r="C1735">
        <v>6</v>
      </c>
      <c r="D1735">
        <v>8.1000000000000003E-2</v>
      </c>
      <c r="E1735" t="s">
        <v>6</v>
      </c>
      <c r="F1735">
        <v>8.3260000000000001E-2</v>
      </c>
    </row>
    <row r="1736" spans="1:6" x14ac:dyDescent="0.3">
      <c r="A1736" t="s">
        <v>5</v>
      </c>
      <c r="B1736" s="1">
        <v>45730</v>
      </c>
      <c r="C1736">
        <v>7</v>
      </c>
      <c r="D1736">
        <v>6.0999999999999999E-2</v>
      </c>
      <c r="E1736" t="s">
        <v>6</v>
      </c>
      <c r="F1736">
        <v>0.10645</v>
      </c>
    </row>
    <row r="1737" spans="1:6" x14ac:dyDescent="0.3">
      <c r="A1737" t="s">
        <v>5</v>
      </c>
      <c r="B1737" s="1">
        <v>45730</v>
      </c>
      <c r="C1737">
        <v>8</v>
      </c>
      <c r="D1737">
        <v>8.3000000000000004E-2</v>
      </c>
      <c r="E1737" t="s">
        <v>6</v>
      </c>
      <c r="F1737">
        <v>0.14185</v>
      </c>
    </row>
    <row r="1738" spans="1:6" x14ac:dyDescent="0.3">
      <c r="A1738" t="s">
        <v>5</v>
      </c>
      <c r="B1738" s="1">
        <v>45730</v>
      </c>
      <c r="C1738">
        <v>9</v>
      </c>
      <c r="D1738">
        <v>8.2000000000000003E-2</v>
      </c>
      <c r="E1738" t="s">
        <v>6</v>
      </c>
      <c r="F1738">
        <v>0.16791999999999999</v>
      </c>
    </row>
    <row r="1739" spans="1:6" x14ac:dyDescent="0.3">
      <c r="A1739" t="s">
        <v>5</v>
      </c>
      <c r="B1739" s="1">
        <v>45730</v>
      </c>
      <c r="C1739">
        <v>10</v>
      </c>
      <c r="D1739">
        <v>0.14899999999999999</v>
      </c>
      <c r="E1739" t="s">
        <v>6</v>
      </c>
      <c r="F1739">
        <v>0.12741</v>
      </c>
    </row>
    <row r="1740" spans="1:6" x14ac:dyDescent="0.3">
      <c r="A1740" t="s">
        <v>5</v>
      </c>
      <c r="B1740" s="1">
        <v>45730</v>
      </c>
      <c r="C1740">
        <v>11</v>
      </c>
      <c r="D1740">
        <v>0.20300000000000001</v>
      </c>
      <c r="E1740" t="s">
        <v>6</v>
      </c>
      <c r="F1740">
        <v>0.16290000000000002</v>
      </c>
    </row>
    <row r="1741" spans="1:6" x14ac:dyDescent="0.3">
      <c r="A1741" t="s">
        <v>5</v>
      </c>
      <c r="B1741" s="1">
        <v>45730</v>
      </c>
      <c r="C1741">
        <v>12</v>
      </c>
      <c r="D1741">
        <v>0.08</v>
      </c>
      <c r="E1741" t="s">
        <v>6</v>
      </c>
      <c r="F1741">
        <v>0.14746999999999999</v>
      </c>
    </row>
    <row r="1742" spans="1:6" x14ac:dyDescent="0.3">
      <c r="A1742" t="s">
        <v>5</v>
      </c>
      <c r="B1742" s="1">
        <v>45730</v>
      </c>
      <c r="C1742">
        <v>13</v>
      </c>
      <c r="D1742">
        <v>0.20899999999999999</v>
      </c>
      <c r="E1742" t="s">
        <v>6</v>
      </c>
      <c r="F1742">
        <v>0.14668999999999999</v>
      </c>
    </row>
    <row r="1743" spans="1:6" x14ac:dyDescent="0.3">
      <c r="A1743" t="s">
        <v>5</v>
      </c>
      <c r="B1743" s="1">
        <v>45730</v>
      </c>
      <c r="C1743">
        <v>14</v>
      </c>
      <c r="D1743">
        <v>6.9000000000000006E-2</v>
      </c>
      <c r="E1743" t="s">
        <v>6</v>
      </c>
      <c r="F1743">
        <v>0.13794999999999999</v>
      </c>
    </row>
    <row r="1744" spans="1:6" x14ac:dyDescent="0.3">
      <c r="A1744" t="s">
        <v>5</v>
      </c>
      <c r="B1744" s="1">
        <v>45730</v>
      </c>
      <c r="C1744">
        <v>15</v>
      </c>
      <c r="D1744">
        <v>7.9000000000000001E-2</v>
      </c>
      <c r="E1744" t="s">
        <v>6</v>
      </c>
      <c r="F1744">
        <v>5.7419999999999999E-2</v>
      </c>
    </row>
    <row r="1745" spans="1:6" x14ac:dyDescent="0.3">
      <c r="A1745" t="s">
        <v>5</v>
      </c>
      <c r="B1745" s="1">
        <v>45730</v>
      </c>
      <c r="C1745">
        <v>16</v>
      </c>
      <c r="D1745">
        <v>0.96499999999999997</v>
      </c>
      <c r="E1745" t="s">
        <v>6</v>
      </c>
      <c r="F1745">
        <v>5.7210000000000004E-2</v>
      </c>
    </row>
    <row r="1746" spans="1:6" x14ac:dyDescent="0.3">
      <c r="A1746" t="s">
        <v>5</v>
      </c>
      <c r="B1746" s="1">
        <v>45730</v>
      </c>
      <c r="C1746">
        <v>17</v>
      </c>
      <c r="D1746">
        <v>0.501</v>
      </c>
      <c r="E1746" t="s">
        <v>6</v>
      </c>
      <c r="F1746">
        <v>6.9089999999999999E-2</v>
      </c>
    </row>
    <row r="1747" spans="1:6" x14ac:dyDescent="0.3">
      <c r="A1747" t="s">
        <v>5</v>
      </c>
      <c r="B1747" s="1">
        <v>45730</v>
      </c>
      <c r="C1747">
        <v>18</v>
      </c>
      <c r="D1747">
        <v>0.27200000000000002</v>
      </c>
      <c r="E1747" t="s">
        <v>6</v>
      </c>
      <c r="F1747">
        <v>9.5920000000000005E-2</v>
      </c>
    </row>
    <row r="1748" spans="1:6" x14ac:dyDescent="0.3">
      <c r="A1748" t="s">
        <v>5</v>
      </c>
      <c r="B1748" s="1">
        <v>45730</v>
      </c>
      <c r="C1748">
        <v>19</v>
      </c>
      <c r="D1748">
        <v>0.08</v>
      </c>
      <c r="E1748" t="s">
        <v>6</v>
      </c>
      <c r="F1748">
        <v>0.21694999999999998</v>
      </c>
    </row>
    <row r="1749" spans="1:6" x14ac:dyDescent="0.3">
      <c r="A1749" t="s">
        <v>5</v>
      </c>
      <c r="B1749" s="1">
        <v>45730</v>
      </c>
      <c r="C1749">
        <v>20</v>
      </c>
      <c r="D1749">
        <v>6.0999999999999999E-2</v>
      </c>
      <c r="E1749" t="s">
        <v>6</v>
      </c>
      <c r="F1749">
        <v>0.27644000000000002</v>
      </c>
    </row>
    <row r="1750" spans="1:6" x14ac:dyDescent="0.3">
      <c r="A1750" t="s">
        <v>5</v>
      </c>
      <c r="B1750" s="1">
        <v>45730</v>
      </c>
      <c r="C1750">
        <v>21</v>
      </c>
      <c r="D1750">
        <v>7.9000000000000001E-2</v>
      </c>
      <c r="E1750" t="s">
        <v>6</v>
      </c>
      <c r="F1750">
        <v>0.27048</v>
      </c>
    </row>
    <row r="1751" spans="1:6" x14ac:dyDescent="0.3">
      <c r="A1751" t="s">
        <v>5</v>
      </c>
      <c r="B1751" s="1">
        <v>45730</v>
      </c>
      <c r="C1751">
        <v>22</v>
      </c>
      <c r="D1751">
        <v>0.06</v>
      </c>
      <c r="E1751" t="s">
        <v>6</v>
      </c>
      <c r="F1751">
        <v>0.24868000000000001</v>
      </c>
    </row>
    <row r="1752" spans="1:6" x14ac:dyDescent="0.3">
      <c r="A1752" t="s">
        <v>5</v>
      </c>
      <c r="B1752" s="1">
        <v>45730</v>
      </c>
      <c r="C1752">
        <v>23</v>
      </c>
      <c r="D1752">
        <v>7.3999999999999996E-2</v>
      </c>
      <c r="E1752" t="s">
        <v>6</v>
      </c>
      <c r="F1752">
        <v>0.17646999999999999</v>
      </c>
    </row>
    <row r="1753" spans="1:6" x14ac:dyDescent="0.3">
      <c r="A1753" t="s">
        <v>5</v>
      </c>
      <c r="B1753" s="1">
        <v>45730</v>
      </c>
      <c r="C1753">
        <v>24</v>
      </c>
      <c r="D1753">
        <v>6.4000000000000001E-2</v>
      </c>
      <c r="E1753" t="s">
        <v>6</v>
      </c>
      <c r="F1753">
        <v>0.17165</v>
      </c>
    </row>
    <row r="1754" spans="1:6" x14ac:dyDescent="0.3">
      <c r="A1754" t="s">
        <v>5</v>
      </c>
      <c r="B1754" s="1">
        <v>45731</v>
      </c>
      <c r="C1754">
        <v>1</v>
      </c>
      <c r="D1754">
        <v>6.8000000000000005E-2</v>
      </c>
      <c r="E1754" t="s">
        <v>6</v>
      </c>
      <c r="F1754">
        <v>0.13318000000000002</v>
      </c>
    </row>
    <row r="1755" spans="1:6" x14ac:dyDescent="0.3">
      <c r="A1755" t="s">
        <v>5</v>
      </c>
      <c r="B1755" s="1">
        <v>45731</v>
      </c>
      <c r="C1755">
        <v>2</v>
      </c>
      <c r="D1755">
        <v>7.0000000000000007E-2</v>
      </c>
      <c r="E1755" t="s">
        <v>6</v>
      </c>
      <c r="F1755">
        <v>0.11946999999999999</v>
      </c>
    </row>
    <row r="1756" spans="1:6" x14ac:dyDescent="0.3">
      <c r="A1756" t="s">
        <v>5</v>
      </c>
      <c r="B1756" s="1">
        <v>45731</v>
      </c>
      <c r="C1756">
        <v>3</v>
      </c>
      <c r="D1756">
        <v>6.2E-2</v>
      </c>
      <c r="E1756" t="s">
        <v>6</v>
      </c>
      <c r="F1756">
        <v>0.11101000000000001</v>
      </c>
    </row>
    <row r="1757" spans="1:6" x14ac:dyDescent="0.3">
      <c r="A1757" t="s">
        <v>5</v>
      </c>
      <c r="B1757" s="1">
        <v>45731</v>
      </c>
      <c r="C1757">
        <v>4</v>
      </c>
      <c r="D1757">
        <v>7.5999999999999998E-2</v>
      </c>
      <c r="E1757" t="s">
        <v>6</v>
      </c>
      <c r="F1757">
        <v>9.8390000000000005E-2</v>
      </c>
    </row>
    <row r="1758" spans="1:6" x14ac:dyDescent="0.3">
      <c r="A1758" t="s">
        <v>5</v>
      </c>
      <c r="B1758" s="1">
        <v>45731</v>
      </c>
      <c r="C1758">
        <v>5</v>
      </c>
      <c r="D1758">
        <v>0.06</v>
      </c>
      <c r="E1758" t="s">
        <v>6</v>
      </c>
      <c r="F1758">
        <v>9.3359999999999999E-2</v>
      </c>
    </row>
    <row r="1759" spans="1:6" x14ac:dyDescent="0.3">
      <c r="A1759" t="s">
        <v>5</v>
      </c>
      <c r="B1759" s="1">
        <v>45731</v>
      </c>
      <c r="C1759">
        <v>6</v>
      </c>
      <c r="D1759">
        <v>7.8E-2</v>
      </c>
      <c r="E1759" t="s">
        <v>6</v>
      </c>
      <c r="F1759">
        <v>9.3290000000000012E-2</v>
      </c>
    </row>
    <row r="1760" spans="1:6" x14ac:dyDescent="0.3">
      <c r="A1760" t="s">
        <v>5</v>
      </c>
      <c r="B1760" s="1">
        <v>45731</v>
      </c>
      <c r="C1760">
        <v>7</v>
      </c>
      <c r="D1760">
        <v>0.06</v>
      </c>
      <c r="E1760" t="s">
        <v>6</v>
      </c>
      <c r="F1760">
        <v>9.7450000000000009E-2</v>
      </c>
    </row>
    <row r="1761" spans="1:6" x14ac:dyDescent="0.3">
      <c r="A1761" t="s">
        <v>5</v>
      </c>
      <c r="B1761" s="1">
        <v>45731</v>
      </c>
      <c r="C1761">
        <v>8</v>
      </c>
      <c r="D1761">
        <v>7.4999999999999997E-2</v>
      </c>
      <c r="E1761" t="s">
        <v>6</v>
      </c>
      <c r="F1761">
        <v>0.10489</v>
      </c>
    </row>
    <row r="1762" spans="1:6" x14ac:dyDescent="0.3">
      <c r="A1762" t="s">
        <v>5</v>
      </c>
      <c r="B1762" s="1">
        <v>45731</v>
      </c>
      <c r="C1762">
        <v>9</v>
      </c>
      <c r="D1762">
        <v>6.3E-2</v>
      </c>
      <c r="E1762" t="s">
        <v>6</v>
      </c>
      <c r="F1762">
        <v>7.6540000000000011E-2</v>
      </c>
    </row>
    <row r="1763" spans="1:6" x14ac:dyDescent="0.3">
      <c r="A1763" t="s">
        <v>5</v>
      </c>
      <c r="B1763" s="1">
        <v>45731</v>
      </c>
      <c r="C1763">
        <v>10</v>
      </c>
      <c r="D1763">
        <v>6.6000000000000003E-2</v>
      </c>
      <c r="E1763" t="s">
        <v>6</v>
      </c>
      <c r="F1763">
        <v>3.2039999999999999E-2</v>
      </c>
    </row>
    <row r="1764" spans="1:6" x14ac:dyDescent="0.3">
      <c r="A1764" t="s">
        <v>5</v>
      </c>
      <c r="B1764" s="1">
        <v>45731</v>
      </c>
      <c r="C1764">
        <v>11</v>
      </c>
      <c r="D1764">
        <v>7.0999999999999994E-2</v>
      </c>
      <c r="E1764" t="s">
        <v>6</v>
      </c>
      <c r="F1764">
        <v>2.6539999999999998E-2</v>
      </c>
    </row>
    <row r="1765" spans="1:6" x14ac:dyDescent="0.3">
      <c r="A1765" t="s">
        <v>5</v>
      </c>
      <c r="B1765" s="1">
        <v>45731</v>
      </c>
      <c r="C1765">
        <v>12</v>
      </c>
      <c r="D1765">
        <v>5.8999999999999997E-2</v>
      </c>
      <c r="E1765" t="s">
        <v>6</v>
      </c>
      <c r="F1765">
        <v>2.7660000000000001E-2</v>
      </c>
    </row>
    <row r="1766" spans="1:6" x14ac:dyDescent="0.3">
      <c r="A1766" t="s">
        <v>5</v>
      </c>
      <c r="B1766" s="1">
        <v>45731</v>
      </c>
      <c r="C1766">
        <v>13</v>
      </c>
      <c r="D1766">
        <v>7.8E-2</v>
      </c>
      <c r="E1766" t="s">
        <v>6</v>
      </c>
      <c r="F1766">
        <v>2.759E-2</v>
      </c>
    </row>
    <row r="1767" spans="1:6" x14ac:dyDescent="0.3">
      <c r="A1767" t="s">
        <v>5</v>
      </c>
      <c r="B1767" s="1">
        <v>45731</v>
      </c>
      <c r="C1767">
        <v>14</v>
      </c>
      <c r="D1767">
        <v>5.8999999999999997E-2</v>
      </c>
      <c r="E1767" t="s">
        <v>6</v>
      </c>
      <c r="F1767">
        <v>2.7550000000000002E-2</v>
      </c>
    </row>
    <row r="1768" spans="1:6" x14ac:dyDescent="0.3">
      <c r="A1768" t="s">
        <v>5</v>
      </c>
      <c r="B1768" s="1">
        <v>45731</v>
      </c>
      <c r="C1768">
        <v>15</v>
      </c>
      <c r="D1768">
        <v>7.5999999999999998E-2</v>
      </c>
      <c r="E1768" t="s">
        <v>6</v>
      </c>
      <c r="F1768">
        <v>2.784E-2</v>
      </c>
    </row>
    <row r="1769" spans="1:6" x14ac:dyDescent="0.3">
      <c r="A1769" t="s">
        <v>5</v>
      </c>
      <c r="B1769" s="1">
        <v>45731</v>
      </c>
      <c r="C1769">
        <v>16</v>
      </c>
      <c r="D1769">
        <v>6.0999999999999999E-2</v>
      </c>
      <c r="E1769" t="s">
        <v>6</v>
      </c>
      <c r="F1769">
        <v>2.862E-2</v>
      </c>
    </row>
    <row r="1770" spans="1:6" x14ac:dyDescent="0.3">
      <c r="A1770" t="s">
        <v>5</v>
      </c>
      <c r="B1770" s="1">
        <v>45731</v>
      </c>
      <c r="C1770">
        <v>17</v>
      </c>
      <c r="D1770">
        <v>6.8000000000000005E-2</v>
      </c>
      <c r="E1770" t="s">
        <v>6</v>
      </c>
      <c r="F1770">
        <v>2.9049999999999999E-2</v>
      </c>
    </row>
    <row r="1771" spans="1:6" x14ac:dyDescent="0.3">
      <c r="A1771" t="s">
        <v>5</v>
      </c>
      <c r="B1771" s="1">
        <v>45731</v>
      </c>
      <c r="C1771">
        <v>18</v>
      </c>
      <c r="D1771">
        <v>6.9000000000000006E-2</v>
      </c>
      <c r="E1771" t="s">
        <v>6</v>
      </c>
      <c r="F1771">
        <v>6.7459999999999992E-2</v>
      </c>
    </row>
    <row r="1772" spans="1:6" x14ac:dyDescent="0.3">
      <c r="A1772" t="s">
        <v>5</v>
      </c>
      <c r="B1772" s="1">
        <v>45731</v>
      </c>
      <c r="C1772">
        <v>19</v>
      </c>
      <c r="D1772">
        <v>0.06</v>
      </c>
      <c r="E1772" t="s">
        <v>6</v>
      </c>
      <c r="F1772">
        <v>0.13334000000000001</v>
      </c>
    </row>
    <row r="1773" spans="1:6" x14ac:dyDescent="0.3">
      <c r="A1773" t="s">
        <v>5</v>
      </c>
      <c r="B1773" s="1">
        <v>45731</v>
      </c>
      <c r="C1773">
        <v>20</v>
      </c>
      <c r="D1773">
        <v>7.5999999999999998E-2</v>
      </c>
      <c r="E1773" t="s">
        <v>6</v>
      </c>
      <c r="F1773">
        <v>0.18687999999999999</v>
      </c>
    </row>
    <row r="1774" spans="1:6" x14ac:dyDescent="0.3">
      <c r="A1774" t="s">
        <v>5</v>
      </c>
      <c r="B1774" s="1">
        <v>45731</v>
      </c>
      <c r="C1774">
        <v>21</v>
      </c>
      <c r="D1774">
        <v>5.8999999999999997E-2</v>
      </c>
      <c r="E1774" t="s">
        <v>6</v>
      </c>
      <c r="F1774">
        <v>0.17144999999999999</v>
      </c>
    </row>
    <row r="1775" spans="1:6" x14ac:dyDescent="0.3">
      <c r="A1775" t="s">
        <v>5</v>
      </c>
      <c r="B1775" s="1">
        <v>45731</v>
      </c>
      <c r="C1775">
        <v>22</v>
      </c>
      <c r="D1775">
        <v>7.6999999999999999E-2</v>
      </c>
      <c r="E1775" t="s">
        <v>6</v>
      </c>
      <c r="F1775">
        <v>0.15897</v>
      </c>
    </row>
    <row r="1776" spans="1:6" x14ac:dyDescent="0.3">
      <c r="A1776" t="s">
        <v>5</v>
      </c>
      <c r="B1776" s="1">
        <v>45731</v>
      </c>
      <c r="C1776">
        <v>23</v>
      </c>
      <c r="D1776">
        <v>5.8999999999999997E-2</v>
      </c>
      <c r="E1776" t="s">
        <v>6</v>
      </c>
      <c r="F1776">
        <v>0.15659000000000001</v>
      </c>
    </row>
    <row r="1777" spans="1:6" x14ac:dyDescent="0.3">
      <c r="A1777" t="s">
        <v>5</v>
      </c>
      <c r="B1777" s="1">
        <v>45731</v>
      </c>
      <c r="C1777">
        <v>24</v>
      </c>
      <c r="D1777">
        <v>6.8000000000000005E-2</v>
      </c>
      <c r="E1777" t="s">
        <v>6</v>
      </c>
      <c r="F1777">
        <v>0.14615999999999998</v>
      </c>
    </row>
    <row r="1778" spans="1:6" x14ac:dyDescent="0.3">
      <c r="A1778" t="s">
        <v>5</v>
      </c>
      <c r="B1778" s="1">
        <v>45732</v>
      </c>
      <c r="C1778">
        <v>1</v>
      </c>
      <c r="D1778">
        <v>6.9000000000000006E-2</v>
      </c>
      <c r="E1778" t="s">
        <v>6</v>
      </c>
      <c r="F1778">
        <v>0.1318</v>
      </c>
    </row>
    <row r="1779" spans="1:6" x14ac:dyDescent="0.3">
      <c r="A1779" t="s">
        <v>5</v>
      </c>
      <c r="B1779" s="1">
        <v>45732</v>
      </c>
      <c r="C1779">
        <v>2</v>
      </c>
      <c r="D1779">
        <v>5.8999999999999997E-2</v>
      </c>
      <c r="E1779" t="s">
        <v>6</v>
      </c>
      <c r="F1779">
        <v>0.12079000000000001</v>
      </c>
    </row>
    <row r="1780" spans="1:6" x14ac:dyDescent="0.3">
      <c r="A1780" t="s">
        <v>5</v>
      </c>
      <c r="B1780" s="1">
        <v>45732</v>
      </c>
      <c r="C1780">
        <v>3</v>
      </c>
      <c r="D1780">
        <v>7.8E-2</v>
      </c>
      <c r="E1780" t="s">
        <v>6</v>
      </c>
      <c r="F1780">
        <v>0.11833</v>
      </c>
    </row>
    <row r="1781" spans="1:6" x14ac:dyDescent="0.3">
      <c r="A1781" t="s">
        <v>5</v>
      </c>
      <c r="B1781" s="1">
        <v>45732</v>
      </c>
      <c r="C1781">
        <v>4</v>
      </c>
      <c r="D1781">
        <v>5.8999999999999997E-2</v>
      </c>
      <c r="E1781" t="s">
        <v>6</v>
      </c>
      <c r="F1781">
        <v>0.12066</v>
      </c>
    </row>
    <row r="1782" spans="1:6" x14ac:dyDescent="0.3">
      <c r="A1782" t="s">
        <v>5</v>
      </c>
      <c r="B1782" s="1">
        <v>45732</v>
      </c>
      <c r="C1782">
        <v>5</v>
      </c>
      <c r="D1782">
        <v>7.3999999999999996E-2</v>
      </c>
      <c r="E1782" t="s">
        <v>6</v>
      </c>
      <c r="F1782">
        <v>0.11909</v>
      </c>
    </row>
    <row r="1783" spans="1:6" x14ac:dyDescent="0.3">
      <c r="A1783" t="s">
        <v>5</v>
      </c>
      <c r="B1783" s="1">
        <v>45732</v>
      </c>
      <c r="C1783">
        <v>6</v>
      </c>
      <c r="D1783">
        <v>6.2E-2</v>
      </c>
      <c r="E1783" t="s">
        <v>6</v>
      </c>
      <c r="F1783">
        <v>0.12104999999999999</v>
      </c>
    </row>
    <row r="1784" spans="1:6" x14ac:dyDescent="0.3">
      <c r="A1784" t="s">
        <v>5</v>
      </c>
      <c r="B1784" s="1">
        <v>45732</v>
      </c>
      <c r="C1784">
        <v>7</v>
      </c>
      <c r="D1784">
        <v>6.3E-2</v>
      </c>
      <c r="E1784" t="s">
        <v>6</v>
      </c>
      <c r="F1784">
        <v>0.12005</v>
      </c>
    </row>
    <row r="1785" spans="1:6" x14ac:dyDescent="0.3">
      <c r="A1785" t="s">
        <v>5</v>
      </c>
      <c r="B1785" s="1">
        <v>45732</v>
      </c>
      <c r="C1785">
        <v>8</v>
      </c>
      <c r="D1785">
        <v>7.3999999999999996E-2</v>
      </c>
      <c r="E1785" t="s">
        <v>6</v>
      </c>
      <c r="F1785">
        <v>0.12204999999999999</v>
      </c>
    </row>
    <row r="1786" spans="1:6" x14ac:dyDescent="0.3">
      <c r="A1786" t="s">
        <v>5</v>
      </c>
      <c r="B1786" s="1">
        <v>45732</v>
      </c>
      <c r="C1786">
        <v>9</v>
      </c>
      <c r="D1786">
        <v>5.8000000000000003E-2</v>
      </c>
      <c r="E1786" t="s">
        <v>6</v>
      </c>
      <c r="F1786">
        <v>0.12135</v>
      </c>
    </row>
    <row r="1787" spans="1:6" x14ac:dyDescent="0.3">
      <c r="A1787" t="s">
        <v>5</v>
      </c>
      <c r="B1787" s="1">
        <v>45732</v>
      </c>
      <c r="C1787">
        <v>10</v>
      </c>
      <c r="D1787">
        <v>7.6999999999999999E-2</v>
      </c>
      <c r="E1787" t="s">
        <v>6</v>
      </c>
      <c r="F1787">
        <v>8.7980000000000003E-2</v>
      </c>
    </row>
    <row r="1788" spans="1:6" x14ac:dyDescent="0.3">
      <c r="A1788" t="s">
        <v>5</v>
      </c>
      <c r="B1788" s="1">
        <v>45732</v>
      </c>
      <c r="C1788">
        <v>11</v>
      </c>
      <c r="D1788">
        <v>5.8999999999999997E-2</v>
      </c>
      <c r="E1788" t="s">
        <v>6</v>
      </c>
      <c r="F1788">
        <v>6.0749999999999998E-2</v>
      </c>
    </row>
    <row r="1789" spans="1:6" x14ac:dyDescent="0.3">
      <c r="A1789" t="s">
        <v>5</v>
      </c>
      <c r="B1789" s="1">
        <v>45732</v>
      </c>
      <c r="C1789">
        <v>12</v>
      </c>
      <c r="D1789">
        <v>6.6000000000000003E-2</v>
      </c>
      <c r="E1789" t="s">
        <v>6</v>
      </c>
      <c r="F1789">
        <v>3.8039999999999997E-2</v>
      </c>
    </row>
    <row r="1790" spans="1:6" x14ac:dyDescent="0.3">
      <c r="A1790" t="s">
        <v>5</v>
      </c>
      <c r="B1790" s="1">
        <v>45732</v>
      </c>
      <c r="C1790">
        <v>13</v>
      </c>
      <c r="D1790">
        <v>7.0000000000000007E-2</v>
      </c>
      <c r="E1790" t="s">
        <v>6</v>
      </c>
      <c r="F1790">
        <v>3.6420000000000001E-2</v>
      </c>
    </row>
    <row r="1791" spans="1:6" x14ac:dyDescent="0.3">
      <c r="A1791" t="s">
        <v>5</v>
      </c>
      <c r="B1791" s="1">
        <v>45732</v>
      </c>
      <c r="C1791">
        <v>14</v>
      </c>
      <c r="D1791">
        <v>5.8999999999999997E-2</v>
      </c>
      <c r="E1791" t="s">
        <v>6</v>
      </c>
      <c r="F1791">
        <v>3.7319999999999999E-2</v>
      </c>
    </row>
    <row r="1792" spans="1:6" x14ac:dyDescent="0.3">
      <c r="A1792" t="s">
        <v>5</v>
      </c>
      <c r="B1792" s="1">
        <v>45732</v>
      </c>
      <c r="C1792">
        <v>15</v>
      </c>
      <c r="D1792">
        <v>7.6999999999999999E-2</v>
      </c>
      <c r="E1792" t="s">
        <v>6</v>
      </c>
      <c r="F1792">
        <v>3.6130000000000002E-2</v>
      </c>
    </row>
    <row r="1793" spans="1:6" x14ac:dyDescent="0.3">
      <c r="A1793" t="s">
        <v>5</v>
      </c>
      <c r="B1793" s="1">
        <v>45732</v>
      </c>
      <c r="C1793">
        <v>16</v>
      </c>
      <c r="D1793">
        <v>5.8000000000000003E-2</v>
      </c>
      <c r="E1793" t="s">
        <v>6</v>
      </c>
      <c r="F1793">
        <v>3.3689999999999998E-2</v>
      </c>
    </row>
    <row r="1794" spans="1:6" x14ac:dyDescent="0.3">
      <c r="A1794" t="s">
        <v>5</v>
      </c>
      <c r="B1794" s="1">
        <v>45732</v>
      </c>
      <c r="C1794">
        <v>17</v>
      </c>
      <c r="D1794">
        <v>7.0000000000000007E-2</v>
      </c>
      <c r="E1794" t="s">
        <v>6</v>
      </c>
      <c r="F1794">
        <v>6.5560000000000007E-2</v>
      </c>
    </row>
    <row r="1795" spans="1:6" x14ac:dyDescent="0.3">
      <c r="A1795" t="s">
        <v>5</v>
      </c>
      <c r="B1795" s="1">
        <v>45732</v>
      </c>
      <c r="C1795">
        <v>18</v>
      </c>
      <c r="D1795">
        <v>6.7000000000000004E-2</v>
      </c>
      <c r="E1795" t="s">
        <v>6</v>
      </c>
      <c r="F1795">
        <v>8.8109999999999994E-2</v>
      </c>
    </row>
    <row r="1796" spans="1:6" x14ac:dyDescent="0.3">
      <c r="A1796" t="s">
        <v>5</v>
      </c>
      <c r="B1796" s="1">
        <v>45732</v>
      </c>
      <c r="C1796">
        <v>19</v>
      </c>
      <c r="D1796">
        <v>5.8999999999999997E-2</v>
      </c>
      <c r="E1796" t="s">
        <v>6</v>
      </c>
      <c r="F1796">
        <v>0.12869</v>
      </c>
    </row>
    <row r="1797" spans="1:6" x14ac:dyDescent="0.3">
      <c r="A1797" t="s">
        <v>5</v>
      </c>
      <c r="B1797" s="1">
        <v>45732</v>
      </c>
      <c r="C1797">
        <v>20</v>
      </c>
      <c r="D1797">
        <v>7.6999999999999999E-2</v>
      </c>
      <c r="E1797" t="s">
        <v>6</v>
      </c>
      <c r="F1797">
        <v>0.19069</v>
      </c>
    </row>
    <row r="1798" spans="1:6" x14ac:dyDescent="0.3">
      <c r="A1798" t="s">
        <v>5</v>
      </c>
      <c r="B1798" s="1">
        <v>45732</v>
      </c>
      <c r="C1798">
        <v>21</v>
      </c>
      <c r="D1798">
        <v>0.20399999999999999</v>
      </c>
      <c r="E1798" t="s">
        <v>6</v>
      </c>
      <c r="F1798">
        <v>0.17915</v>
      </c>
    </row>
    <row r="1799" spans="1:6" x14ac:dyDescent="0.3">
      <c r="A1799" t="s">
        <v>5</v>
      </c>
      <c r="B1799" s="1">
        <v>45732</v>
      </c>
      <c r="C1799">
        <v>22</v>
      </c>
      <c r="D1799">
        <v>0.27</v>
      </c>
      <c r="E1799" t="s">
        <v>6</v>
      </c>
      <c r="F1799">
        <v>0.16044</v>
      </c>
    </row>
    <row r="1800" spans="1:6" x14ac:dyDescent="0.3">
      <c r="A1800" t="s">
        <v>5</v>
      </c>
      <c r="B1800" s="1">
        <v>45732</v>
      </c>
      <c r="C1800">
        <v>23</v>
      </c>
      <c r="D1800">
        <v>0.42599999999999999</v>
      </c>
      <c r="E1800" t="s">
        <v>6</v>
      </c>
      <c r="F1800">
        <v>0.15484000000000001</v>
      </c>
    </row>
    <row r="1801" spans="1:6" x14ac:dyDescent="0.3">
      <c r="A1801" t="s">
        <v>5</v>
      </c>
      <c r="B1801" s="1">
        <v>45732</v>
      </c>
      <c r="C1801">
        <v>24</v>
      </c>
      <c r="D1801">
        <v>1.01</v>
      </c>
      <c r="E1801" t="s">
        <v>6</v>
      </c>
      <c r="F1801">
        <v>0.13683000000000001</v>
      </c>
    </row>
    <row r="1802" spans="1:6" x14ac:dyDescent="0.3">
      <c r="A1802" t="s">
        <v>5</v>
      </c>
      <c r="B1802" s="1">
        <v>45733</v>
      </c>
      <c r="C1802">
        <v>1</v>
      </c>
      <c r="D1802">
        <v>0.74299999999999999</v>
      </c>
      <c r="E1802" t="s">
        <v>6</v>
      </c>
      <c r="F1802">
        <v>0.12165000000000001</v>
      </c>
    </row>
    <row r="1803" spans="1:6" x14ac:dyDescent="0.3">
      <c r="A1803" t="s">
        <v>5</v>
      </c>
      <c r="B1803" s="1">
        <v>45733</v>
      </c>
      <c r="C1803">
        <v>2</v>
      </c>
      <c r="D1803">
        <v>8.3000000000000004E-2</v>
      </c>
      <c r="E1803" t="s">
        <v>6</v>
      </c>
      <c r="F1803">
        <v>0.11137000000000001</v>
      </c>
    </row>
    <row r="1804" spans="1:6" x14ac:dyDescent="0.3">
      <c r="A1804" t="s">
        <v>5</v>
      </c>
      <c r="B1804" s="1">
        <v>45733</v>
      </c>
      <c r="C1804">
        <v>3</v>
      </c>
      <c r="D1804">
        <v>6.8000000000000005E-2</v>
      </c>
      <c r="E1804" t="s">
        <v>6</v>
      </c>
      <c r="F1804">
        <v>0.11617</v>
      </c>
    </row>
    <row r="1805" spans="1:6" x14ac:dyDescent="0.3">
      <c r="A1805" t="s">
        <v>5</v>
      </c>
      <c r="B1805" s="1">
        <v>45733</v>
      </c>
      <c r="C1805">
        <v>4</v>
      </c>
      <c r="D1805">
        <v>8.3000000000000004E-2</v>
      </c>
      <c r="E1805" t="s">
        <v>6</v>
      </c>
      <c r="F1805">
        <v>0.11376</v>
      </c>
    </row>
    <row r="1806" spans="1:6" x14ac:dyDescent="0.3">
      <c r="A1806" t="s">
        <v>5</v>
      </c>
      <c r="B1806" s="1">
        <v>45733</v>
      </c>
      <c r="C1806">
        <v>5</v>
      </c>
      <c r="D1806">
        <v>6.0999999999999999E-2</v>
      </c>
      <c r="E1806" t="s">
        <v>6</v>
      </c>
      <c r="F1806">
        <v>0.11362</v>
      </c>
    </row>
    <row r="1807" spans="1:6" x14ac:dyDescent="0.3">
      <c r="A1807" t="s">
        <v>5</v>
      </c>
      <c r="B1807" s="1">
        <v>45733</v>
      </c>
      <c r="C1807">
        <v>6</v>
      </c>
      <c r="D1807">
        <v>7.5999999999999998E-2</v>
      </c>
      <c r="E1807" t="s">
        <v>6</v>
      </c>
      <c r="F1807">
        <v>0.11068</v>
      </c>
    </row>
    <row r="1808" spans="1:6" x14ac:dyDescent="0.3">
      <c r="A1808" t="s">
        <v>5</v>
      </c>
      <c r="B1808" s="1">
        <v>45733</v>
      </c>
      <c r="C1808">
        <v>7</v>
      </c>
      <c r="D1808">
        <v>6.6000000000000003E-2</v>
      </c>
      <c r="E1808" t="s">
        <v>6</v>
      </c>
      <c r="F1808">
        <v>0.11949</v>
      </c>
    </row>
    <row r="1809" spans="1:6" x14ac:dyDescent="0.3">
      <c r="A1809" t="s">
        <v>5</v>
      </c>
      <c r="B1809" s="1">
        <v>45733</v>
      </c>
      <c r="C1809">
        <v>8</v>
      </c>
      <c r="D1809">
        <v>0.14499999999999999</v>
      </c>
      <c r="E1809" t="s">
        <v>6</v>
      </c>
      <c r="F1809">
        <v>0.17691999999999999</v>
      </c>
    </row>
    <row r="1810" spans="1:6" x14ac:dyDescent="0.3">
      <c r="A1810" t="s">
        <v>5</v>
      </c>
      <c r="B1810" s="1">
        <v>45733</v>
      </c>
      <c r="C1810">
        <v>9</v>
      </c>
      <c r="D1810">
        <v>7.4999999999999997E-2</v>
      </c>
      <c r="E1810" t="s">
        <v>6</v>
      </c>
      <c r="F1810">
        <v>0.2064</v>
      </c>
    </row>
    <row r="1811" spans="1:6" x14ac:dyDescent="0.3">
      <c r="A1811" t="s">
        <v>5</v>
      </c>
      <c r="B1811" s="1">
        <v>45733</v>
      </c>
      <c r="C1811">
        <v>10</v>
      </c>
      <c r="D1811">
        <v>0.111</v>
      </c>
      <c r="E1811" t="s">
        <v>6</v>
      </c>
      <c r="F1811">
        <v>0.15481999999999999</v>
      </c>
    </row>
    <row r="1812" spans="1:6" x14ac:dyDescent="0.3">
      <c r="A1812" t="s">
        <v>5</v>
      </c>
      <c r="B1812" s="1">
        <v>45733</v>
      </c>
      <c r="C1812">
        <v>11</v>
      </c>
      <c r="D1812">
        <v>7.5999999999999998E-2</v>
      </c>
      <c r="E1812" t="s">
        <v>6</v>
      </c>
      <c r="F1812">
        <v>0.20227000000000001</v>
      </c>
    </row>
    <row r="1813" spans="1:6" x14ac:dyDescent="0.3">
      <c r="A1813" t="s">
        <v>5</v>
      </c>
      <c r="B1813" s="1">
        <v>45733</v>
      </c>
      <c r="C1813">
        <v>12</v>
      </c>
      <c r="D1813">
        <v>0.06</v>
      </c>
      <c r="E1813" t="s">
        <v>6</v>
      </c>
      <c r="F1813">
        <v>0.18731</v>
      </c>
    </row>
    <row r="1814" spans="1:6" x14ac:dyDescent="0.3">
      <c r="A1814" t="s">
        <v>5</v>
      </c>
      <c r="B1814" s="1">
        <v>45733</v>
      </c>
      <c r="C1814">
        <v>13</v>
      </c>
      <c r="D1814">
        <v>7.5999999999999998E-2</v>
      </c>
      <c r="E1814" t="s">
        <v>6</v>
      </c>
      <c r="F1814">
        <v>0.17296</v>
      </c>
    </row>
    <row r="1815" spans="1:6" x14ac:dyDescent="0.3">
      <c r="A1815" t="s">
        <v>5</v>
      </c>
      <c r="B1815" s="1">
        <v>45733</v>
      </c>
      <c r="C1815">
        <v>14</v>
      </c>
      <c r="D1815">
        <v>6.2E-2</v>
      </c>
      <c r="E1815" t="s">
        <v>6</v>
      </c>
      <c r="F1815">
        <v>0.16086</v>
      </c>
    </row>
    <row r="1816" spans="1:6" x14ac:dyDescent="0.3">
      <c r="A1816" t="s">
        <v>5</v>
      </c>
      <c r="B1816" s="1">
        <v>45733</v>
      </c>
      <c r="C1816">
        <v>15</v>
      </c>
      <c r="D1816">
        <v>0.23799999999999999</v>
      </c>
      <c r="E1816" t="s">
        <v>6</v>
      </c>
      <c r="F1816">
        <v>9.6540000000000001E-2</v>
      </c>
    </row>
    <row r="1817" spans="1:6" x14ac:dyDescent="0.3">
      <c r="A1817" t="s">
        <v>5</v>
      </c>
      <c r="B1817" s="1">
        <v>45733</v>
      </c>
      <c r="C1817">
        <v>16</v>
      </c>
      <c r="D1817">
        <v>0.13500000000000001</v>
      </c>
      <c r="E1817" t="s">
        <v>6</v>
      </c>
      <c r="F1817">
        <v>0.11286</v>
      </c>
    </row>
    <row r="1818" spans="1:6" x14ac:dyDescent="0.3">
      <c r="A1818" t="s">
        <v>5</v>
      </c>
      <c r="B1818" s="1">
        <v>45733</v>
      </c>
      <c r="C1818">
        <v>17</v>
      </c>
      <c r="D1818">
        <v>8.1000000000000003E-2</v>
      </c>
      <c r="E1818" t="s">
        <v>6</v>
      </c>
      <c r="F1818">
        <v>0.1235</v>
      </c>
    </row>
    <row r="1819" spans="1:6" x14ac:dyDescent="0.3">
      <c r="A1819" t="s">
        <v>5</v>
      </c>
      <c r="B1819" s="1">
        <v>45733</v>
      </c>
      <c r="C1819">
        <v>18</v>
      </c>
      <c r="D1819">
        <v>6.3E-2</v>
      </c>
      <c r="E1819" t="s">
        <v>6</v>
      </c>
      <c r="F1819">
        <v>0.13732</v>
      </c>
    </row>
    <row r="1820" spans="1:6" x14ac:dyDescent="0.3">
      <c r="A1820" t="s">
        <v>5</v>
      </c>
      <c r="B1820" s="1">
        <v>45733</v>
      </c>
      <c r="C1820">
        <v>19</v>
      </c>
      <c r="D1820">
        <v>0.14699999999999999</v>
      </c>
      <c r="E1820" t="s">
        <v>6</v>
      </c>
      <c r="F1820">
        <v>0.2389</v>
      </c>
    </row>
    <row r="1821" spans="1:6" x14ac:dyDescent="0.3">
      <c r="A1821" t="s">
        <v>5</v>
      </c>
      <c r="B1821" s="1">
        <v>45733</v>
      </c>
      <c r="C1821">
        <v>20</v>
      </c>
      <c r="D1821">
        <v>0.502</v>
      </c>
      <c r="E1821" t="s">
        <v>6</v>
      </c>
      <c r="F1821">
        <v>0.30352999999999997</v>
      </c>
    </row>
    <row r="1822" spans="1:6" x14ac:dyDescent="0.3">
      <c r="A1822" t="s">
        <v>5</v>
      </c>
      <c r="B1822" s="1">
        <v>45733</v>
      </c>
      <c r="C1822">
        <v>21</v>
      </c>
      <c r="D1822">
        <v>0.182</v>
      </c>
      <c r="E1822" t="s">
        <v>6</v>
      </c>
      <c r="F1822">
        <v>0.26917000000000002</v>
      </c>
    </row>
    <row r="1823" spans="1:6" x14ac:dyDescent="0.3">
      <c r="A1823" t="s">
        <v>5</v>
      </c>
      <c r="B1823" s="1">
        <v>45733</v>
      </c>
      <c r="C1823">
        <v>22</v>
      </c>
      <c r="D1823">
        <v>0.505</v>
      </c>
      <c r="E1823" t="s">
        <v>6</v>
      </c>
      <c r="F1823">
        <v>0.23377999999999999</v>
      </c>
    </row>
    <row r="1824" spans="1:6" x14ac:dyDescent="0.3">
      <c r="A1824" t="s">
        <v>5</v>
      </c>
      <c r="B1824" s="1">
        <v>45733</v>
      </c>
      <c r="C1824">
        <v>23</v>
      </c>
      <c r="D1824">
        <v>0.73899999999999999</v>
      </c>
      <c r="E1824" t="s">
        <v>6</v>
      </c>
      <c r="F1824">
        <v>0.16281999999999999</v>
      </c>
    </row>
    <row r="1825" spans="1:6" x14ac:dyDescent="0.3">
      <c r="A1825" t="s">
        <v>5</v>
      </c>
      <c r="B1825" s="1">
        <v>45733</v>
      </c>
      <c r="C1825">
        <v>24</v>
      </c>
      <c r="D1825">
        <v>0.41199999999999998</v>
      </c>
      <c r="E1825" t="s">
        <v>6</v>
      </c>
      <c r="F1825">
        <v>0.13244999999999998</v>
      </c>
    </row>
    <row r="1826" spans="1:6" x14ac:dyDescent="0.3">
      <c r="A1826" t="s">
        <v>5</v>
      </c>
      <c r="B1826" s="1">
        <v>45734</v>
      </c>
      <c r="C1826">
        <v>1</v>
      </c>
      <c r="D1826">
        <v>0.29199999999999998</v>
      </c>
      <c r="E1826" t="s">
        <v>6</v>
      </c>
      <c r="F1826">
        <v>0.11475</v>
      </c>
    </row>
    <row r="1827" spans="1:6" x14ac:dyDescent="0.3">
      <c r="A1827" t="s">
        <v>5</v>
      </c>
      <c r="B1827" s="1">
        <v>45734</v>
      </c>
      <c r="C1827">
        <v>2</v>
      </c>
      <c r="D1827">
        <v>0.17599999999999999</v>
      </c>
      <c r="E1827" t="s">
        <v>6</v>
      </c>
      <c r="F1827">
        <v>8.1119999999999998E-2</v>
      </c>
    </row>
    <row r="1828" spans="1:6" x14ac:dyDescent="0.3">
      <c r="A1828" t="s">
        <v>5</v>
      </c>
      <c r="B1828" s="1">
        <v>45734</v>
      </c>
      <c r="C1828">
        <v>3</v>
      </c>
      <c r="D1828">
        <v>0.16600000000000001</v>
      </c>
      <c r="E1828" t="s">
        <v>6</v>
      </c>
      <c r="F1828">
        <v>8.2530000000000006E-2</v>
      </c>
    </row>
    <row r="1829" spans="1:6" x14ac:dyDescent="0.3">
      <c r="A1829" t="s">
        <v>5</v>
      </c>
      <c r="B1829" s="1">
        <v>45734</v>
      </c>
      <c r="C1829">
        <v>4</v>
      </c>
      <c r="D1829">
        <v>0.13</v>
      </c>
      <c r="E1829" t="s">
        <v>6</v>
      </c>
      <c r="F1829">
        <v>8.2909999999999998E-2</v>
      </c>
    </row>
    <row r="1830" spans="1:6" x14ac:dyDescent="0.3">
      <c r="A1830" t="s">
        <v>5</v>
      </c>
      <c r="B1830" s="1">
        <v>45734</v>
      </c>
      <c r="C1830">
        <v>5</v>
      </c>
      <c r="D1830">
        <v>0.14099999999999999</v>
      </c>
      <c r="E1830" t="s">
        <v>6</v>
      </c>
      <c r="F1830">
        <v>8.276E-2</v>
      </c>
    </row>
    <row r="1831" spans="1:6" x14ac:dyDescent="0.3">
      <c r="A1831" t="s">
        <v>5</v>
      </c>
      <c r="B1831" s="1">
        <v>45734</v>
      </c>
      <c r="C1831">
        <v>6</v>
      </c>
      <c r="D1831">
        <v>0.13700000000000001</v>
      </c>
      <c r="E1831" t="s">
        <v>6</v>
      </c>
      <c r="F1831">
        <v>7.7810000000000004E-2</v>
      </c>
    </row>
    <row r="1832" spans="1:6" x14ac:dyDescent="0.3">
      <c r="A1832" t="s">
        <v>5</v>
      </c>
      <c r="B1832" s="1">
        <v>45734</v>
      </c>
      <c r="C1832">
        <v>7</v>
      </c>
      <c r="D1832">
        <v>0.13400000000000001</v>
      </c>
      <c r="E1832" t="s">
        <v>6</v>
      </c>
      <c r="F1832">
        <v>9.5700000000000007E-2</v>
      </c>
    </row>
    <row r="1833" spans="1:6" x14ac:dyDescent="0.3">
      <c r="A1833" t="s">
        <v>5</v>
      </c>
      <c r="B1833" s="1">
        <v>45734</v>
      </c>
      <c r="C1833">
        <v>8</v>
      </c>
      <c r="D1833">
        <v>0.17199999999999999</v>
      </c>
      <c r="E1833" t="s">
        <v>6</v>
      </c>
      <c r="F1833">
        <v>0.12181</v>
      </c>
    </row>
    <row r="1834" spans="1:6" x14ac:dyDescent="0.3">
      <c r="A1834" t="s">
        <v>5</v>
      </c>
      <c r="B1834" s="1">
        <v>45734</v>
      </c>
      <c r="C1834">
        <v>9</v>
      </c>
      <c r="D1834">
        <v>0.121</v>
      </c>
      <c r="E1834" t="s">
        <v>6</v>
      </c>
      <c r="F1834">
        <v>0.16633000000000001</v>
      </c>
    </row>
    <row r="1835" spans="1:6" x14ac:dyDescent="0.3">
      <c r="A1835" t="s">
        <v>5</v>
      </c>
      <c r="B1835" s="1">
        <v>45734</v>
      </c>
      <c r="C1835">
        <v>10</v>
      </c>
      <c r="D1835">
        <v>0.32300000000000001</v>
      </c>
      <c r="E1835" t="s">
        <v>6</v>
      </c>
      <c r="F1835">
        <v>0.13794999999999999</v>
      </c>
    </row>
    <row r="1836" spans="1:6" x14ac:dyDescent="0.3">
      <c r="A1836" t="s">
        <v>5</v>
      </c>
      <c r="B1836" s="1">
        <v>45734</v>
      </c>
      <c r="C1836">
        <v>11</v>
      </c>
      <c r="D1836">
        <v>0.23400000000000001</v>
      </c>
      <c r="E1836" t="s">
        <v>6</v>
      </c>
      <c r="F1836">
        <v>0.16209999999999999</v>
      </c>
    </row>
    <row r="1837" spans="1:6" x14ac:dyDescent="0.3">
      <c r="A1837" t="s">
        <v>5</v>
      </c>
      <c r="B1837" s="1">
        <v>45734</v>
      </c>
      <c r="C1837">
        <v>12</v>
      </c>
      <c r="D1837">
        <v>0.128</v>
      </c>
      <c r="E1837" t="s">
        <v>6</v>
      </c>
      <c r="F1837">
        <v>0.13175000000000001</v>
      </c>
    </row>
    <row r="1838" spans="1:6" x14ac:dyDescent="0.3">
      <c r="A1838" t="s">
        <v>5</v>
      </c>
      <c r="B1838" s="1">
        <v>45734</v>
      </c>
      <c r="C1838">
        <v>13</v>
      </c>
      <c r="D1838">
        <v>0.13900000000000001</v>
      </c>
      <c r="E1838" t="s">
        <v>6</v>
      </c>
      <c r="F1838">
        <v>0.14083000000000001</v>
      </c>
    </row>
    <row r="1839" spans="1:6" x14ac:dyDescent="0.3">
      <c r="A1839" t="s">
        <v>5</v>
      </c>
      <c r="B1839" s="1">
        <v>45734</v>
      </c>
      <c r="C1839">
        <v>14</v>
      </c>
      <c r="D1839">
        <v>0.124</v>
      </c>
      <c r="E1839" t="s">
        <v>6</v>
      </c>
      <c r="F1839">
        <v>0.11987</v>
      </c>
    </row>
    <row r="1840" spans="1:6" x14ac:dyDescent="0.3">
      <c r="A1840" t="s">
        <v>5</v>
      </c>
      <c r="B1840" s="1">
        <v>45734</v>
      </c>
      <c r="C1840">
        <v>15</v>
      </c>
      <c r="D1840">
        <v>0.153</v>
      </c>
      <c r="E1840" t="s">
        <v>6</v>
      </c>
      <c r="F1840">
        <v>5.5850000000000004E-2</v>
      </c>
    </row>
    <row r="1841" spans="1:6" x14ac:dyDescent="0.3">
      <c r="A1841" t="s">
        <v>5</v>
      </c>
      <c r="B1841" s="1">
        <v>45734</v>
      </c>
      <c r="C1841">
        <v>16</v>
      </c>
      <c r="D1841">
        <v>0.22800000000000001</v>
      </c>
      <c r="E1841" t="s">
        <v>6</v>
      </c>
      <c r="F1841">
        <v>8.2819999999999991E-2</v>
      </c>
    </row>
    <row r="1842" spans="1:6" x14ac:dyDescent="0.3">
      <c r="A1842" t="s">
        <v>5</v>
      </c>
      <c r="B1842" s="1">
        <v>45734</v>
      </c>
      <c r="C1842">
        <v>17</v>
      </c>
      <c r="D1842">
        <v>0.14099999999999999</v>
      </c>
      <c r="E1842" t="s">
        <v>6</v>
      </c>
      <c r="F1842">
        <v>9.6620000000000011E-2</v>
      </c>
    </row>
    <row r="1843" spans="1:6" x14ac:dyDescent="0.3">
      <c r="A1843" t="s">
        <v>5</v>
      </c>
      <c r="B1843" s="1">
        <v>45734</v>
      </c>
      <c r="C1843">
        <v>18</v>
      </c>
      <c r="D1843">
        <v>0.125</v>
      </c>
      <c r="E1843" t="s">
        <v>6</v>
      </c>
      <c r="F1843">
        <v>0.10403</v>
      </c>
    </row>
    <row r="1844" spans="1:6" x14ac:dyDescent="0.3">
      <c r="A1844" t="s">
        <v>5</v>
      </c>
      <c r="B1844" s="1">
        <v>45734</v>
      </c>
      <c r="C1844">
        <v>19</v>
      </c>
      <c r="D1844">
        <v>0.16200000000000001</v>
      </c>
      <c r="E1844" t="s">
        <v>6</v>
      </c>
      <c r="F1844">
        <v>0.20655999999999999</v>
      </c>
    </row>
    <row r="1845" spans="1:6" x14ac:dyDescent="0.3">
      <c r="A1845" t="s">
        <v>5</v>
      </c>
      <c r="B1845" s="1">
        <v>45734</v>
      </c>
      <c r="C1845">
        <v>20</v>
      </c>
      <c r="D1845">
        <v>0.16300000000000001</v>
      </c>
      <c r="E1845" t="s">
        <v>6</v>
      </c>
      <c r="F1845">
        <v>0.29561999999999999</v>
      </c>
    </row>
    <row r="1846" spans="1:6" x14ac:dyDescent="0.3">
      <c r="A1846" t="s">
        <v>5</v>
      </c>
      <c r="B1846" s="1">
        <v>45734</v>
      </c>
      <c r="C1846">
        <v>21</v>
      </c>
      <c r="D1846">
        <v>0.65500000000000003</v>
      </c>
      <c r="E1846" t="s">
        <v>6</v>
      </c>
      <c r="F1846">
        <v>0.27888999999999997</v>
      </c>
    </row>
    <row r="1847" spans="1:6" x14ac:dyDescent="0.3">
      <c r="A1847" t="s">
        <v>5</v>
      </c>
      <c r="B1847" s="1">
        <v>45734</v>
      </c>
      <c r="C1847">
        <v>22</v>
      </c>
      <c r="D1847">
        <v>0.31</v>
      </c>
      <c r="E1847" t="s">
        <v>6</v>
      </c>
      <c r="F1847">
        <v>0.24306</v>
      </c>
    </row>
    <row r="1848" spans="1:6" x14ac:dyDescent="0.3">
      <c r="A1848" t="s">
        <v>5</v>
      </c>
      <c r="B1848" s="1">
        <v>45734</v>
      </c>
      <c r="C1848">
        <v>23</v>
      </c>
      <c r="D1848">
        <v>0.59299999999999997</v>
      </c>
      <c r="E1848" t="s">
        <v>6</v>
      </c>
      <c r="F1848">
        <v>0.16178999999999999</v>
      </c>
    </row>
    <row r="1849" spans="1:6" x14ac:dyDescent="0.3">
      <c r="A1849" t="s">
        <v>5</v>
      </c>
      <c r="B1849" s="1">
        <v>45734</v>
      </c>
      <c r="C1849">
        <v>24</v>
      </c>
      <c r="D1849">
        <v>0.255</v>
      </c>
      <c r="E1849" t="s">
        <v>6</v>
      </c>
      <c r="F1849">
        <v>0.1497</v>
      </c>
    </row>
    <row r="1850" spans="1:6" x14ac:dyDescent="0.3">
      <c r="A1850" t="s">
        <v>5</v>
      </c>
      <c r="B1850" s="1">
        <v>45735</v>
      </c>
      <c r="C1850">
        <v>1</v>
      </c>
      <c r="D1850">
        <v>8.8999999999999996E-2</v>
      </c>
      <c r="E1850" t="s">
        <v>6</v>
      </c>
      <c r="F1850">
        <v>0.10457</v>
      </c>
    </row>
    <row r="1851" spans="1:6" x14ac:dyDescent="0.3">
      <c r="A1851" t="s">
        <v>5</v>
      </c>
      <c r="B1851" s="1">
        <v>45735</v>
      </c>
      <c r="C1851">
        <v>2</v>
      </c>
      <c r="D1851">
        <v>0.154</v>
      </c>
      <c r="E1851" t="s">
        <v>6</v>
      </c>
      <c r="F1851">
        <v>0.10215</v>
      </c>
    </row>
    <row r="1852" spans="1:6" x14ac:dyDescent="0.3">
      <c r="A1852" t="s">
        <v>5</v>
      </c>
      <c r="B1852" s="1">
        <v>45735</v>
      </c>
      <c r="C1852">
        <v>3</v>
      </c>
      <c r="D1852">
        <v>0.158</v>
      </c>
      <c r="E1852" t="s">
        <v>6</v>
      </c>
      <c r="F1852">
        <v>9.7209999999999991E-2</v>
      </c>
    </row>
    <row r="1853" spans="1:6" x14ac:dyDescent="0.3">
      <c r="A1853" t="s">
        <v>5</v>
      </c>
      <c r="B1853" s="1">
        <v>45735</v>
      </c>
      <c r="C1853">
        <v>4</v>
      </c>
      <c r="D1853">
        <v>0.127</v>
      </c>
      <c r="E1853" t="s">
        <v>6</v>
      </c>
      <c r="F1853">
        <v>8.813E-2</v>
      </c>
    </row>
    <row r="1854" spans="1:6" x14ac:dyDescent="0.3">
      <c r="A1854" t="s">
        <v>5</v>
      </c>
      <c r="B1854" s="1">
        <v>45735</v>
      </c>
      <c r="C1854">
        <v>5</v>
      </c>
      <c r="D1854">
        <v>0.14000000000000001</v>
      </c>
      <c r="E1854" t="s">
        <v>6</v>
      </c>
      <c r="F1854">
        <v>8.9419999999999999E-2</v>
      </c>
    </row>
    <row r="1855" spans="1:6" x14ac:dyDescent="0.3">
      <c r="A1855" t="s">
        <v>5</v>
      </c>
      <c r="B1855" s="1">
        <v>45735</v>
      </c>
      <c r="C1855">
        <v>6</v>
      </c>
      <c r="D1855">
        <v>0.14599999999999999</v>
      </c>
      <c r="E1855" t="s">
        <v>6</v>
      </c>
      <c r="F1855">
        <v>8.8779999999999998E-2</v>
      </c>
    </row>
    <row r="1856" spans="1:6" x14ac:dyDescent="0.3">
      <c r="A1856" t="s">
        <v>5</v>
      </c>
      <c r="B1856" s="1">
        <v>45735</v>
      </c>
      <c r="C1856">
        <v>7</v>
      </c>
      <c r="D1856">
        <v>0.128</v>
      </c>
      <c r="E1856" t="s">
        <v>6</v>
      </c>
      <c r="F1856">
        <v>0.12420999999999999</v>
      </c>
    </row>
    <row r="1857" spans="1:6" x14ac:dyDescent="0.3">
      <c r="A1857" t="s">
        <v>5</v>
      </c>
      <c r="B1857" s="1">
        <v>45735</v>
      </c>
      <c r="C1857">
        <v>8</v>
      </c>
      <c r="D1857">
        <v>0.16900000000000001</v>
      </c>
      <c r="E1857" t="s">
        <v>6</v>
      </c>
      <c r="F1857">
        <v>0.17369000000000001</v>
      </c>
    </row>
    <row r="1858" spans="1:6" x14ac:dyDescent="0.3">
      <c r="A1858" t="s">
        <v>5</v>
      </c>
      <c r="B1858" s="1">
        <v>45735</v>
      </c>
      <c r="C1858">
        <v>9</v>
      </c>
      <c r="D1858">
        <v>0.13400000000000001</v>
      </c>
      <c r="E1858" t="s">
        <v>6</v>
      </c>
      <c r="F1858">
        <v>0.11137000000000001</v>
      </c>
    </row>
    <row r="1859" spans="1:6" x14ac:dyDescent="0.3">
      <c r="A1859" t="s">
        <v>5</v>
      </c>
      <c r="B1859" s="1">
        <v>45735</v>
      </c>
      <c r="C1859">
        <v>10</v>
      </c>
      <c r="D1859">
        <v>0.222</v>
      </c>
      <c r="E1859" t="s">
        <v>6</v>
      </c>
      <c r="F1859">
        <v>9.176999999999999E-2</v>
      </c>
    </row>
    <row r="1860" spans="1:6" x14ac:dyDescent="0.3">
      <c r="A1860" t="s">
        <v>5</v>
      </c>
      <c r="B1860" s="1">
        <v>45735</v>
      </c>
      <c r="C1860">
        <v>11</v>
      </c>
      <c r="D1860">
        <v>0.221</v>
      </c>
      <c r="E1860" t="s">
        <v>6</v>
      </c>
      <c r="F1860">
        <v>0.14113999999999999</v>
      </c>
    </row>
    <row r="1861" spans="1:6" x14ac:dyDescent="0.3">
      <c r="A1861" t="s">
        <v>5</v>
      </c>
      <c r="B1861" s="1">
        <v>45735</v>
      </c>
      <c r="C1861">
        <v>12</v>
      </c>
      <c r="D1861">
        <v>0.127</v>
      </c>
      <c r="E1861" t="s">
        <v>6</v>
      </c>
      <c r="F1861">
        <v>0.13611999999999999</v>
      </c>
    </row>
    <row r="1862" spans="1:6" x14ac:dyDescent="0.3">
      <c r="A1862" t="s">
        <v>5</v>
      </c>
      <c r="B1862" s="1">
        <v>45735</v>
      </c>
      <c r="C1862">
        <v>13</v>
      </c>
      <c r="D1862">
        <v>0.13500000000000001</v>
      </c>
      <c r="E1862" t="s">
        <v>6</v>
      </c>
      <c r="F1862">
        <v>0.13586000000000001</v>
      </c>
    </row>
    <row r="1863" spans="1:6" x14ac:dyDescent="0.3">
      <c r="A1863" t="s">
        <v>5</v>
      </c>
      <c r="B1863" s="1">
        <v>45735</v>
      </c>
      <c r="C1863">
        <v>14</v>
      </c>
      <c r="D1863">
        <v>0.13700000000000001</v>
      </c>
      <c r="E1863" t="s">
        <v>6</v>
      </c>
      <c r="F1863">
        <v>0.13324</v>
      </c>
    </row>
    <row r="1864" spans="1:6" x14ac:dyDescent="0.3">
      <c r="A1864" t="s">
        <v>5</v>
      </c>
      <c r="B1864" s="1">
        <v>45735</v>
      </c>
      <c r="C1864">
        <v>15</v>
      </c>
      <c r="D1864">
        <v>0.123</v>
      </c>
      <c r="E1864" t="s">
        <v>6</v>
      </c>
      <c r="F1864">
        <v>6.9739999999999996E-2</v>
      </c>
    </row>
    <row r="1865" spans="1:6" x14ac:dyDescent="0.3">
      <c r="A1865" t="s">
        <v>5</v>
      </c>
      <c r="B1865" s="1">
        <v>45735</v>
      </c>
      <c r="C1865">
        <v>16</v>
      </c>
      <c r="D1865">
        <v>0.44900000000000001</v>
      </c>
      <c r="E1865" t="s">
        <v>6</v>
      </c>
      <c r="F1865">
        <v>7.0580000000000004E-2</v>
      </c>
    </row>
    <row r="1866" spans="1:6" x14ac:dyDescent="0.3">
      <c r="A1866" t="s">
        <v>5</v>
      </c>
      <c r="B1866" s="1">
        <v>45735</v>
      </c>
      <c r="C1866">
        <v>17</v>
      </c>
      <c r="D1866">
        <v>1.1659999999999999</v>
      </c>
      <c r="E1866" t="s">
        <v>6</v>
      </c>
      <c r="F1866">
        <v>7.1470000000000006E-2</v>
      </c>
    </row>
    <row r="1867" spans="1:6" x14ac:dyDescent="0.3">
      <c r="A1867" t="s">
        <v>5</v>
      </c>
      <c r="B1867" s="1">
        <v>45735</v>
      </c>
      <c r="C1867">
        <v>18</v>
      </c>
      <c r="D1867">
        <v>0.95099999999999996</v>
      </c>
      <c r="E1867" t="s">
        <v>6</v>
      </c>
      <c r="F1867">
        <v>8.054E-2</v>
      </c>
    </row>
    <row r="1868" spans="1:6" x14ac:dyDescent="0.3">
      <c r="A1868" t="s">
        <v>5</v>
      </c>
      <c r="B1868" s="1">
        <v>45735</v>
      </c>
      <c r="C1868">
        <v>19</v>
      </c>
      <c r="D1868">
        <v>0.25600000000000001</v>
      </c>
      <c r="E1868" t="s">
        <v>6</v>
      </c>
      <c r="F1868">
        <v>0.17119999999999999</v>
      </c>
    </row>
    <row r="1869" spans="1:6" x14ac:dyDescent="0.3">
      <c r="A1869" t="s">
        <v>5</v>
      </c>
      <c r="B1869" s="1">
        <v>45735</v>
      </c>
      <c r="C1869">
        <v>20</v>
      </c>
      <c r="D1869">
        <v>0.432</v>
      </c>
      <c r="E1869" t="s">
        <v>6</v>
      </c>
      <c r="F1869">
        <v>0.17418</v>
      </c>
    </row>
    <row r="1870" spans="1:6" x14ac:dyDescent="0.3">
      <c r="A1870" t="s">
        <v>5</v>
      </c>
      <c r="B1870" s="1">
        <v>45735</v>
      </c>
      <c r="C1870">
        <v>21</v>
      </c>
      <c r="D1870">
        <v>0.35</v>
      </c>
      <c r="E1870" t="s">
        <v>6</v>
      </c>
      <c r="F1870">
        <v>0.19228999999999999</v>
      </c>
    </row>
    <row r="1871" spans="1:6" x14ac:dyDescent="0.3">
      <c r="A1871" t="s">
        <v>5</v>
      </c>
      <c r="B1871" s="1">
        <v>45735</v>
      </c>
      <c r="C1871">
        <v>22</v>
      </c>
      <c r="D1871">
        <v>0.65200000000000002</v>
      </c>
      <c r="E1871" t="s">
        <v>6</v>
      </c>
      <c r="F1871">
        <v>0.17576</v>
      </c>
    </row>
    <row r="1872" spans="1:6" x14ac:dyDescent="0.3">
      <c r="A1872" t="s">
        <v>5</v>
      </c>
      <c r="B1872" s="1">
        <v>45735</v>
      </c>
      <c r="C1872">
        <v>23</v>
      </c>
      <c r="D1872">
        <v>0.45700000000000002</v>
      </c>
      <c r="E1872" t="s">
        <v>6</v>
      </c>
      <c r="F1872">
        <v>0.10557</v>
      </c>
    </row>
    <row r="1873" spans="1:6" x14ac:dyDescent="0.3">
      <c r="A1873" t="s">
        <v>5</v>
      </c>
      <c r="B1873" s="1">
        <v>45735</v>
      </c>
      <c r="C1873">
        <v>24</v>
      </c>
      <c r="D1873">
        <v>0.314</v>
      </c>
      <c r="E1873" t="s">
        <v>6</v>
      </c>
      <c r="F1873">
        <v>8.9400000000000007E-2</v>
      </c>
    </row>
    <row r="1874" spans="1:6" x14ac:dyDescent="0.3">
      <c r="A1874" t="s">
        <v>5</v>
      </c>
      <c r="B1874" s="1">
        <v>45736</v>
      </c>
      <c r="C1874">
        <v>1</v>
      </c>
      <c r="D1874">
        <v>0.13300000000000001</v>
      </c>
      <c r="E1874" t="s">
        <v>6</v>
      </c>
      <c r="F1874">
        <v>5.3310000000000003E-2</v>
      </c>
    </row>
    <row r="1875" spans="1:6" x14ac:dyDescent="0.3">
      <c r="A1875" t="s">
        <v>5</v>
      </c>
      <c r="B1875" s="1">
        <v>45736</v>
      </c>
      <c r="C1875">
        <v>2</v>
      </c>
      <c r="D1875">
        <v>9.0999999999999998E-2</v>
      </c>
      <c r="E1875" t="s">
        <v>6</v>
      </c>
      <c r="F1875">
        <v>5.1999999999999998E-2</v>
      </c>
    </row>
    <row r="1876" spans="1:6" x14ac:dyDescent="0.3">
      <c r="A1876" t="s">
        <v>5</v>
      </c>
      <c r="B1876" s="1">
        <v>45736</v>
      </c>
      <c r="C1876">
        <v>3</v>
      </c>
      <c r="D1876">
        <v>0.13300000000000001</v>
      </c>
      <c r="E1876" t="s">
        <v>6</v>
      </c>
      <c r="F1876">
        <v>5.3350000000000002E-2</v>
      </c>
    </row>
    <row r="1877" spans="1:6" x14ac:dyDescent="0.3">
      <c r="A1877" t="s">
        <v>5</v>
      </c>
      <c r="B1877" s="1">
        <v>45736</v>
      </c>
      <c r="C1877">
        <v>4</v>
      </c>
      <c r="D1877">
        <v>0.13400000000000001</v>
      </c>
      <c r="E1877" t="s">
        <v>6</v>
      </c>
      <c r="F1877">
        <v>5.0290000000000001E-2</v>
      </c>
    </row>
    <row r="1878" spans="1:6" x14ac:dyDescent="0.3">
      <c r="A1878" t="s">
        <v>5</v>
      </c>
      <c r="B1878" s="1">
        <v>45736</v>
      </c>
      <c r="C1878">
        <v>5</v>
      </c>
      <c r="D1878">
        <v>0.154</v>
      </c>
      <c r="E1878" t="s">
        <v>6</v>
      </c>
      <c r="F1878">
        <v>5.0320000000000004E-2</v>
      </c>
    </row>
    <row r="1879" spans="1:6" x14ac:dyDescent="0.3">
      <c r="A1879" t="s">
        <v>5</v>
      </c>
      <c r="B1879" s="1">
        <v>45736</v>
      </c>
      <c r="C1879">
        <v>6</v>
      </c>
      <c r="D1879">
        <v>0.13500000000000001</v>
      </c>
      <c r="E1879" t="s">
        <v>6</v>
      </c>
      <c r="F1879">
        <v>4.9479999999999996E-2</v>
      </c>
    </row>
    <row r="1880" spans="1:6" x14ac:dyDescent="0.3">
      <c r="A1880" t="s">
        <v>5</v>
      </c>
      <c r="B1880" s="1">
        <v>45736</v>
      </c>
      <c r="C1880">
        <v>7</v>
      </c>
      <c r="D1880">
        <v>0.14399999999999999</v>
      </c>
      <c r="E1880" t="s">
        <v>6</v>
      </c>
      <c r="F1880">
        <v>5.3060000000000003E-2</v>
      </c>
    </row>
    <row r="1881" spans="1:6" x14ac:dyDescent="0.3">
      <c r="A1881" t="s">
        <v>5</v>
      </c>
      <c r="B1881" s="1">
        <v>45736</v>
      </c>
      <c r="C1881">
        <v>8</v>
      </c>
      <c r="D1881">
        <v>0.183</v>
      </c>
      <c r="E1881" t="s">
        <v>6</v>
      </c>
      <c r="F1881">
        <v>5.2909999999999999E-2</v>
      </c>
    </row>
    <row r="1882" spans="1:6" x14ac:dyDescent="0.3">
      <c r="A1882" t="s">
        <v>5</v>
      </c>
      <c r="B1882" s="1">
        <v>45736</v>
      </c>
      <c r="C1882">
        <v>9</v>
      </c>
      <c r="D1882">
        <v>0.18099999999999999</v>
      </c>
      <c r="E1882" t="s">
        <v>6</v>
      </c>
      <c r="F1882">
        <v>9.0189999999999992E-2</v>
      </c>
    </row>
    <row r="1883" spans="1:6" x14ac:dyDescent="0.3">
      <c r="A1883" t="s">
        <v>5</v>
      </c>
      <c r="B1883" s="1">
        <v>45736</v>
      </c>
      <c r="C1883">
        <v>10</v>
      </c>
      <c r="D1883">
        <v>0.18099999999999999</v>
      </c>
      <c r="E1883" t="s">
        <v>6</v>
      </c>
      <c r="F1883">
        <v>7.8620000000000009E-2</v>
      </c>
    </row>
    <row r="1884" spans="1:6" x14ac:dyDescent="0.3">
      <c r="A1884" t="s">
        <v>5</v>
      </c>
      <c r="B1884" s="1">
        <v>45736</v>
      </c>
      <c r="C1884">
        <v>11</v>
      </c>
      <c r="D1884">
        <v>0.32400000000000001</v>
      </c>
      <c r="E1884" t="s">
        <v>6</v>
      </c>
      <c r="F1884">
        <v>0.14032</v>
      </c>
    </row>
    <row r="1885" spans="1:6" x14ac:dyDescent="0.3">
      <c r="A1885" t="s">
        <v>5</v>
      </c>
      <c r="B1885" s="1">
        <v>45736</v>
      </c>
      <c r="C1885">
        <v>12</v>
      </c>
      <c r="D1885">
        <v>0.125</v>
      </c>
      <c r="E1885" t="s">
        <v>6</v>
      </c>
      <c r="F1885">
        <v>0.13986999999999999</v>
      </c>
    </row>
    <row r="1886" spans="1:6" x14ac:dyDescent="0.3">
      <c r="A1886" t="s">
        <v>5</v>
      </c>
      <c r="B1886" s="1">
        <v>45736</v>
      </c>
      <c r="C1886">
        <v>13</v>
      </c>
      <c r="D1886">
        <v>0.186</v>
      </c>
      <c r="E1886" t="s">
        <v>6</v>
      </c>
      <c r="F1886">
        <v>0.13682</v>
      </c>
    </row>
    <row r="1887" spans="1:6" x14ac:dyDescent="0.3">
      <c r="A1887" t="s">
        <v>5</v>
      </c>
      <c r="B1887" s="1">
        <v>45736</v>
      </c>
      <c r="C1887">
        <v>14</v>
      </c>
      <c r="D1887">
        <v>0.187</v>
      </c>
      <c r="E1887" t="s">
        <v>6</v>
      </c>
      <c r="F1887">
        <v>0.13462000000000002</v>
      </c>
    </row>
    <row r="1888" spans="1:6" x14ac:dyDescent="0.3">
      <c r="A1888" t="s">
        <v>5</v>
      </c>
      <c r="B1888" s="1">
        <v>45736</v>
      </c>
      <c r="C1888">
        <v>15</v>
      </c>
      <c r="D1888">
        <v>6.7000000000000004E-2</v>
      </c>
      <c r="E1888" t="s">
        <v>6</v>
      </c>
      <c r="F1888">
        <v>7.2510000000000005E-2</v>
      </c>
    </row>
    <row r="1889" spans="1:6" x14ac:dyDescent="0.3">
      <c r="A1889" t="s">
        <v>5</v>
      </c>
      <c r="B1889" s="1">
        <v>45736</v>
      </c>
      <c r="C1889">
        <v>16</v>
      </c>
      <c r="D1889">
        <v>0.17599999999999999</v>
      </c>
      <c r="E1889" t="s">
        <v>6</v>
      </c>
      <c r="F1889">
        <v>7.6239999999999988E-2</v>
      </c>
    </row>
    <row r="1890" spans="1:6" x14ac:dyDescent="0.3">
      <c r="A1890" t="s">
        <v>5</v>
      </c>
      <c r="B1890" s="1">
        <v>45736</v>
      </c>
      <c r="C1890">
        <v>17</v>
      </c>
      <c r="D1890">
        <v>8.5000000000000006E-2</v>
      </c>
      <c r="E1890" t="s">
        <v>6</v>
      </c>
      <c r="F1890">
        <v>8.8249999999999995E-2</v>
      </c>
    </row>
    <row r="1891" spans="1:6" x14ac:dyDescent="0.3">
      <c r="A1891" t="s">
        <v>5</v>
      </c>
      <c r="B1891" s="1">
        <v>45736</v>
      </c>
      <c r="C1891">
        <v>18</v>
      </c>
      <c r="D1891">
        <v>7.0000000000000007E-2</v>
      </c>
      <c r="E1891" t="s">
        <v>6</v>
      </c>
      <c r="F1891">
        <v>0.11106999999999999</v>
      </c>
    </row>
    <row r="1892" spans="1:6" x14ac:dyDescent="0.3">
      <c r="A1892" t="s">
        <v>5</v>
      </c>
      <c r="B1892" s="1">
        <v>45736</v>
      </c>
      <c r="C1892">
        <v>19</v>
      </c>
      <c r="D1892">
        <v>0.13600000000000001</v>
      </c>
      <c r="E1892" t="s">
        <v>6</v>
      </c>
      <c r="F1892">
        <v>0.21006</v>
      </c>
    </row>
    <row r="1893" spans="1:6" x14ac:dyDescent="0.3">
      <c r="A1893" t="s">
        <v>5</v>
      </c>
      <c r="B1893" s="1">
        <v>45736</v>
      </c>
      <c r="C1893">
        <v>20</v>
      </c>
      <c r="D1893">
        <v>0.254</v>
      </c>
      <c r="E1893" t="s">
        <v>6</v>
      </c>
      <c r="F1893">
        <v>0.25324000000000002</v>
      </c>
    </row>
    <row r="1894" spans="1:6" x14ac:dyDescent="0.3">
      <c r="A1894" t="s">
        <v>5</v>
      </c>
      <c r="B1894" s="1">
        <v>45736</v>
      </c>
      <c r="C1894">
        <v>21</v>
      </c>
      <c r="D1894">
        <v>0.20200000000000001</v>
      </c>
      <c r="E1894" t="s">
        <v>6</v>
      </c>
      <c r="F1894">
        <v>0.24240999999999999</v>
      </c>
    </row>
    <row r="1895" spans="1:6" x14ac:dyDescent="0.3">
      <c r="A1895" t="s">
        <v>5</v>
      </c>
      <c r="B1895" s="1">
        <v>45736</v>
      </c>
      <c r="C1895">
        <v>22</v>
      </c>
      <c r="D1895">
        <v>0.20599999999999999</v>
      </c>
      <c r="E1895" t="s">
        <v>6</v>
      </c>
      <c r="F1895">
        <v>0.20790999999999998</v>
      </c>
    </row>
    <row r="1896" spans="1:6" x14ac:dyDescent="0.3">
      <c r="A1896" t="s">
        <v>5</v>
      </c>
      <c r="B1896" s="1">
        <v>45736</v>
      </c>
      <c r="C1896">
        <v>23</v>
      </c>
      <c r="D1896">
        <v>0.26300000000000001</v>
      </c>
      <c r="E1896" t="s">
        <v>6</v>
      </c>
      <c r="F1896">
        <v>0.12803</v>
      </c>
    </row>
    <row r="1897" spans="1:6" x14ac:dyDescent="0.3">
      <c r="A1897" t="s">
        <v>5</v>
      </c>
      <c r="B1897" s="1">
        <v>45736</v>
      </c>
      <c r="C1897">
        <v>24</v>
      </c>
      <c r="D1897">
        <v>0.14099999999999999</v>
      </c>
      <c r="E1897" t="s">
        <v>6</v>
      </c>
      <c r="F1897">
        <v>0.11959</v>
      </c>
    </row>
    <row r="1898" spans="1:6" x14ac:dyDescent="0.3">
      <c r="A1898" t="s">
        <v>5</v>
      </c>
      <c r="B1898" s="1">
        <v>45737</v>
      </c>
      <c r="C1898">
        <v>1</v>
      </c>
      <c r="D1898">
        <v>0.13600000000000001</v>
      </c>
      <c r="E1898" t="s">
        <v>6</v>
      </c>
      <c r="F1898">
        <v>7.0569999999999994E-2</v>
      </c>
    </row>
    <row r="1899" spans="1:6" x14ac:dyDescent="0.3">
      <c r="A1899" t="s">
        <v>5</v>
      </c>
      <c r="B1899" s="1">
        <v>45737</v>
      </c>
      <c r="C1899">
        <v>2</v>
      </c>
      <c r="D1899">
        <v>0.10299999999999999</v>
      </c>
      <c r="E1899" t="s">
        <v>6</v>
      </c>
      <c r="F1899">
        <v>6.4829999999999999E-2</v>
      </c>
    </row>
    <row r="1900" spans="1:6" x14ac:dyDescent="0.3">
      <c r="A1900" t="s">
        <v>5</v>
      </c>
      <c r="B1900" s="1">
        <v>45737</v>
      </c>
      <c r="C1900">
        <v>3</v>
      </c>
      <c r="D1900">
        <v>9.6000000000000002E-2</v>
      </c>
      <c r="E1900" t="s">
        <v>6</v>
      </c>
      <c r="F1900">
        <v>6.7709999999999992E-2</v>
      </c>
    </row>
    <row r="1901" spans="1:6" x14ac:dyDescent="0.3">
      <c r="A1901" t="s">
        <v>5</v>
      </c>
      <c r="B1901" s="1">
        <v>45737</v>
      </c>
      <c r="C1901">
        <v>4</v>
      </c>
      <c r="D1901">
        <v>7.9000000000000001E-2</v>
      </c>
      <c r="E1901" t="s">
        <v>6</v>
      </c>
      <c r="F1901">
        <v>6.4399999999999999E-2</v>
      </c>
    </row>
    <row r="1902" spans="1:6" x14ac:dyDescent="0.3">
      <c r="A1902" t="s">
        <v>5</v>
      </c>
      <c r="B1902" s="1">
        <v>45737</v>
      </c>
      <c r="C1902">
        <v>5</v>
      </c>
      <c r="D1902">
        <v>6.4000000000000001E-2</v>
      </c>
      <c r="E1902" t="s">
        <v>6</v>
      </c>
      <c r="F1902">
        <v>6.4189999999999997E-2</v>
      </c>
    </row>
    <row r="1903" spans="1:6" x14ac:dyDescent="0.3">
      <c r="A1903" t="s">
        <v>5</v>
      </c>
      <c r="B1903" s="1">
        <v>45737</v>
      </c>
      <c r="C1903">
        <v>6</v>
      </c>
      <c r="D1903">
        <v>7.1999999999999995E-2</v>
      </c>
      <c r="E1903" t="s">
        <v>6</v>
      </c>
      <c r="F1903">
        <v>6.2609999999999999E-2</v>
      </c>
    </row>
    <row r="1904" spans="1:6" x14ac:dyDescent="0.3">
      <c r="A1904" t="s">
        <v>5</v>
      </c>
      <c r="B1904" s="1">
        <v>45737</v>
      </c>
      <c r="C1904">
        <v>7</v>
      </c>
      <c r="D1904">
        <v>0.13900000000000001</v>
      </c>
      <c r="E1904" t="s">
        <v>6</v>
      </c>
      <c r="F1904">
        <v>6.5659999999999996E-2</v>
      </c>
    </row>
    <row r="1905" spans="1:6" x14ac:dyDescent="0.3">
      <c r="A1905" t="s">
        <v>5</v>
      </c>
      <c r="B1905" s="1">
        <v>45737</v>
      </c>
      <c r="C1905">
        <v>8</v>
      </c>
      <c r="D1905">
        <v>0.11</v>
      </c>
      <c r="E1905" t="s">
        <v>6</v>
      </c>
      <c r="F1905">
        <v>7.3219999999999993E-2</v>
      </c>
    </row>
    <row r="1906" spans="1:6" x14ac:dyDescent="0.3">
      <c r="A1906" t="s">
        <v>5</v>
      </c>
      <c r="B1906" s="1">
        <v>45737</v>
      </c>
      <c r="C1906">
        <v>9</v>
      </c>
      <c r="D1906">
        <v>7.3999999999999996E-2</v>
      </c>
      <c r="E1906" t="s">
        <v>6</v>
      </c>
      <c r="F1906">
        <v>9.2340000000000005E-2</v>
      </c>
    </row>
    <row r="1907" spans="1:6" x14ac:dyDescent="0.3">
      <c r="A1907" t="s">
        <v>5</v>
      </c>
      <c r="B1907" s="1">
        <v>45737</v>
      </c>
      <c r="C1907">
        <v>10</v>
      </c>
      <c r="D1907">
        <v>0.251</v>
      </c>
      <c r="E1907" t="s">
        <v>6</v>
      </c>
      <c r="F1907">
        <v>8.2709999999999992E-2</v>
      </c>
    </row>
    <row r="1908" spans="1:6" x14ac:dyDescent="0.3">
      <c r="A1908" t="s">
        <v>5</v>
      </c>
      <c r="B1908" s="1">
        <v>45737</v>
      </c>
      <c r="C1908">
        <v>11</v>
      </c>
      <c r="D1908">
        <v>0.21099999999999999</v>
      </c>
      <c r="E1908" t="s">
        <v>6</v>
      </c>
      <c r="F1908">
        <v>0.14802000000000001</v>
      </c>
    </row>
    <row r="1909" spans="1:6" x14ac:dyDescent="0.3">
      <c r="A1909" t="s">
        <v>5</v>
      </c>
      <c r="B1909" s="1">
        <v>45737</v>
      </c>
      <c r="C1909">
        <v>12</v>
      </c>
      <c r="D1909">
        <v>0.14599999999999999</v>
      </c>
      <c r="E1909" t="s">
        <v>6</v>
      </c>
      <c r="F1909">
        <v>0.14593</v>
      </c>
    </row>
    <row r="1910" spans="1:6" x14ac:dyDescent="0.3">
      <c r="A1910" t="s">
        <v>5</v>
      </c>
      <c r="B1910" s="1">
        <v>45737</v>
      </c>
      <c r="C1910">
        <v>13</v>
      </c>
      <c r="D1910">
        <v>0.14699999999999999</v>
      </c>
      <c r="E1910" t="s">
        <v>6</v>
      </c>
      <c r="F1910">
        <v>0.14557</v>
      </c>
    </row>
    <row r="1911" spans="1:6" x14ac:dyDescent="0.3">
      <c r="A1911" t="s">
        <v>5</v>
      </c>
      <c r="B1911" s="1">
        <v>45737</v>
      </c>
      <c r="C1911">
        <v>14</v>
      </c>
      <c r="D1911">
        <v>0.13</v>
      </c>
      <c r="E1911" t="s">
        <v>6</v>
      </c>
      <c r="F1911">
        <v>0.14288000000000001</v>
      </c>
    </row>
    <row r="1912" spans="1:6" x14ac:dyDescent="0.3">
      <c r="A1912" t="s">
        <v>5</v>
      </c>
      <c r="B1912" s="1">
        <v>45737</v>
      </c>
      <c r="C1912">
        <v>15</v>
      </c>
      <c r="D1912">
        <v>0.14599999999999999</v>
      </c>
      <c r="E1912" t="s">
        <v>6</v>
      </c>
      <c r="F1912">
        <v>7.8299999999999995E-2</v>
      </c>
    </row>
    <row r="1913" spans="1:6" x14ac:dyDescent="0.3">
      <c r="A1913" t="s">
        <v>5</v>
      </c>
      <c r="B1913" s="1">
        <v>45737</v>
      </c>
      <c r="C1913">
        <v>16</v>
      </c>
      <c r="D1913">
        <v>0.129</v>
      </c>
      <c r="E1913" t="s">
        <v>6</v>
      </c>
      <c r="F1913">
        <v>8.0260000000000012E-2</v>
      </c>
    </row>
    <row r="1914" spans="1:6" x14ac:dyDescent="0.3">
      <c r="A1914" t="s">
        <v>5</v>
      </c>
      <c r="B1914" s="1">
        <v>45737</v>
      </c>
      <c r="C1914">
        <v>17</v>
      </c>
      <c r="D1914">
        <v>0.126</v>
      </c>
      <c r="E1914" t="s">
        <v>6</v>
      </c>
      <c r="F1914">
        <v>8.0579999999999999E-2</v>
      </c>
    </row>
    <row r="1915" spans="1:6" x14ac:dyDescent="0.3">
      <c r="A1915" t="s">
        <v>5</v>
      </c>
      <c r="B1915" s="1">
        <v>45737</v>
      </c>
      <c r="C1915">
        <v>18</v>
      </c>
      <c r="D1915">
        <v>0.13800000000000001</v>
      </c>
      <c r="E1915" t="s">
        <v>6</v>
      </c>
      <c r="F1915">
        <v>8.337E-2</v>
      </c>
    </row>
    <row r="1916" spans="1:6" x14ac:dyDescent="0.3">
      <c r="A1916" t="s">
        <v>5</v>
      </c>
      <c r="B1916" s="1">
        <v>45737</v>
      </c>
      <c r="C1916">
        <v>19</v>
      </c>
      <c r="D1916">
        <v>0.13900000000000001</v>
      </c>
      <c r="E1916" t="s">
        <v>6</v>
      </c>
      <c r="F1916">
        <v>0.15597999999999998</v>
      </c>
    </row>
    <row r="1917" spans="1:6" x14ac:dyDescent="0.3">
      <c r="A1917" t="s">
        <v>5</v>
      </c>
      <c r="B1917" s="1">
        <v>45737</v>
      </c>
      <c r="C1917">
        <v>20</v>
      </c>
      <c r="D1917">
        <v>0.12</v>
      </c>
      <c r="E1917" t="s">
        <v>6</v>
      </c>
      <c r="F1917">
        <v>0.18290999999999999</v>
      </c>
    </row>
    <row r="1918" spans="1:6" x14ac:dyDescent="0.3">
      <c r="A1918" t="s">
        <v>5</v>
      </c>
      <c r="B1918" s="1">
        <v>45737</v>
      </c>
      <c r="C1918">
        <v>21</v>
      </c>
      <c r="D1918">
        <v>0.13800000000000001</v>
      </c>
      <c r="E1918" t="s">
        <v>6</v>
      </c>
      <c r="F1918">
        <v>0.18597</v>
      </c>
    </row>
    <row r="1919" spans="1:6" x14ac:dyDescent="0.3">
      <c r="A1919" t="s">
        <v>5</v>
      </c>
      <c r="B1919" s="1">
        <v>45737</v>
      </c>
      <c r="C1919">
        <v>22</v>
      </c>
      <c r="D1919">
        <v>0.13700000000000001</v>
      </c>
      <c r="E1919" t="s">
        <v>6</v>
      </c>
      <c r="F1919">
        <v>0.18056</v>
      </c>
    </row>
    <row r="1920" spans="1:6" x14ac:dyDescent="0.3">
      <c r="A1920" t="s">
        <v>5</v>
      </c>
      <c r="B1920" s="1">
        <v>45737</v>
      </c>
      <c r="C1920">
        <v>23</v>
      </c>
      <c r="D1920">
        <v>0.122</v>
      </c>
      <c r="E1920" t="s">
        <v>6</v>
      </c>
      <c r="F1920">
        <v>0.1105</v>
      </c>
    </row>
    <row r="1921" spans="1:6" x14ac:dyDescent="0.3">
      <c r="A1921" t="s">
        <v>5</v>
      </c>
      <c r="B1921" s="1">
        <v>45737</v>
      </c>
      <c r="C1921">
        <v>24</v>
      </c>
      <c r="D1921">
        <v>0.14000000000000001</v>
      </c>
      <c r="E1921" t="s">
        <v>6</v>
      </c>
      <c r="F1921">
        <v>9.6930000000000002E-2</v>
      </c>
    </row>
    <row r="1922" spans="1:6" x14ac:dyDescent="0.3">
      <c r="A1922" t="s">
        <v>5</v>
      </c>
      <c r="B1922" s="1">
        <v>45738</v>
      </c>
      <c r="C1922">
        <v>1</v>
      </c>
      <c r="D1922">
        <v>0.13600000000000001</v>
      </c>
      <c r="E1922" t="s">
        <v>6</v>
      </c>
      <c r="F1922">
        <v>6.207E-2</v>
      </c>
    </row>
    <row r="1923" spans="1:6" x14ac:dyDescent="0.3">
      <c r="A1923" t="s">
        <v>5</v>
      </c>
      <c r="B1923" s="1">
        <v>45738</v>
      </c>
      <c r="C1923">
        <v>2</v>
      </c>
      <c r="D1923">
        <v>0.124</v>
      </c>
      <c r="E1923" t="s">
        <v>6</v>
      </c>
      <c r="F1923">
        <v>6.4019999999999994E-2</v>
      </c>
    </row>
    <row r="1924" spans="1:6" x14ac:dyDescent="0.3">
      <c r="A1924" t="s">
        <v>5</v>
      </c>
      <c r="B1924" s="1">
        <v>45738</v>
      </c>
      <c r="C1924">
        <v>3</v>
      </c>
      <c r="D1924">
        <v>0.13900000000000001</v>
      </c>
      <c r="E1924" t="s">
        <v>6</v>
      </c>
      <c r="F1924">
        <v>6.2939999999999996E-2</v>
      </c>
    </row>
    <row r="1925" spans="1:6" x14ac:dyDescent="0.3">
      <c r="A1925" t="s">
        <v>5</v>
      </c>
      <c r="B1925" s="1">
        <v>45738</v>
      </c>
      <c r="C1925">
        <v>4</v>
      </c>
      <c r="D1925">
        <v>0.13400000000000001</v>
      </c>
      <c r="E1925" t="s">
        <v>6</v>
      </c>
      <c r="F1925">
        <v>5.987E-2</v>
      </c>
    </row>
    <row r="1926" spans="1:6" x14ac:dyDescent="0.3">
      <c r="A1926" t="s">
        <v>5</v>
      </c>
      <c r="B1926" s="1">
        <v>45738</v>
      </c>
      <c r="C1926">
        <v>5</v>
      </c>
      <c r="D1926">
        <v>0.127</v>
      </c>
      <c r="E1926" t="s">
        <v>6</v>
      </c>
      <c r="F1926">
        <v>6.1009999999999995E-2</v>
      </c>
    </row>
    <row r="1927" spans="1:6" x14ac:dyDescent="0.3">
      <c r="A1927" t="s">
        <v>5</v>
      </c>
      <c r="B1927" s="1">
        <v>45738</v>
      </c>
      <c r="C1927">
        <v>6</v>
      </c>
      <c r="D1927">
        <v>0.14000000000000001</v>
      </c>
      <c r="E1927" t="s">
        <v>6</v>
      </c>
      <c r="F1927">
        <v>6.1429999999999998E-2</v>
      </c>
    </row>
    <row r="1928" spans="1:6" x14ac:dyDescent="0.3">
      <c r="A1928" t="s">
        <v>5</v>
      </c>
      <c r="B1928" s="1">
        <v>45738</v>
      </c>
      <c r="C1928">
        <v>7</v>
      </c>
      <c r="D1928">
        <v>0.13100000000000001</v>
      </c>
      <c r="E1928" t="s">
        <v>6</v>
      </c>
      <c r="F1928">
        <v>5.9859999999999997E-2</v>
      </c>
    </row>
    <row r="1929" spans="1:6" x14ac:dyDescent="0.3">
      <c r="A1929" t="s">
        <v>5</v>
      </c>
      <c r="B1929" s="1">
        <v>45738</v>
      </c>
      <c r="C1929">
        <v>8</v>
      </c>
      <c r="D1929">
        <v>0.128</v>
      </c>
      <c r="E1929" t="s">
        <v>6</v>
      </c>
      <c r="F1929">
        <v>5.577E-2</v>
      </c>
    </row>
    <row r="1930" spans="1:6" x14ac:dyDescent="0.3">
      <c r="A1930" t="s">
        <v>5</v>
      </c>
      <c r="B1930" s="1">
        <v>45738</v>
      </c>
      <c r="C1930">
        <v>9</v>
      </c>
      <c r="D1930">
        <v>0.13900000000000001</v>
      </c>
      <c r="E1930" t="s">
        <v>6</v>
      </c>
      <c r="F1930">
        <v>5.4100000000000002E-2</v>
      </c>
    </row>
    <row r="1931" spans="1:6" x14ac:dyDescent="0.3">
      <c r="A1931" t="s">
        <v>5</v>
      </c>
      <c r="B1931" s="1">
        <v>45738</v>
      </c>
      <c r="C1931">
        <v>10</v>
      </c>
      <c r="D1931">
        <v>0.129</v>
      </c>
      <c r="E1931" t="s">
        <v>6</v>
      </c>
      <c r="F1931">
        <v>5.0380000000000001E-2</v>
      </c>
    </row>
    <row r="1932" spans="1:6" x14ac:dyDescent="0.3">
      <c r="A1932" t="s">
        <v>5</v>
      </c>
      <c r="B1932" s="1">
        <v>45738</v>
      </c>
      <c r="C1932">
        <v>11</v>
      </c>
      <c r="D1932">
        <v>0.13200000000000001</v>
      </c>
      <c r="E1932" t="s">
        <v>6</v>
      </c>
      <c r="F1932">
        <v>5.0380000000000001E-2</v>
      </c>
    </row>
    <row r="1933" spans="1:6" x14ac:dyDescent="0.3">
      <c r="A1933" t="s">
        <v>5</v>
      </c>
      <c r="B1933" s="1">
        <v>45738</v>
      </c>
      <c r="C1933">
        <v>12</v>
      </c>
      <c r="D1933">
        <v>0.13700000000000001</v>
      </c>
      <c r="E1933" t="s">
        <v>6</v>
      </c>
      <c r="F1933">
        <v>5.1609999999999996E-2</v>
      </c>
    </row>
    <row r="1934" spans="1:6" x14ac:dyDescent="0.3">
      <c r="A1934" t="s">
        <v>5</v>
      </c>
      <c r="B1934" s="1">
        <v>45738</v>
      </c>
      <c r="C1934">
        <v>13</v>
      </c>
      <c r="D1934">
        <v>0.127</v>
      </c>
      <c r="E1934" t="s">
        <v>6</v>
      </c>
      <c r="F1934">
        <v>5.1139999999999998E-2</v>
      </c>
    </row>
    <row r="1935" spans="1:6" x14ac:dyDescent="0.3">
      <c r="A1935" t="s">
        <v>5</v>
      </c>
      <c r="B1935" s="1">
        <v>45738</v>
      </c>
      <c r="C1935">
        <v>14</v>
      </c>
      <c r="D1935">
        <v>0.13400000000000001</v>
      </c>
      <c r="E1935" t="s">
        <v>6</v>
      </c>
      <c r="F1935">
        <v>5.092E-2</v>
      </c>
    </row>
    <row r="1936" spans="1:6" x14ac:dyDescent="0.3">
      <c r="A1936" t="s">
        <v>5</v>
      </c>
      <c r="B1936" s="1">
        <v>45738</v>
      </c>
      <c r="C1936">
        <v>15</v>
      </c>
      <c r="D1936">
        <v>0.13900000000000001</v>
      </c>
      <c r="E1936" t="s">
        <v>6</v>
      </c>
      <c r="F1936">
        <v>5.1179999999999996E-2</v>
      </c>
    </row>
    <row r="1937" spans="1:6" x14ac:dyDescent="0.3">
      <c r="A1937" t="s">
        <v>5</v>
      </c>
      <c r="B1937" s="1">
        <v>45738</v>
      </c>
      <c r="C1937">
        <v>16</v>
      </c>
      <c r="D1937">
        <v>0.123</v>
      </c>
      <c r="E1937" t="s">
        <v>6</v>
      </c>
      <c r="F1937">
        <v>5.0819999999999997E-2</v>
      </c>
    </row>
    <row r="1938" spans="1:6" x14ac:dyDescent="0.3">
      <c r="A1938" t="s">
        <v>5</v>
      </c>
      <c r="B1938" s="1">
        <v>45738</v>
      </c>
      <c r="C1938">
        <v>17</v>
      </c>
      <c r="D1938">
        <v>0.13900000000000001</v>
      </c>
      <c r="E1938" t="s">
        <v>6</v>
      </c>
      <c r="F1938">
        <v>5.1340000000000004E-2</v>
      </c>
    </row>
    <row r="1939" spans="1:6" x14ac:dyDescent="0.3">
      <c r="A1939" t="s">
        <v>5</v>
      </c>
      <c r="B1939" s="1">
        <v>45738</v>
      </c>
      <c r="C1939">
        <v>18</v>
      </c>
      <c r="D1939">
        <v>0.13800000000000001</v>
      </c>
      <c r="E1939" t="s">
        <v>6</v>
      </c>
      <c r="F1939">
        <v>5.1670000000000001E-2</v>
      </c>
    </row>
    <row r="1940" spans="1:6" x14ac:dyDescent="0.3">
      <c r="A1940" t="s">
        <v>5</v>
      </c>
      <c r="B1940" s="1">
        <v>45738</v>
      </c>
      <c r="C1940">
        <v>19</v>
      </c>
      <c r="D1940">
        <v>0.123</v>
      </c>
      <c r="E1940" t="s">
        <v>6</v>
      </c>
      <c r="F1940">
        <v>6.0479999999999999E-2</v>
      </c>
    </row>
    <row r="1941" spans="1:6" x14ac:dyDescent="0.3">
      <c r="A1941" t="s">
        <v>5</v>
      </c>
      <c r="B1941" s="1">
        <v>45738</v>
      </c>
      <c r="C1941">
        <v>20</v>
      </c>
      <c r="D1941">
        <v>0.14000000000000001</v>
      </c>
      <c r="E1941" t="s">
        <v>6</v>
      </c>
      <c r="F1941">
        <v>9.2540000000000011E-2</v>
      </c>
    </row>
    <row r="1942" spans="1:6" x14ac:dyDescent="0.3">
      <c r="A1942" t="s">
        <v>5</v>
      </c>
      <c r="B1942" s="1">
        <v>45738</v>
      </c>
      <c r="C1942">
        <v>21</v>
      </c>
      <c r="D1942">
        <v>0.13700000000000001</v>
      </c>
      <c r="E1942" t="s">
        <v>6</v>
      </c>
      <c r="F1942">
        <v>0.13463</v>
      </c>
    </row>
    <row r="1943" spans="1:6" x14ac:dyDescent="0.3">
      <c r="A1943" t="s">
        <v>5</v>
      </c>
      <c r="B1943" s="1">
        <v>45738</v>
      </c>
      <c r="C1943">
        <v>22</v>
      </c>
      <c r="D1943">
        <v>0.126</v>
      </c>
      <c r="E1943" t="s">
        <v>6</v>
      </c>
      <c r="F1943">
        <v>0.11031999999999999</v>
      </c>
    </row>
    <row r="1944" spans="1:6" x14ac:dyDescent="0.3">
      <c r="A1944" t="s">
        <v>5</v>
      </c>
      <c r="B1944" s="1">
        <v>45738</v>
      </c>
      <c r="C1944">
        <v>23</v>
      </c>
      <c r="D1944">
        <v>0.14000000000000001</v>
      </c>
      <c r="E1944" t="s">
        <v>6</v>
      </c>
      <c r="F1944">
        <v>0.10117</v>
      </c>
    </row>
    <row r="1945" spans="1:6" x14ac:dyDescent="0.3">
      <c r="A1945" t="s">
        <v>5</v>
      </c>
      <c r="B1945" s="1">
        <v>45738</v>
      </c>
      <c r="C1945">
        <v>24</v>
      </c>
      <c r="D1945">
        <v>0.13200000000000001</v>
      </c>
      <c r="E1945" t="s">
        <v>6</v>
      </c>
      <c r="F1945">
        <v>9.0469999999999995E-2</v>
      </c>
    </row>
    <row r="1946" spans="1:6" x14ac:dyDescent="0.3">
      <c r="A1946" t="s">
        <v>5</v>
      </c>
      <c r="B1946" s="1">
        <v>45739</v>
      </c>
      <c r="C1946">
        <v>1</v>
      </c>
      <c r="D1946">
        <v>0.13</v>
      </c>
      <c r="E1946" t="s">
        <v>6</v>
      </c>
      <c r="F1946">
        <v>9.3879999999999991E-2</v>
      </c>
    </row>
    <row r="1947" spans="1:6" x14ac:dyDescent="0.3">
      <c r="A1947" t="s">
        <v>5</v>
      </c>
      <c r="B1947" s="1">
        <v>45739</v>
      </c>
      <c r="C1947">
        <v>2</v>
      </c>
      <c r="D1947">
        <v>0.14000000000000001</v>
      </c>
      <c r="E1947" t="s">
        <v>6</v>
      </c>
      <c r="F1947">
        <v>9.1689999999999994E-2</v>
      </c>
    </row>
    <row r="1948" spans="1:6" x14ac:dyDescent="0.3">
      <c r="A1948" t="s">
        <v>5</v>
      </c>
      <c r="B1948" s="1">
        <v>45739</v>
      </c>
      <c r="C1948">
        <v>3</v>
      </c>
      <c r="D1948">
        <v>0.128</v>
      </c>
      <c r="E1948" t="s">
        <v>6</v>
      </c>
      <c r="F1948">
        <v>8.2290000000000002E-2</v>
      </c>
    </row>
    <row r="1949" spans="1:6" x14ac:dyDescent="0.3">
      <c r="A1949" t="s">
        <v>5</v>
      </c>
      <c r="B1949" s="1">
        <v>45739</v>
      </c>
      <c r="C1949">
        <v>4</v>
      </c>
      <c r="D1949">
        <v>0.13500000000000001</v>
      </c>
      <c r="E1949" t="s">
        <v>6</v>
      </c>
      <c r="F1949">
        <v>7.4620000000000006E-2</v>
      </c>
    </row>
    <row r="1950" spans="1:6" x14ac:dyDescent="0.3">
      <c r="A1950" t="s">
        <v>5</v>
      </c>
      <c r="B1950" s="1">
        <v>45739</v>
      </c>
      <c r="C1950">
        <v>5</v>
      </c>
      <c r="D1950">
        <v>0.13900000000000001</v>
      </c>
      <c r="E1950" t="s">
        <v>6</v>
      </c>
      <c r="F1950">
        <v>7.4029999999999999E-2</v>
      </c>
    </row>
    <row r="1951" spans="1:6" x14ac:dyDescent="0.3">
      <c r="A1951" t="s">
        <v>5</v>
      </c>
      <c r="B1951" s="1">
        <v>45739</v>
      </c>
      <c r="C1951">
        <v>6</v>
      </c>
      <c r="D1951">
        <v>0.122</v>
      </c>
      <c r="E1951" t="s">
        <v>6</v>
      </c>
      <c r="F1951">
        <v>7.3620000000000005E-2</v>
      </c>
    </row>
    <row r="1952" spans="1:6" x14ac:dyDescent="0.3">
      <c r="A1952" t="s">
        <v>5</v>
      </c>
      <c r="B1952" s="1">
        <v>45739</v>
      </c>
      <c r="C1952">
        <v>7</v>
      </c>
      <c r="D1952">
        <v>0.14000000000000001</v>
      </c>
      <c r="E1952" t="s">
        <v>6</v>
      </c>
      <c r="F1952">
        <v>7.4980000000000005E-2</v>
      </c>
    </row>
    <row r="1953" spans="1:6" x14ac:dyDescent="0.3">
      <c r="A1953" t="s">
        <v>5</v>
      </c>
      <c r="B1953" s="1">
        <v>45739</v>
      </c>
      <c r="C1953">
        <v>8</v>
      </c>
      <c r="D1953">
        <v>0.13600000000000001</v>
      </c>
      <c r="E1953" t="s">
        <v>6</v>
      </c>
      <c r="F1953">
        <v>7.9909999999999995E-2</v>
      </c>
    </row>
    <row r="1954" spans="1:6" x14ac:dyDescent="0.3">
      <c r="A1954" t="s">
        <v>5</v>
      </c>
      <c r="B1954" s="1">
        <v>45739</v>
      </c>
      <c r="C1954">
        <v>9</v>
      </c>
      <c r="D1954">
        <v>0.126</v>
      </c>
      <c r="E1954" t="s">
        <v>6</v>
      </c>
      <c r="F1954">
        <v>9.9739999999999995E-2</v>
      </c>
    </row>
    <row r="1955" spans="1:6" x14ac:dyDescent="0.3">
      <c r="A1955" t="s">
        <v>5</v>
      </c>
      <c r="B1955" s="1">
        <v>45739</v>
      </c>
      <c r="C1955">
        <v>10</v>
      </c>
      <c r="D1955">
        <v>0.13900000000000001</v>
      </c>
      <c r="E1955" t="s">
        <v>6</v>
      </c>
      <c r="F1955">
        <v>7.034E-2</v>
      </c>
    </row>
    <row r="1956" spans="1:6" x14ac:dyDescent="0.3">
      <c r="A1956" t="s">
        <v>5</v>
      </c>
      <c r="B1956" s="1">
        <v>45739</v>
      </c>
      <c r="C1956">
        <v>11</v>
      </c>
      <c r="D1956">
        <v>0.129</v>
      </c>
      <c r="E1956" t="s">
        <v>6</v>
      </c>
      <c r="F1956">
        <v>4.3159999999999997E-2</v>
      </c>
    </row>
    <row r="1957" spans="1:6" x14ac:dyDescent="0.3">
      <c r="A1957" t="s">
        <v>5</v>
      </c>
      <c r="B1957" s="1">
        <v>45739</v>
      </c>
      <c r="C1957">
        <v>12</v>
      </c>
      <c r="D1957">
        <v>0.13100000000000001</v>
      </c>
      <c r="E1957" t="s">
        <v>6</v>
      </c>
      <c r="F1957">
        <v>4.199E-2</v>
      </c>
    </row>
    <row r="1958" spans="1:6" x14ac:dyDescent="0.3">
      <c r="A1958" t="s">
        <v>5</v>
      </c>
      <c r="B1958" s="1">
        <v>45739</v>
      </c>
      <c r="C1958">
        <v>13</v>
      </c>
      <c r="D1958">
        <v>0.14000000000000001</v>
      </c>
      <c r="E1958" t="s">
        <v>6</v>
      </c>
      <c r="F1958">
        <v>4.1210000000000004E-2</v>
      </c>
    </row>
    <row r="1959" spans="1:6" x14ac:dyDescent="0.3">
      <c r="A1959" t="s">
        <v>5</v>
      </c>
      <c r="B1959" s="1">
        <v>45739</v>
      </c>
      <c r="C1959">
        <v>14</v>
      </c>
      <c r="D1959">
        <v>0.123</v>
      </c>
      <c r="E1959" t="s">
        <v>6</v>
      </c>
      <c r="F1959">
        <v>4.1270000000000001E-2</v>
      </c>
    </row>
    <row r="1960" spans="1:6" x14ac:dyDescent="0.3">
      <c r="A1960" t="s">
        <v>5</v>
      </c>
      <c r="B1960" s="1">
        <v>45739</v>
      </c>
      <c r="C1960">
        <v>15</v>
      </c>
      <c r="D1960">
        <v>0.13700000000000001</v>
      </c>
      <c r="E1960" t="s">
        <v>6</v>
      </c>
      <c r="F1960">
        <v>4.1280000000000004E-2</v>
      </c>
    </row>
    <row r="1961" spans="1:6" x14ac:dyDescent="0.3">
      <c r="A1961" t="s">
        <v>5</v>
      </c>
      <c r="B1961" s="1">
        <v>45739</v>
      </c>
      <c r="C1961">
        <v>16</v>
      </c>
      <c r="D1961">
        <v>0.14000000000000001</v>
      </c>
      <c r="E1961" t="s">
        <v>6</v>
      </c>
      <c r="F1961">
        <v>4.2389999999999997E-2</v>
      </c>
    </row>
    <row r="1962" spans="1:6" x14ac:dyDescent="0.3">
      <c r="A1962" t="s">
        <v>5</v>
      </c>
      <c r="B1962" s="1">
        <v>45739</v>
      </c>
      <c r="C1962">
        <v>17</v>
      </c>
      <c r="D1962">
        <v>0.122</v>
      </c>
      <c r="E1962" t="s">
        <v>6</v>
      </c>
      <c r="F1962">
        <v>4.3720000000000002E-2</v>
      </c>
    </row>
    <row r="1963" spans="1:6" x14ac:dyDescent="0.3">
      <c r="A1963" t="s">
        <v>5</v>
      </c>
      <c r="B1963" s="1">
        <v>45739</v>
      </c>
      <c r="C1963">
        <v>18</v>
      </c>
      <c r="D1963">
        <v>0.14000000000000001</v>
      </c>
      <c r="E1963" t="s">
        <v>6</v>
      </c>
      <c r="F1963">
        <v>7.2489999999999999E-2</v>
      </c>
    </row>
    <row r="1964" spans="1:6" x14ac:dyDescent="0.3">
      <c r="A1964" t="s">
        <v>5</v>
      </c>
      <c r="B1964" s="1">
        <v>45739</v>
      </c>
      <c r="C1964">
        <v>19</v>
      </c>
      <c r="D1964">
        <v>0.13300000000000001</v>
      </c>
      <c r="E1964" t="s">
        <v>6</v>
      </c>
      <c r="F1964">
        <v>0.10834999999999999</v>
      </c>
    </row>
    <row r="1965" spans="1:6" x14ac:dyDescent="0.3">
      <c r="A1965" t="s">
        <v>5</v>
      </c>
      <c r="B1965" s="1">
        <v>45739</v>
      </c>
      <c r="C1965">
        <v>20</v>
      </c>
      <c r="D1965">
        <v>0.129</v>
      </c>
      <c r="E1965" t="s">
        <v>6</v>
      </c>
      <c r="F1965">
        <v>0.16553999999999999</v>
      </c>
    </row>
    <row r="1966" spans="1:6" x14ac:dyDescent="0.3">
      <c r="A1966" t="s">
        <v>5</v>
      </c>
      <c r="B1966" s="1">
        <v>45739</v>
      </c>
      <c r="C1966">
        <v>21</v>
      </c>
      <c r="D1966">
        <v>0.24</v>
      </c>
      <c r="E1966" t="s">
        <v>6</v>
      </c>
      <c r="F1966">
        <v>0.18668999999999999</v>
      </c>
    </row>
    <row r="1967" spans="1:6" x14ac:dyDescent="0.3">
      <c r="A1967" t="s">
        <v>5</v>
      </c>
      <c r="B1967" s="1">
        <v>45739</v>
      </c>
      <c r="C1967">
        <v>22</v>
      </c>
      <c r="D1967">
        <v>0.26900000000000002</v>
      </c>
      <c r="E1967" t="s">
        <v>6</v>
      </c>
      <c r="F1967">
        <v>0.17147000000000001</v>
      </c>
    </row>
    <row r="1968" spans="1:6" x14ac:dyDescent="0.3">
      <c r="A1968" t="s">
        <v>5</v>
      </c>
      <c r="B1968" s="1">
        <v>45739</v>
      </c>
      <c r="C1968">
        <v>23</v>
      </c>
      <c r="D1968">
        <v>0.57199999999999995</v>
      </c>
      <c r="E1968" t="s">
        <v>6</v>
      </c>
      <c r="F1968">
        <v>0.15787999999999999</v>
      </c>
    </row>
    <row r="1969" spans="1:6" x14ac:dyDescent="0.3">
      <c r="A1969" t="s">
        <v>5</v>
      </c>
      <c r="B1969" s="1">
        <v>45739</v>
      </c>
      <c r="C1969">
        <v>24</v>
      </c>
      <c r="D1969">
        <v>0.94799999999999995</v>
      </c>
      <c r="E1969" t="s">
        <v>6</v>
      </c>
      <c r="F1969">
        <v>0.1181</v>
      </c>
    </row>
    <row r="1970" spans="1:6" x14ac:dyDescent="0.3">
      <c r="A1970" t="s">
        <v>5</v>
      </c>
      <c r="B1970" s="1">
        <v>45740</v>
      </c>
      <c r="C1970">
        <v>1</v>
      </c>
      <c r="D1970">
        <v>0.88200000000000001</v>
      </c>
      <c r="E1970" t="s">
        <v>6</v>
      </c>
      <c r="F1970">
        <v>0.11026000000000001</v>
      </c>
    </row>
    <row r="1971" spans="1:6" x14ac:dyDescent="0.3">
      <c r="A1971" t="s">
        <v>5</v>
      </c>
      <c r="B1971" s="1">
        <v>45740</v>
      </c>
      <c r="C1971">
        <v>2</v>
      </c>
      <c r="D1971">
        <v>0.112</v>
      </c>
      <c r="E1971" t="s">
        <v>6</v>
      </c>
      <c r="F1971">
        <v>9.8150000000000001E-2</v>
      </c>
    </row>
    <row r="1972" spans="1:6" x14ac:dyDescent="0.3">
      <c r="A1972" t="s">
        <v>5</v>
      </c>
      <c r="B1972" s="1">
        <v>45740</v>
      </c>
      <c r="C1972">
        <v>3</v>
      </c>
      <c r="D1972">
        <v>9.8000000000000004E-2</v>
      </c>
      <c r="E1972" t="s">
        <v>6</v>
      </c>
      <c r="F1972">
        <v>9.1209999999999999E-2</v>
      </c>
    </row>
    <row r="1973" spans="1:6" x14ac:dyDescent="0.3">
      <c r="A1973" t="s">
        <v>5</v>
      </c>
      <c r="B1973" s="1">
        <v>45740</v>
      </c>
      <c r="C1973">
        <v>4</v>
      </c>
      <c r="D1973">
        <v>7.3999999999999996E-2</v>
      </c>
      <c r="E1973" t="s">
        <v>6</v>
      </c>
      <c r="F1973">
        <v>9.0219999999999995E-2</v>
      </c>
    </row>
    <row r="1974" spans="1:6" x14ac:dyDescent="0.3">
      <c r="A1974" t="s">
        <v>5</v>
      </c>
      <c r="B1974" s="1">
        <v>45740</v>
      </c>
      <c r="C1974">
        <v>5</v>
      </c>
      <c r="D1974">
        <v>9.6000000000000002E-2</v>
      </c>
      <c r="E1974" t="s">
        <v>6</v>
      </c>
      <c r="F1974">
        <v>9.078E-2</v>
      </c>
    </row>
    <row r="1975" spans="1:6" x14ac:dyDescent="0.3">
      <c r="A1975" t="s">
        <v>5</v>
      </c>
      <c r="B1975" s="1">
        <v>45740</v>
      </c>
      <c r="C1975">
        <v>6</v>
      </c>
      <c r="D1975">
        <v>0.08</v>
      </c>
      <c r="E1975" t="s">
        <v>6</v>
      </c>
      <c r="F1975">
        <v>8.6930000000000007E-2</v>
      </c>
    </row>
    <row r="1976" spans="1:6" x14ac:dyDescent="0.3">
      <c r="A1976" t="s">
        <v>5</v>
      </c>
      <c r="B1976" s="1">
        <v>45740</v>
      </c>
      <c r="C1976">
        <v>7</v>
      </c>
      <c r="D1976">
        <v>9.0999999999999998E-2</v>
      </c>
      <c r="E1976" t="s">
        <v>6</v>
      </c>
      <c r="F1976">
        <v>0.10045</v>
      </c>
    </row>
    <row r="1977" spans="1:6" x14ac:dyDescent="0.3">
      <c r="A1977" t="s">
        <v>5</v>
      </c>
      <c r="B1977" s="1">
        <v>45740</v>
      </c>
      <c r="C1977">
        <v>8</v>
      </c>
      <c r="D1977">
        <v>0.21199999999999999</v>
      </c>
      <c r="E1977" t="s">
        <v>6</v>
      </c>
      <c r="F1977">
        <v>0.1285</v>
      </c>
    </row>
    <row r="1978" spans="1:6" x14ac:dyDescent="0.3">
      <c r="A1978" t="s">
        <v>5</v>
      </c>
      <c r="B1978" s="1">
        <v>45740</v>
      </c>
      <c r="C1978">
        <v>9</v>
      </c>
      <c r="D1978">
        <v>0.15</v>
      </c>
      <c r="E1978" t="s">
        <v>6</v>
      </c>
      <c r="F1978">
        <v>0.11727</v>
      </c>
    </row>
    <row r="1979" spans="1:6" x14ac:dyDescent="0.3">
      <c r="A1979" t="s">
        <v>5</v>
      </c>
      <c r="B1979" s="1">
        <v>45740</v>
      </c>
      <c r="C1979">
        <v>10</v>
      </c>
      <c r="D1979">
        <v>8.8999999999999996E-2</v>
      </c>
      <c r="E1979" t="s">
        <v>6</v>
      </c>
      <c r="F1979">
        <v>8.3860000000000004E-2</v>
      </c>
    </row>
    <row r="1980" spans="1:6" x14ac:dyDescent="0.3">
      <c r="A1980" t="s">
        <v>5</v>
      </c>
      <c r="B1980" s="1">
        <v>45740</v>
      </c>
      <c r="C1980">
        <v>11</v>
      </c>
      <c r="D1980">
        <v>7.0999999999999994E-2</v>
      </c>
      <c r="E1980" t="s">
        <v>6</v>
      </c>
      <c r="F1980">
        <v>0.12943000000000002</v>
      </c>
    </row>
    <row r="1981" spans="1:6" x14ac:dyDescent="0.3">
      <c r="A1981" t="s">
        <v>5</v>
      </c>
      <c r="B1981" s="1">
        <v>45740</v>
      </c>
      <c r="C1981">
        <v>12</v>
      </c>
      <c r="D1981">
        <v>8.8999999999999996E-2</v>
      </c>
      <c r="E1981" t="s">
        <v>6</v>
      </c>
      <c r="F1981">
        <v>0.12429999999999999</v>
      </c>
    </row>
    <row r="1982" spans="1:6" x14ac:dyDescent="0.3">
      <c r="A1982" t="s">
        <v>5</v>
      </c>
      <c r="B1982" s="1">
        <v>45740</v>
      </c>
      <c r="C1982">
        <v>13</v>
      </c>
      <c r="D1982">
        <v>6.6000000000000003E-2</v>
      </c>
      <c r="E1982" t="s">
        <v>6</v>
      </c>
      <c r="F1982">
        <v>0.12404000000000001</v>
      </c>
    </row>
    <row r="1983" spans="1:6" x14ac:dyDescent="0.3">
      <c r="A1983" t="s">
        <v>5</v>
      </c>
      <c r="B1983" s="1">
        <v>45740</v>
      </c>
      <c r="C1983">
        <v>14</v>
      </c>
      <c r="D1983">
        <v>8.5999999999999993E-2</v>
      </c>
      <c r="E1983" t="s">
        <v>6</v>
      </c>
      <c r="F1983">
        <v>0.12329999999999999</v>
      </c>
    </row>
    <row r="1984" spans="1:6" x14ac:dyDescent="0.3">
      <c r="A1984" t="s">
        <v>5</v>
      </c>
      <c r="B1984" s="1">
        <v>45740</v>
      </c>
      <c r="C1984">
        <v>15</v>
      </c>
      <c r="D1984">
        <v>0.249</v>
      </c>
      <c r="E1984" t="s">
        <v>6</v>
      </c>
      <c r="F1984">
        <v>5.987E-2</v>
      </c>
    </row>
    <row r="1985" spans="1:6" x14ac:dyDescent="0.3">
      <c r="A1985" t="s">
        <v>5</v>
      </c>
      <c r="B1985" s="1">
        <v>45740</v>
      </c>
      <c r="C1985">
        <v>16</v>
      </c>
      <c r="D1985">
        <v>0.114</v>
      </c>
      <c r="E1985" t="s">
        <v>6</v>
      </c>
      <c r="F1985">
        <v>6.0850000000000001E-2</v>
      </c>
    </row>
    <row r="1986" spans="1:6" x14ac:dyDescent="0.3">
      <c r="A1986" t="s">
        <v>5</v>
      </c>
      <c r="B1986" s="1">
        <v>45740</v>
      </c>
      <c r="C1986">
        <v>17</v>
      </c>
      <c r="D1986">
        <v>7.0000000000000007E-2</v>
      </c>
      <c r="E1986" t="s">
        <v>6</v>
      </c>
      <c r="F1986">
        <v>6.6930000000000003E-2</v>
      </c>
    </row>
    <row r="1987" spans="1:6" x14ac:dyDescent="0.3">
      <c r="A1987" t="s">
        <v>5</v>
      </c>
      <c r="B1987" s="1">
        <v>45740</v>
      </c>
      <c r="C1987">
        <v>18</v>
      </c>
      <c r="D1987">
        <v>9.9000000000000005E-2</v>
      </c>
      <c r="E1987" t="s">
        <v>6</v>
      </c>
      <c r="F1987">
        <v>0.11022</v>
      </c>
    </row>
    <row r="1988" spans="1:6" x14ac:dyDescent="0.3">
      <c r="A1988" t="s">
        <v>5</v>
      </c>
      <c r="B1988" s="1">
        <v>45740</v>
      </c>
      <c r="C1988">
        <v>19</v>
      </c>
      <c r="D1988">
        <v>0.113</v>
      </c>
      <c r="E1988" t="s">
        <v>6</v>
      </c>
      <c r="F1988">
        <v>0.21324000000000001</v>
      </c>
    </row>
    <row r="1989" spans="1:6" x14ac:dyDescent="0.3">
      <c r="A1989" t="s">
        <v>5</v>
      </c>
      <c r="B1989" s="1">
        <v>45740</v>
      </c>
      <c r="C1989">
        <v>20</v>
      </c>
      <c r="D1989">
        <v>0.105</v>
      </c>
      <c r="E1989" t="s">
        <v>6</v>
      </c>
      <c r="F1989">
        <v>0.33685999999999999</v>
      </c>
    </row>
    <row r="1990" spans="1:6" x14ac:dyDescent="0.3">
      <c r="A1990" t="s">
        <v>5</v>
      </c>
      <c r="B1990" s="1">
        <v>45740</v>
      </c>
      <c r="C1990">
        <v>21</v>
      </c>
      <c r="D1990">
        <v>0.129</v>
      </c>
      <c r="E1990" t="s">
        <v>6</v>
      </c>
      <c r="F1990">
        <v>0.30898000000000003</v>
      </c>
    </row>
    <row r="1991" spans="1:6" x14ac:dyDescent="0.3">
      <c r="A1991" t="s">
        <v>5</v>
      </c>
      <c r="B1991" s="1">
        <v>45740</v>
      </c>
      <c r="C1991">
        <v>22</v>
      </c>
      <c r="D1991">
        <v>0.25700000000000001</v>
      </c>
      <c r="E1991" t="s">
        <v>6</v>
      </c>
      <c r="F1991">
        <v>0.26591000000000004</v>
      </c>
    </row>
    <row r="1992" spans="1:6" x14ac:dyDescent="0.3">
      <c r="A1992" t="s">
        <v>5</v>
      </c>
      <c r="B1992" s="1">
        <v>45740</v>
      </c>
      <c r="C1992">
        <v>23</v>
      </c>
      <c r="D1992">
        <v>0.57799999999999996</v>
      </c>
      <c r="E1992" t="s">
        <v>6</v>
      </c>
      <c r="F1992">
        <v>0.18672999999999998</v>
      </c>
    </row>
    <row r="1993" spans="1:6" x14ac:dyDescent="0.3">
      <c r="A1993" t="s">
        <v>5</v>
      </c>
      <c r="B1993" s="1">
        <v>45740</v>
      </c>
      <c r="C1993">
        <v>24</v>
      </c>
      <c r="D1993">
        <v>0.46600000000000003</v>
      </c>
      <c r="E1993" t="s">
        <v>6</v>
      </c>
      <c r="F1993">
        <v>0.15627000000000002</v>
      </c>
    </row>
    <row r="1994" spans="1:6" x14ac:dyDescent="0.3">
      <c r="A1994" t="s">
        <v>5</v>
      </c>
      <c r="B1994" s="1">
        <v>45741</v>
      </c>
      <c r="C1994">
        <v>1</v>
      </c>
      <c r="D1994">
        <v>0.20100000000000001</v>
      </c>
      <c r="E1994" t="s">
        <v>6</v>
      </c>
      <c r="F1994">
        <v>9.3709999999999988E-2</v>
      </c>
    </row>
    <row r="1995" spans="1:6" x14ac:dyDescent="0.3">
      <c r="A1995" t="s">
        <v>5</v>
      </c>
      <c r="B1995" s="1">
        <v>45741</v>
      </c>
      <c r="C1995">
        <v>2</v>
      </c>
      <c r="D1995">
        <v>8.7999999999999995E-2</v>
      </c>
      <c r="E1995" t="s">
        <v>6</v>
      </c>
      <c r="F1995">
        <v>7.3849999999999999E-2</v>
      </c>
    </row>
    <row r="1996" spans="1:6" x14ac:dyDescent="0.3">
      <c r="A1996" t="s">
        <v>5</v>
      </c>
      <c r="B1996" s="1">
        <v>45741</v>
      </c>
      <c r="C1996">
        <v>3</v>
      </c>
      <c r="D1996">
        <v>8.5999999999999993E-2</v>
      </c>
      <c r="E1996" t="s">
        <v>6</v>
      </c>
      <c r="F1996">
        <v>7.0139999999999994E-2</v>
      </c>
    </row>
    <row r="1997" spans="1:6" x14ac:dyDescent="0.3">
      <c r="A1997" t="s">
        <v>5</v>
      </c>
      <c r="B1997" s="1">
        <v>45741</v>
      </c>
      <c r="C1997">
        <v>4</v>
      </c>
      <c r="D1997">
        <v>7.8E-2</v>
      </c>
      <c r="E1997" t="s">
        <v>6</v>
      </c>
      <c r="F1997">
        <v>6.6280000000000006E-2</v>
      </c>
    </row>
    <row r="1998" spans="1:6" x14ac:dyDescent="0.3">
      <c r="A1998" t="s">
        <v>5</v>
      </c>
      <c r="B1998" s="1">
        <v>45741</v>
      </c>
      <c r="C1998">
        <v>5</v>
      </c>
      <c r="D1998">
        <v>6.6000000000000003E-2</v>
      </c>
      <c r="E1998" t="s">
        <v>6</v>
      </c>
      <c r="F1998">
        <v>6.7129999999999995E-2</v>
      </c>
    </row>
    <row r="1999" spans="1:6" x14ac:dyDescent="0.3">
      <c r="A1999" t="s">
        <v>5</v>
      </c>
      <c r="B1999" s="1">
        <v>45741</v>
      </c>
      <c r="C1999">
        <v>6</v>
      </c>
      <c r="D1999">
        <v>8.2000000000000003E-2</v>
      </c>
      <c r="E1999" t="s">
        <v>6</v>
      </c>
      <c r="F1999">
        <v>7.1989999999999998E-2</v>
      </c>
    </row>
    <row r="2000" spans="1:6" x14ac:dyDescent="0.3">
      <c r="A2000" t="s">
        <v>5</v>
      </c>
      <c r="B2000" s="1">
        <v>45741</v>
      </c>
      <c r="C2000">
        <v>7</v>
      </c>
      <c r="D2000">
        <v>8.1000000000000003E-2</v>
      </c>
      <c r="E2000" t="s">
        <v>6</v>
      </c>
      <c r="F2000">
        <v>8.591E-2</v>
      </c>
    </row>
    <row r="2001" spans="1:6" x14ac:dyDescent="0.3">
      <c r="A2001" t="s">
        <v>5</v>
      </c>
      <c r="B2001" s="1">
        <v>45741</v>
      </c>
      <c r="C2001">
        <v>8</v>
      </c>
      <c r="D2001">
        <v>0.108</v>
      </c>
      <c r="E2001" t="s">
        <v>6</v>
      </c>
      <c r="F2001">
        <v>0.14562999999999998</v>
      </c>
    </row>
    <row r="2002" spans="1:6" x14ac:dyDescent="0.3">
      <c r="A2002" t="s">
        <v>5</v>
      </c>
      <c r="B2002" s="1">
        <v>45741</v>
      </c>
      <c r="C2002">
        <v>9</v>
      </c>
      <c r="D2002">
        <v>7.6999999999999999E-2</v>
      </c>
      <c r="E2002" t="s">
        <v>6</v>
      </c>
      <c r="F2002">
        <v>0.10734</v>
      </c>
    </row>
    <row r="2003" spans="1:6" x14ac:dyDescent="0.3">
      <c r="A2003" t="s">
        <v>5</v>
      </c>
      <c r="B2003" s="1">
        <v>45741</v>
      </c>
      <c r="C2003">
        <v>10</v>
      </c>
      <c r="D2003">
        <v>8.5999999999999993E-2</v>
      </c>
      <c r="E2003" t="s">
        <v>6</v>
      </c>
      <c r="F2003">
        <v>6.4360000000000001E-2</v>
      </c>
    </row>
    <row r="2004" spans="1:6" x14ac:dyDescent="0.3">
      <c r="A2004" t="s">
        <v>5</v>
      </c>
      <c r="B2004" s="1">
        <v>45741</v>
      </c>
      <c r="C2004">
        <v>11</v>
      </c>
      <c r="D2004">
        <v>0.217</v>
      </c>
      <c r="E2004" t="s">
        <v>6</v>
      </c>
      <c r="F2004">
        <v>0.12833</v>
      </c>
    </row>
    <row r="2005" spans="1:6" x14ac:dyDescent="0.3">
      <c r="A2005" t="s">
        <v>5</v>
      </c>
      <c r="B2005" s="1">
        <v>45741</v>
      </c>
      <c r="C2005">
        <v>12</v>
      </c>
      <c r="D2005">
        <v>8.1000000000000003E-2</v>
      </c>
      <c r="E2005" t="s">
        <v>6</v>
      </c>
      <c r="F2005">
        <v>0.12725</v>
      </c>
    </row>
    <row r="2006" spans="1:6" x14ac:dyDescent="0.3">
      <c r="A2006" t="s">
        <v>5</v>
      </c>
      <c r="B2006" s="1">
        <v>45741</v>
      </c>
      <c r="C2006">
        <v>13</v>
      </c>
      <c r="D2006">
        <v>6.7000000000000004E-2</v>
      </c>
      <c r="E2006" t="s">
        <v>6</v>
      </c>
      <c r="F2006">
        <v>0.12712999999999999</v>
      </c>
    </row>
    <row r="2007" spans="1:6" x14ac:dyDescent="0.3">
      <c r="A2007" t="s">
        <v>5</v>
      </c>
      <c r="B2007" s="1">
        <v>45741</v>
      </c>
      <c r="C2007">
        <v>14</v>
      </c>
      <c r="D2007">
        <v>7.8E-2</v>
      </c>
      <c r="E2007" t="s">
        <v>6</v>
      </c>
      <c r="F2007">
        <v>0.12465999999999999</v>
      </c>
    </row>
    <row r="2008" spans="1:6" x14ac:dyDescent="0.3">
      <c r="A2008" t="s">
        <v>5</v>
      </c>
      <c r="B2008" s="1">
        <v>45741</v>
      </c>
      <c r="C2008">
        <v>15</v>
      </c>
      <c r="D2008">
        <v>0.157</v>
      </c>
      <c r="E2008" t="s">
        <v>6</v>
      </c>
      <c r="F2008">
        <v>6.0179999999999997E-2</v>
      </c>
    </row>
    <row r="2009" spans="1:6" x14ac:dyDescent="0.3">
      <c r="A2009" t="s">
        <v>5</v>
      </c>
      <c r="B2009" s="1">
        <v>45741</v>
      </c>
      <c r="C2009">
        <v>16</v>
      </c>
      <c r="D2009">
        <v>0.19700000000000001</v>
      </c>
      <c r="E2009" t="s">
        <v>6</v>
      </c>
      <c r="F2009">
        <v>6.2189999999999995E-2</v>
      </c>
    </row>
    <row r="2010" spans="1:6" x14ac:dyDescent="0.3">
      <c r="A2010" t="s">
        <v>5</v>
      </c>
      <c r="B2010" s="1">
        <v>45741</v>
      </c>
      <c r="C2010">
        <v>17</v>
      </c>
      <c r="D2010">
        <v>0.21299999999999999</v>
      </c>
      <c r="E2010" t="s">
        <v>6</v>
      </c>
      <c r="F2010">
        <v>6.2119999999999995E-2</v>
      </c>
    </row>
    <row r="2011" spans="1:6" x14ac:dyDescent="0.3">
      <c r="A2011" t="s">
        <v>5</v>
      </c>
      <c r="B2011" s="1">
        <v>45741</v>
      </c>
      <c r="C2011">
        <v>18</v>
      </c>
      <c r="D2011">
        <v>0.14699999999999999</v>
      </c>
      <c r="E2011" t="s">
        <v>6</v>
      </c>
      <c r="F2011">
        <v>0.11924999999999999</v>
      </c>
    </row>
    <row r="2012" spans="1:6" x14ac:dyDescent="0.3">
      <c r="A2012" t="s">
        <v>5</v>
      </c>
      <c r="B2012" s="1">
        <v>45741</v>
      </c>
      <c r="C2012">
        <v>19</v>
      </c>
      <c r="D2012">
        <v>0.34399999999999997</v>
      </c>
      <c r="E2012" t="s">
        <v>6</v>
      </c>
      <c r="F2012">
        <v>0.20355000000000001</v>
      </c>
    </row>
    <row r="2013" spans="1:6" x14ac:dyDescent="0.3">
      <c r="A2013" t="s">
        <v>5</v>
      </c>
      <c r="B2013" s="1">
        <v>45741</v>
      </c>
      <c r="C2013">
        <v>20</v>
      </c>
      <c r="D2013">
        <v>0.27800000000000002</v>
      </c>
      <c r="E2013" t="s">
        <v>6</v>
      </c>
      <c r="F2013">
        <v>0.31237999999999999</v>
      </c>
    </row>
    <row r="2014" spans="1:6" x14ac:dyDescent="0.3">
      <c r="A2014" t="s">
        <v>5</v>
      </c>
      <c r="B2014" s="1">
        <v>45741</v>
      </c>
      <c r="C2014">
        <v>21</v>
      </c>
      <c r="D2014">
        <v>0.105</v>
      </c>
      <c r="E2014" t="s">
        <v>6</v>
      </c>
      <c r="F2014">
        <v>0.31264999999999998</v>
      </c>
    </row>
    <row r="2015" spans="1:6" x14ac:dyDescent="0.3">
      <c r="A2015" t="s">
        <v>5</v>
      </c>
      <c r="B2015" s="1">
        <v>45741</v>
      </c>
      <c r="C2015">
        <v>22</v>
      </c>
      <c r="D2015">
        <v>0.92</v>
      </c>
      <c r="E2015" t="s">
        <v>6</v>
      </c>
      <c r="F2015">
        <v>0.27768999999999999</v>
      </c>
    </row>
    <row r="2016" spans="1:6" x14ac:dyDescent="0.3">
      <c r="A2016" t="s">
        <v>5</v>
      </c>
      <c r="B2016" s="1">
        <v>45741</v>
      </c>
      <c r="C2016">
        <v>23</v>
      </c>
      <c r="D2016">
        <v>0.70199999999999996</v>
      </c>
      <c r="E2016" t="s">
        <v>6</v>
      </c>
      <c r="F2016">
        <v>0.18762000000000001</v>
      </c>
    </row>
    <row r="2017" spans="1:6" x14ac:dyDescent="0.3">
      <c r="A2017" t="s">
        <v>5</v>
      </c>
      <c r="B2017" s="1">
        <v>45741</v>
      </c>
      <c r="C2017">
        <v>24</v>
      </c>
      <c r="D2017">
        <v>0.64800000000000002</v>
      </c>
      <c r="E2017" t="s">
        <v>6</v>
      </c>
      <c r="F2017">
        <v>0.18143000000000001</v>
      </c>
    </row>
    <row r="2018" spans="1:6" x14ac:dyDescent="0.3">
      <c r="A2018" t="s">
        <v>5</v>
      </c>
      <c r="B2018" s="1">
        <v>45742</v>
      </c>
      <c r="C2018">
        <v>1</v>
      </c>
      <c r="D2018">
        <v>1.145</v>
      </c>
      <c r="E2018" t="s">
        <v>6</v>
      </c>
      <c r="F2018">
        <v>0.10477</v>
      </c>
    </row>
    <row r="2019" spans="1:6" x14ac:dyDescent="0.3">
      <c r="A2019" t="s">
        <v>5</v>
      </c>
      <c r="B2019" s="1">
        <v>45742</v>
      </c>
      <c r="C2019">
        <v>2</v>
      </c>
      <c r="D2019">
        <v>0.71</v>
      </c>
      <c r="E2019" t="s">
        <v>6</v>
      </c>
      <c r="F2019">
        <v>8.6900000000000005E-2</v>
      </c>
    </row>
    <row r="2020" spans="1:6" x14ac:dyDescent="0.3">
      <c r="A2020" t="s">
        <v>5</v>
      </c>
      <c r="B2020" s="1">
        <v>45742</v>
      </c>
      <c r="C2020">
        <v>3</v>
      </c>
      <c r="D2020">
        <v>0.13600000000000001</v>
      </c>
      <c r="E2020" t="s">
        <v>6</v>
      </c>
      <c r="F2020">
        <v>7.7040000000000011E-2</v>
      </c>
    </row>
    <row r="2021" spans="1:6" x14ac:dyDescent="0.3">
      <c r="A2021" t="s">
        <v>5</v>
      </c>
      <c r="B2021" s="1">
        <v>45742</v>
      </c>
      <c r="C2021">
        <v>4</v>
      </c>
      <c r="D2021">
        <v>8.5000000000000006E-2</v>
      </c>
      <c r="E2021" t="s">
        <v>6</v>
      </c>
      <c r="F2021">
        <v>7.2599999999999998E-2</v>
      </c>
    </row>
    <row r="2022" spans="1:6" x14ac:dyDescent="0.3">
      <c r="A2022" t="s">
        <v>5</v>
      </c>
      <c r="B2022" s="1">
        <v>45742</v>
      </c>
      <c r="C2022">
        <v>5</v>
      </c>
      <c r="D2022">
        <v>6.9000000000000006E-2</v>
      </c>
      <c r="E2022" t="s">
        <v>6</v>
      </c>
      <c r="F2022">
        <v>7.7680000000000013E-2</v>
      </c>
    </row>
    <row r="2023" spans="1:6" x14ac:dyDescent="0.3">
      <c r="A2023" t="s">
        <v>5</v>
      </c>
      <c r="B2023" s="1">
        <v>45742</v>
      </c>
      <c r="C2023">
        <v>6</v>
      </c>
      <c r="D2023">
        <v>9.0999999999999998E-2</v>
      </c>
      <c r="E2023" t="s">
        <v>6</v>
      </c>
      <c r="F2023">
        <v>8.5099999999999995E-2</v>
      </c>
    </row>
    <row r="2024" spans="1:6" x14ac:dyDescent="0.3">
      <c r="A2024" t="s">
        <v>5</v>
      </c>
      <c r="B2024" s="1">
        <v>45742</v>
      </c>
      <c r="C2024">
        <v>7</v>
      </c>
      <c r="D2024">
        <v>6.9000000000000006E-2</v>
      </c>
      <c r="E2024" t="s">
        <v>6</v>
      </c>
      <c r="F2024">
        <v>0.1162</v>
      </c>
    </row>
    <row r="2025" spans="1:6" x14ac:dyDescent="0.3">
      <c r="A2025" t="s">
        <v>5</v>
      </c>
      <c r="B2025" s="1">
        <v>45742</v>
      </c>
      <c r="C2025">
        <v>8</v>
      </c>
      <c r="D2025">
        <v>0.126</v>
      </c>
      <c r="E2025" t="s">
        <v>6</v>
      </c>
      <c r="F2025">
        <v>0.15456999999999999</v>
      </c>
    </row>
    <row r="2026" spans="1:6" x14ac:dyDescent="0.3">
      <c r="A2026" t="s">
        <v>5</v>
      </c>
      <c r="B2026" s="1">
        <v>45742</v>
      </c>
      <c r="C2026">
        <v>9</v>
      </c>
      <c r="D2026">
        <v>0.23899999999999999</v>
      </c>
      <c r="E2026" t="s">
        <v>6</v>
      </c>
      <c r="F2026">
        <v>9.5810000000000006E-2</v>
      </c>
    </row>
    <row r="2027" spans="1:6" x14ac:dyDescent="0.3">
      <c r="A2027" t="s">
        <v>5</v>
      </c>
      <c r="B2027" s="1">
        <v>45742</v>
      </c>
      <c r="C2027">
        <v>10</v>
      </c>
      <c r="D2027">
        <v>0.16400000000000001</v>
      </c>
      <c r="E2027" t="s">
        <v>6</v>
      </c>
      <c r="F2027">
        <v>6.5569999999999989E-2</v>
      </c>
    </row>
    <row r="2028" spans="1:6" x14ac:dyDescent="0.3">
      <c r="A2028" t="s">
        <v>5</v>
      </c>
      <c r="B2028" s="1">
        <v>45742</v>
      </c>
      <c r="C2028">
        <v>11</v>
      </c>
      <c r="D2028">
        <v>0.27600000000000002</v>
      </c>
      <c r="E2028" t="s">
        <v>6</v>
      </c>
      <c r="F2028">
        <v>0.13044</v>
      </c>
    </row>
    <row r="2029" spans="1:6" x14ac:dyDescent="0.3">
      <c r="A2029" t="s">
        <v>5</v>
      </c>
      <c r="B2029" s="1">
        <v>45742</v>
      </c>
      <c r="C2029">
        <v>12</v>
      </c>
      <c r="D2029">
        <v>6.0999999999999999E-2</v>
      </c>
      <c r="E2029" t="s">
        <v>6</v>
      </c>
      <c r="F2029">
        <v>0.12936</v>
      </c>
    </row>
    <row r="2030" spans="1:6" x14ac:dyDescent="0.3">
      <c r="A2030" t="s">
        <v>5</v>
      </c>
      <c r="B2030" s="1">
        <v>45742</v>
      </c>
      <c r="C2030">
        <v>13</v>
      </c>
      <c r="D2030">
        <v>7.8E-2</v>
      </c>
      <c r="E2030" t="s">
        <v>6</v>
      </c>
      <c r="F2030">
        <v>0.12925999999999999</v>
      </c>
    </row>
    <row r="2031" spans="1:6" x14ac:dyDescent="0.3">
      <c r="A2031" t="s">
        <v>5</v>
      </c>
      <c r="B2031" s="1">
        <v>45742</v>
      </c>
      <c r="C2031">
        <v>14</v>
      </c>
      <c r="D2031">
        <v>0.126</v>
      </c>
      <c r="E2031" t="s">
        <v>6</v>
      </c>
      <c r="F2031">
        <v>0.12686</v>
      </c>
    </row>
    <row r="2032" spans="1:6" x14ac:dyDescent="0.3">
      <c r="A2032" t="s">
        <v>5</v>
      </c>
      <c r="B2032" s="1">
        <v>45742</v>
      </c>
      <c r="C2032">
        <v>15</v>
      </c>
      <c r="D2032">
        <v>0.11</v>
      </c>
      <c r="E2032" t="s">
        <v>6</v>
      </c>
      <c r="F2032">
        <v>6.2119999999999995E-2</v>
      </c>
    </row>
    <row r="2033" spans="1:6" x14ac:dyDescent="0.3">
      <c r="A2033" t="s">
        <v>5</v>
      </c>
      <c r="B2033" s="1">
        <v>45742</v>
      </c>
      <c r="C2033">
        <v>16</v>
      </c>
      <c r="D2033">
        <v>1.018</v>
      </c>
      <c r="E2033" t="s">
        <v>6</v>
      </c>
      <c r="F2033">
        <v>6.2E-2</v>
      </c>
    </row>
    <row r="2034" spans="1:6" x14ac:dyDescent="0.3">
      <c r="A2034" t="s">
        <v>5</v>
      </c>
      <c r="B2034" s="1">
        <v>45742</v>
      </c>
      <c r="C2034">
        <v>17</v>
      </c>
      <c r="D2034">
        <v>0.38</v>
      </c>
      <c r="E2034" t="s">
        <v>6</v>
      </c>
      <c r="F2034">
        <v>6.2600000000000003E-2</v>
      </c>
    </row>
    <row r="2035" spans="1:6" x14ac:dyDescent="0.3">
      <c r="A2035" t="s">
        <v>5</v>
      </c>
      <c r="B2035" s="1">
        <v>45742</v>
      </c>
      <c r="C2035">
        <v>18</v>
      </c>
      <c r="D2035">
        <v>0.30499999999999999</v>
      </c>
      <c r="E2035" t="s">
        <v>6</v>
      </c>
      <c r="F2035">
        <v>6.1719999999999997E-2</v>
      </c>
    </row>
    <row r="2036" spans="1:6" x14ac:dyDescent="0.3">
      <c r="A2036" t="s">
        <v>5</v>
      </c>
      <c r="B2036" s="1">
        <v>45742</v>
      </c>
      <c r="C2036">
        <v>19</v>
      </c>
      <c r="D2036">
        <v>0.23499999999999999</v>
      </c>
      <c r="E2036" t="s">
        <v>6</v>
      </c>
      <c r="F2036">
        <v>0.16303999999999999</v>
      </c>
    </row>
    <row r="2037" spans="1:6" x14ac:dyDescent="0.3">
      <c r="A2037" t="s">
        <v>5</v>
      </c>
      <c r="B2037" s="1">
        <v>45742</v>
      </c>
      <c r="C2037">
        <v>20</v>
      </c>
      <c r="D2037">
        <v>0.46</v>
      </c>
      <c r="E2037" t="s">
        <v>6</v>
      </c>
      <c r="F2037">
        <v>0.27393000000000001</v>
      </c>
    </row>
    <row r="2038" spans="1:6" x14ac:dyDescent="0.3">
      <c r="A2038" t="s">
        <v>5</v>
      </c>
      <c r="B2038" s="1">
        <v>45742</v>
      </c>
      <c r="C2038">
        <v>21</v>
      </c>
      <c r="D2038">
        <v>0.46100000000000002</v>
      </c>
      <c r="E2038" t="s">
        <v>6</v>
      </c>
      <c r="F2038">
        <v>0.27564999999999995</v>
      </c>
    </row>
    <row r="2039" spans="1:6" x14ac:dyDescent="0.3">
      <c r="A2039" t="s">
        <v>5</v>
      </c>
      <c r="B2039" s="1">
        <v>45742</v>
      </c>
      <c r="C2039">
        <v>22</v>
      </c>
      <c r="D2039">
        <v>0.53100000000000003</v>
      </c>
      <c r="E2039" t="s">
        <v>6</v>
      </c>
      <c r="F2039">
        <v>0.25196999999999997</v>
      </c>
    </row>
    <row r="2040" spans="1:6" x14ac:dyDescent="0.3">
      <c r="A2040" t="s">
        <v>5</v>
      </c>
      <c r="B2040" s="1">
        <v>45742</v>
      </c>
      <c r="C2040">
        <v>23</v>
      </c>
      <c r="D2040">
        <v>0.29399999999999998</v>
      </c>
      <c r="E2040" t="s">
        <v>6</v>
      </c>
      <c r="F2040">
        <v>0.17821000000000001</v>
      </c>
    </row>
    <row r="2041" spans="1:6" x14ac:dyDescent="0.3">
      <c r="A2041" t="s">
        <v>5</v>
      </c>
      <c r="B2041" s="1">
        <v>45742</v>
      </c>
      <c r="C2041">
        <v>24</v>
      </c>
      <c r="D2041">
        <v>0.159</v>
      </c>
      <c r="E2041" t="s">
        <v>6</v>
      </c>
      <c r="F2041">
        <v>0.13181000000000001</v>
      </c>
    </row>
    <row r="2042" spans="1:6" x14ac:dyDescent="0.3">
      <c r="A2042" t="s">
        <v>5</v>
      </c>
      <c r="B2042" s="1">
        <v>45743</v>
      </c>
      <c r="C2042">
        <v>1</v>
      </c>
      <c r="D2042">
        <v>0.126</v>
      </c>
      <c r="E2042" t="s">
        <v>6</v>
      </c>
      <c r="F2042">
        <v>0.13863999999999999</v>
      </c>
    </row>
    <row r="2043" spans="1:6" x14ac:dyDescent="0.3">
      <c r="A2043" t="s">
        <v>5</v>
      </c>
      <c r="B2043" s="1">
        <v>45743</v>
      </c>
      <c r="C2043">
        <v>2</v>
      </c>
      <c r="D2043">
        <v>0.14099999999999999</v>
      </c>
      <c r="E2043" t="s">
        <v>6</v>
      </c>
      <c r="F2043">
        <v>0.10809999999999999</v>
      </c>
    </row>
    <row r="2044" spans="1:6" x14ac:dyDescent="0.3">
      <c r="A2044" t="s">
        <v>5</v>
      </c>
      <c r="B2044" s="1">
        <v>45743</v>
      </c>
      <c r="C2044">
        <v>3</v>
      </c>
      <c r="D2044">
        <v>0.12</v>
      </c>
      <c r="E2044" t="s">
        <v>6</v>
      </c>
      <c r="F2044">
        <v>0.10648000000000001</v>
      </c>
    </row>
    <row r="2045" spans="1:6" x14ac:dyDescent="0.3">
      <c r="A2045" t="s">
        <v>5</v>
      </c>
      <c r="B2045" s="1">
        <v>45743</v>
      </c>
      <c r="C2045">
        <v>4</v>
      </c>
      <c r="D2045">
        <v>0.15</v>
      </c>
      <c r="E2045" t="s">
        <v>6</v>
      </c>
      <c r="F2045">
        <v>9.7200000000000009E-2</v>
      </c>
    </row>
    <row r="2046" spans="1:6" x14ac:dyDescent="0.3">
      <c r="A2046" t="s">
        <v>5</v>
      </c>
      <c r="B2046" s="1">
        <v>45743</v>
      </c>
      <c r="C2046">
        <v>5</v>
      </c>
      <c r="D2046">
        <v>0.14099999999999999</v>
      </c>
      <c r="E2046" t="s">
        <v>6</v>
      </c>
      <c r="F2046">
        <v>9.781999999999999E-2</v>
      </c>
    </row>
    <row r="2047" spans="1:6" x14ac:dyDescent="0.3">
      <c r="A2047" t="s">
        <v>5</v>
      </c>
      <c r="B2047" s="1">
        <v>45743</v>
      </c>
      <c r="C2047">
        <v>6</v>
      </c>
      <c r="D2047">
        <v>0.14099999999999999</v>
      </c>
      <c r="E2047" t="s">
        <v>6</v>
      </c>
      <c r="F2047">
        <v>0.10579999999999999</v>
      </c>
    </row>
    <row r="2048" spans="1:6" x14ac:dyDescent="0.3">
      <c r="A2048" t="s">
        <v>5</v>
      </c>
      <c r="B2048" s="1">
        <v>45743</v>
      </c>
      <c r="C2048">
        <v>7</v>
      </c>
      <c r="D2048">
        <v>0.128</v>
      </c>
      <c r="E2048" t="s">
        <v>6</v>
      </c>
      <c r="F2048">
        <v>0.13741999999999999</v>
      </c>
    </row>
    <row r="2049" spans="1:6" x14ac:dyDescent="0.3">
      <c r="A2049" t="s">
        <v>5</v>
      </c>
      <c r="B2049" s="1">
        <v>45743</v>
      </c>
      <c r="C2049">
        <v>8</v>
      </c>
      <c r="D2049">
        <v>0.183</v>
      </c>
      <c r="E2049" t="s">
        <v>6</v>
      </c>
      <c r="F2049">
        <v>0.17765</v>
      </c>
    </row>
    <row r="2050" spans="1:6" x14ac:dyDescent="0.3">
      <c r="A2050" t="s">
        <v>5</v>
      </c>
      <c r="B2050" s="1">
        <v>45743</v>
      </c>
      <c r="C2050">
        <v>9</v>
      </c>
      <c r="D2050">
        <v>0.152</v>
      </c>
      <c r="E2050" t="s">
        <v>6</v>
      </c>
      <c r="F2050">
        <v>0.12790000000000001</v>
      </c>
    </row>
    <row r="2051" spans="1:6" x14ac:dyDescent="0.3">
      <c r="A2051" t="s">
        <v>5</v>
      </c>
      <c r="B2051" s="1">
        <v>45743</v>
      </c>
      <c r="C2051">
        <v>10</v>
      </c>
      <c r="D2051">
        <v>0.247</v>
      </c>
      <c r="E2051" t="s">
        <v>6</v>
      </c>
      <c r="F2051">
        <v>6.293E-2</v>
      </c>
    </row>
    <row r="2052" spans="1:6" x14ac:dyDescent="0.3">
      <c r="A2052" t="s">
        <v>5</v>
      </c>
      <c r="B2052" s="1">
        <v>45743</v>
      </c>
      <c r="C2052">
        <v>11</v>
      </c>
      <c r="D2052">
        <v>0.20300000000000001</v>
      </c>
      <c r="E2052" t="s">
        <v>6</v>
      </c>
      <c r="F2052">
        <v>0.12445000000000001</v>
      </c>
    </row>
    <row r="2053" spans="1:6" x14ac:dyDescent="0.3">
      <c r="A2053" t="s">
        <v>5</v>
      </c>
      <c r="B2053" s="1">
        <v>45743</v>
      </c>
      <c r="C2053">
        <v>12</v>
      </c>
      <c r="D2053">
        <v>6.7000000000000004E-2</v>
      </c>
      <c r="E2053" t="s">
        <v>6</v>
      </c>
      <c r="F2053">
        <v>0.12461</v>
      </c>
    </row>
    <row r="2054" spans="1:6" x14ac:dyDescent="0.3">
      <c r="A2054" t="s">
        <v>5</v>
      </c>
      <c r="B2054" s="1">
        <v>45743</v>
      </c>
      <c r="C2054">
        <v>13</v>
      </c>
      <c r="D2054">
        <v>9.2999999999999999E-2</v>
      </c>
      <c r="E2054" t="s">
        <v>6</v>
      </c>
      <c r="F2054">
        <v>0.12440000000000001</v>
      </c>
    </row>
    <row r="2055" spans="1:6" x14ac:dyDescent="0.3">
      <c r="A2055" t="s">
        <v>5</v>
      </c>
      <c r="B2055" s="1">
        <v>45743</v>
      </c>
      <c r="C2055">
        <v>14</v>
      </c>
      <c r="D2055">
        <v>6.6000000000000003E-2</v>
      </c>
      <c r="E2055" t="s">
        <v>6</v>
      </c>
      <c r="F2055">
        <v>0.12187000000000001</v>
      </c>
    </row>
    <row r="2056" spans="1:6" x14ac:dyDescent="0.3">
      <c r="A2056" t="s">
        <v>5</v>
      </c>
      <c r="B2056" s="1">
        <v>45743</v>
      </c>
      <c r="C2056">
        <v>15</v>
      </c>
      <c r="D2056">
        <v>7.8E-2</v>
      </c>
      <c r="E2056" t="s">
        <v>6</v>
      </c>
      <c r="F2056">
        <v>5.7110000000000001E-2</v>
      </c>
    </row>
    <row r="2057" spans="1:6" x14ac:dyDescent="0.3">
      <c r="A2057" t="s">
        <v>5</v>
      </c>
      <c r="B2057" s="1">
        <v>45743</v>
      </c>
      <c r="C2057">
        <v>16</v>
      </c>
      <c r="D2057">
        <v>0.14299999999999999</v>
      </c>
      <c r="E2057" t="s">
        <v>6</v>
      </c>
      <c r="F2057">
        <v>5.7950000000000002E-2</v>
      </c>
    </row>
    <row r="2058" spans="1:6" x14ac:dyDescent="0.3">
      <c r="A2058" t="s">
        <v>5</v>
      </c>
      <c r="B2058" s="1">
        <v>45743</v>
      </c>
      <c r="C2058">
        <v>17</v>
      </c>
      <c r="D2058">
        <v>0.54700000000000004</v>
      </c>
      <c r="E2058" t="s">
        <v>6</v>
      </c>
      <c r="F2058">
        <v>5.7619999999999998E-2</v>
      </c>
    </row>
    <row r="2059" spans="1:6" x14ac:dyDescent="0.3">
      <c r="A2059" t="s">
        <v>5</v>
      </c>
      <c r="B2059" s="1">
        <v>45743</v>
      </c>
      <c r="C2059">
        <v>18</v>
      </c>
      <c r="D2059">
        <v>0.64900000000000002</v>
      </c>
      <c r="E2059" t="s">
        <v>6</v>
      </c>
      <c r="F2059">
        <v>6.5659999999999996E-2</v>
      </c>
    </row>
    <row r="2060" spans="1:6" x14ac:dyDescent="0.3">
      <c r="A2060" t="s">
        <v>5</v>
      </c>
      <c r="B2060" s="1">
        <v>45743</v>
      </c>
      <c r="C2060">
        <v>19</v>
      </c>
      <c r="D2060">
        <v>0.70799999999999996</v>
      </c>
      <c r="E2060" t="s">
        <v>6</v>
      </c>
      <c r="F2060">
        <v>0.17815999999999999</v>
      </c>
    </row>
    <row r="2061" spans="1:6" x14ac:dyDescent="0.3">
      <c r="A2061" t="s">
        <v>5</v>
      </c>
      <c r="B2061" s="1">
        <v>45743</v>
      </c>
      <c r="C2061">
        <v>20</v>
      </c>
      <c r="D2061">
        <v>0.161</v>
      </c>
      <c r="E2061" t="s">
        <v>6</v>
      </c>
      <c r="F2061">
        <v>0.29843999999999998</v>
      </c>
    </row>
    <row r="2062" spans="1:6" x14ac:dyDescent="0.3">
      <c r="A2062" t="s">
        <v>5</v>
      </c>
      <c r="B2062" s="1">
        <v>45743</v>
      </c>
      <c r="C2062">
        <v>21</v>
      </c>
      <c r="D2062">
        <v>0.64800000000000002</v>
      </c>
      <c r="E2062" t="s">
        <v>6</v>
      </c>
      <c r="F2062">
        <v>0.27932999999999997</v>
      </c>
    </row>
    <row r="2063" spans="1:6" x14ac:dyDescent="0.3">
      <c r="A2063" t="s">
        <v>5</v>
      </c>
      <c r="B2063" s="1">
        <v>45743</v>
      </c>
      <c r="C2063">
        <v>22</v>
      </c>
      <c r="D2063">
        <v>1.6679999999999999</v>
      </c>
      <c r="E2063" t="s">
        <v>6</v>
      </c>
      <c r="F2063">
        <v>0.25752999999999998</v>
      </c>
    </row>
    <row r="2064" spans="1:6" x14ac:dyDescent="0.3">
      <c r="A2064" t="s">
        <v>5</v>
      </c>
      <c r="B2064" s="1">
        <v>45743</v>
      </c>
      <c r="C2064">
        <v>23</v>
      </c>
      <c r="D2064">
        <v>0.49399999999999999</v>
      </c>
      <c r="E2064" t="s">
        <v>6</v>
      </c>
      <c r="F2064">
        <v>0.18064</v>
      </c>
    </row>
    <row r="2065" spans="1:6" x14ac:dyDescent="0.3">
      <c r="A2065" t="s">
        <v>5</v>
      </c>
      <c r="B2065" s="1">
        <v>45743</v>
      </c>
      <c r="C2065">
        <v>24</v>
      </c>
      <c r="D2065">
        <v>0.127</v>
      </c>
      <c r="E2065" t="s">
        <v>6</v>
      </c>
      <c r="F2065">
        <v>0.16793</v>
      </c>
    </row>
    <row r="2066" spans="1:6" x14ac:dyDescent="0.3">
      <c r="A2066" t="s">
        <v>5</v>
      </c>
      <c r="B2066" s="1">
        <v>45744</v>
      </c>
      <c r="C2066">
        <v>1</v>
      </c>
      <c r="D2066">
        <v>9.9000000000000005E-2</v>
      </c>
      <c r="E2066" t="s">
        <v>6</v>
      </c>
      <c r="F2066">
        <v>0.11384999999999999</v>
      </c>
    </row>
    <row r="2067" spans="1:6" x14ac:dyDescent="0.3">
      <c r="A2067" t="s">
        <v>5</v>
      </c>
      <c r="B2067" s="1">
        <v>45744</v>
      </c>
      <c r="C2067">
        <v>2</v>
      </c>
      <c r="D2067">
        <v>8.5000000000000006E-2</v>
      </c>
      <c r="E2067" t="s">
        <v>6</v>
      </c>
      <c r="F2067">
        <v>9.820000000000001E-2</v>
      </c>
    </row>
    <row r="2068" spans="1:6" x14ac:dyDescent="0.3">
      <c r="A2068" t="s">
        <v>5</v>
      </c>
      <c r="B2068" s="1">
        <v>45744</v>
      </c>
      <c r="C2068">
        <v>3</v>
      </c>
      <c r="D2068">
        <v>7.0999999999999994E-2</v>
      </c>
      <c r="E2068" t="s">
        <v>6</v>
      </c>
      <c r="F2068">
        <v>9.0650000000000008E-2</v>
      </c>
    </row>
    <row r="2069" spans="1:6" x14ac:dyDescent="0.3">
      <c r="A2069" t="s">
        <v>5</v>
      </c>
      <c r="B2069" s="1">
        <v>45744</v>
      </c>
      <c r="C2069">
        <v>4</v>
      </c>
      <c r="D2069">
        <v>0.09</v>
      </c>
      <c r="E2069" t="s">
        <v>6</v>
      </c>
      <c r="F2069">
        <v>8.541E-2</v>
      </c>
    </row>
    <row r="2070" spans="1:6" x14ac:dyDescent="0.3">
      <c r="A2070" t="s">
        <v>5</v>
      </c>
      <c r="B2070" s="1">
        <v>45744</v>
      </c>
      <c r="C2070">
        <v>5</v>
      </c>
      <c r="D2070">
        <v>6.5000000000000002E-2</v>
      </c>
      <c r="E2070" t="s">
        <v>6</v>
      </c>
      <c r="F2070">
        <v>8.5819999999999994E-2</v>
      </c>
    </row>
    <row r="2071" spans="1:6" x14ac:dyDescent="0.3">
      <c r="A2071" t="s">
        <v>5</v>
      </c>
      <c r="B2071" s="1">
        <v>45744</v>
      </c>
      <c r="C2071">
        <v>6</v>
      </c>
      <c r="D2071">
        <v>8.5999999999999993E-2</v>
      </c>
      <c r="E2071" t="s">
        <v>6</v>
      </c>
      <c r="F2071">
        <v>9.1730000000000006E-2</v>
      </c>
    </row>
    <row r="2072" spans="1:6" x14ac:dyDescent="0.3">
      <c r="A2072" t="s">
        <v>5</v>
      </c>
      <c r="B2072" s="1">
        <v>45744</v>
      </c>
      <c r="C2072">
        <v>7</v>
      </c>
      <c r="D2072">
        <v>6.5000000000000002E-2</v>
      </c>
      <c r="E2072" t="s">
        <v>6</v>
      </c>
      <c r="F2072">
        <v>0.11078</v>
      </c>
    </row>
    <row r="2073" spans="1:6" x14ac:dyDescent="0.3">
      <c r="A2073" t="s">
        <v>5</v>
      </c>
      <c r="B2073" s="1">
        <v>45744</v>
      </c>
      <c r="C2073">
        <v>8</v>
      </c>
      <c r="D2073">
        <v>0.106</v>
      </c>
      <c r="E2073" t="s">
        <v>6</v>
      </c>
      <c r="F2073">
        <v>0.14718000000000001</v>
      </c>
    </row>
    <row r="2074" spans="1:6" x14ac:dyDescent="0.3">
      <c r="A2074" t="s">
        <v>5</v>
      </c>
      <c r="B2074" s="1">
        <v>45744</v>
      </c>
      <c r="C2074">
        <v>9</v>
      </c>
      <c r="D2074">
        <v>0.17799999999999999</v>
      </c>
      <c r="E2074" t="s">
        <v>6</v>
      </c>
      <c r="F2074">
        <v>9.8530000000000006E-2</v>
      </c>
    </row>
    <row r="2075" spans="1:6" x14ac:dyDescent="0.3">
      <c r="A2075" t="s">
        <v>5</v>
      </c>
      <c r="B2075" s="1">
        <v>45744</v>
      </c>
      <c r="C2075">
        <v>10</v>
      </c>
      <c r="D2075">
        <v>0.16500000000000001</v>
      </c>
      <c r="E2075" t="s">
        <v>6</v>
      </c>
      <c r="F2075">
        <v>7.2739999999999999E-2</v>
      </c>
    </row>
    <row r="2076" spans="1:6" x14ac:dyDescent="0.3">
      <c r="A2076" t="s">
        <v>5</v>
      </c>
      <c r="B2076" s="1">
        <v>45744</v>
      </c>
      <c r="C2076">
        <v>11</v>
      </c>
      <c r="D2076">
        <v>0.27500000000000002</v>
      </c>
      <c r="E2076" t="s">
        <v>6</v>
      </c>
      <c r="F2076">
        <v>0.13696</v>
      </c>
    </row>
    <row r="2077" spans="1:6" x14ac:dyDescent="0.3">
      <c r="A2077" t="s">
        <v>5</v>
      </c>
      <c r="B2077" s="1">
        <v>45744</v>
      </c>
      <c r="C2077">
        <v>12</v>
      </c>
      <c r="D2077">
        <v>0.121</v>
      </c>
      <c r="E2077" t="s">
        <v>6</v>
      </c>
      <c r="F2077">
        <v>0.13658000000000001</v>
      </c>
    </row>
    <row r="2078" spans="1:6" x14ac:dyDescent="0.3">
      <c r="A2078" t="s">
        <v>5</v>
      </c>
      <c r="B2078" s="1">
        <v>45744</v>
      </c>
      <c r="C2078">
        <v>13</v>
      </c>
      <c r="D2078">
        <v>0.14399999999999999</v>
      </c>
      <c r="E2078" t="s">
        <v>6</v>
      </c>
      <c r="F2078">
        <v>0.13664999999999999</v>
      </c>
    </row>
    <row r="2079" spans="1:6" x14ac:dyDescent="0.3">
      <c r="A2079" t="s">
        <v>5</v>
      </c>
      <c r="B2079" s="1">
        <v>45744</v>
      </c>
      <c r="C2079">
        <v>14</v>
      </c>
      <c r="D2079">
        <v>0.17599999999999999</v>
      </c>
      <c r="E2079" t="s">
        <v>6</v>
      </c>
      <c r="F2079">
        <v>0.13422000000000001</v>
      </c>
    </row>
    <row r="2080" spans="1:6" x14ac:dyDescent="0.3">
      <c r="A2080" t="s">
        <v>5</v>
      </c>
      <c r="B2080" s="1">
        <v>45744</v>
      </c>
      <c r="C2080">
        <v>15</v>
      </c>
      <c r="D2080">
        <v>0.122</v>
      </c>
      <c r="E2080" t="s">
        <v>6</v>
      </c>
      <c r="F2080">
        <v>6.9089999999999999E-2</v>
      </c>
    </row>
    <row r="2081" spans="1:6" x14ac:dyDescent="0.3">
      <c r="A2081" t="s">
        <v>5</v>
      </c>
      <c r="B2081" s="1">
        <v>45744</v>
      </c>
      <c r="C2081">
        <v>16</v>
      </c>
      <c r="D2081">
        <v>6.9000000000000006E-2</v>
      </c>
      <c r="E2081" t="s">
        <v>6</v>
      </c>
      <c r="F2081">
        <v>6.8319999999999992E-2</v>
      </c>
    </row>
    <row r="2082" spans="1:6" x14ac:dyDescent="0.3">
      <c r="A2082" t="s">
        <v>5</v>
      </c>
      <c r="B2082" s="1">
        <v>45744</v>
      </c>
      <c r="C2082">
        <v>17</v>
      </c>
      <c r="D2082">
        <v>7.0000000000000007E-2</v>
      </c>
      <c r="E2082" t="s">
        <v>6</v>
      </c>
      <c r="F2082">
        <v>6.8819999999999992E-2</v>
      </c>
    </row>
    <row r="2083" spans="1:6" x14ac:dyDescent="0.3">
      <c r="A2083" t="s">
        <v>5</v>
      </c>
      <c r="B2083" s="1">
        <v>45744</v>
      </c>
      <c r="C2083">
        <v>18</v>
      </c>
      <c r="D2083">
        <v>7.5999999999999998E-2</v>
      </c>
      <c r="E2083" t="s">
        <v>6</v>
      </c>
      <c r="F2083">
        <v>6.6769999999999996E-2</v>
      </c>
    </row>
    <row r="2084" spans="1:6" x14ac:dyDescent="0.3">
      <c r="A2084" t="s">
        <v>5</v>
      </c>
      <c r="B2084" s="1">
        <v>45744</v>
      </c>
      <c r="C2084">
        <v>19</v>
      </c>
      <c r="D2084">
        <v>6.0999999999999999E-2</v>
      </c>
      <c r="E2084" t="s">
        <v>6</v>
      </c>
      <c r="F2084">
        <v>0.14147999999999999</v>
      </c>
    </row>
    <row r="2085" spans="1:6" x14ac:dyDescent="0.3">
      <c r="A2085" t="s">
        <v>5</v>
      </c>
      <c r="B2085" s="1">
        <v>45744</v>
      </c>
      <c r="C2085">
        <v>20</v>
      </c>
      <c r="D2085">
        <v>8.3000000000000004E-2</v>
      </c>
      <c r="E2085" t="s">
        <v>6</v>
      </c>
      <c r="F2085">
        <v>0.20682</v>
      </c>
    </row>
    <row r="2086" spans="1:6" x14ac:dyDescent="0.3">
      <c r="A2086" t="s">
        <v>5</v>
      </c>
      <c r="B2086" s="1">
        <v>45744</v>
      </c>
      <c r="C2086">
        <v>21</v>
      </c>
      <c r="D2086">
        <v>6.2E-2</v>
      </c>
      <c r="E2086" t="s">
        <v>6</v>
      </c>
      <c r="F2086">
        <v>0.23286999999999999</v>
      </c>
    </row>
    <row r="2087" spans="1:6" x14ac:dyDescent="0.3">
      <c r="A2087" t="s">
        <v>5</v>
      </c>
      <c r="B2087" s="1">
        <v>45744</v>
      </c>
      <c r="C2087">
        <v>22</v>
      </c>
      <c r="D2087">
        <v>7.9000000000000001E-2</v>
      </c>
      <c r="E2087" t="s">
        <v>6</v>
      </c>
      <c r="F2087">
        <v>0.20824000000000001</v>
      </c>
    </row>
    <row r="2088" spans="1:6" x14ac:dyDescent="0.3">
      <c r="A2088" t="s">
        <v>5</v>
      </c>
      <c r="B2088" s="1">
        <v>45744</v>
      </c>
      <c r="C2088">
        <v>23</v>
      </c>
      <c r="D2088">
        <v>7.9000000000000001E-2</v>
      </c>
      <c r="E2088" t="s">
        <v>6</v>
      </c>
      <c r="F2088">
        <v>0.12776999999999999</v>
      </c>
    </row>
    <row r="2089" spans="1:6" x14ac:dyDescent="0.3">
      <c r="A2089" t="s">
        <v>5</v>
      </c>
      <c r="B2089" s="1">
        <v>45744</v>
      </c>
      <c r="C2089">
        <v>24</v>
      </c>
      <c r="D2089">
        <v>0.13600000000000001</v>
      </c>
      <c r="E2089" t="s">
        <v>6</v>
      </c>
      <c r="F2089">
        <v>9.5230000000000009E-2</v>
      </c>
    </row>
    <row r="2090" spans="1:6" x14ac:dyDescent="0.3">
      <c r="A2090" t="s">
        <v>5</v>
      </c>
      <c r="B2090" s="1">
        <v>45745</v>
      </c>
      <c r="C2090">
        <v>1</v>
      </c>
      <c r="D2090">
        <v>0.10100000000000001</v>
      </c>
      <c r="E2090" t="s">
        <v>6</v>
      </c>
      <c r="F2090">
        <v>7.4880000000000002E-2</v>
      </c>
    </row>
    <row r="2091" spans="1:6" x14ac:dyDescent="0.3">
      <c r="A2091" t="s">
        <v>5</v>
      </c>
      <c r="B2091" s="1">
        <v>45745</v>
      </c>
      <c r="C2091">
        <v>2</v>
      </c>
      <c r="D2091">
        <v>7.1999999999999995E-2</v>
      </c>
      <c r="E2091" t="s">
        <v>6</v>
      </c>
      <c r="F2091">
        <v>7.5560000000000002E-2</v>
      </c>
    </row>
    <row r="2092" spans="1:6" x14ac:dyDescent="0.3">
      <c r="A2092" t="s">
        <v>5</v>
      </c>
      <c r="B2092" s="1">
        <v>45745</v>
      </c>
      <c r="C2092">
        <v>3</v>
      </c>
      <c r="D2092">
        <v>7.1999999999999995E-2</v>
      </c>
      <c r="E2092" t="s">
        <v>6</v>
      </c>
      <c r="F2092">
        <v>7.529000000000001E-2</v>
      </c>
    </row>
    <row r="2093" spans="1:6" x14ac:dyDescent="0.3">
      <c r="A2093" t="s">
        <v>5</v>
      </c>
      <c r="B2093" s="1">
        <v>45745</v>
      </c>
      <c r="C2093">
        <v>4</v>
      </c>
      <c r="D2093">
        <v>7.0999999999999994E-2</v>
      </c>
      <c r="E2093" t="s">
        <v>6</v>
      </c>
      <c r="F2093">
        <v>7.0910000000000001E-2</v>
      </c>
    </row>
    <row r="2094" spans="1:6" x14ac:dyDescent="0.3">
      <c r="A2094" t="s">
        <v>5</v>
      </c>
      <c r="B2094" s="1">
        <v>45745</v>
      </c>
      <c r="C2094">
        <v>5</v>
      </c>
      <c r="D2094">
        <v>6.7000000000000004E-2</v>
      </c>
      <c r="E2094" t="s">
        <v>6</v>
      </c>
      <c r="F2094">
        <v>7.1139999999999995E-2</v>
      </c>
    </row>
    <row r="2095" spans="1:6" x14ac:dyDescent="0.3">
      <c r="A2095" t="s">
        <v>5</v>
      </c>
      <c r="B2095" s="1">
        <v>45745</v>
      </c>
      <c r="C2095">
        <v>6</v>
      </c>
      <c r="D2095">
        <v>7.3999999999999996E-2</v>
      </c>
      <c r="E2095" t="s">
        <v>6</v>
      </c>
      <c r="F2095">
        <v>7.1639999999999995E-2</v>
      </c>
    </row>
    <row r="2096" spans="1:6" x14ac:dyDescent="0.3">
      <c r="A2096" t="s">
        <v>5</v>
      </c>
      <c r="B2096" s="1">
        <v>45745</v>
      </c>
      <c r="C2096">
        <v>7</v>
      </c>
      <c r="D2096">
        <v>6.0999999999999999E-2</v>
      </c>
      <c r="E2096" t="s">
        <v>6</v>
      </c>
      <c r="F2096">
        <v>7.1440000000000003E-2</v>
      </c>
    </row>
    <row r="2097" spans="1:6" x14ac:dyDescent="0.3">
      <c r="A2097" t="s">
        <v>5</v>
      </c>
      <c r="B2097" s="1">
        <v>45745</v>
      </c>
      <c r="C2097">
        <v>8</v>
      </c>
      <c r="D2097">
        <v>7.8E-2</v>
      </c>
      <c r="E2097" t="s">
        <v>6</v>
      </c>
      <c r="F2097">
        <v>6.9599999999999995E-2</v>
      </c>
    </row>
    <row r="2098" spans="1:6" x14ac:dyDescent="0.3">
      <c r="A2098" t="s">
        <v>5</v>
      </c>
      <c r="B2098" s="1">
        <v>45745</v>
      </c>
      <c r="C2098">
        <v>9</v>
      </c>
      <c r="D2098">
        <v>0.06</v>
      </c>
      <c r="E2098" t="s">
        <v>6</v>
      </c>
      <c r="F2098">
        <v>6.701E-2</v>
      </c>
    </row>
    <row r="2099" spans="1:6" x14ac:dyDescent="0.3">
      <c r="A2099" t="s">
        <v>5</v>
      </c>
      <c r="B2099" s="1">
        <v>45745</v>
      </c>
      <c r="C2099">
        <v>10</v>
      </c>
      <c r="D2099">
        <v>7.8E-2</v>
      </c>
      <c r="E2099" t="s">
        <v>6</v>
      </c>
      <c r="F2099">
        <v>6.4030000000000004E-2</v>
      </c>
    </row>
    <row r="2100" spans="1:6" x14ac:dyDescent="0.3">
      <c r="A2100" t="s">
        <v>5</v>
      </c>
      <c r="B2100" s="1">
        <v>45745</v>
      </c>
      <c r="C2100">
        <v>11</v>
      </c>
      <c r="D2100">
        <v>0.06</v>
      </c>
      <c r="E2100" t="s">
        <v>6</v>
      </c>
      <c r="F2100">
        <v>5.858E-2</v>
      </c>
    </row>
    <row r="2101" spans="1:6" x14ac:dyDescent="0.3">
      <c r="A2101" t="s">
        <v>5</v>
      </c>
      <c r="B2101" s="1">
        <v>45745</v>
      </c>
      <c r="C2101">
        <v>12</v>
      </c>
      <c r="D2101">
        <v>7.9000000000000001E-2</v>
      </c>
      <c r="E2101" t="s">
        <v>6</v>
      </c>
      <c r="F2101">
        <v>5.7349999999999998E-2</v>
      </c>
    </row>
    <row r="2102" spans="1:6" x14ac:dyDescent="0.3">
      <c r="A2102" t="s">
        <v>5</v>
      </c>
      <c r="B2102" s="1">
        <v>45745</v>
      </c>
      <c r="C2102">
        <v>13</v>
      </c>
      <c r="D2102">
        <v>6.0999999999999999E-2</v>
      </c>
      <c r="E2102" t="s">
        <v>6</v>
      </c>
      <c r="F2102">
        <v>5.9859999999999997E-2</v>
      </c>
    </row>
    <row r="2103" spans="1:6" x14ac:dyDescent="0.3">
      <c r="A2103" t="s">
        <v>5</v>
      </c>
      <c r="B2103" s="1">
        <v>45745</v>
      </c>
      <c r="C2103">
        <v>14</v>
      </c>
      <c r="D2103">
        <v>7.4999999999999997E-2</v>
      </c>
      <c r="E2103" t="s">
        <v>6</v>
      </c>
      <c r="F2103">
        <v>6.0359999999999997E-2</v>
      </c>
    </row>
    <row r="2104" spans="1:6" x14ac:dyDescent="0.3">
      <c r="A2104" t="s">
        <v>5</v>
      </c>
      <c r="B2104" s="1">
        <v>45745</v>
      </c>
      <c r="C2104">
        <v>15</v>
      </c>
      <c r="D2104">
        <v>6.4000000000000001E-2</v>
      </c>
      <c r="E2104" t="s">
        <v>6</v>
      </c>
      <c r="F2104">
        <v>6.1219999999999997E-2</v>
      </c>
    </row>
    <row r="2105" spans="1:6" x14ac:dyDescent="0.3">
      <c r="A2105" t="s">
        <v>5</v>
      </c>
      <c r="B2105" s="1">
        <v>45745</v>
      </c>
      <c r="C2105">
        <v>16</v>
      </c>
      <c r="D2105">
        <v>6.8000000000000005E-2</v>
      </c>
      <c r="E2105" t="s">
        <v>6</v>
      </c>
      <c r="F2105">
        <v>6.2700000000000006E-2</v>
      </c>
    </row>
    <row r="2106" spans="1:6" x14ac:dyDescent="0.3">
      <c r="A2106" t="s">
        <v>5</v>
      </c>
      <c r="B2106" s="1">
        <v>45745</v>
      </c>
      <c r="C2106">
        <v>17</v>
      </c>
      <c r="D2106">
        <v>7.0000000000000007E-2</v>
      </c>
      <c r="E2106" t="s">
        <v>6</v>
      </c>
      <c r="F2106">
        <v>6.404E-2</v>
      </c>
    </row>
    <row r="2107" spans="1:6" x14ac:dyDescent="0.3">
      <c r="A2107" t="s">
        <v>5</v>
      </c>
      <c r="B2107" s="1">
        <v>45745</v>
      </c>
      <c r="C2107">
        <v>18</v>
      </c>
      <c r="D2107">
        <v>6.4000000000000001E-2</v>
      </c>
      <c r="E2107" t="s">
        <v>6</v>
      </c>
      <c r="F2107">
        <v>6.0380000000000003E-2</v>
      </c>
    </row>
    <row r="2108" spans="1:6" x14ac:dyDescent="0.3">
      <c r="A2108" t="s">
        <v>5</v>
      </c>
      <c r="B2108" s="1">
        <v>45745</v>
      </c>
      <c r="C2108">
        <v>19</v>
      </c>
      <c r="D2108">
        <v>7.4999999999999997E-2</v>
      </c>
      <c r="E2108" t="s">
        <v>6</v>
      </c>
      <c r="F2108">
        <v>5.9830000000000001E-2</v>
      </c>
    </row>
    <row r="2109" spans="1:6" x14ac:dyDescent="0.3">
      <c r="A2109" t="s">
        <v>5</v>
      </c>
      <c r="B2109" s="1">
        <v>45745</v>
      </c>
      <c r="C2109">
        <v>20</v>
      </c>
      <c r="D2109">
        <v>0.06</v>
      </c>
      <c r="E2109" t="s">
        <v>6</v>
      </c>
      <c r="F2109">
        <v>6.8919999999999995E-2</v>
      </c>
    </row>
    <row r="2110" spans="1:6" x14ac:dyDescent="0.3">
      <c r="A2110" t="s">
        <v>5</v>
      </c>
      <c r="B2110" s="1">
        <v>45745</v>
      </c>
      <c r="C2110">
        <v>21</v>
      </c>
      <c r="D2110">
        <v>7.9000000000000001E-2</v>
      </c>
      <c r="E2110" t="s">
        <v>6</v>
      </c>
      <c r="F2110">
        <v>7.6609999999999998E-2</v>
      </c>
    </row>
    <row r="2111" spans="1:6" x14ac:dyDescent="0.3">
      <c r="A2111" t="s">
        <v>5</v>
      </c>
      <c r="B2111" s="1">
        <v>45745</v>
      </c>
      <c r="C2111">
        <v>22</v>
      </c>
      <c r="D2111">
        <v>0.06</v>
      </c>
      <c r="E2111" t="s">
        <v>6</v>
      </c>
      <c r="F2111">
        <v>7.7409999999999993E-2</v>
      </c>
    </row>
    <row r="2112" spans="1:6" x14ac:dyDescent="0.3">
      <c r="A2112" t="s">
        <v>5</v>
      </c>
      <c r="B2112" s="1">
        <v>45745</v>
      </c>
      <c r="C2112">
        <v>23</v>
      </c>
      <c r="D2112">
        <v>7.9000000000000001E-2</v>
      </c>
      <c r="E2112" t="s">
        <v>6</v>
      </c>
      <c r="F2112">
        <v>6.9889999999999994E-2</v>
      </c>
    </row>
    <row r="2113" spans="1:6" x14ac:dyDescent="0.3">
      <c r="A2113" t="s">
        <v>5</v>
      </c>
      <c r="B2113" s="1">
        <v>45745</v>
      </c>
      <c r="C2113">
        <v>24</v>
      </c>
      <c r="D2113">
        <v>0.06</v>
      </c>
      <c r="E2113" t="s">
        <v>6</v>
      </c>
      <c r="F2113">
        <v>6.5090000000000009E-2</v>
      </c>
    </row>
    <row r="2114" spans="1:6" x14ac:dyDescent="0.3">
      <c r="A2114" t="s">
        <v>5</v>
      </c>
      <c r="B2114" s="1">
        <v>45746</v>
      </c>
      <c r="C2114">
        <v>1</v>
      </c>
      <c r="D2114">
        <v>7.8E-2</v>
      </c>
      <c r="E2114" t="s">
        <v>6</v>
      </c>
      <c r="F2114">
        <v>6.762E-2</v>
      </c>
    </row>
    <row r="2115" spans="1:6" x14ac:dyDescent="0.3">
      <c r="A2115" t="s">
        <v>5</v>
      </c>
      <c r="B2115" s="1">
        <v>45746</v>
      </c>
      <c r="C2115">
        <v>2</v>
      </c>
      <c r="D2115">
        <v>6.0999999999999999E-2</v>
      </c>
      <c r="E2115" t="s">
        <v>6</v>
      </c>
      <c r="F2115">
        <v>7.1510000000000004E-2</v>
      </c>
    </row>
    <row r="2116" spans="1:6" x14ac:dyDescent="0.3">
      <c r="A2116" t="s">
        <v>5</v>
      </c>
      <c r="B2116" s="1">
        <v>45746</v>
      </c>
      <c r="C2116">
        <v>3</v>
      </c>
      <c r="D2116">
        <v>7.0999999999999994E-2</v>
      </c>
      <c r="E2116" t="s">
        <v>6</v>
      </c>
      <c r="F2116">
        <v>7.6310000000000003E-2</v>
      </c>
    </row>
    <row r="2117" spans="1:6" x14ac:dyDescent="0.3">
      <c r="A2117" t="s">
        <v>5</v>
      </c>
      <c r="B2117" s="1">
        <v>45746</v>
      </c>
      <c r="C2117">
        <v>4</v>
      </c>
      <c r="D2117">
        <v>6.6000000000000003E-2</v>
      </c>
      <c r="E2117" t="s">
        <v>6</v>
      </c>
      <c r="F2117">
        <v>7.3599999999999999E-2</v>
      </c>
    </row>
    <row r="2118" spans="1:6" x14ac:dyDescent="0.3">
      <c r="A2118" t="s">
        <v>5</v>
      </c>
      <c r="B2118" s="1">
        <v>45746</v>
      </c>
      <c r="C2118">
        <v>5</v>
      </c>
      <c r="D2118">
        <v>6.5000000000000002E-2</v>
      </c>
      <c r="E2118" t="s">
        <v>6</v>
      </c>
      <c r="F2118">
        <v>7.3900000000000007E-2</v>
      </c>
    </row>
    <row r="2119" spans="1:6" x14ac:dyDescent="0.3">
      <c r="A2119" t="s">
        <v>5</v>
      </c>
      <c r="B2119" s="1">
        <v>45746</v>
      </c>
      <c r="C2119">
        <v>6</v>
      </c>
      <c r="D2119">
        <v>7.2999999999999995E-2</v>
      </c>
      <c r="E2119" t="s">
        <v>6</v>
      </c>
      <c r="F2119">
        <v>7.3819999999999997E-2</v>
      </c>
    </row>
    <row r="2120" spans="1:6" x14ac:dyDescent="0.3">
      <c r="A2120" t="s">
        <v>5</v>
      </c>
      <c r="B2120" s="1">
        <v>45746</v>
      </c>
      <c r="C2120">
        <v>7</v>
      </c>
      <c r="D2120">
        <v>5.8999999999999997E-2</v>
      </c>
      <c r="E2120" t="s">
        <v>6</v>
      </c>
      <c r="F2120">
        <v>7.2650000000000006E-2</v>
      </c>
    </row>
    <row r="2121" spans="1:6" x14ac:dyDescent="0.3">
      <c r="A2121" t="s">
        <v>5</v>
      </c>
      <c r="B2121" s="1">
        <v>45746</v>
      </c>
      <c r="C2121">
        <v>8</v>
      </c>
      <c r="D2121">
        <v>7.6999999999999999E-2</v>
      </c>
      <c r="E2121" t="s">
        <v>6</v>
      </c>
      <c r="F2121">
        <v>7.7200000000000005E-2</v>
      </c>
    </row>
    <row r="2122" spans="1:6" x14ac:dyDescent="0.3">
      <c r="A2122" t="s">
        <v>5</v>
      </c>
      <c r="B2122" s="1">
        <v>45746</v>
      </c>
      <c r="C2122">
        <v>9</v>
      </c>
      <c r="D2122">
        <v>5.8999999999999997E-2</v>
      </c>
      <c r="E2122" t="s">
        <v>6</v>
      </c>
      <c r="F2122">
        <v>6.1200000000000004E-2</v>
      </c>
    </row>
    <row r="2123" spans="1:6" x14ac:dyDescent="0.3">
      <c r="A2123" t="s">
        <v>5</v>
      </c>
      <c r="B2123" s="1">
        <v>45746</v>
      </c>
      <c r="C2123">
        <v>10</v>
      </c>
      <c r="D2123">
        <v>7.8E-2</v>
      </c>
      <c r="E2123" t="s">
        <v>6</v>
      </c>
      <c r="F2123">
        <v>6.0590000000000005E-2</v>
      </c>
    </row>
    <row r="2124" spans="1:6" x14ac:dyDescent="0.3">
      <c r="A2124" t="s">
        <v>5</v>
      </c>
      <c r="B2124" s="1">
        <v>45746</v>
      </c>
      <c r="C2124">
        <v>11</v>
      </c>
      <c r="D2124">
        <v>0.06</v>
      </c>
      <c r="E2124" t="s">
        <v>6</v>
      </c>
      <c r="F2124">
        <v>5.8400000000000001E-2</v>
      </c>
    </row>
    <row r="2125" spans="1:6" x14ac:dyDescent="0.3">
      <c r="A2125" t="s">
        <v>5</v>
      </c>
      <c r="B2125" s="1">
        <v>45746</v>
      </c>
      <c r="C2125">
        <v>12</v>
      </c>
      <c r="D2125">
        <v>7.2999999999999995E-2</v>
      </c>
      <c r="E2125" t="s">
        <v>6</v>
      </c>
      <c r="F2125">
        <v>5.7549999999999997E-2</v>
      </c>
    </row>
    <row r="2126" spans="1:6" x14ac:dyDescent="0.3">
      <c r="A2126" t="s">
        <v>5</v>
      </c>
      <c r="B2126" s="1">
        <v>45746</v>
      </c>
      <c r="C2126">
        <v>13</v>
      </c>
      <c r="D2126">
        <v>6.5000000000000002E-2</v>
      </c>
      <c r="E2126" t="s">
        <v>6</v>
      </c>
      <c r="F2126">
        <v>5.7149999999999999E-2</v>
      </c>
    </row>
    <row r="2127" spans="1:6" x14ac:dyDescent="0.3">
      <c r="A2127" t="s">
        <v>5</v>
      </c>
      <c r="B2127" s="1">
        <v>45746</v>
      </c>
      <c r="C2127">
        <v>14</v>
      </c>
      <c r="D2127">
        <v>6.6000000000000003E-2</v>
      </c>
      <c r="E2127" t="s">
        <v>6</v>
      </c>
      <c r="F2127">
        <v>5.5990000000000005E-2</v>
      </c>
    </row>
    <row r="2128" spans="1:6" x14ac:dyDescent="0.3">
      <c r="A2128" t="s">
        <v>5</v>
      </c>
      <c r="B2128" s="1">
        <v>45746</v>
      </c>
      <c r="C2128">
        <v>15</v>
      </c>
      <c r="D2128">
        <v>7.1999999999999995E-2</v>
      </c>
      <c r="E2128" t="s">
        <v>6</v>
      </c>
      <c r="F2128">
        <v>5.7700000000000001E-2</v>
      </c>
    </row>
    <row r="2129" spans="1:6" x14ac:dyDescent="0.3">
      <c r="A2129" t="s">
        <v>5</v>
      </c>
      <c r="B2129" s="1">
        <v>45746</v>
      </c>
      <c r="C2129">
        <v>16</v>
      </c>
      <c r="D2129">
        <v>5.8999999999999997E-2</v>
      </c>
      <c r="E2129" t="s">
        <v>6</v>
      </c>
      <c r="F2129">
        <v>5.91E-2</v>
      </c>
    </row>
    <row r="2130" spans="1:6" x14ac:dyDescent="0.3">
      <c r="A2130" t="s">
        <v>5</v>
      </c>
      <c r="B2130" s="1">
        <v>45746</v>
      </c>
      <c r="C2130">
        <v>17</v>
      </c>
      <c r="D2130">
        <v>7.8E-2</v>
      </c>
      <c r="E2130" t="s">
        <v>6</v>
      </c>
      <c r="F2130">
        <v>6.0350000000000001E-2</v>
      </c>
    </row>
    <row r="2131" spans="1:6" x14ac:dyDescent="0.3">
      <c r="A2131" t="s">
        <v>5</v>
      </c>
      <c r="B2131" s="1">
        <v>45746</v>
      </c>
      <c r="C2131">
        <v>18</v>
      </c>
      <c r="D2131">
        <v>0.06</v>
      </c>
      <c r="E2131" t="s">
        <v>6</v>
      </c>
      <c r="F2131">
        <v>5.8029999999999998E-2</v>
      </c>
    </row>
    <row r="2132" spans="1:6" x14ac:dyDescent="0.3">
      <c r="A2132" t="s">
        <v>5</v>
      </c>
      <c r="B2132" s="1">
        <v>45746</v>
      </c>
      <c r="C2132">
        <v>19</v>
      </c>
      <c r="D2132">
        <v>7.8E-2</v>
      </c>
      <c r="E2132" t="s">
        <v>6</v>
      </c>
      <c r="F2132">
        <v>6.4140000000000003E-2</v>
      </c>
    </row>
    <row r="2133" spans="1:6" x14ac:dyDescent="0.3">
      <c r="A2133" t="s">
        <v>5</v>
      </c>
      <c r="B2133" s="1">
        <v>45746</v>
      </c>
      <c r="C2133">
        <v>20</v>
      </c>
      <c r="D2133">
        <v>0.35899999999999999</v>
      </c>
      <c r="E2133" t="s">
        <v>6</v>
      </c>
      <c r="F2133">
        <v>8.3849999999999994E-2</v>
      </c>
    </row>
    <row r="2134" spans="1:6" x14ac:dyDescent="0.3">
      <c r="A2134" t="s">
        <v>5</v>
      </c>
      <c r="B2134" s="1">
        <v>45746</v>
      </c>
      <c r="C2134">
        <v>21</v>
      </c>
      <c r="D2134">
        <v>0.48899999999999999</v>
      </c>
      <c r="E2134" t="s">
        <v>6</v>
      </c>
      <c r="F2134">
        <v>9.5620000000000011E-2</v>
      </c>
    </row>
    <row r="2135" spans="1:6" x14ac:dyDescent="0.3">
      <c r="A2135" t="s">
        <v>5</v>
      </c>
      <c r="B2135" s="1">
        <v>45746</v>
      </c>
      <c r="C2135">
        <v>22</v>
      </c>
      <c r="D2135">
        <v>0.47799999999999998</v>
      </c>
      <c r="E2135" t="s">
        <v>6</v>
      </c>
      <c r="F2135">
        <v>8.5260000000000002E-2</v>
      </c>
    </row>
    <row r="2136" spans="1:6" x14ac:dyDescent="0.3">
      <c r="A2136" t="s">
        <v>5</v>
      </c>
      <c r="B2136" s="1">
        <v>45746</v>
      </c>
      <c r="C2136">
        <v>23</v>
      </c>
      <c r="D2136">
        <v>0.221</v>
      </c>
      <c r="E2136" t="s">
        <v>6</v>
      </c>
      <c r="F2136">
        <v>7.0749999999999993E-2</v>
      </c>
    </row>
    <row r="2137" spans="1:6" x14ac:dyDescent="0.3">
      <c r="A2137" t="s">
        <v>5</v>
      </c>
      <c r="B2137" s="1">
        <v>45747</v>
      </c>
      <c r="C2137">
        <v>1</v>
      </c>
      <c r="D2137">
        <v>0.252</v>
      </c>
      <c r="E2137" t="s">
        <v>6</v>
      </c>
      <c r="F2137">
        <v>6.0899999999999996E-2</v>
      </c>
    </row>
    <row r="2138" spans="1:6" x14ac:dyDescent="0.3">
      <c r="A2138" t="s">
        <v>5</v>
      </c>
      <c r="B2138" s="1">
        <v>45747</v>
      </c>
      <c r="C2138">
        <v>2</v>
      </c>
      <c r="D2138">
        <v>0.19700000000000001</v>
      </c>
      <c r="E2138" t="s">
        <v>6</v>
      </c>
      <c r="F2138">
        <v>6.5000000000000002E-2</v>
      </c>
    </row>
    <row r="2139" spans="1:6" x14ac:dyDescent="0.3">
      <c r="A2139" t="s">
        <v>5</v>
      </c>
      <c r="B2139" s="1">
        <v>45747</v>
      </c>
      <c r="C2139">
        <v>3</v>
      </c>
      <c r="D2139">
        <v>0.19400000000000001</v>
      </c>
      <c r="E2139" t="s">
        <v>6</v>
      </c>
      <c r="F2139">
        <v>6.7610000000000003E-2</v>
      </c>
    </row>
    <row r="2140" spans="1:6" x14ac:dyDescent="0.3">
      <c r="A2140" t="s">
        <v>5</v>
      </c>
      <c r="B2140" s="1">
        <v>45747</v>
      </c>
      <c r="C2140">
        <v>4</v>
      </c>
      <c r="D2140">
        <v>0.20200000000000001</v>
      </c>
      <c r="E2140" t="s">
        <v>6</v>
      </c>
      <c r="F2140">
        <v>6.5390000000000004E-2</v>
      </c>
    </row>
    <row r="2141" spans="1:6" x14ac:dyDescent="0.3">
      <c r="A2141" t="s">
        <v>5</v>
      </c>
      <c r="B2141" s="1">
        <v>45747</v>
      </c>
      <c r="C2141">
        <v>5</v>
      </c>
      <c r="D2141">
        <v>0.14000000000000001</v>
      </c>
      <c r="E2141" t="s">
        <v>6</v>
      </c>
      <c r="F2141">
        <v>6.5060000000000007E-2</v>
      </c>
    </row>
    <row r="2142" spans="1:6" x14ac:dyDescent="0.3">
      <c r="A2142" t="s">
        <v>5</v>
      </c>
      <c r="B2142" s="1">
        <v>45747</v>
      </c>
      <c r="C2142">
        <v>6</v>
      </c>
      <c r="D2142">
        <v>0.13700000000000001</v>
      </c>
      <c r="E2142" t="s">
        <v>6</v>
      </c>
      <c r="F2142">
        <v>6.472E-2</v>
      </c>
    </row>
    <row r="2143" spans="1:6" x14ac:dyDescent="0.3">
      <c r="A2143" t="s">
        <v>5</v>
      </c>
      <c r="B2143" s="1">
        <v>45747</v>
      </c>
      <c r="C2143">
        <v>7</v>
      </c>
      <c r="D2143">
        <v>0.154</v>
      </c>
      <c r="E2143" t="s">
        <v>6</v>
      </c>
      <c r="F2143">
        <v>6.5000000000000002E-2</v>
      </c>
    </row>
    <row r="2144" spans="1:6" x14ac:dyDescent="0.3">
      <c r="A2144" t="s">
        <v>5</v>
      </c>
      <c r="B2144" s="1">
        <v>45747</v>
      </c>
      <c r="C2144">
        <v>8</v>
      </c>
      <c r="D2144">
        <v>0.28000000000000003</v>
      </c>
      <c r="E2144" t="s">
        <v>6</v>
      </c>
      <c r="F2144">
        <v>9.6810000000000007E-2</v>
      </c>
    </row>
    <row r="2145" spans="1:6" x14ac:dyDescent="0.3">
      <c r="A2145" t="s">
        <v>5</v>
      </c>
      <c r="B2145" s="1">
        <v>45747</v>
      </c>
      <c r="C2145">
        <v>9</v>
      </c>
      <c r="D2145">
        <v>0.19500000000000001</v>
      </c>
      <c r="E2145" t="s">
        <v>6</v>
      </c>
      <c r="F2145">
        <v>0.12697</v>
      </c>
    </row>
    <row r="2146" spans="1:6" x14ac:dyDescent="0.3">
      <c r="A2146" t="s">
        <v>5</v>
      </c>
      <c r="B2146" s="1">
        <v>45747</v>
      </c>
      <c r="C2146">
        <v>10</v>
      </c>
      <c r="D2146">
        <v>0.159</v>
      </c>
      <c r="E2146" t="s">
        <v>6</v>
      </c>
      <c r="F2146">
        <v>7.0569999999999994E-2</v>
      </c>
    </row>
    <row r="2147" spans="1:6" x14ac:dyDescent="0.3">
      <c r="A2147" t="s">
        <v>5</v>
      </c>
      <c r="B2147" s="1">
        <v>45747</v>
      </c>
      <c r="C2147">
        <v>11</v>
      </c>
      <c r="D2147">
        <v>0.127</v>
      </c>
      <c r="E2147" t="s">
        <v>6</v>
      </c>
      <c r="F2147">
        <v>0.13730000000000001</v>
      </c>
    </row>
    <row r="2148" spans="1:6" x14ac:dyDescent="0.3">
      <c r="A2148" t="s">
        <v>5</v>
      </c>
      <c r="B2148" s="1">
        <v>45747</v>
      </c>
      <c r="C2148">
        <v>12</v>
      </c>
      <c r="D2148">
        <v>0.13700000000000001</v>
      </c>
      <c r="E2148" t="s">
        <v>6</v>
      </c>
      <c r="F2148">
        <v>0.13697000000000001</v>
      </c>
    </row>
    <row r="2149" spans="1:6" x14ac:dyDescent="0.3">
      <c r="A2149" t="s">
        <v>5</v>
      </c>
      <c r="B2149" s="1">
        <v>45747</v>
      </c>
      <c r="C2149">
        <v>13</v>
      </c>
      <c r="D2149">
        <v>0.11</v>
      </c>
      <c r="E2149" t="s">
        <v>6</v>
      </c>
      <c r="F2149">
        <v>0.13691</v>
      </c>
    </row>
    <row r="2150" spans="1:6" x14ac:dyDescent="0.3">
      <c r="A2150" t="s">
        <v>5</v>
      </c>
      <c r="B2150" s="1">
        <v>45747</v>
      </c>
      <c r="C2150">
        <v>14</v>
      </c>
      <c r="D2150">
        <v>8.7999999999999995E-2</v>
      </c>
      <c r="E2150" t="s">
        <v>6</v>
      </c>
      <c r="F2150">
        <v>0.13419999999999999</v>
      </c>
    </row>
    <row r="2151" spans="1:6" x14ac:dyDescent="0.3">
      <c r="A2151" t="s">
        <v>5</v>
      </c>
      <c r="B2151" s="1">
        <v>45747</v>
      </c>
      <c r="C2151">
        <v>15</v>
      </c>
      <c r="D2151">
        <v>0.18</v>
      </c>
      <c r="E2151" t="s">
        <v>6</v>
      </c>
      <c r="F2151">
        <v>6.9650000000000004E-2</v>
      </c>
    </row>
    <row r="2152" spans="1:6" x14ac:dyDescent="0.3">
      <c r="A2152" t="s">
        <v>5</v>
      </c>
      <c r="B2152" s="1">
        <v>45747</v>
      </c>
      <c r="C2152">
        <v>16</v>
      </c>
      <c r="D2152">
        <v>0.215</v>
      </c>
      <c r="E2152" t="s">
        <v>6</v>
      </c>
      <c r="F2152">
        <v>6.9640000000000007E-2</v>
      </c>
    </row>
    <row r="2153" spans="1:6" x14ac:dyDescent="0.3">
      <c r="A2153" t="s">
        <v>5</v>
      </c>
      <c r="B2153" s="1">
        <v>45747</v>
      </c>
      <c r="C2153">
        <v>17</v>
      </c>
      <c r="D2153">
        <v>9.4E-2</v>
      </c>
      <c r="E2153" t="s">
        <v>6</v>
      </c>
      <c r="F2153">
        <v>6.7290000000000003E-2</v>
      </c>
    </row>
    <row r="2154" spans="1:6" x14ac:dyDescent="0.3">
      <c r="A2154" t="s">
        <v>5</v>
      </c>
      <c r="B2154" s="1">
        <v>45747</v>
      </c>
      <c r="C2154">
        <v>18</v>
      </c>
      <c r="D2154">
        <v>7.6999999999999999E-2</v>
      </c>
      <c r="E2154" t="s">
        <v>6</v>
      </c>
      <c r="F2154">
        <v>6.8110000000000004E-2</v>
      </c>
    </row>
    <row r="2155" spans="1:6" x14ac:dyDescent="0.3">
      <c r="A2155" t="s">
        <v>5</v>
      </c>
      <c r="B2155" s="1">
        <v>45747</v>
      </c>
      <c r="C2155">
        <v>19</v>
      </c>
      <c r="D2155">
        <v>0.16800000000000001</v>
      </c>
      <c r="E2155" t="s">
        <v>6</v>
      </c>
      <c r="F2155">
        <v>0.13431000000000001</v>
      </c>
    </row>
    <row r="2156" spans="1:6" x14ac:dyDescent="0.3">
      <c r="A2156" t="s">
        <v>5</v>
      </c>
      <c r="B2156" s="1">
        <v>45747</v>
      </c>
      <c r="C2156">
        <v>20</v>
      </c>
      <c r="D2156">
        <v>0.14599999999999999</v>
      </c>
      <c r="E2156" t="s">
        <v>6</v>
      </c>
      <c r="F2156">
        <v>0.20225000000000001</v>
      </c>
    </row>
    <row r="2157" spans="1:6" x14ac:dyDescent="0.3">
      <c r="A2157" t="s">
        <v>5</v>
      </c>
      <c r="B2157" s="1">
        <v>45747</v>
      </c>
      <c r="C2157">
        <v>21</v>
      </c>
      <c r="D2157">
        <v>0.29299999999999998</v>
      </c>
      <c r="E2157" t="s">
        <v>6</v>
      </c>
      <c r="F2157">
        <v>0.30448999999999998</v>
      </c>
    </row>
    <row r="2158" spans="1:6" x14ac:dyDescent="0.3">
      <c r="A2158" t="s">
        <v>5</v>
      </c>
      <c r="B2158" s="1">
        <v>45747</v>
      </c>
      <c r="C2158">
        <v>22</v>
      </c>
      <c r="D2158">
        <v>0.58099999999999996</v>
      </c>
      <c r="E2158" t="s">
        <v>6</v>
      </c>
      <c r="F2158">
        <v>0.36481999999999998</v>
      </c>
    </row>
    <row r="2159" spans="1:6" x14ac:dyDescent="0.3">
      <c r="A2159" t="s">
        <v>5</v>
      </c>
      <c r="B2159" s="1">
        <v>45747</v>
      </c>
      <c r="C2159">
        <v>23</v>
      </c>
      <c r="D2159">
        <v>0.60099999999999998</v>
      </c>
      <c r="E2159" t="s">
        <v>6</v>
      </c>
      <c r="F2159">
        <v>0.20924999999999999</v>
      </c>
    </row>
    <row r="2160" spans="1:6" x14ac:dyDescent="0.3">
      <c r="A2160" t="s">
        <v>5</v>
      </c>
      <c r="B2160" s="1">
        <v>45747</v>
      </c>
      <c r="C2160">
        <v>24</v>
      </c>
      <c r="D2160">
        <v>0.499</v>
      </c>
      <c r="E2160" t="s">
        <v>6</v>
      </c>
      <c r="F2160">
        <v>0.18258000000000002</v>
      </c>
    </row>
    <row r="2161" spans="1:6" x14ac:dyDescent="0.3">
      <c r="A2161" t="s">
        <v>5</v>
      </c>
      <c r="B2161" s="1">
        <v>45748</v>
      </c>
      <c r="C2161">
        <v>1</v>
      </c>
      <c r="D2161">
        <v>1.0960000000000001</v>
      </c>
      <c r="E2161" t="s">
        <v>6</v>
      </c>
      <c r="F2161">
        <v>0.13190000000000002</v>
      </c>
    </row>
    <row r="2162" spans="1:6" x14ac:dyDescent="0.3">
      <c r="A2162" t="s">
        <v>5</v>
      </c>
      <c r="B2162" s="1">
        <v>45748</v>
      </c>
      <c r="C2162">
        <v>2</v>
      </c>
      <c r="D2162">
        <v>0.74</v>
      </c>
      <c r="E2162" t="s">
        <v>6</v>
      </c>
      <c r="F2162">
        <v>0.11867</v>
      </c>
    </row>
    <row r="2163" spans="1:6" x14ac:dyDescent="0.3">
      <c r="A2163" t="s">
        <v>5</v>
      </c>
      <c r="B2163" s="1">
        <v>45748</v>
      </c>
      <c r="C2163">
        <v>3</v>
      </c>
      <c r="D2163">
        <v>0.08</v>
      </c>
      <c r="E2163" t="s">
        <v>6</v>
      </c>
      <c r="F2163">
        <v>0.11649</v>
      </c>
    </row>
    <row r="2164" spans="1:6" x14ac:dyDescent="0.3">
      <c r="A2164" t="s">
        <v>5</v>
      </c>
      <c r="B2164" s="1">
        <v>45748</v>
      </c>
      <c r="C2164">
        <v>4</v>
      </c>
      <c r="D2164">
        <v>0.10299999999999999</v>
      </c>
      <c r="E2164" t="s">
        <v>6</v>
      </c>
      <c r="F2164">
        <v>0.10373</v>
      </c>
    </row>
    <row r="2165" spans="1:6" x14ac:dyDescent="0.3">
      <c r="A2165" t="s">
        <v>5</v>
      </c>
      <c r="B2165" s="1">
        <v>45748</v>
      </c>
      <c r="C2165">
        <v>5</v>
      </c>
      <c r="D2165">
        <v>8.5000000000000006E-2</v>
      </c>
      <c r="E2165" t="s">
        <v>6</v>
      </c>
      <c r="F2165">
        <v>0.10479000000000001</v>
      </c>
    </row>
    <row r="2166" spans="1:6" x14ac:dyDescent="0.3">
      <c r="A2166" t="s">
        <v>5</v>
      </c>
      <c r="B2166" s="1">
        <v>45748</v>
      </c>
      <c r="C2166">
        <v>6</v>
      </c>
      <c r="D2166">
        <v>7.6999999999999999E-2</v>
      </c>
      <c r="E2166" t="s">
        <v>6</v>
      </c>
      <c r="F2166">
        <v>0.11094</v>
      </c>
    </row>
    <row r="2167" spans="1:6" x14ac:dyDescent="0.3">
      <c r="A2167" t="s">
        <v>5</v>
      </c>
      <c r="B2167" s="1">
        <v>45748</v>
      </c>
      <c r="C2167">
        <v>7</v>
      </c>
      <c r="D2167">
        <v>0.114</v>
      </c>
      <c r="E2167" t="s">
        <v>6</v>
      </c>
      <c r="F2167">
        <v>0.12601000000000001</v>
      </c>
    </row>
    <row r="2168" spans="1:6" x14ac:dyDescent="0.3">
      <c r="A2168" t="s">
        <v>5</v>
      </c>
      <c r="B2168" s="1">
        <v>45748</v>
      </c>
      <c r="C2168">
        <v>8</v>
      </c>
      <c r="D2168">
        <v>0.17299999999999999</v>
      </c>
      <c r="E2168" t="s">
        <v>6</v>
      </c>
      <c r="F2168">
        <v>0.20610000000000001</v>
      </c>
    </row>
    <row r="2169" spans="1:6" x14ac:dyDescent="0.3">
      <c r="A2169" t="s">
        <v>5</v>
      </c>
      <c r="B2169" s="1">
        <v>45748</v>
      </c>
      <c r="C2169">
        <v>9</v>
      </c>
      <c r="D2169">
        <v>0.109</v>
      </c>
      <c r="E2169" t="s">
        <v>6</v>
      </c>
      <c r="F2169">
        <v>0.24414</v>
      </c>
    </row>
    <row r="2170" spans="1:6" x14ac:dyDescent="0.3">
      <c r="A2170" t="s">
        <v>5</v>
      </c>
      <c r="B2170" s="1">
        <v>45748</v>
      </c>
      <c r="C2170">
        <v>10</v>
      </c>
      <c r="D2170">
        <v>0.11799999999999999</v>
      </c>
      <c r="E2170" t="s">
        <v>6</v>
      </c>
      <c r="F2170">
        <v>0.15296000000000001</v>
      </c>
    </row>
    <row r="2171" spans="1:6" x14ac:dyDescent="0.3">
      <c r="A2171" t="s">
        <v>5</v>
      </c>
      <c r="B2171" s="1">
        <v>45748</v>
      </c>
      <c r="C2171">
        <v>11</v>
      </c>
      <c r="D2171">
        <v>0.183</v>
      </c>
      <c r="E2171" t="s">
        <v>6</v>
      </c>
      <c r="F2171">
        <v>0.15909999999999999</v>
      </c>
    </row>
    <row r="2172" spans="1:6" x14ac:dyDescent="0.3">
      <c r="A2172" t="s">
        <v>5</v>
      </c>
      <c r="B2172" s="1">
        <v>45748</v>
      </c>
      <c r="C2172">
        <v>12</v>
      </c>
      <c r="D2172">
        <v>0.10199999999999999</v>
      </c>
      <c r="E2172" t="s">
        <v>6</v>
      </c>
      <c r="F2172">
        <v>0.12254999999999999</v>
      </c>
    </row>
    <row r="2173" spans="1:6" x14ac:dyDescent="0.3">
      <c r="A2173" t="s">
        <v>5</v>
      </c>
      <c r="B2173" s="1">
        <v>45748</v>
      </c>
      <c r="C2173">
        <v>13</v>
      </c>
      <c r="D2173">
        <v>0.152</v>
      </c>
      <c r="E2173" t="s">
        <v>6</v>
      </c>
      <c r="F2173">
        <v>0.11615</v>
      </c>
    </row>
    <row r="2174" spans="1:6" x14ac:dyDescent="0.3">
      <c r="A2174" t="s">
        <v>5</v>
      </c>
      <c r="B2174" s="1">
        <v>45748</v>
      </c>
      <c r="C2174">
        <v>14</v>
      </c>
      <c r="D2174">
        <v>0.21299999999999999</v>
      </c>
      <c r="E2174" t="s">
        <v>6</v>
      </c>
      <c r="F2174">
        <v>0.11345999999999999</v>
      </c>
    </row>
    <row r="2175" spans="1:6" x14ac:dyDescent="0.3">
      <c r="A2175" t="s">
        <v>5</v>
      </c>
      <c r="B2175" s="1">
        <v>45748</v>
      </c>
      <c r="C2175">
        <v>15</v>
      </c>
      <c r="D2175">
        <v>0.17499999999999999</v>
      </c>
      <c r="E2175" t="s">
        <v>6</v>
      </c>
      <c r="F2175">
        <v>4.8500000000000001E-2</v>
      </c>
    </row>
    <row r="2176" spans="1:6" x14ac:dyDescent="0.3">
      <c r="A2176" t="s">
        <v>5</v>
      </c>
      <c r="B2176" s="1">
        <v>45748</v>
      </c>
      <c r="C2176">
        <v>16</v>
      </c>
      <c r="D2176">
        <v>0.129</v>
      </c>
      <c r="E2176" t="s">
        <v>6</v>
      </c>
      <c r="F2176">
        <v>4.9329999999999999E-2</v>
      </c>
    </row>
    <row r="2177" spans="1:6" x14ac:dyDescent="0.3">
      <c r="A2177" t="s">
        <v>5</v>
      </c>
      <c r="B2177" s="1">
        <v>45748</v>
      </c>
      <c r="C2177">
        <v>17</v>
      </c>
      <c r="D2177">
        <v>0.14899999999999999</v>
      </c>
      <c r="E2177" t="s">
        <v>6</v>
      </c>
      <c r="F2177">
        <v>4.9530000000000005E-2</v>
      </c>
    </row>
    <row r="2178" spans="1:6" x14ac:dyDescent="0.3">
      <c r="A2178" t="s">
        <v>5</v>
      </c>
      <c r="B2178" s="1">
        <v>45748</v>
      </c>
      <c r="C2178">
        <v>18</v>
      </c>
      <c r="D2178">
        <v>9.7000000000000003E-2</v>
      </c>
      <c r="E2178" t="s">
        <v>6</v>
      </c>
      <c r="F2178">
        <v>4.9599999999999998E-2</v>
      </c>
    </row>
    <row r="2179" spans="1:6" x14ac:dyDescent="0.3">
      <c r="A2179" t="s">
        <v>5</v>
      </c>
      <c r="B2179" s="1">
        <v>45748</v>
      </c>
      <c r="C2179">
        <v>19</v>
      </c>
      <c r="D2179">
        <v>0.14199999999999999</v>
      </c>
      <c r="E2179" t="s">
        <v>6</v>
      </c>
      <c r="F2179">
        <v>0.13628000000000001</v>
      </c>
    </row>
    <row r="2180" spans="1:6" x14ac:dyDescent="0.3">
      <c r="A2180" t="s">
        <v>5</v>
      </c>
      <c r="B2180" s="1">
        <v>45748</v>
      </c>
      <c r="C2180">
        <v>20</v>
      </c>
      <c r="D2180">
        <v>0.16500000000000001</v>
      </c>
      <c r="E2180" t="s">
        <v>6</v>
      </c>
      <c r="F2180">
        <v>0.18155000000000002</v>
      </c>
    </row>
    <row r="2181" spans="1:6" x14ac:dyDescent="0.3">
      <c r="A2181" t="s">
        <v>5</v>
      </c>
      <c r="B2181" s="1">
        <v>45748</v>
      </c>
      <c r="C2181">
        <v>21</v>
      </c>
      <c r="D2181">
        <v>0.24399999999999999</v>
      </c>
      <c r="E2181" t="s">
        <v>6</v>
      </c>
      <c r="F2181">
        <v>0.24614</v>
      </c>
    </row>
    <row r="2182" spans="1:6" x14ac:dyDescent="0.3">
      <c r="A2182" t="s">
        <v>5</v>
      </c>
      <c r="B2182" s="1">
        <v>45748</v>
      </c>
      <c r="C2182">
        <v>22</v>
      </c>
      <c r="D2182">
        <v>1.0509999999999999</v>
      </c>
      <c r="E2182" t="s">
        <v>6</v>
      </c>
      <c r="F2182">
        <v>0.25551000000000001</v>
      </c>
    </row>
    <row r="2183" spans="1:6" x14ac:dyDescent="0.3">
      <c r="A2183" t="s">
        <v>5</v>
      </c>
      <c r="B2183" s="1">
        <v>45748</v>
      </c>
      <c r="C2183">
        <v>23</v>
      </c>
      <c r="D2183">
        <v>0.34699999999999998</v>
      </c>
      <c r="E2183" t="s">
        <v>6</v>
      </c>
      <c r="F2183">
        <v>0.14936000000000002</v>
      </c>
    </row>
    <row r="2184" spans="1:6" x14ac:dyDescent="0.3">
      <c r="A2184" t="s">
        <v>5</v>
      </c>
      <c r="B2184" s="1">
        <v>45748</v>
      </c>
      <c r="C2184">
        <v>24</v>
      </c>
      <c r="D2184">
        <v>0.219</v>
      </c>
      <c r="E2184" t="s">
        <v>6</v>
      </c>
      <c r="F2184">
        <v>0.12246</v>
      </c>
    </row>
    <row r="2185" spans="1:6" x14ac:dyDescent="0.3">
      <c r="A2185" t="s">
        <v>5</v>
      </c>
      <c r="B2185" s="1">
        <v>45749</v>
      </c>
      <c r="C2185">
        <v>1</v>
      </c>
      <c r="D2185">
        <v>0.114</v>
      </c>
      <c r="E2185" t="s">
        <v>6</v>
      </c>
      <c r="F2185">
        <v>9.3769999999999992E-2</v>
      </c>
    </row>
    <row r="2186" spans="1:6" x14ac:dyDescent="0.3">
      <c r="A2186" t="s">
        <v>5</v>
      </c>
      <c r="B2186" s="1">
        <v>45749</v>
      </c>
      <c r="C2186">
        <v>2</v>
      </c>
      <c r="D2186">
        <v>9.4E-2</v>
      </c>
      <c r="E2186" t="s">
        <v>6</v>
      </c>
      <c r="F2186">
        <v>8.2599999999999993E-2</v>
      </c>
    </row>
    <row r="2187" spans="1:6" x14ac:dyDescent="0.3">
      <c r="A2187" t="s">
        <v>5</v>
      </c>
      <c r="B2187" s="1">
        <v>45749</v>
      </c>
      <c r="C2187">
        <v>3</v>
      </c>
      <c r="D2187">
        <v>0.127</v>
      </c>
      <c r="E2187" t="s">
        <v>6</v>
      </c>
      <c r="F2187">
        <v>9.0370000000000006E-2</v>
      </c>
    </row>
    <row r="2188" spans="1:6" x14ac:dyDescent="0.3">
      <c r="A2188" t="s">
        <v>5</v>
      </c>
      <c r="B2188" s="1">
        <v>45749</v>
      </c>
      <c r="C2188">
        <v>4</v>
      </c>
      <c r="D2188">
        <v>0.108</v>
      </c>
      <c r="E2188" t="s">
        <v>6</v>
      </c>
      <c r="F2188">
        <v>8.1509999999999999E-2</v>
      </c>
    </row>
    <row r="2189" spans="1:6" x14ac:dyDescent="0.3">
      <c r="A2189" t="s">
        <v>5</v>
      </c>
      <c r="B2189" s="1">
        <v>45749</v>
      </c>
      <c r="C2189">
        <v>5</v>
      </c>
      <c r="D2189">
        <v>7.9000000000000001E-2</v>
      </c>
      <c r="E2189" t="s">
        <v>6</v>
      </c>
      <c r="F2189">
        <v>8.1810000000000008E-2</v>
      </c>
    </row>
    <row r="2190" spans="1:6" x14ac:dyDescent="0.3">
      <c r="A2190" t="s">
        <v>5</v>
      </c>
      <c r="B2190" s="1">
        <v>45749</v>
      </c>
      <c r="C2190">
        <v>6</v>
      </c>
      <c r="D2190">
        <v>8.6999999999999994E-2</v>
      </c>
      <c r="E2190" t="s">
        <v>6</v>
      </c>
      <c r="F2190">
        <v>8.7510000000000004E-2</v>
      </c>
    </row>
    <row r="2191" spans="1:6" x14ac:dyDescent="0.3">
      <c r="A2191" t="s">
        <v>5</v>
      </c>
      <c r="B2191" s="1">
        <v>45749</v>
      </c>
      <c r="C2191">
        <v>7</v>
      </c>
      <c r="D2191">
        <v>0.13600000000000001</v>
      </c>
      <c r="E2191" t="s">
        <v>6</v>
      </c>
      <c r="F2191">
        <v>9.6599999999999991E-2</v>
      </c>
    </row>
    <row r="2192" spans="1:6" x14ac:dyDescent="0.3">
      <c r="A2192" t="s">
        <v>5</v>
      </c>
      <c r="B2192" s="1">
        <v>45749</v>
      </c>
      <c r="C2192">
        <v>8</v>
      </c>
      <c r="D2192">
        <v>0.11799999999999999</v>
      </c>
      <c r="E2192" t="s">
        <v>6</v>
      </c>
      <c r="F2192">
        <v>0.14302000000000001</v>
      </c>
    </row>
    <row r="2193" spans="1:6" x14ac:dyDescent="0.3">
      <c r="A2193" t="s">
        <v>5</v>
      </c>
      <c r="B2193" s="1">
        <v>45749</v>
      </c>
      <c r="C2193">
        <v>9</v>
      </c>
      <c r="D2193">
        <v>0.08</v>
      </c>
      <c r="E2193" t="s">
        <v>6</v>
      </c>
      <c r="F2193">
        <v>0.19128000000000001</v>
      </c>
    </row>
    <row r="2194" spans="1:6" x14ac:dyDescent="0.3">
      <c r="A2194" t="s">
        <v>5</v>
      </c>
      <c r="B2194" s="1">
        <v>45749</v>
      </c>
      <c r="C2194">
        <v>10</v>
      </c>
      <c r="D2194">
        <v>8.4000000000000005E-2</v>
      </c>
      <c r="E2194" t="s">
        <v>6</v>
      </c>
      <c r="F2194">
        <v>0.12859999999999999</v>
      </c>
    </row>
    <row r="2195" spans="1:6" x14ac:dyDescent="0.3">
      <c r="A2195" t="s">
        <v>5</v>
      </c>
      <c r="B2195" s="1">
        <v>45749</v>
      </c>
      <c r="C2195">
        <v>11</v>
      </c>
      <c r="D2195">
        <v>0.17799999999999999</v>
      </c>
      <c r="E2195" t="s">
        <v>6</v>
      </c>
      <c r="F2195">
        <v>0.15624000000000002</v>
      </c>
    </row>
    <row r="2196" spans="1:6" x14ac:dyDescent="0.3">
      <c r="A2196" t="s">
        <v>5</v>
      </c>
      <c r="B2196" s="1">
        <v>45749</v>
      </c>
      <c r="C2196">
        <v>12</v>
      </c>
      <c r="D2196">
        <v>0.14399999999999999</v>
      </c>
      <c r="E2196" t="s">
        <v>6</v>
      </c>
      <c r="F2196">
        <v>0.13161</v>
      </c>
    </row>
    <row r="2197" spans="1:6" x14ac:dyDescent="0.3">
      <c r="A2197" t="s">
        <v>5</v>
      </c>
      <c r="B2197" s="1">
        <v>45749</v>
      </c>
      <c r="C2197">
        <v>13</v>
      </c>
      <c r="D2197">
        <v>0.105</v>
      </c>
      <c r="E2197" t="s">
        <v>6</v>
      </c>
      <c r="F2197">
        <v>0.12906999999999999</v>
      </c>
    </row>
    <row r="2198" spans="1:6" x14ac:dyDescent="0.3">
      <c r="A2198" t="s">
        <v>5</v>
      </c>
      <c r="B2198" s="1">
        <v>45749</v>
      </c>
      <c r="C2198">
        <v>14</v>
      </c>
      <c r="D2198">
        <v>0.159</v>
      </c>
      <c r="E2198" t="s">
        <v>6</v>
      </c>
      <c r="F2198">
        <v>0.12590999999999999</v>
      </c>
    </row>
    <row r="2199" spans="1:6" x14ac:dyDescent="0.3">
      <c r="A2199" t="s">
        <v>5</v>
      </c>
      <c r="B2199" s="1">
        <v>45749</v>
      </c>
      <c r="C2199">
        <v>15</v>
      </c>
      <c r="D2199">
        <v>0.29899999999999999</v>
      </c>
      <c r="E2199" t="s">
        <v>6</v>
      </c>
      <c r="F2199">
        <v>6.1990000000000003E-2</v>
      </c>
    </row>
    <row r="2200" spans="1:6" x14ac:dyDescent="0.3">
      <c r="A2200" t="s">
        <v>5</v>
      </c>
      <c r="B2200" s="1">
        <v>45749</v>
      </c>
      <c r="C2200">
        <v>16</v>
      </c>
      <c r="D2200">
        <v>0.27600000000000002</v>
      </c>
      <c r="E2200" t="s">
        <v>6</v>
      </c>
      <c r="F2200">
        <v>6.2659999999999993E-2</v>
      </c>
    </row>
    <row r="2201" spans="1:6" x14ac:dyDescent="0.3">
      <c r="A2201" t="s">
        <v>5</v>
      </c>
      <c r="B2201" s="1">
        <v>45749</v>
      </c>
      <c r="C2201">
        <v>17</v>
      </c>
      <c r="D2201">
        <v>0.16</v>
      </c>
      <c r="E2201" t="s">
        <v>6</v>
      </c>
      <c r="F2201">
        <v>6.0399999999999995E-2</v>
      </c>
    </row>
    <row r="2202" spans="1:6" x14ac:dyDescent="0.3">
      <c r="A2202" t="s">
        <v>5</v>
      </c>
      <c r="B2202" s="1">
        <v>45749</v>
      </c>
      <c r="C2202">
        <v>18</v>
      </c>
      <c r="D2202">
        <v>0.26500000000000001</v>
      </c>
      <c r="E2202" t="s">
        <v>6</v>
      </c>
      <c r="F2202">
        <v>6.1630000000000004E-2</v>
      </c>
    </row>
    <row r="2203" spans="1:6" x14ac:dyDescent="0.3">
      <c r="A2203" t="s">
        <v>5</v>
      </c>
      <c r="B2203" s="1">
        <v>45749</v>
      </c>
      <c r="C2203">
        <v>19</v>
      </c>
      <c r="D2203">
        <v>0.22</v>
      </c>
      <c r="E2203" t="s">
        <v>6</v>
      </c>
      <c r="F2203">
        <v>0.14069999999999999</v>
      </c>
    </row>
    <row r="2204" spans="1:6" x14ac:dyDescent="0.3">
      <c r="A2204" t="s">
        <v>5</v>
      </c>
      <c r="B2204" s="1">
        <v>45749</v>
      </c>
      <c r="C2204">
        <v>20</v>
      </c>
      <c r="D2204">
        <v>0.27800000000000002</v>
      </c>
      <c r="E2204" t="s">
        <v>6</v>
      </c>
      <c r="F2204">
        <v>0.17211000000000001</v>
      </c>
    </row>
    <row r="2205" spans="1:6" x14ac:dyDescent="0.3">
      <c r="A2205" t="s">
        <v>5</v>
      </c>
      <c r="B2205" s="1">
        <v>45749</v>
      </c>
      <c r="C2205">
        <v>21</v>
      </c>
      <c r="D2205">
        <v>0.76200000000000001</v>
      </c>
      <c r="E2205" t="s">
        <v>6</v>
      </c>
      <c r="F2205">
        <v>0.19016</v>
      </c>
    </row>
    <row r="2206" spans="1:6" x14ac:dyDescent="0.3">
      <c r="A2206" t="s">
        <v>5</v>
      </c>
      <c r="B2206" s="1">
        <v>45749</v>
      </c>
      <c r="C2206">
        <v>22</v>
      </c>
      <c r="D2206">
        <v>0.28499999999999998</v>
      </c>
      <c r="E2206" t="s">
        <v>6</v>
      </c>
      <c r="F2206">
        <v>0.18490999999999999</v>
      </c>
    </row>
    <row r="2207" spans="1:6" x14ac:dyDescent="0.3">
      <c r="A2207" t="s">
        <v>5</v>
      </c>
      <c r="B2207" s="1">
        <v>45749</v>
      </c>
      <c r="C2207">
        <v>23</v>
      </c>
      <c r="D2207">
        <v>0.252</v>
      </c>
      <c r="E2207" t="s">
        <v>6</v>
      </c>
      <c r="F2207">
        <v>0.1042</v>
      </c>
    </row>
    <row r="2208" spans="1:6" x14ac:dyDescent="0.3">
      <c r="A2208" t="s">
        <v>5</v>
      </c>
      <c r="B2208" s="1">
        <v>45749</v>
      </c>
      <c r="C2208">
        <v>24</v>
      </c>
      <c r="D2208">
        <v>0.23499999999999999</v>
      </c>
      <c r="E2208" t="s">
        <v>6</v>
      </c>
      <c r="F2208">
        <v>0.10008</v>
      </c>
    </row>
    <row r="2209" spans="1:6" x14ac:dyDescent="0.3">
      <c r="A2209" t="s">
        <v>5</v>
      </c>
      <c r="B2209" s="1">
        <v>45750</v>
      </c>
      <c r="C2209">
        <v>1</v>
      </c>
      <c r="D2209">
        <v>0.127</v>
      </c>
      <c r="E2209" t="s">
        <v>6</v>
      </c>
      <c r="F2209">
        <v>6.634000000000001E-2</v>
      </c>
    </row>
    <row r="2210" spans="1:6" x14ac:dyDescent="0.3">
      <c r="A2210" t="s">
        <v>5</v>
      </c>
      <c r="B2210" s="1">
        <v>45750</v>
      </c>
      <c r="C2210">
        <v>2</v>
      </c>
      <c r="D2210">
        <v>8.6999999999999994E-2</v>
      </c>
      <c r="E2210" t="s">
        <v>6</v>
      </c>
      <c r="F2210">
        <v>6.8069999999999992E-2</v>
      </c>
    </row>
    <row r="2211" spans="1:6" x14ac:dyDescent="0.3">
      <c r="A2211" t="s">
        <v>5</v>
      </c>
      <c r="B2211" s="1">
        <v>45750</v>
      </c>
      <c r="C2211">
        <v>3</v>
      </c>
      <c r="D2211">
        <v>9.2999999999999999E-2</v>
      </c>
      <c r="E2211" t="s">
        <v>6</v>
      </c>
      <c r="F2211">
        <v>7.1859999999999993E-2</v>
      </c>
    </row>
    <row r="2212" spans="1:6" x14ac:dyDescent="0.3">
      <c r="A2212" t="s">
        <v>5</v>
      </c>
      <c r="B2212" s="1">
        <v>45750</v>
      </c>
      <c r="C2212">
        <v>4</v>
      </c>
      <c r="D2212">
        <v>7.0999999999999994E-2</v>
      </c>
      <c r="E2212" t="s">
        <v>6</v>
      </c>
      <c r="F2212">
        <v>6.548000000000001E-2</v>
      </c>
    </row>
    <row r="2213" spans="1:6" x14ac:dyDescent="0.3">
      <c r="A2213" t="s">
        <v>5</v>
      </c>
      <c r="B2213" s="1">
        <v>45750</v>
      </c>
      <c r="C2213">
        <v>5</v>
      </c>
      <c r="D2213">
        <v>7.4999999999999997E-2</v>
      </c>
      <c r="E2213" t="s">
        <v>6</v>
      </c>
      <c r="F2213">
        <v>6.2280000000000002E-2</v>
      </c>
    </row>
    <row r="2214" spans="1:6" x14ac:dyDescent="0.3">
      <c r="A2214" t="s">
        <v>5</v>
      </c>
      <c r="B2214" s="1">
        <v>45750</v>
      </c>
      <c r="C2214">
        <v>6</v>
      </c>
      <c r="D2214">
        <v>0.09</v>
      </c>
      <c r="E2214" t="s">
        <v>6</v>
      </c>
      <c r="F2214">
        <v>6.3320000000000001E-2</v>
      </c>
    </row>
    <row r="2215" spans="1:6" x14ac:dyDescent="0.3">
      <c r="A2215" t="s">
        <v>5</v>
      </c>
      <c r="B2215" s="1">
        <v>45750</v>
      </c>
      <c r="C2215">
        <v>7</v>
      </c>
      <c r="D2215">
        <v>7.1999999999999995E-2</v>
      </c>
      <c r="E2215" t="s">
        <v>6</v>
      </c>
      <c r="F2215">
        <v>6.3390000000000002E-2</v>
      </c>
    </row>
    <row r="2216" spans="1:6" x14ac:dyDescent="0.3">
      <c r="A2216" t="s">
        <v>5</v>
      </c>
      <c r="B2216" s="1">
        <v>45750</v>
      </c>
      <c r="C2216">
        <v>8</v>
      </c>
      <c r="D2216">
        <v>7.6999999999999999E-2</v>
      </c>
      <c r="E2216" t="s">
        <v>6</v>
      </c>
      <c r="F2216">
        <v>8.3690000000000001E-2</v>
      </c>
    </row>
    <row r="2217" spans="1:6" x14ac:dyDescent="0.3">
      <c r="A2217" t="s">
        <v>5</v>
      </c>
      <c r="B2217" s="1">
        <v>45750</v>
      </c>
      <c r="C2217">
        <v>9</v>
      </c>
      <c r="D2217">
        <v>0.26200000000000001</v>
      </c>
      <c r="E2217" t="s">
        <v>6</v>
      </c>
      <c r="F2217">
        <v>0.13485</v>
      </c>
    </row>
    <row r="2218" spans="1:6" x14ac:dyDescent="0.3">
      <c r="A2218" t="s">
        <v>5</v>
      </c>
      <c r="B2218" s="1">
        <v>45750</v>
      </c>
      <c r="C2218">
        <v>10</v>
      </c>
      <c r="D2218">
        <v>0.69499999999999995</v>
      </c>
      <c r="E2218" t="s">
        <v>6</v>
      </c>
      <c r="F2218">
        <v>0.11266</v>
      </c>
    </row>
    <row r="2219" spans="1:6" x14ac:dyDescent="0.3">
      <c r="A2219" t="s">
        <v>5</v>
      </c>
      <c r="B2219" s="1">
        <v>45750</v>
      </c>
      <c r="C2219">
        <v>11</v>
      </c>
      <c r="D2219">
        <v>0.32200000000000001</v>
      </c>
      <c r="E2219" t="s">
        <v>6</v>
      </c>
      <c r="F2219">
        <v>0.16656000000000001</v>
      </c>
    </row>
    <row r="2220" spans="1:6" x14ac:dyDescent="0.3">
      <c r="A2220" t="s">
        <v>5</v>
      </c>
      <c r="B2220" s="1">
        <v>45750</v>
      </c>
      <c r="C2220">
        <v>12</v>
      </c>
      <c r="D2220">
        <v>8.6999999999999994E-2</v>
      </c>
      <c r="E2220" t="s">
        <v>6</v>
      </c>
      <c r="F2220">
        <v>0.13706000000000002</v>
      </c>
    </row>
    <row r="2221" spans="1:6" x14ac:dyDescent="0.3">
      <c r="A2221" t="s">
        <v>5</v>
      </c>
      <c r="B2221" s="1">
        <v>45750</v>
      </c>
      <c r="C2221">
        <v>13</v>
      </c>
      <c r="D2221">
        <v>0.13600000000000001</v>
      </c>
      <c r="E2221" t="s">
        <v>6</v>
      </c>
      <c r="F2221">
        <v>0.13362000000000002</v>
      </c>
    </row>
    <row r="2222" spans="1:6" x14ac:dyDescent="0.3">
      <c r="A2222" t="s">
        <v>5</v>
      </c>
      <c r="B2222" s="1">
        <v>45750</v>
      </c>
      <c r="C2222">
        <v>14</v>
      </c>
      <c r="D2222">
        <v>0.15</v>
      </c>
      <c r="E2222" t="s">
        <v>6</v>
      </c>
      <c r="F2222">
        <v>0.13022999999999998</v>
      </c>
    </row>
    <row r="2223" spans="1:6" x14ac:dyDescent="0.3">
      <c r="A2223" t="s">
        <v>5</v>
      </c>
      <c r="B2223" s="1">
        <v>45750</v>
      </c>
      <c r="C2223">
        <v>15</v>
      </c>
      <c r="D2223">
        <v>0.29299999999999998</v>
      </c>
      <c r="E2223" t="s">
        <v>6</v>
      </c>
      <c r="F2223">
        <v>6.545999999999999E-2</v>
      </c>
    </row>
    <row r="2224" spans="1:6" x14ac:dyDescent="0.3">
      <c r="A2224" t="s">
        <v>5</v>
      </c>
      <c r="B2224" s="1">
        <v>45750</v>
      </c>
      <c r="C2224">
        <v>16</v>
      </c>
      <c r="D2224">
        <v>0.22500000000000001</v>
      </c>
      <c r="E2224" t="s">
        <v>6</v>
      </c>
      <c r="F2224">
        <v>6.6310000000000008E-2</v>
      </c>
    </row>
    <row r="2225" spans="1:6" x14ac:dyDescent="0.3">
      <c r="A2225" t="s">
        <v>5</v>
      </c>
      <c r="B2225" s="1">
        <v>45750</v>
      </c>
      <c r="C2225">
        <v>17</v>
      </c>
      <c r="D2225">
        <v>0.218</v>
      </c>
      <c r="E2225" t="s">
        <v>6</v>
      </c>
      <c r="F2225">
        <v>6.4950000000000008E-2</v>
      </c>
    </row>
    <row r="2226" spans="1:6" x14ac:dyDescent="0.3">
      <c r="A2226" t="s">
        <v>5</v>
      </c>
      <c r="B2226" s="1">
        <v>45750</v>
      </c>
      <c r="C2226">
        <v>18</v>
      </c>
      <c r="D2226">
        <v>0.71599999999999997</v>
      </c>
      <c r="E2226" t="s">
        <v>6</v>
      </c>
      <c r="F2226">
        <v>6.8559999999999996E-2</v>
      </c>
    </row>
    <row r="2227" spans="1:6" x14ac:dyDescent="0.3">
      <c r="A2227" t="s">
        <v>5</v>
      </c>
      <c r="B2227" s="1">
        <v>45750</v>
      </c>
      <c r="C2227">
        <v>19</v>
      </c>
      <c r="D2227">
        <v>0.59</v>
      </c>
      <c r="E2227" t="s">
        <v>6</v>
      </c>
      <c r="F2227">
        <v>0.14013999999999999</v>
      </c>
    </row>
    <row r="2228" spans="1:6" x14ac:dyDescent="0.3">
      <c r="A2228" t="s">
        <v>5</v>
      </c>
      <c r="B2228" s="1">
        <v>45750</v>
      </c>
      <c r="C2228">
        <v>20</v>
      </c>
      <c r="D2228">
        <v>0.876</v>
      </c>
      <c r="E2228" t="s">
        <v>6</v>
      </c>
      <c r="F2228">
        <v>0.16828000000000001</v>
      </c>
    </row>
    <row r="2229" spans="1:6" x14ac:dyDescent="0.3">
      <c r="A2229" t="s">
        <v>5</v>
      </c>
      <c r="B2229" s="1">
        <v>45750</v>
      </c>
      <c r="C2229">
        <v>21</v>
      </c>
      <c r="D2229">
        <v>0.253</v>
      </c>
      <c r="E2229" t="s">
        <v>6</v>
      </c>
      <c r="F2229">
        <v>0.22200999999999999</v>
      </c>
    </row>
    <row r="2230" spans="1:6" x14ac:dyDescent="0.3">
      <c r="A2230" t="s">
        <v>5</v>
      </c>
      <c r="B2230" s="1">
        <v>45750</v>
      </c>
      <c r="C2230">
        <v>22</v>
      </c>
      <c r="D2230">
        <v>0.60399999999999998</v>
      </c>
      <c r="E2230" t="s">
        <v>6</v>
      </c>
      <c r="F2230">
        <v>0.21994</v>
      </c>
    </row>
    <row r="2231" spans="1:6" x14ac:dyDescent="0.3">
      <c r="A2231" t="s">
        <v>5</v>
      </c>
      <c r="B2231" s="1">
        <v>45750</v>
      </c>
      <c r="C2231">
        <v>23</v>
      </c>
      <c r="D2231">
        <v>0.68400000000000005</v>
      </c>
      <c r="E2231" t="s">
        <v>6</v>
      </c>
      <c r="F2231">
        <v>0.10553</v>
      </c>
    </row>
    <row r="2232" spans="1:6" x14ac:dyDescent="0.3">
      <c r="A2232" t="s">
        <v>5</v>
      </c>
      <c r="B2232" s="1">
        <v>45750</v>
      </c>
      <c r="C2232">
        <v>24</v>
      </c>
      <c r="D2232">
        <v>0.48699999999999999</v>
      </c>
      <c r="E2232" t="s">
        <v>6</v>
      </c>
      <c r="F2232">
        <v>7.8579999999999997E-2</v>
      </c>
    </row>
    <row r="2233" spans="1:6" x14ac:dyDescent="0.3">
      <c r="A2233" t="s">
        <v>5</v>
      </c>
      <c r="B2233" s="1">
        <v>45751</v>
      </c>
      <c r="C2233">
        <v>1</v>
      </c>
      <c r="D2233">
        <v>0.153</v>
      </c>
      <c r="E2233" t="s">
        <v>6</v>
      </c>
      <c r="F2233">
        <v>5.6930000000000001E-2</v>
      </c>
    </row>
    <row r="2234" spans="1:6" x14ac:dyDescent="0.3">
      <c r="A2234" t="s">
        <v>5</v>
      </c>
      <c r="B2234" s="1">
        <v>45751</v>
      </c>
      <c r="C2234">
        <v>2</v>
      </c>
      <c r="D2234">
        <v>8.1000000000000003E-2</v>
      </c>
      <c r="E2234" t="s">
        <v>6</v>
      </c>
      <c r="F2234">
        <v>5.8790000000000002E-2</v>
      </c>
    </row>
    <row r="2235" spans="1:6" x14ac:dyDescent="0.3">
      <c r="A2235" t="s">
        <v>5</v>
      </c>
      <c r="B2235" s="1">
        <v>45751</v>
      </c>
      <c r="C2235">
        <v>3</v>
      </c>
      <c r="D2235">
        <v>6.9000000000000006E-2</v>
      </c>
      <c r="E2235" t="s">
        <v>6</v>
      </c>
      <c r="F2235">
        <v>5.9880000000000003E-2</v>
      </c>
    </row>
    <row r="2236" spans="1:6" x14ac:dyDescent="0.3">
      <c r="A2236" t="s">
        <v>5</v>
      </c>
      <c r="B2236" s="1">
        <v>45751</v>
      </c>
      <c r="C2236">
        <v>4</v>
      </c>
      <c r="D2236">
        <v>8.8999999999999996E-2</v>
      </c>
      <c r="E2236" t="s">
        <v>6</v>
      </c>
      <c r="F2236">
        <v>5.6649999999999999E-2</v>
      </c>
    </row>
    <row r="2237" spans="1:6" x14ac:dyDescent="0.3">
      <c r="A2237" t="s">
        <v>5</v>
      </c>
      <c r="B2237" s="1">
        <v>45751</v>
      </c>
      <c r="C2237">
        <v>5</v>
      </c>
      <c r="D2237">
        <v>7.0000000000000007E-2</v>
      </c>
      <c r="E2237" t="s">
        <v>6</v>
      </c>
      <c r="F2237">
        <v>5.6680000000000001E-2</v>
      </c>
    </row>
    <row r="2238" spans="1:6" x14ac:dyDescent="0.3">
      <c r="A2238" t="s">
        <v>5</v>
      </c>
      <c r="B2238" s="1">
        <v>45751</v>
      </c>
      <c r="C2238">
        <v>6</v>
      </c>
      <c r="D2238">
        <v>9.0999999999999998E-2</v>
      </c>
      <c r="E2238" t="s">
        <v>6</v>
      </c>
      <c r="F2238">
        <v>5.6329999999999998E-2</v>
      </c>
    </row>
    <row r="2239" spans="1:6" x14ac:dyDescent="0.3">
      <c r="A2239" t="s">
        <v>5</v>
      </c>
      <c r="B2239" s="1">
        <v>45751</v>
      </c>
      <c r="C2239">
        <v>7</v>
      </c>
      <c r="D2239">
        <v>8.7999999999999995E-2</v>
      </c>
      <c r="E2239" t="s">
        <v>6</v>
      </c>
      <c r="F2239">
        <v>5.7149999999999999E-2</v>
      </c>
    </row>
    <row r="2240" spans="1:6" x14ac:dyDescent="0.3">
      <c r="A2240" t="s">
        <v>5</v>
      </c>
      <c r="B2240" s="1">
        <v>45751</v>
      </c>
      <c r="C2240">
        <v>8</v>
      </c>
      <c r="D2240">
        <v>7.9000000000000001E-2</v>
      </c>
      <c r="E2240" t="s">
        <v>6</v>
      </c>
      <c r="F2240">
        <v>8.8980000000000004E-2</v>
      </c>
    </row>
    <row r="2241" spans="1:6" x14ac:dyDescent="0.3">
      <c r="A2241" t="s">
        <v>5</v>
      </c>
      <c r="B2241" s="1">
        <v>45751</v>
      </c>
      <c r="C2241">
        <v>9</v>
      </c>
      <c r="D2241">
        <v>9.4E-2</v>
      </c>
      <c r="E2241" t="s">
        <v>6</v>
      </c>
      <c r="F2241">
        <v>0.12121</v>
      </c>
    </row>
    <row r="2242" spans="1:6" x14ac:dyDescent="0.3">
      <c r="A2242" t="s">
        <v>5</v>
      </c>
      <c r="B2242" s="1">
        <v>45751</v>
      </c>
      <c r="C2242">
        <v>10</v>
      </c>
      <c r="D2242">
        <v>8.4000000000000005E-2</v>
      </c>
      <c r="E2242" t="s">
        <v>6</v>
      </c>
      <c r="F2242">
        <v>9.7950000000000009E-2</v>
      </c>
    </row>
    <row r="2243" spans="1:6" x14ac:dyDescent="0.3">
      <c r="A2243" t="s">
        <v>5</v>
      </c>
      <c r="B2243" s="1">
        <v>45751</v>
      </c>
      <c r="C2243">
        <v>11</v>
      </c>
      <c r="D2243">
        <v>0.126</v>
      </c>
      <c r="E2243" t="s">
        <v>6</v>
      </c>
      <c r="F2243">
        <v>0.14662</v>
      </c>
    </row>
    <row r="2244" spans="1:6" x14ac:dyDescent="0.3">
      <c r="A2244" t="s">
        <v>5</v>
      </c>
      <c r="B2244" s="1">
        <v>45751</v>
      </c>
      <c r="C2244">
        <v>12</v>
      </c>
      <c r="D2244">
        <v>8.1000000000000003E-2</v>
      </c>
      <c r="E2244" t="s">
        <v>6</v>
      </c>
      <c r="F2244">
        <v>0.14324999999999999</v>
      </c>
    </row>
    <row r="2245" spans="1:6" x14ac:dyDescent="0.3">
      <c r="A2245" t="s">
        <v>5</v>
      </c>
      <c r="B2245" s="1">
        <v>45751</v>
      </c>
      <c r="C2245">
        <v>13</v>
      </c>
      <c r="D2245">
        <v>7.4999999999999997E-2</v>
      </c>
      <c r="E2245" t="s">
        <v>6</v>
      </c>
      <c r="F2245">
        <v>0.13633000000000001</v>
      </c>
    </row>
    <row r="2246" spans="1:6" x14ac:dyDescent="0.3">
      <c r="A2246" t="s">
        <v>5</v>
      </c>
      <c r="B2246" s="1">
        <v>45751</v>
      </c>
      <c r="C2246">
        <v>14</v>
      </c>
      <c r="D2246">
        <v>6.7000000000000004E-2</v>
      </c>
      <c r="E2246" t="s">
        <v>6</v>
      </c>
      <c r="F2246">
        <v>0.13442999999999999</v>
      </c>
    </row>
    <row r="2247" spans="1:6" x14ac:dyDescent="0.3">
      <c r="A2247" t="s">
        <v>5</v>
      </c>
      <c r="B2247" s="1">
        <v>45751</v>
      </c>
      <c r="C2247">
        <v>15</v>
      </c>
      <c r="D2247">
        <v>8.5000000000000006E-2</v>
      </c>
      <c r="E2247" t="s">
        <v>6</v>
      </c>
      <c r="F2247">
        <v>7.016E-2</v>
      </c>
    </row>
    <row r="2248" spans="1:6" x14ac:dyDescent="0.3">
      <c r="A2248" t="s">
        <v>5</v>
      </c>
      <c r="B2248" s="1">
        <v>45751</v>
      </c>
      <c r="C2248">
        <v>16</v>
      </c>
      <c r="D2248">
        <v>6.9000000000000006E-2</v>
      </c>
      <c r="E2248" t="s">
        <v>6</v>
      </c>
      <c r="F2248">
        <v>7.3609999999999995E-2</v>
      </c>
    </row>
    <row r="2249" spans="1:6" x14ac:dyDescent="0.3">
      <c r="A2249" t="s">
        <v>5</v>
      </c>
      <c r="B2249" s="1">
        <v>45751</v>
      </c>
      <c r="C2249">
        <v>17</v>
      </c>
      <c r="D2249">
        <v>6.7000000000000004E-2</v>
      </c>
      <c r="E2249" t="s">
        <v>6</v>
      </c>
      <c r="F2249">
        <v>7.0629999999999998E-2</v>
      </c>
    </row>
    <row r="2250" spans="1:6" x14ac:dyDescent="0.3">
      <c r="A2250" t="s">
        <v>5</v>
      </c>
      <c r="B2250" s="1">
        <v>45751</v>
      </c>
      <c r="C2250">
        <v>18</v>
      </c>
      <c r="D2250">
        <v>8.7999999999999995E-2</v>
      </c>
      <c r="E2250" t="s">
        <v>6</v>
      </c>
      <c r="F2250">
        <v>7.1690000000000004E-2</v>
      </c>
    </row>
    <row r="2251" spans="1:6" x14ac:dyDescent="0.3">
      <c r="A2251" t="s">
        <v>5</v>
      </c>
      <c r="B2251" s="1">
        <v>45751</v>
      </c>
      <c r="C2251">
        <v>19</v>
      </c>
      <c r="D2251">
        <v>7.0000000000000007E-2</v>
      </c>
      <c r="E2251" t="s">
        <v>6</v>
      </c>
      <c r="F2251">
        <v>0.14058000000000001</v>
      </c>
    </row>
    <row r="2252" spans="1:6" x14ac:dyDescent="0.3">
      <c r="A2252" t="s">
        <v>5</v>
      </c>
      <c r="B2252" s="1">
        <v>45751</v>
      </c>
      <c r="C2252">
        <v>20</v>
      </c>
      <c r="D2252">
        <v>9.4E-2</v>
      </c>
      <c r="E2252" t="s">
        <v>6</v>
      </c>
      <c r="F2252">
        <v>0.15253</v>
      </c>
    </row>
    <row r="2253" spans="1:6" x14ac:dyDescent="0.3">
      <c r="A2253" t="s">
        <v>5</v>
      </c>
      <c r="B2253" s="1">
        <v>45751</v>
      </c>
      <c r="C2253">
        <v>21</v>
      </c>
      <c r="D2253">
        <v>0.11700000000000001</v>
      </c>
      <c r="E2253" t="s">
        <v>6</v>
      </c>
      <c r="F2253">
        <v>0.17465</v>
      </c>
    </row>
    <row r="2254" spans="1:6" x14ac:dyDescent="0.3">
      <c r="A2254" t="s">
        <v>5</v>
      </c>
      <c r="B2254" s="1">
        <v>45751</v>
      </c>
      <c r="C2254">
        <v>22</v>
      </c>
      <c r="D2254">
        <v>6.7000000000000004E-2</v>
      </c>
      <c r="E2254" t="s">
        <v>6</v>
      </c>
      <c r="F2254">
        <v>0.19286</v>
      </c>
    </row>
    <row r="2255" spans="1:6" x14ac:dyDescent="0.3">
      <c r="A2255" t="s">
        <v>5</v>
      </c>
      <c r="B2255" s="1">
        <v>45751</v>
      </c>
      <c r="C2255">
        <v>23</v>
      </c>
      <c r="D2255">
        <v>7.3999999999999996E-2</v>
      </c>
      <c r="E2255" t="s">
        <v>6</v>
      </c>
      <c r="F2255">
        <v>0.11256000000000001</v>
      </c>
    </row>
    <row r="2256" spans="1:6" x14ac:dyDescent="0.3">
      <c r="A2256" t="s">
        <v>5</v>
      </c>
      <c r="B2256" s="1">
        <v>45751</v>
      </c>
      <c r="C2256">
        <v>24</v>
      </c>
      <c r="D2256">
        <v>8.1000000000000003E-2</v>
      </c>
      <c r="E2256" t="s">
        <v>6</v>
      </c>
      <c r="F2256">
        <v>9.7030000000000005E-2</v>
      </c>
    </row>
    <row r="2257" spans="1:6" x14ac:dyDescent="0.3">
      <c r="A2257" t="s">
        <v>5</v>
      </c>
      <c r="B2257" s="1">
        <v>45752</v>
      </c>
      <c r="C2257">
        <v>1</v>
      </c>
      <c r="D2257">
        <v>6.7000000000000004E-2</v>
      </c>
      <c r="E2257" t="s">
        <v>6</v>
      </c>
      <c r="F2257">
        <v>8.6430000000000007E-2</v>
      </c>
    </row>
    <row r="2258" spans="1:6" x14ac:dyDescent="0.3">
      <c r="A2258" t="s">
        <v>5</v>
      </c>
      <c r="B2258" s="1">
        <v>45752</v>
      </c>
      <c r="C2258">
        <v>2</v>
      </c>
      <c r="D2258">
        <v>7.8E-2</v>
      </c>
      <c r="E2258" t="s">
        <v>6</v>
      </c>
      <c r="F2258">
        <v>7.3719999999999994E-2</v>
      </c>
    </row>
    <row r="2259" spans="1:6" x14ac:dyDescent="0.3">
      <c r="A2259" t="s">
        <v>5</v>
      </c>
      <c r="B2259" s="1">
        <v>45752</v>
      </c>
      <c r="C2259">
        <v>3</v>
      </c>
      <c r="D2259">
        <v>7.8E-2</v>
      </c>
      <c r="E2259" t="s">
        <v>6</v>
      </c>
      <c r="F2259">
        <v>7.2840000000000002E-2</v>
      </c>
    </row>
    <row r="2260" spans="1:6" x14ac:dyDescent="0.3">
      <c r="A2260" t="s">
        <v>5</v>
      </c>
      <c r="B2260" s="1">
        <v>45752</v>
      </c>
      <c r="C2260">
        <v>4</v>
      </c>
      <c r="D2260">
        <v>6.8000000000000005E-2</v>
      </c>
      <c r="E2260" t="s">
        <v>6</v>
      </c>
      <c r="F2260">
        <v>7.1199999999999999E-2</v>
      </c>
    </row>
    <row r="2261" spans="1:6" x14ac:dyDescent="0.3">
      <c r="A2261" t="s">
        <v>5</v>
      </c>
      <c r="B2261" s="1">
        <v>45752</v>
      </c>
      <c r="C2261">
        <v>5</v>
      </c>
      <c r="D2261">
        <v>8.1000000000000003E-2</v>
      </c>
      <c r="E2261" t="s">
        <v>6</v>
      </c>
      <c r="F2261">
        <v>6.695000000000001E-2</v>
      </c>
    </row>
    <row r="2262" spans="1:6" x14ac:dyDescent="0.3">
      <c r="A2262" t="s">
        <v>5</v>
      </c>
      <c r="B2262" s="1">
        <v>45752</v>
      </c>
      <c r="C2262">
        <v>6</v>
      </c>
      <c r="D2262">
        <v>0.107</v>
      </c>
      <c r="E2262" t="s">
        <v>6</v>
      </c>
      <c r="F2262">
        <v>7.0499999999999993E-2</v>
      </c>
    </row>
    <row r="2263" spans="1:6" x14ac:dyDescent="0.3">
      <c r="A2263" t="s">
        <v>5</v>
      </c>
      <c r="B2263" s="1">
        <v>45752</v>
      </c>
      <c r="C2263">
        <v>7</v>
      </c>
      <c r="D2263">
        <v>9.7000000000000003E-2</v>
      </c>
      <c r="E2263" t="s">
        <v>6</v>
      </c>
      <c r="F2263">
        <v>7.5159999999999991E-2</v>
      </c>
    </row>
    <row r="2264" spans="1:6" x14ac:dyDescent="0.3">
      <c r="A2264" t="s">
        <v>5</v>
      </c>
      <c r="B2264" s="1">
        <v>45752</v>
      </c>
      <c r="C2264">
        <v>8</v>
      </c>
      <c r="D2264">
        <v>8.4000000000000005E-2</v>
      </c>
      <c r="E2264" t="s">
        <v>6</v>
      </c>
      <c r="F2264">
        <v>6.8400000000000002E-2</v>
      </c>
    </row>
    <row r="2265" spans="1:6" x14ac:dyDescent="0.3">
      <c r="A2265" t="s">
        <v>5</v>
      </c>
      <c r="B2265" s="1">
        <v>45752</v>
      </c>
      <c r="C2265">
        <v>9</v>
      </c>
      <c r="D2265">
        <v>7.1999999999999995E-2</v>
      </c>
      <c r="E2265" t="s">
        <v>6</v>
      </c>
      <c r="F2265">
        <v>7.4079999999999993E-2</v>
      </c>
    </row>
    <row r="2266" spans="1:6" x14ac:dyDescent="0.3">
      <c r="A2266" t="s">
        <v>5</v>
      </c>
      <c r="B2266" s="1">
        <v>45752</v>
      </c>
      <c r="C2266">
        <v>10</v>
      </c>
      <c r="D2266">
        <v>6.6000000000000003E-2</v>
      </c>
      <c r="E2266" t="s">
        <v>6</v>
      </c>
      <c r="F2266">
        <v>5.5109999999999999E-2</v>
      </c>
    </row>
    <row r="2267" spans="1:6" x14ac:dyDescent="0.3">
      <c r="A2267" t="s">
        <v>5</v>
      </c>
      <c r="B2267" s="1">
        <v>45752</v>
      </c>
      <c r="C2267">
        <v>11</v>
      </c>
      <c r="D2267">
        <v>8.5999999999999993E-2</v>
      </c>
      <c r="E2267" t="s">
        <v>6</v>
      </c>
      <c r="F2267">
        <v>4.2360000000000002E-2</v>
      </c>
    </row>
    <row r="2268" spans="1:6" x14ac:dyDescent="0.3">
      <c r="A2268" t="s">
        <v>5</v>
      </c>
      <c r="B2268" s="1">
        <v>45752</v>
      </c>
      <c r="C2268">
        <v>12</v>
      </c>
      <c r="D2268">
        <v>7.0000000000000007E-2</v>
      </c>
      <c r="E2268" t="s">
        <v>6</v>
      </c>
      <c r="F2268">
        <v>3.8630000000000005E-2</v>
      </c>
    </row>
    <row r="2269" spans="1:6" x14ac:dyDescent="0.3">
      <c r="A2269" t="s">
        <v>5</v>
      </c>
      <c r="B2269" s="1">
        <v>45752</v>
      </c>
      <c r="C2269">
        <v>13</v>
      </c>
      <c r="D2269">
        <v>6.7000000000000004E-2</v>
      </c>
      <c r="E2269" t="s">
        <v>6</v>
      </c>
      <c r="F2269">
        <v>3.739E-2</v>
      </c>
    </row>
    <row r="2270" spans="1:6" x14ac:dyDescent="0.3">
      <c r="A2270" t="s">
        <v>5</v>
      </c>
      <c r="B2270" s="1">
        <v>45752</v>
      </c>
      <c r="C2270">
        <v>14</v>
      </c>
      <c r="D2270">
        <v>8.6999999999999994E-2</v>
      </c>
      <c r="E2270" t="s">
        <v>6</v>
      </c>
      <c r="F2270">
        <v>3.637E-2</v>
      </c>
    </row>
    <row r="2271" spans="1:6" x14ac:dyDescent="0.3">
      <c r="A2271" t="s">
        <v>5</v>
      </c>
      <c r="B2271" s="1">
        <v>45752</v>
      </c>
      <c r="C2271">
        <v>15</v>
      </c>
      <c r="D2271">
        <v>6.9000000000000006E-2</v>
      </c>
      <c r="E2271" t="s">
        <v>6</v>
      </c>
      <c r="F2271">
        <v>3.6659999999999998E-2</v>
      </c>
    </row>
    <row r="2272" spans="1:6" x14ac:dyDescent="0.3">
      <c r="A2272" t="s">
        <v>5</v>
      </c>
      <c r="B2272" s="1">
        <v>45752</v>
      </c>
      <c r="C2272">
        <v>16</v>
      </c>
      <c r="D2272">
        <v>6.8000000000000005E-2</v>
      </c>
      <c r="E2272" t="s">
        <v>6</v>
      </c>
      <c r="F2272">
        <v>3.8119999999999994E-2</v>
      </c>
    </row>
    <row r="2273" spans="1:6" x14ac:dyDescent="0.3">
      <c r="A2273" t="s">
        <v>5</v>
      </c>
      <c r="B2273" s="1">
        <v>45752</v>
      </c>
      <c r="C2273">
        <v>17</v>
      </c>
      <c r="D2273">
        <v>8.8999999999999996E-2</v>
      </c>
      <c r="E2273" t="s">
        <v>6</v>
      </c>
      <c r="F2273">
        <v>3.9060000000000004E-2</v>
      </c>
    </row>
    <row r="2274" spans="1:6" x14ac:dyDescent="0.3">
      <c r="A2274" t="s">
        <v>5</v>
      </c>
      <c r="B2274" s="1">
        <v>45752</v>
      </c>
      <c r="C2274">
        <v>18</v>
      </c>
      <c r="D2274">
        <v>6.7000000000000004E-2</v>
      </c>
      <c r="E2274" t="s">
        <v>6</v>
      </c>
      <c r="F2274">
        <v>4.0119999999999996E-2</v>
      </c>
    </row>
    <row r="2275" spans="1:6" x14ac:dyDescent="0.3">
      <c r="A2275" t="s">
        <v>5</v>
      </c>
      <c r="B2275" s="1">
        <v>45752</v>
      </c>
      <c r="C2275">
        <v>19</v>
      </c>
      <c r="D2275">
        <v>6.8000000000000005E-2</v>
      </c>
      <c r="E2275" t="s">
        <v>6</v>
      </c>
      <c r="F2275">
        <v>5.1650000000000001E-2</v>
      </c>
    </row>
    <row r="2276" spans="1:6" x14ac:dyDescent="0.3">
      <c r="A2276" t="s">
        <v>5</v>
      </c>
      <c r="B2276" s="1">
        <v>45752</v>
      </c>
      <c r="C2276">
        <v>20</v>
      </c>
      <c r="D2276">
        <v>8.8999999999999996E-2</v>
      </c>
      <c r="E2276" t="s">
        <v>6</v>
      </c>
      <c r="F2276">
        <v>9.9750000000000005E-2</v>
      </c>
    </row>
    <row r="2277" spans="1:6" x14ac:dyDescent="0.3">
      <c r="A2277" t="s">
        <v>5</v>
      </c>
      <c r="B2277" s="1">
        <v>45752</v>
      </c>
      <c r="C2277">
        <v>21</v>
      </c>
      <c r="D2277">
        <v>6.8000000000000005E-2</v>
      </c>
      <c r="E2277" t="s">
        <v>6</v>
      </c>
      <c r="F2277">
        <v>0.1477</v>
      </c>
    </row>
    <row r="2278" spans="1:6" x14ac:dyDescent="0.3">
      <c r="A2278" t="s">
        <v>5</v>
      </c>
      <c r="B2278" s="1">
        <v>45752</v>
      </c>
      <c r="C2278">
        <v>22</v>
      </c>
      <c r="D2278">
        <v>6.6000000000000003E-2</v>
      </c>
      <c r="E2278" t="s">
        <v>6</v>
      </c>
      <c r="F2278">
        <v>0.15068000000000001</v>
      </c>
    </row>
    <row r="2279" spans="1:6" x14ac:dyDescent="0.3">
      <c r="A2279" t="s">
        <v>5</v>
      </c>
      <c r="B2279" s="1">
        <v>45752</v>
      </c>
      <c r="C2279">
        <v>23</v>
      </c>
      <c r="D2279">
        <v>8.8999999999999996E-2</v>
      </c>
      <c r="E2279" t="s">
        <v>6</v>
      </c>
      <c r="F2279">
        <v>0.13295999999999999</v>
      </c>
    </row>
    <row r="2280" spans="1:6" x14ac:dyDescent="0.3">
      <c r="A2280" t="s">
        <v>5</v>
      </c>
      <c r="B2280" s="1">
        <v>45752</v>
      </c>
      <c r="C2280">
        <v>24</v>
      </c>
      <c r="D2280">
        <v>6.7000000000000004E-2</v>
      </c>
      <c r="E2280" t="s">
        <v>6</v>
      </c>
      <c r="F2280">
        <v>0.12168000000000001</v>
      </c>
    </row>
    <row r="2281" spans="1:6" x14ac:dyDescent="0.3">
      <c r="A2281" t="s">
        <v>5</v>
      </c>
      <c r="B2281" s="1">
        <v>45753</v>
      </c>
      <c r="C2281">
        <v>1</v>
      </c>
      <c r="D2281">
        <v>6.7000000000000004E-2</v>
      </c>
      <c r="E2281" t="s">
        <v>6</v>
      </c>
      <c r="F2281">
        <v>0.13031999999999999</v>
      </c>
    </row>
    <row r="2282" spans="1:6" x14ac:dyDescent="0.3">
      <c r="A2282" t="s">
        <v>5</v>
      </c>
      <c r="B2282" s="1">
        <v>45753</v>
      </c>
      <c r="C2282">
        <v>2</v>
      </c>
      <c r="D2282">
        <v>8.7999999999999995E-2</v>
      </c>
      <c r="E2282" t="s">
        <v>6</v>
      </c>
      <c r="F2282">
        <v>0.10879000000000001</v>
      </c>
    </row>
    <row r="2283" spans="1:6" x14ac:dyDescent="0.3">
      <c r="A2283" t="s">
        <v>5</v>
      </c>
      <c r="B2283" s="1">
        <v>45753</v>
      </c>
      <c r="C2283">
        <v>3</v>
      </c>
      <c r="D2283">
        <v>6.7000000000000004E-2</v>
      </c>
      <c r="E2283" t="s">
        <v>6</v>
      </c>
      <c r="F2283">
        <v>9.8170000000000007E-2</v>
      </c>
    </row>
    <row r="2284" spans="1:6" x14ac:dyDescent="0.3">
      <c r="A2284" t="s">
        <v>5</v>
      </c>
      <c r="B2284" s="1">
        <v>45753</v>
      </c>
      <c r="C2284">
        <v>4</v>
      </c>
      <c r="D2284">
        <v>6.7000000000000004E-2</v>
      </c>
      <c r="E2284" t="s">
        <v>6</v>
      </c>
      <c r="F2284">
        <v>9.1260000000000008E-2</v>
      </c>
    </row>
    <row r="2285" spans="1:6" x14ac:dyDescent="0.3">
      <c r="A2285" t="s">
        <v>5</v>
      </c>
      <c r="B2285" s="1">
        <v>45753</v>
      </c>
      <c r="C2285">
        <v>5</v>
      </c>
      <c r="D2285">
        <v>8.8999999999999996E-2</v>
      </c>
      <c r="E2285" t="s">
        <v>6</v>
      </c>
      <c r="F2285">
        <v>9.1350000000000001E-2</v>
      </c>
    </row>
    <row r="2286" spans="1:6" x14ac:dyDescent="0.3">
      <c r="A2286" t="s">
        <v>5</v>
      </c>
      <c r="B2286" s="1">
        <v>45753</v>
      </c>
      <c r="C2286">
        <v>6</v>
      </c>
      <c r="D2286">
        <v>6.8000000000000005E-2</v>
      </c>
      <c r="E2286" t="s">
        <v>6</v>
      </c>
      <c r="F2286">
        <v>9.2920000000000003E-2</v>
      </c>
    </row>
    <row r="2287" spans="1:6" x14ac:dyDescent="0.3">
      <c r="A2287" t="s">
        <v>5</v>
      </c>
      <c r="B2287" s="1">
        <v>45753</v>
      </c>
      <c r="C2287">
        <v>7</v>
      </c>
      <c r="D2287">
        <v>6.7000000000000004E-2</v>
      </c>
      <c r="E2287" t="s">
        <v>6</v>
      </c>
      <c r="F2287">
        <v>9.265000000000001E-2</v>
      </c>
    </row>
    <row r="2288" spans="1:6" x14ac:dyDescent="0.3">
      <c r="A2288" t="s">
        <v>5</v>
      </c>
      <c r="B2288" s="1">
        <v>45753</v>
      </c>
      <c r="C2288">
        <v>8</v>
      </c>
      <c r="D2288">
        <v>0.13</v>
      </c>
      <c r="E2288" t="s">
        <v>6</v>
      </c>
      <c r="F2288">
        <v>9.4349999999999989E-2</v>
      </c>
    </row>
    <row r="2289" spans="1:6" x14ac:dyDescent="0.3">
      <c r="A2289" t="s">
        <v>5</v>
      </c>
      <c r="B2289" s="1">
        <v>45753</v>
      </c>
      <c r="C2289">
        <v>9</v>
      </c>
      <c r="D2289">
        <v>8.8999999999999996E-2</v>
      </c>
      <c r="E2289" t="s">
        <v>6</v>
      </c>
      <c r="F2289">
        <v>9.3090000000000006E-2</v>
      </c>
    </row>
    <row r="2290" spans="1:6" x14ac:dyDescent="0.3">
      <c r="A2290" t="s">
        <v>5</v>
      </c>
      <c r="B2290" s="1">
        <v>45753</v>
      </c>
      <c r="C2290">
        <v>10</v>
      </c>
      <c r="D2290">
        <v>6.7000000000000004E-2</v>
      </c>
      <c r="E2290" t="s">
        <v>6</v>
      </c>
      <c r="F2290">
        <v>5.5750000000000001E-2</v>
      </c>
    </row>
    <row r="2291" spans="1:6" x14ac:dyDescent="0.3">
      <c r="A2291" t="s">
        <v>5</v>
      </c>
      <c r="B2291" s="1">
        <v>45753</v>
      </c>
      <c r="C2291">
        <v>11</v>
      </c>
      <c r="D2291">
        <v>8.5999999999999993E-2</v>
      </c>
      <c r="E2291" t="s">
        <v>6</v>
      </c>
      <c r="F2291">
        <v>4.0250000000000001E-2</v>
      </c>
    </row>
    <row r="2292" spans="1:6" x14ac:dyDescent="0.3">
      <c r="A2292" t="s">
        <v>5</v>
      </c>
      <c r="B2292" s="1">
        <v>45753</v>
      </c>
      <c r="C2292">
        <v>12</v>
      </c>
      <c r="D2292">
        <v>7.0000000000000007E-2</v>
      </c>
      <c r="E2292" t="s">
        <v>6</v>
      </c>
      <c r="F2292">
        <v>3.8109999999999998E-2</v>
      </c>
    </row>
    <row r="2293" spans="1:6" x14ac:dyDescent="0.3">
      <c r="A2293" t="s">
        <v>5</v>
      </c>
      <c r="B2293" s="1">
        <v>45753</v>
      </c>
      <c r="C2293">
        <v>13</v>
      </c>
      <c r="D2293">
        <v>6.8000000000000005E-2</v>
      </c>
      <c r="E2293" t="s">
        <v>6</v>
      </c>
      <c r="F2293">
        <v>3.7579999999999995E-2</v>
      </c>
    </row>
    <row r="2294" spans="1:6" x14ac:dyDescent="0.3">
      <c r="A2294" t="s">
        <v>5</v>
      </c>
      <c r="B2294" s="1">
        <v>45753</v>
      </c>
      <c r="C2294">
        <v>14</v>
      </c>
      <c r="D2294">
        <v>8.4000000000000005E-2</v>
      </c>
      <c r="E2294" t="s">
        <v>6</v>
      </c>
      <c r="F2294">
        <v>3.7469999999999996E-2</v>
      </c>
    </row>
    <row r="2295" spans="1:6" x14ac:dyDescent="0.3">
      <c r="A2295" t="s">
        <v>5</v>
      </c>
      <c r="B2295" s="1">
        <v>45753</v>
      </c>
      <c r="C2295">
        <v>15</v>
      </c>
      <c r="D2295">
        <v>7.2999999999999995E-2</v>
      </c>
      <c r="E2295" t="s">
        <v>6</v>
      </c>
      <c r="F2295">
        <v>3.7829999999999996E-2</v>
      </c>
    </row>
    <row r="2296" spans="1:6" x14ac:dyDescent="0.3">
      <c r="A2296" t="s">
        <v>5</v>
      </c>
      <c r="B2296" s="1">
        <v>45753</v>
      </c>
      <c r="C2296">
        <v>16</v>
      </c>
      <c r="D2296">
        <v>6.7000000000000004E-2</v>
      </c>
      <c r="E2296" t="s">
        <v>6</v>
      </c>
      <c r="F2296">
        <v>3.9009999999999996E-2</v>
      </c>
    </row>
    <row r="2297" spans="1:6" x14ac:dyDescent="0.3">
      <c r="A2297" t="s">
        <v>5</v>
      </c>
      <c r="B2297" s="1">
        <v>45753</v>
      </c>
      <c r="C2297">
        <v>17</v>
      </c>
      <c r="D2297">
        <v>8.3000000000000004E-2</v>
      </c>
      <c r="E2297" t="s">
        <v>6</v>
      </c>
      <c r="F2297">
        <v>3.9689999999999996E-2</v>
      </c>
    </row>
    <row r="2298" spans="1:6" x14ac:dyDescent="0.3">
      <c r="A2298" t="s">
        <v>5</v>
      </c>
      <c r="B2298" s="1">
        <v>45753</v>
      </c>
      <c r="C2298">
        <v>18</v>
      </c>
      <c r="D2298">
        <v>7.4999999999999997E-2</v>
      </c>
      <c r="E2298" t="s">
        <v>6</v>
      </c>
      <c r="F2298">
        <v>4.0240000000000005E-2</v>
      </c>
    </row>
    <row r="2299" spans="1:6" x14ac:dyDescent="0.3">
      <c r="A2299" t="s">
        <v>5</v>
      </c>
      <c r="B2299" s="1">
        <v>45753</v>
      </c>
      <c r="C2299">
        <v>19</v>
      </c>
      <c r="D2299">
        <v>6.6000000000000003E-2</v>
      </c>
      <c r="E2299" t="s">
        <v>6</v>
      </c>
      <c r="F2299">
        <v>5.509E-2</v>
      </c>
    </row>
    <row r="2300" spans="1:6" x14ac:dyDescent="0.3">
      <c r="A2300" t="s">
        <v>5</v>
      </c>
      <c r="B2300" s="1">
        <v>45753</v>
      </c>
      <c r="C2300">
        <v>20</v>
      </c>
      <c r="D2300">
        <v>0.08</v>
      </c>
      <c r="E2300" t="s">
        <v>6</v>
      </c>
      <c r="F2300">
        <v>7.8060000000000004E-2</v>
      </c>
    </row>
    <row r="2301" spans="1:6" x14ac:dyDescent="0.3">
      <c r="A2301" t="s">
        <v>5</v>
      </c>
      <c r="B2301" s="1">
        <v>45753</v>
      </c>
      <c r="C2301">
        <v>21</v>
      </c>
      <c r="D2301">
        <v>0.19600000000000001</v>
      </c>
      <c r="E2301" t="s">
        <v>6</v>
      </c>
      <c r="F2301">
        <v>0.12176000000000001</v>
      </c>
    </row>
    <row r="2302" spans="1:6" x14ac:dyDescent="0.3">
      <c r="A2302" t="s">
        <v>5</v>
      </c>
      <c r="B2302" s="1">
        <v>45753</v>
      </c>
      <c r="C2302">
        <v>22</v>
      </c>
      <c r="D2302">
        <v>0.38700000000000001</v>
      </c>
      <c r="E2302" t="s">
        <v>6</v>
      </c>
      <c r="F2302">
        <v>0.12847999999999998</v>
      </c>
    </row>
    <row r="2303" spans="1:6" x14ac:dyDescent="0.3">
      <c r="A2303" t="s">
        <v>5</v>
      </c>
      <c r="B2303" s="1">
        <v>45753</v>
      </c>
      <c r="C2303">
        <v>23</v>
      </c>
      <c r="D2303">
        <v>0.35</v>
      </c>
      <c r="E2303" t="s">
        <v>6</v>
      </c>
      <c r="F2303">
        <v>0.11856999999999999</v>
      </c>
    </row>
    <row r="2304" spans="1:6" x14ac:dyDescent="0.3">
      <c r="A2304" t="s">
        <v>5</v>
      </c>
      <c r="B2304" s="1">
        <v>45753</v>
      </c>
      <c r="C2304">
        <v>24</v>
      </c>
      <c r="D2304">
        <v>0.40300000000000002</v>
      </c>
      <c r="E2304" t="s">
        <v>6</v>
      </c>
      <c r="F2304">
        <v>0.11568000000000001</v>
      </c>
    </row>
    <row r="2305" spans="1:6" x14ac:dyDescent="0.3">
      <c r="A2305" t="s">
        <v>5</v>
      </c>
      <c r="B2305" s="1">
        <v>45754</v>
      </c>
      <c r="C2305">
        <v>1</v>
      </c>
      <c r="D2305">
        <v>0.44600000000000001</v>
      </c>
      <c r="E2305" t="s">
        <v>6</v>
      </c>
      <c r="F2305">
        <v>9.5469999999999999E-2</v>
      </c>
    </row>
    <row r="2306" spans="1:6" x14ac:dyDescent="0.3">
      <c r="A2306" t="s">
        <v>5</v>
      </c>
      <c r="B2306" s="1">
        <v>45754</v>
      </c>
      <c r="C2306">
        <v>2</v>
      </c>
      <c r="D2306">
        <v>0.151</v>
      </c>
      <c r="E2306" t="s">
        <v>6</v>
      </c>
      <c r="F2306">
        <v>9.1900000000000009E-2</v>
      </c>
    </row>
    <row r="2307" spans="1:6" x14ac:dyDescent="0.3">
      <c r="A2307" t="s">
        <v>5</v>
      </c>
      <c r="B2307" s="1">
        <v>45754</v>
      </c>
      <c r="C2307">
        <v>3</v>
      </c>
      <c r="D2307">
        <v>0.122</v>
      </c>
      <c r="E2307" t="s">
        <v>6</v>
      </c>
      <c r="F2307">
        <v>9.4920000000000004E-2</v>
      </c>
    </row>
    <row r="2308" spans="1:6" x14ac:dyDescent="0.3">
      <c r="A2308" t="s">
        <v>5</v>
      </c>
      <c r="B2308" s="1">
        <v>45754</v>
      </c>
      <c r="C2308">
        <v>4</v>
      </c>
      <c r="D2308">
        <v>0.115</v>
      </c>
      <c r="E2308" t="s">
        <v>6</v>
      </c>
      <c r="F2308">
        <v>9.2180000000000012E-2</v>
      </c>
    </row>
    <row r="2309" spans="1:6" x14ac:dyDescent="0.3">
      <c r="A2309" t="s">
        <v>5</v>
      </c>
      <c r="B2309" s="1">
        <v>45754</v>
      </c>
      <c r="C2309">
        <v>5</v>
      </c>
      <c r="D2309">
        <v>9.9000000000000005E-2</v>
      </c>
      <c r="E2309" t="s">
        <v>6</v>
      </c>
      <c r="F2309">
        <v>9.2469999999999997E-2</v>
      </c>
    </row>
    <row r="2310" spans="1:6" x14ac:dyDescent="0.3">
      <c r="A2310" t="s">
        <v>5</v>
      </c>
      <c r="B2310" s="1">
        <v>45754</v>
      </c>
      <c r="C2310">
        <v>6</v>
      </c>
      <c r="D2310">
        <v>7.3999999999999996E-2</v>
      </c>
      <c r="E2310" t="s">
        <v>6</v>
      </c>
      <c r="F2310">
        <v>9.7909999999999997E-2</v>
      </c>
    </row>
    <row r="2311" spans="1:6" x14ac:dyDescent="0.3">
      <c r="A2311" t="s">
        <v>5</v>
      </c>
      <c r="B2311" s="1">
        <v>45754</v>
      </c>
      <c r="C2311">
        <v>7</v>
      </c>
      <c r="D2311">
        <v>9.0999999999999998E-2</v>
      </c>
      <c r="E2311" t="s">
        <v>6</v>
      </c>
      <c r="F2311">
        <v>0.12176000000000001</v>
      </c>
    </row>
    <row r="2312" spans="1:6" x14ac:dyDescent="0.3">
      <c r="A2312" t="s">
        <v>5</v>
      </c>
      <c r="B2312" s="1">
        <v>45754</v>
      </c>
      <c r="C2312">
        <v>8</v>
      </c>
      <c r="D2312">
        <v>0.16600000000000001</v>
      </c>
      <c r="E2312" t="s">
        <v>6</v>
      </c>
      <c r="F2312">
        <v>0.21278</v>
      </c>
    </row>
    <row r="2313" spans="1:6" x14ac:dyDescent="0.3">
      <c r="A2313" t="s">
        <v>5</v>
      </c>
      <c r="B2313" s="1">
        <v>45754</v>
      </c>
      <c r="C2313">
        <v>9</v>
      </c>
      <c r="D2313">
        <v>0.125</v>
      </c>
      <c r="E2313" t="s">
        <v>6</v>
      </c>
      <c r="F2313">
        <v>0.22744999999999999</v>
      </c>
    </row>
    <row r="2314" spans="1:6" x14ac:dyDescent="0.3">
      <c r="A2314" t="s">
        <v>5</v>
      </c>
      <c r="B2314" s="1">
        <v>45754</v>
      </c>
      <c r="C2314">
        <v>10</v>
      </c>
      <c r="D2314">
        <v>0.74099999999999999</v>
      </c>
      <c r="E2314" t="s">
        <v>6</v>
      </c>
      <c r="F2314">
        <v>0.12087000000000001</v>
      </c>
    </row>
    <row r="2315" spans="1:6" x14ac:dyDescent="0.3">
      <c r="A2315" t="s">
        <v>5</v>
      </c>
      <c r="B2315" s="1">
        <v>45754</v>
      </c>
      <c r="C2315">
        <v>11</v>
      </c>
      <c r="D2315">
        <v>0.25</v>
      </c>
      <c r="E2315" t="s">
        <v>6</v>
      </c>
      <c r="F2315">
        <v>0.14080000000000001</v>
      </c>
    </row>
    <row r="2316" spans="1:6" x14ac:dyDescent="0.3">
      <c r="A2316" t="s">
        <v>5</v>
      </c>
      <c r="B2316" s="1">
        <v>45754</v>
      </c>
      <c r="C2316">
        <v>12</v>
      </c>
      <c r="D2316">
        <v>0.22900000000000001</v>
      </c>
      <c r="E2316" t="s">
        <v>6</v>
      </c>
      <c r="F2316">
        <v>0.12284</v>
      </c>
    </row>
    <row r="2317" spans="1:6" x14ac:dyDescent="0.3">
      <c r="A2317" t="s">
        <v>5</v>
      </c>
      <c r="B2317" s="1">
        <v>45754</v>
      </c>
      <c r="C2317">
        <v>13</v>
      </c>
      <c r="D2317">
        <v>0.22</v>
      </c>
      <c r="E2317" t="s">
        <v>6</v>
      </c>
      <c r="F2317">
        <v>0.11910999999999999</v>
      </c>
    </row>
    <row r="2318" spans="1:6" x14ac:dyDescent="0.3">
      <c r="A2318" t="s">
        <v>5</v>
      </c>
      <c r="B2318" s="1">
        <v>45754</v>
      </c>
      <c r="C2318">
        <v>14</v>
      </c>
      <c r="D2318">
        <v>0.28799999999999998</v>
      </c>
      <c r="E2318" t="s">
        <v>6</v>
      </c>
      <c r="F2318">
        <v>0.11636000000000001</v>
      </c>
    </row>
    <row r="2319" spans="1:6" x14ac:dyDescent="0.3">
      <c r="A2319" t="s">
        <v>5</v>
      </c>
      <c r="B2319" s="1">
        <v>45754</v>
      </c>
      <c r="C2319">
        <v>15</v>
      </c>
      <c r="D2319">
        <v>0.33900000000000002</v>
      </c>
      <c r="E2319" t="s">
        <v>6</v>
      </c>
      <c r="F2319">
        <v>5.1389999999999998E-2</v>
      </c>
    </row>
    <row r="2320" spans="1:6" x14ac:dyDescent="0.3">
      <c r="A2320" t="s">
        <v>5</v>
      </c>
      <c r="B2320" s="1">
        <v>45754</v>
      </c>
      <c r="C2320">
        <v>16</v>
      </c>
      <c r="D2320">
        <v>0.78</v>
      </c>
      <c r="E2320" t="s">
        <v>6</v>
      </c>
      <c r="F2320">
        <v>5.2130000000000003E-2</v>
      </c>
    </row>
    <row r="2321" spans="1:6" x14ac:dyDescent="0.3">
      <c r="A2321" t="s">
        <v>5</v>
      </c>
      <c r="B2321" s="1">
        <v>45754</v>
      </c>
      <c r="C2321">
        <v>17</v>
      </c>
      <c r="D2321">
        <v>0.69299999999999995</v>
      </c>
      <c r="E2321" t="s">
        <v>6</v>
      </c>
      <c r="F2321">
        <v>5.0599999999999999E-2</v>
      </c>
    </row>
    <row r="2322" spans="1:6" x14ac:dyDescent="0.3">
      <c r="A2322" t="s">
        <v>5</v>
      </c>
      <c r="B2322" s="1">
        <v>45754</v>
      </c>
      <c r="C2322">
        <v>18</v>
      </c>
      <c r="D2322">
        <v>0.85799999999999998</v>
      </c>
      <c r="E2322" t="s">
        <v>6</v>
      </c>
      <c r="F2322">
        <v>5.3030000000000001E-2</v>
      </c>
    </row>
    <row r="2323" spans="1:6" x14ac:dyDescent="0.3">
      <c r="A2323" t="s">
        <v>5</v>
      </c>
      <c r="B2323" s="1">
        <v>45754</v>
      </c>
      <c r="C2323">
        <v>19</v>
      </c>
      <c r="D2323">
        <v>0.24299999999999999</v>
      </c>
      <c r="E2323" t="s">
        <v>6</v>
      </c>
      <c r="F2323">
        <v>0.14351</v>
      </c>
    </row>
    <row r="2324" spans="1:6" x14ac:dyDescent="0.3">
      <c r="A2324" t="s">
        <v>5</v>
      </c>
      <c r="B2324" s="1">
        <v>45754</v>
      </c>
      <c r="C2324">
        <v>20</v>
      </c>
      <c r="D2324">
        <v>0.245</v>
      </c>
      <c r="E2324" t="s">
        <v>6</v>
      </c>
      <c r="F2324">
        <v>0.19906000000000001</v>
      </c>
    </row>
    <row r="2325" spans="1:6" x14ac:dyDescent="0.3">
      <c r="A2325" t="s">
        <v>5</v>
      </c>
      <c r="B2325" s="1">
        <v>45754</v>
      </c>
      <c r="C2325">
        <v>21</v>
      </c>
      <c r="D2325">
        <v>0.27400000000000002</v>
      </c>
      <c r="E2325" t="s">
        <v>6</v>
      </c>
      <c r="F2325">
        <v>0.30057999999999996</v>
      </c>
    </row>
    <row r="2326" spans="1:6" x14ac:dyDescent="0.3">
      <c r="A2326" t="s">
        <v>5</v>
      </c>
      <c r="B2326" s="1">
        <v>45754</v>
      </c>
      <c r="C2326">
        <v>22</v>
      </c>
      <c r="D2326">
        <v>0.51200000000000001</v>
      </c>
      <c r="E2326" t="s">
        <v>6</v>
      </c>
      <c r="F2326">
        <v>0.31910000000000005</v>
      </c>
    </row>
    <row r="2327" spans="1:6" x14ac:dyDescent="0.3">
      <c r="A2327" t="s">
        <v>5</v>
      </c>
      <c r="B2327" s="1">
        <v>45754</v>
      </c>
      <c r="C2327">
        <v>23</v>
      </c>
      <c r="D2327">
        <v>0.76600000000000001</v>
      </c>
      <c r="E2327" t="s">
        <v>6</v>
      </c>
      <c r="F2327">
        <v>0.19141999999999998</v>
      </c>
    </row>
    <row r="2328" spans="1:6" x14ac:dyDescent="0.3">
      <c r="A2328" t="s">
        <v>5</v>
      </c>
      <c r="B2328" s="1">
        <v>45754</v>
      </c>
      <c r="C2328">
        <v>24</v>
      </c>
      <c r="D2328">
        <v>0.35699999999999998</v>
      </c>
      <c r="E2328" t="s">
        <v>6</v>
      </c>
      <c r="F2328">
        <v>0.17202000000000001</v>
      </c>
    </row>
    <row r="2329" spans="1:6" x14ac:dyDescent="0.3">
      <c r="A2329" t="s">
        <v>5</v>
      </c>
      <c r="B2329" s="1">
        <v>45755</v>
      </c>
      <c r="C2329">
        <v>1</v>
      </c>
      <c r="D2329">
        <v>0.156</v>
      </c>
      <c r="E2329" t="s">
        <v>6</v>
      </c>
      <c r="F2329">
        <v>0.13016999999999998</v>
      </c>
    </row>
    <row r="2330" spans="1:6" x14ac:dyDescent="0.3">
      <c r="A2330" t="s">
        <v>5</v>
      </c>
      <c r="B2330" s="1">
        <v>45755</v>
      </c>
      <c r="C2330">
        <v>2</v>
      </c>
      <c r="D2330">
        <v>9.9000000000000005E-2</v>
      </c>
      <c r="E2330" t="s">
        <v>6</v>
      </c>
      <c r="F2330">
        <v>0.12018999999999999</v>
      </c>
    </row>
    <row r="2331" spans="1:6" x14ac:dyDescent="0.3">
      <c r="A2331" t="s">
        <v>5</v>
      </c>
      <c r="B2331" s="1">
        <v>45755</v>
      </c>
      <c r="C2331">
        <v>3</v>
      </c>
      <c r="D2331">
        <v>6.8000000000000005E-2</v>
      </c>
      <c r="E2331" t="s">
        <v>6</v>
      </c>
      <c r="F2331">
        <v>0.12104999999999999</v>
      </c>
    </row>
    <row r="2332" spans="1:6" x14ac:dyDescent="0.3">
      <c r="A2332" t="s">
        <v>5</v>
      </c>
      <c r="B2332" s="1">
        <v>45755</v>
      </c>
      <c r="C2332">
        <v>4</v>
      </c>
      <c r="D2332">
        <v>9.0999999999999998E-2</v>
      </c>
      <c r="E2332" t="s">
        <v>6</v>
      </c>
      <c r="F2332">
        <v>0.10590000000000001</v>
      </c>
    </row>
    <row r="2333" spans="1:6" x14ac:dyDescent="0.3">
      <c r="A2333" t="s">
        <v>5</v>
      </c>
      <c r="B2333" s="1">
        <v>45755</v>
      </c>
      <c r="C2333">
        <v>5</v>
      </c>
      <c r="D2333">
        <v>0.08</v>
      </c>
      <c r="E2333" t="s">
        <v>6</v>
      </c>
      <c r="F2333">
        <v>9.955E-2</v>
      </c>
    </row>
    <row r="2334" spans="1:6" x14ac:dyDescent="0.3">
      <c r="A2334" t="s">
        <v>5</v>
      </c>
      <c r="B2334" s="1">
        <v>45755</v>
      </c>
      <c r="C2334">
        <v>6</v>
      </c>
      <c r="D2334">
        <v>7.9000000000000001E-2</v>
      </c>
      <c r="E2334" t="s">
        <v>6</v>
      </c>
      <c r="F2334">
        <v>0.10068000000000001</v>
      </c>
    </row>
    <row r="2335" spans="1:6" x14ac:dyDescent="0.3">
      <c r="A2335" t="s">
        <v>5</v>
      </c>
      <c r="B2335" s="1">
        <v>45755</v>
      </c>
      <c r="C2335">
        <v>7</v>
      </c>
      <c r="D2335">
        <v>8.5000000000000006E-2</v>
      </c>
      <c r="E2335" t="s">
        <v>6</v>
      </c>
      <c r="F2335">
        <v>0.10340000000000001</v>
      </c>
    </row>
    <row r="2336" spans="1:6" x14ac:dyDescent="0.3">
      <c r="A2336" t="s">
        <v>5</v>
      </c>
      <c r="B2336" s="1">
        <v>45755</v>
      </c>
      <c r="C2336">
        <v>8</v>
      </c>
      <c r="D2336">
        <v>7.6999999999999999E-2</v>
      </c>
      <c r="E2336" t="s">
        <v>6</v>
      </c>
      <c r="F2336">
        <v>0.17815</v>
      </c>
    </row>
    <row r="2337" spans="1:6" x14ac:dyDescent="0.3">
      <c r="A2337" t="s">
        <v>5</v>
      </c>
      <c r="B2337" s="1">
        <v>45755</v>
      </c>
      <c r="C2337">
        <v>9</v>
      </c>
      <c r="D2337">
        <v>0.11</v>
      </c>
      <c r="E2337" t="s">
        <v>6</v>
      </c>
      <c r="F2337">
        <v>0.17680000000000001</v>
      </c>
    </row>
    <row r="2338" spans="1:6" x14ac:dyDescent="0.3">
      <c r="A2338" t="s">
        <v>5</v>
      </c>
      <c r="B2338" s="1">
        <v>45755</v>
      </c>
      <c r="C2338">
        <v>10</v>
      </c>
      <c r="D2338">
        <v>0.154</v>
      </c>
      <c r="E2338" t="s">
        <v>6</v>
      </c>
      <c r="F2338">
        <v>0.10312</v>
      </c>
    </row>
    <row r="2339" spans="1:6" x14ac:dyDescent="0.3">
      <c r="A2339" t="s">
        <v>5</v>
      </c>
      <c r="B2339" s="1">
        <v>45755</v>
      </c>
      <c r="C2339">
        <v>11</v>
      </c>
      <c r="D2339">
        <v>7.4999999999999997E-2</v>
      </c>
      <c r="E2339" t="s">
        <v>6</v>
      </c>
      <c r="F2339">
        <v>0.12343000000000001</v>
      </c>
    </row>
    <row r="2340" spans="1:6" x14ac:dyDescent="0.3">
      <c r="A2340" t="s">
        <v>5</v>
      </c>
      <c r="B2340" s="1">
        <v>45755</v>
      </c>
      <c r="C2340">
        <v>12</v>
      </c>
      <c r="D2340">
        <v>8.4000000000000005E-2</v>
      </c>
      <c r="E2340" t="s">
        <v>6</v>
      </c>
      <c r="F2340">
        <v>0.122</v>
      </c>
    </row>
    <row r="2341" spans="1:6" x14ac:dyDescent="0.3">
      <c r="A2341" t="s">
        <v>5</v>
      </c>
      <c r="B2341" s="1">
        <v>45755</v>
      </c>
      <c r="C2341">
        <v>13</v>
      </c>
      <c r="D2341">
        <v>6.4000000000000001E-2</v>
      </c>
      <c r="E2341" t="s">
        <v>6</v>
      </c>
      <c r="F2341">
        <v>0.12182</v>
      </c>
    </row>
    <row r="2342" spans="1:6" x14ac:dyDescent="0.3">
      <c r="A2342" t="s">
        <v>5</v>
      </c>
      <c r="B2342" s="1">
        <v>45755</v>
      </c>
      <c r="C2342">
        <v>14</v>
      </c>
      <c r="D2342">
        <v>0.17899999999999999</v>
      </c>
      <c r="E2342" t="s">
        <v>6</v>
      </c>
      <c r="F2342">
        <v>0.11866</v>
      </c>
    </row>
    <row r="2343" spans="1:6" x14ac:dyDescent="0.3">
      <c r="A2343" t="s">
        <v>5</v>
      </c>
      <c r="B2343" s="1">
        <v>45755</v>
      </c>
      <c r="C2343">
        <v>15</v>
      </c>
      <c r="D2343">
        <v>0.25900000000000001</v>
      </c>
      <c r="E2343" t="s">
        <v>6</v>
      </c>
      <c r="F2343">
        <v>5.4369999999999995E-2</v>
      </c>
    </row>
    <row r="2344" spans="1:6" x14ac:dyDescent="0.3">
      <c r="A2344" t="s">
        <v>5</v>
      </c>
      <c r="B2344" s="1">
        <v>45755</v>
      </c>
      <c r="C2344">
        <v>16</v>
      </c>
      <c r="D2344">
        <v>0.23599999999999999</v>
      </c>
      <c r="E2344" t="s">
        <v>6</v>
      </c>
      <c r="F2344">
        <v>5.4670000000000003E-2</v>
      </c>
    </row>
    <row r="2345" spans="1:6" x14ac:dyDescent="0.3">
      <c r="A2345" t="s">
        <v>5</v>
      </c>
      <c r="B2345" s="1">
        <v>45755</v>
      </c>
      <c r="C2345">
        <v>17</v>
      </c>
      <c r="D2345">
        <v>0.35499999999999998</v>
      </c>
      <c r="E2345" t="s">
        <v>6</v>
      </c>
      <c r="F2345">
        <v>5.5350000000000003E-2</v>
      </c>
    </row>
    <row r="2346" spans="1:6" x14ac:dyDescent="0.3">
      <c r="A2346" t="s">
        <v>5</v>
      </c>
      <c r="B2346" s="1">
        <v>45755</v>
      </c>
      <c r="C2346">
        <v>18</v>
      </c>
      <c r="D2346">
        <v>0.435</v>
      </c>
      <c r="E2346" t="s">
        <v>6</v>
      </c>
      <c r="F2346">
        <v>5.6299999999999996E-2</v>
      </c>
    </row>
    <row r="2347" spans="1:6" x14ac:dyDescent="0.3">
      <c r="A2347" t="s">
        <v>5</v>
      </c>
      <c r="B2347" s="1">
        <v>45755</v>
      </c>
      <c r="C2347">
        <v>19</v>
      </c>
      <c r="D2347">
        <v>0.47599999999999998</v>
      </c>
      <c r="E2347" t="s">
        <v>6</v>
      </c>
      <c r="F2347">
        <v>0.12095</v>
      </c>
    </row>
    <row r="2348" spans="1:6" x14ac:dyDescent="0.3">
      <c r="A2348" t="s">
        <v>5</v>
      </c>
      <c r="B2348" s="1">
        <v>45755</v>
      </c>
      <c r="C2348">
        <v>20</v>
      </c>
      <c r="D2348">
        <v>0.44800000000000001</v>
      </c>
      <c r="E2348" t="s">
        <v>6</v>
      </c>
      <c r="F2348">
        <v>0.16365000000000002</v>
      </c>
    </row>
    <row r="2349" spans="1:6" x14ac:dyDescent="0.3">
      <c r="A2349" t="s">
        <v>5</v>
      </c>
      <c r="B2349" s="1">
        <v>45755</v>
      </c>
      <c r="C2349">
        <v>21</v>
      </c>
      <c r="D2349">
        <v>0.46400000000000002</v>
      </c>
      <c r="E2349" t="s">
        <v>6</v>
      </c>
      <c r="F2349">
        <v>0.25317000000000001</v>
      </c>
    </row>
    <row r="2350" spans="1:6" x14ac:dyDescent="0.3">
      <c r="A2350" t="s">
        <v>5</v>
      </c>
      <c r="B2350" s="1">
        <v>45755</v>
      </c>
      <c r="C2350">
        <v>22</v>
      </c>
      <c r="D2350">
        <v>0.36799999999999999</v>
      </c>
      <c r="E2350" t="s">
        <v>6</v>
      </c>
      <c r="F2350">
        <v>0.26197999999999999</v>
      </c>
    </row>
    <row r="2351" spans="1:6" x14ac:dyDescent="0.3">
      <c r="A2351" t="s">
        <v>5</v>
      </c>
      <c r="B2351" s="1">
        <v>45755</v>
      </c>
      <c r="C2351">
        <v>23</v>
      </c>
      <c r="D2351">
        <v>0.35899999999999999</v>
      </c>
      <c r="E2351" t="s">
        <v>6</v>
      </c>
      <c r="F2351">
        <v>0.15690999999999999</v>
      </c>
    </row>
    <row r="2352" spans="1:6" x14ac:dyDescent="0.3">
      <c r="A2352" t="s">
        <v>5</v>
      </c>
      <c r="B2352" s="1">
        <v>45755</v>
      </c>
      <c r="C2352">
        <v>24</v>
      </c>
      <c r="D2352">
        <v>0.24</v>
      </c>
      <c r="E2352" t="s">
        <v>6</v>
      </c>
      <c r="F2352">
        <v>0.13903000000000001</v>
      </c>
    </row>
    <row r="2353" spans="1:6" x14ac:dyDescent="0.3">
      <c r="A2353" t="s">
        <v>5</v>
      </c>
      <c r="B2353" s="1">
        <v>45756</v>
      </c>
      <c r="C2353">
        <v>1</v>
      </c>
      <c r="D2353">
        <v>0.152</v>
      </c>
      <c r="E2353" t="s">
        <v>6</v>
      </c>
      <c r="F2353">
        <v>0.10306</v>
      </c>
    </row>
    <row r="2354" spans="1:6" x14ac:dyDescent="0.3">
      <c r="A2354" t="s">
        <v>5</v>
      </c>
      <c r="B2354" s="1">
        <v>45756</v>
      </c>
      <c r="C2354">
        <v>2</v>
      </c>
      <c r="D2354">
        <v>7.5999999999999998E-2</v>
      </c>
      <c r="E2354" t="s">
        <v>6</v>
      </c>
      <c r="F2354">
        <v>9.0380000000000002E-2</v>
      </c>
    </row>
    <row r="2355" spans="1:6" x14ac:dyDescent="0.3">
      <c r="A2355" t="s">
        <v>5</v>
      </c>
      <c r="B2355" s="1">
        <v>45756</v>
      </c>
      <c r="C2355">
        <v>3</v>
      </c>
      <c r="D2355">
        <v>8.6999999999999994E-2</v>
      </c>
      <c r="E2355" t="s">
        <v>6</v>
      </c>
      <c r="F2355">
        <v>8.9389999999999997E-2</v>
      </c>
    </row>
    <row r="2356" spans="1:6" x14ac:dyDescent="0.3">
      <c r="A2356" t="s">
        <v>5</v>
      </c>
      <c r="B2356" s="1">
        <v>45756</v>
      </c>
      <c r="C2356">
        <v>4</v>
      </c>
      <c r="D2356">
        <v>8.5000000000000006E-2</v>
      </c>
      <c r="E2356" t="s">
        <v>6</v>
      </c>
      <c r="F2356">
        <v>8.5209999999999994E-2</v>
      </c>
    </row>
    <row r="2357" spans="1:6" x14ac:dyDescent="0.3">
      <c r="A2357" t="s">
        <v>5</v>
      </c>
      <c r="B2357" s="1">
        <v>45756</v>
      </c>
      <c r="C2357">
        <v>5</v>
      </c>
      <c r="D2357">
        <v>6.5000000000000002E-2</v>
      </c>
      <c r="E2357" t="s">
        <v>6</v>
      </c>
      <c r="F2357">
        <v>8.1810000000000008E-2</v>
      </c>
    </row>
    <row r="2358" spans="1:6" x14ac:dyDescent="0.3">
      <c r="A2358" t="s">
        <v>5</v>
      </c>
      <c r="B2358" s="1">
        <v>45756</v>
      </c>
      <c r="C2358">
        <v>6</v>
      </c>
      <c r="D2358">
        <v>8.2000000000000003E-2</v>
      </c>
      <c r="E2358" t="s">
        <v>6</v>
      </c>
      <c r="F2358">
        <v>8.1909999999999997E-2</v>
      </c>
    </row>
    <row r="2359" spans="1:6" x14ac:dyDescent="0.3">
      <c r="A2359" t="s">
        <v>5</v>
      </c>
      <c r="B2359" s="1">
        <v>45756</v>
      </c>
      <c r="C2359">
        <v>7</v>
      </c>
      <c r="D2359">
        <v>8.6999999999999994E-2</v>
      </c>
      <c r="E2359" t="s">
        <v>6</v>
      </c>
      <c r="F2359">
        <v>9.0040000000000009E-2</v>
      </c>
    </row>
    <row r="2360" spans="1:6" x14ac:dyDescent="0.3">
      <c r="A2360" t="s">
        <v>5</v>
      </c>
      <c r="B2360" s="1">
        <v>45756</v>
      </c>
      <c r="C2360">
        <v>8</v>
      </c>
      <c r="D2360">
        <v>8.1000000000000003E-2</v>
      </c>
      <c r="E2360" t="s">
        <v>6</v>
      </c>
      <c r="F2360">
        <v>0.13797000000000001</v>
      </c>
    </row>
    <row r="2361" spans="1:6" x14ac:dyDescent="0.3">
      <c r="A2361" t="s">
        <v>5</v>
      </c>
      <c r="B2361" s="1">
        <v>45756</v>
      </c>
      <c r="C2361">
        <v>9</v>
      </c>
      <c r="D2361">
        <v>7.9000000000000001E-2</v>
      </c>
      <c r="E2361" t="s">
        <v>6</v>
      </c>
      <c r="F2361">
        <v>0.17965999999999999</v>
      </c>
    </row>
    <row r="2362" spans="1:6" x14ac:dyDescent="0.3">
      <c r="A2362" t="s">
        <v>5</v>
      </c>
      <c r="B2362" s="1">
        <v>45756</v>
      </c>
      <c r="C2362">
        <v>10</v>
      </c>
      <c r="D2362">
        <v>8.2000000000000003E-2</v>
      </c>
      <c r="E2362" t="s">
        <v>6</v>
      </c>
      <c r="F2362">
        <v>0.10829999999999999</v>
      </c>
    </row>
    <row r="2363" spans="1:6" x14ac:dyDescent="0.3">
      <c r="A2363" t="s">
        <v>5</v>
      </c>
      <c r="B2363" s="1">
        <v>45756</v>
      </c>
      <c r="C2363">
        <v>11</v>
      </c>
      <c r="D2363">
        <v>6.6000000000000003E-2</v>
      </c>
      <c r="E2363" t="s">
        <v>6</v>
      </c>
      <c r="F2363">
        <v>0.14185</v>
      </c>
    </row>
    <row r="2364" spans="1:6" x14ac:dyDescent="0.3">
      <c r="A2364" t="s">
        <v>5</v>
      </c>
      <c r="B2364" s="1">
        <v>45756</v>
      </c>
      <c r="C2364">
        <v>12</v>
      </c>
      <c r="D2364">
        <v>7.8E-2</v>
      </c>
      <c r="E2364" t="s">
        <v>6</v>
      </c>
      <c r="F2364">
        <v>0.13388999999999998</v>
      </c>
    </row>
    <row r="2365" spans="1:6" x14ac:dyDescent="0.3">
      <c r="A2365" t="s">
        <v>5</v>
      </c>
      <c r="B2365" s="1">
        <v>45756</v>
      </c>
      <c r="C2365">
        <v>13</v>
      </c>
      <c r="D2365">
        <v>8.1000000000000003E-2</v>
      </c>
      <c r="E2365" t="s">
        <v>6</v>
      </c>
      <c r="F2365">
        <v>0.13334000000000001</v>
      </c>
    </row>
    <row r="2366" spans="1:6" x14ac:dyDescent="0.3">
      <c r="A2366" t="s">
        <v>5</v>
      </c>
      <c r="B2366" s="1">
        <v>45756</v>
      </c>
      <c r="C2366">
        <v>14</v>
      </c>
      <c r="D2366">
        <v>6.8000000000000005E-2</v>
      </c>
      <c r="E2366" t="s">
        <v>6</v>
      </c>
      <c r="F2366">
        <v>0.13044</v>
      </c>
    </row>
    <row r="2367" spans="1:6" x14ac:dyDescent="0.3">
      <c r="A2367" t="s">
        <v>5</v>
      </c>
      <c r="B2367" s="1">
        <v>45756</v>
      </c>
      <c r="C2367">
        <v>15</v>
      </c>
      <c r="D2367">
        <v>7.3999999999999996E-2</v>
      </c>
      <c r="E2367" t="s">
        <v>6</v>
      </c>
      <c r="F2367">
        <v>6.6009999999999999E-2</v>
      </c>
    </row>
    <row r="2368" spans="1:6" x14ac:dyDescent="0.3">
      <c r="A2368" t="s">
        <v>5</v>
      </c>
      <c r="B2368" s="1">
        <v>45756</v>
      </c>
      <c r="C2368">
        <v>16</v>
      </c>
      <c r="D2368">
        <v>8.1000000000000003E-2</v>
      </c>
      <c r="E2368" t="s">
        <v>6</v>
      </c>
      <c r="F2368">
        <v>6.6489999999999994E-2</v>
      </c>
    </row>
    <row r="2369" spans="1:6" x14ac:dyDescent="0.3">
      <c r="A2369" t="s">
        <v>5</v>
      </c>
      <c r="B2369" s="1">
        <v>45756</v>
      </c>
      <c r="C2369">
        <v>17</v>
      </c>
      <c r="D2369">
        <v>0.21</v>
      </c>
      <c r="E2369" t="s">
        <v>6</v>
      </c>
      <c r="F2369">
        <v>6.2880000000000005E-2</v>
      </c>
    </row>
    <row r="2370" spans="1:6" x14ac:dyDescent="0.3">
      <c r="A2370" t="s">
        <v>5</v>
      </c>
      <c r="B2370" s="1">
        <v>45756</v>
      </c>
      <c r="C2370">
        <v>18</v>
      </c>
      <c r="D2370">
        <v>0.27500000000000002</v>
      </c>
      <c r="E2370" t="s">
        <v>6</v>
      </c>
      <c r="F2370">
        <v>6.2219999999999998E-2</v>
      </c>
    </row>
    <row r="2371" spans="1:6" x14ac:dyDescent="0.3">
      <c r="A2371" t="s">
        <v>5</v>
      </c>
      <c r="B2371" s="1">
        <v>45756</v>
      </c>
      <c r="C2371">
        <v>19</v>
      </c>
      <c r="D2371">
        <v>0.29699999999999999</v>
      </c>
      <c r="E2371" t="s">
        <v>6</v>
      </c>
      <c r="F2371">
        <v>0.14311000000000001</v>
      </c>
    </row>
    <row r="2372" spans="1:6" x14ac:dyDescent="0.3">
      <c r="A2372" t="s">
        <v>5</v>
      </c>
      <c r="B2372" s="1">
        <v>45756</v>
      </c>
      <c r="C2372">
        <v>20</v>
      </c>
      <c r="D2372">
        <v>0.27900000000000003</v>
      </c>
      <c r="E2372" t="s">
        <v>6</v>
      </c>
      <c r="F2372">
        <v>0.18253</v>
      </c>
    </row>
    <row r="2373" spans="1:6" x14ac:dyDescent="0.3">
      <c r="A2373" t="s">
        <v>5</v>
      </c>
      <c r="B2373" s="1">
        <v>45756</v>
      </c>
      <c r="C2373">
        <v>21</v>
      </c>
      <c r="D2373">
        <v>0.752</v>
      </c>
      <c r="E2373" t="s">
        <v>6</v>
      </c>
      <c r="F2373">
        <v>0.20940999999999999</v>
      </c>
    </row>
    <row r="2374" spans="1:6" x14ac:dyDescent="0.3">
      <c r="A2374" t="s">
        <v>5</v>
      </c>
      <c r="B2374" s="1">
        <v>45756</v>
      </c>
      <c r="C2374">
        <v>22</v>
      </c>
      <c r="D2374">
        <v>0.216</v>
      </c>
      <c r="E2374" t="s">
        <v>6</v>
      </c>
      <c r="F2374">
        <v>0.23022000000000001</v>
      </c>
    </row>
    <row r="2375" spans="1:6" x14ac:dyDescent="0.3">
      <c r="A2375" t="s">
        <v>5</v>
      </c>
      <c r="B2375" s="1">
        <v>45756</v>
      </c>
      <c r="C2375">
        <v>23</v>
      </c>
      <c r="D2375">
        <v>0.20200000000000001</v>
      </c>
      <c r="E2375" t="s">
        <v>6</v>
      </c>
      <c r="F2375">
        <v>0.12762999999999999</v>
      </c>
    </row>
    <row r="2376" spans="1:6" x14ac:dyDescent="0.3">
      <c r="A2376" t="s">
        <v>5</v>
      </c>
      <c r="B2376" s="1">
        <v>45756</v>
      </c>
      <c r="C2376">
        <v>24</v>
      </c>
      <c r="D2376">
        <v>0.21299999999999999</v>
      </c>
      <c r="E2376" t="s">
        <v>6</v>
      </c>
      <c r="F2376">
        <v>0.11047</v>
      </c>
    </row>
    <row r="2377" spans="1:6" x14ac:dyDescent="0.3">
      <c r="A2377" t="s">
        <v>5</v>
      </c>
      <c r="B2377" s="1">
        <v>45757</v>
      </c>
      <c r="C2377">
        <v>1</v>
      </c>
      <c r="D2377">
        <v>0.81</v>
      </c>
      <c r="E2377" t="s">
        <v>6</v>
      </c>
      <c r="F2377">
        <v>8.8340000000000002E-2</v>
      </c>
    </row>
    <row r="2378" spans="1:6" x14ac:dyDescent="0.3">
      <c r="A2378" t="s">
        <v>5</v>
      </c>
      <c r="B2378" s="1">
        <v>45757</v>
      </c>
      <c r="C2378">
        <v>2</v>
      </c>
      <c r="D2378">
        <v>0.38100000000000001</v>
      </c>
      <c r="E2378" t="s">
        <v>6</v>
      </c>
      <c r="F2378">
        <v>8.4360000000000004E-2</v>
      </c>
    </row>
    <row r="2379" spans="1:6" x14ac:dyDescent="0.3">
      <c r="A2379" t="s">
        <v>5</v>
      </c>
      <c r="B2379" s="1">
        <v>45757</v>
      </c>
      <c r="C2379">
        <v>3</v>
      </c>
      <c r="D2379">
        <v>0.63900000000000001</v>
      </c>
      <c r="E2379" t="s">
        <v>6</v>
      </c>
      <c r="F2379">
        <v>7.7969999999999998E-2</v>
      </c>
    </row>
    <row r="2380" spans="1:6" x14ac:dyDescent="0.3">
      <c r="A2380" t="s">
        <v>5</v>
      </c>
      <c r="B2380" s="1">
        <v>45757</v>
      </c>
      <c r="C2380">
        <v>4</v>
      </c>
      <c r="D2380">
        <v>8.2000000000000003E-2</v>
      </c>
      <c r="E2380" t="s">
        <v>6</v>
      </c>
      <c r="F2380">
        <v>7.3109999999999994E-2</v>
      </c>
    </row>
    <row r="2381" spans="1:6" x14ac:dyDescent="0.3">
      <c r="A2381" t="s">
        <v>5</v>
      </c>
      <c r="B2381" s="1">
        <v>45757</v>
      </c>
      <c r="C2381">
        <v>5</v>
      </c>
      <c r="D2381">
        <v>8.6999999999999994E-2</v>
      </c>
      <c r="E2381" t="s">
        <v>6</v>
      </c>
      <c r="F2381">
        <v>7.1559999999999999E-2</v>
      </c>
    </row>
    <row r="2382" spans="1:6" x14ac:dyDescent="0.3">
      <c r="A2382" t="s">
        <v>5</v>
      </c>
      <c r="B2382" s="1">
        <v>45757</v>
      </c>
      <c r="C2382">
        <v>6</v>
      </c>
      <c r="D2382">
        <v>7.1999999999999995E-2</v>
      </c>
      <c r="E2382" t="s">
        <v>6</v>
      </c>
      <c r="F2382">
        <v>7.1410000000000001E-2</v>
      </c>
    </row>
    <row r="2383" spans="1:6" x14ac:dyDescent="0.3">
      <c r="A2383" t="s">
        <v>5</v>
      </c>
      <c r="B2383" s="1">
        <v>45757</v>
      </c>
      <c r="C2383">
        <v>7</v>
      </c>
      <c r="D2383">
        <v>8.5999999999999993E-2</v>
      </c>
      <c r="E2383" t="s">
        <v>6</v>
      </c>
      <c r="F2383">
        <v>6.7760000000000001E-2</v>
      </c>
    </row>
    <row r="2384" spans="1:6" x14ac:dyDescent="0.3">
      <c r="A2384" t="s">
        <v>5</v>
      </c>
      <c r="B2384" s="1">
        <v>45757</v>
      </c>
      <c r="C2384">
        <v>8</v>
      </c>
      <c r="D2384">
        <v>7.0000000000000007E-2</v>
      </c>
      <c r="E2384" t="s">
        <v>6</v>
      </c>
      <c r="F2384">
        <v>8.5089999999999999E-2</v>
      </c>
    </row>
    <row r="2385" spans="1:6" x14ac:dyDescent="0.3">
      <c r="A2385" t="s">
        <v>5</v>
      </c>
      <c r="B2385" s="1">
        <v>45757</v>
      </c>
      <c r="C2385">
        <v>9</v>
      </c>
      <c r="D2385">
        <v>0.13600000000000001</v>
      </c>
      <c r="E2385" t="s">
        <v>6</v>
      </c>
      <c r="F2385">
        <v>0.11650000000000001</v>
      </c>
    </row>
    <row r="2386" spans="1:6" x14ac:dyDescent="0.3">
      <c r="A2386" t="s">
        <v>5</v>
      </c>
      <c r="B2386" s="1">
        <v>45757</v>
      </c>
      <c r="C2386">
        <v>10</v>
      </c>
      <c r="D2386">
        <v>0.16800000000000001</v>
      </c>
      <c r="E2386" t="s">
        <v>6</v>
      </c>
      <c r="F2386">
        <v>0.10792</v>
      </c>
    </row>
    <row r="2387" spans="1:6" x14ac:dyDescent="0.3">
      <c r="A2387" t="s">
        <v>5</v>
      </c>
      <c r="B2387" s="1">
        <v>45757</v>
      </c>
      <c r="C2387">
        <v>11</v>
      </c>
      <c r="D2387">
        <v>0.161</v>
      </c>
      <c r="E2387" t="s">
        <v>6</v>
      </c>
      <c r="F2387">
        <v>0.15483000000000002</v>
      </c>
    </row>
    <row r="2388" spans="1:6" x14ac:dyDescent="0.3">
      <c r="A2388" t="s">
        <v>5</v>
      </c>
      <c r="B2388" s="1">
        <v>45757</v>
      </c>
      <c r="C2388">
        <v>12</v>
      </c>
      <c r="D2388">
        <v>8.7999999999999995E-2</v>
      </c>
      <c r="E2388" t="s">
        <v>6</v>
      </c>
      <c r="F2388">
        <v>0.14366000000000001</v>
      </c>
    </row>
    <row r="2389" spans="1:6" x14ac:dyDescent="0.3">
      <c r="A2389" t="s">
        <v>5</v>
      </c>
      <c r="B2389" s="1">
        <v>45757</v>
      </c>
      <c r="C2389">
        <v>13</v>
      </c>
      <c r="D2389">
        <v>7.1999999999999995E-2</v>
      </c>
      <c r="E2389" t="s">
        <v>6</v>
      </c>
      <c r="F2389">
        <v>0.14269000000000001</v>
      </c>
    </row>
    <row r="2390" spans="1:6" x14ac:dyDescent="0.3">
      <c r="A2390" t="s">
        <v>5</v>
      </c>
      <c r="B2390" s="1">
        <v>45757</v>
      </c>
      <c r="C2390">
        <v>14</v>
      </c>
      <c r="D2390">
        <v>0.17799999999999999</v>
      </c>
      <c r="E2390" t="s">
        <v>6</v>
      </c>
      <c r="F2390">
        <v>0.13979</v>
      </c>
    </row>
    <row r="2391" spans="1:6" x14ac:dyDescent="0.3">
      <c r="A2391" t="s">
        <v>5</v>
      </c>
      <c r="B2391" s="1">
        <v>45757</v>
      </c>
      <c r="C2391">
        <v>15</v>
      </c>
      <c r="D2391">
        <v>0.39700000000000002</v>
      </c>
      <c r="E2391" t="s">
        <v>6</v>
      </c>
      <c r="F2391">
        <v>7.6239999999999988E-2</v>
      </c>
    </row>
    <row r="2392" spans="1:6" x14ac:dyDescent="0.3">
      <c r="A2392" t="s">
        <v>5</v>
      </c>
      <c r="B2392" s="1">
        <v>45757</v>
      </c>
      <c r="C2392">
        <v>16</v>
      </c>
      <c r="D2392">
        <v>0.156</v>
      </c>
      <c r="E2392" t="s">
        <v>6</v>
      </c>
      <c r="F2392">
        <v>7.7430000000000013E-2</v>
      </c>
    </row>
    <row r="2393" spans="1:6" x14ac:dyDescent="0.3">
      <c r="A2393" t="s">
        <v>5</v>
      </c>
      <c r="B2393" s="1">
        <v>45757</v>
      </c>
      <c r="C2393">
        <v>17</v>
      </c>
      <c r="D2393">
        <v>9.0999999999999998E-2</v>
      </c>
      <c r="E2393" t="s">
        <v>6</v>
      </c>
      <c r="F2393">
        <v>7.374E-2</v>
      </c>
    </row>
    <row r="2394" spans="1:6" x14ac:dyDescent="0.3">
      <c r="A2394" t="s">
        <v>5</v>
      </c>
      <c r="B2394" s="1">
        <v>45757</v>
      </c>
      <c r="C2394">
        <v>18</v>
      </c>
      <c r="D2394">
        <v>0.129</v>
      </c>
      <c r="E2394" t="s">
        <v>6</v>
      </c>
      <c r="F2394">
        <v>7.4740000000000001E-2</v>
      </c>
    </row>
    <row r="2395" spans="1:6" x14ac:dyDescent="0.3">
      <c r="A2395" t="s">
        <v>5</v>
      </c>
      <c r="B2395" s="1">
        <v>45757</v>
      </c>
      <c r="C2395">
        <v>19</v>
      </c>
      <c r="D2395">
        <v>0.127</v>
      </c>
      <c r="E2395" t="s">
        <v>6</v>
      </c>
      <c r="F2395">
        <v>0.14427999999999999</v>
      </c>
    </row>
    <row r="2396" spans="1:6" x14ac:dyDescent="0.3">
      <c r="A2396" t="s">
        <v>5</v>
      </c>
      <c r="B2396" s="1">
        <v>45757</v>
      </c>
      <c r="C2396">
        <v>20</v>
      </c>
      <c r="D2396">
        <v>6.7000000000000004E-2</v>
      </c>
      <c r="E2396" t="s">
        <v>6</v>
      </c>
      <c r="F2396">
        <v>0.16215000000000002</v>
      </c>
    </row>
    <row r="2397" spans="1:6" x14ac:dyDescent="0.3">
      <c r="A2397" t="s">
        <v>5</v>
      </c>
      <c r="B2397" s="1">
        <v>45757</v>
      </c>
      <c r="C2397">
        <v>21</v>
      </c>
      <c r="D2397">
        <v>0.35299999999999998</v>
      </c>
      <c r="E2397" t="s">
        <v>6</v>
      </c>
      <c r="F2397">
        <v>0.17798</v>
      </c>
    </row>
    <row r="2398" spans="1:6" x14ac:dyDescent="0.3">
      <c r="A2398" t="s">
        <v>5</v>
      </c>
      <c r="B2398" s="1">
        <v>45757</v>
      </c>
      <c r="C2398">
        <v>22</v>
      </c>
      <c r="D2398">
        <v>1.1499999999999999</v>
      </c>
      <c r="E2398" t="s">
        <v>6</v>
      </c>
      <c r="F2398">
        <v>0.19184999999999999</v>
      </c>
    </row>
    <row r="2399" spans="1:6" x14ac:dyDescent="0.3">
      <c r="A2399" t="s">
        <v>5</v>
      </c>
      <c r="B2399" s="1">
        <v>45757</v>
      </c>
      <c r="C2399">
        <v>23</v>
      </c>
      <c r="D2399">
        <v>0.21099999999999999</v>
      </c>
      <c r="E2399" t="s">
        <v>6</v>
      </c>
      <c r="F2399">
        <v>0.12062</v>
      </c>
    </row>
    <row r="2400" spans="1:6" x14ac:dyDescent="0.3">
      <c r="A2400" t="s">
        <v>5</v>
      </c>
      <c r="B2400" s="1">
        <v>45757</v>
      </c>
      <c r="C2400">
        <v>24</v>
      </c>
      <c r="D2400">
        <v>0.14599999999999999</v>
      </c>
      <c r="E2400" t="s">
        <v>6</v>
      </c>
      <c r="F2400">
        <v>0.11261</v>
      </c>
    </row>
    <row r="2401" spans="1:6" x14ac:dyDescent="0.3">
      <c r="A2401" t="s">
        <v>5</v>
      </c>
      <c r="B2401" s="1">
        <v>45758</v>
      </c>
      <c r="C2401">
        <v>1</v>
      </c>
      <c r="D2401">
        <v>8.4000000000000005E-2</v>
      </c>
      <c r="E2401" t="s">
        <v>6</v>
      </c>
      <c r="F2401">
        <v>7.4219999999999994E-2</v>
      </c>
    </row>
    <row r="2402" spans="1:6" x14ac:dyDescent="0.3">
      <c r="A2402" t="s">
        <v>5</v>
      </c>
      <c r="B2402" s="1">
        <v>45758</v>
      </c>
      <c r="C2402">
        <v>2</v>
      </c>
      <c r="D2402">
        <v>0.10100000000000001</v>
      </c>
      <c r="E2402" t="s">
        <v>6</v>
      </c>
      <c r="F2402">
        <v>6.9470000000000004E-2</v>
      </c>
    </row>
    <row r="2403" spans="1:6" x14ac:dyDescent="0.3">
      <c r="A2403" t="s">
        <v>5</v>
      </c>
      <c r="B2403" s="1">
        <v>45758</v>
      </c>
      <c r="C2403">
        <v>3</v>
      </c>
      <c r="D2403">
        <v>7.0999999999999994E-2</v>
      </c>
      <c r="E2403" t="s">
        <v>6</v>
      </c>
      <c r="F2403">
        <v>6.8659999999999999E-2</v>
      </c>
    </row>
    <row r="2404" spans="1:6" x14ac:dyDescent="0.3">
      <c r="A2404" t="s">
        <v>5</v>
      </c>
      <c r="B2404" s="1">
        <v>45758</v>
      </c>
      <c r="C2404">
        <v>4</v>
      </c>
      <c r="D2404">
        <v>8.5000000000000006E-2</v>
      </c>
      <c r="E2404" t="s">
        <v>6</v>
      </c>
      <c r="F2404">
        <v>6.7989999999999995E-2</v>
      </c>
    </row>
    <row r="2405" spans="1:6" x14ac:dyDescent="0.3">
      <c r="A2405" t="s">
        <v>5</v>
      </c>
      <c r="B2405" s="1">
        <v>45758</v>
      </c>
      <c r="C2405">
        <v>5</v>
      </c>
      <c r="D2405">
        <v>0.1</v>
      </c>
      <c r="E2405" t="s">
        <v>6</v>
      </c>
      <c r="F2405">
        <v>6.6290000000000002E-2</v>
      </c>
    </row>
    <row r="2406" spans="1:6" x14ac:dyDescent="0.3">
      <c r="A2406" t="s">
        <v>5</v>
      </c>
      <c r="B2406" s="1">
        <v>45758</v>
      </c>
      <c r="C2406">
        <v>6</v>
      </c>
      <c r="D2406">
        <v>8.4000000000000005E-2</v>
      </c>
      <c r="E2406" t="s">
        <v>6</v>
      </c>
      <c r="F2406">
        <v>6.7629999999999996E-2</v>
      </c>
    </row>
    <row r="2407" spans="1:6" x14ac:dyDescent="0.3">
      <c r="A2407" t="s">
        <v>5</v>
      </c>
      <c r="B2407" s="1">
        <v>45758</v>
      </c>
      <c r="C2407">
        <v>7</v>
      </c>
      <c r="D2407">
        <v>9.8000000000000004E-2</v>
      </c>
      <c r="E2407" t="s">
        <v>6</v>
      </c>
      <c r="F2407">
        <v>6.5879999999999994E-2</v>
      </c>
    </row>
    <row r="2408" spans="1:6" x14ac:dyDescent="0.3">
      <c r="A2408" t="s">
        <v>5</v>
      </c>
      <c r="B2408" s="1">
        <v>45758</v>
      </c>
      <c r="C2408">
        <v>8</v>
      </c>
      <c r="D2408">
        <v>9.8000000000000004E-2</v>
      </c>
      <c r="E2408" t="s">
        <v>6</v>
      </c>
      <c r="F2408">
        <v>8.2360000000000003E-2</v>
      </c>
    </row>
    <row r="2409" spans="1:6" x14ac:dyDescent="0.3">
      <c r="A2409" t="s">
        <v>5</v>
      </c>
      <c r="B2409" s="1">
        <v>45758</v>
      </c>
      <c r="C2409">
        <v>9</v>
      </c>
      <c r="D2409">
        <v>8.8999999999999996E-2</v>
      </c>
      <c r="E2409" t="s">
        <v>6</v>
      </c>
      <c r="F2409">
        <v>0.1143</v>
      </c>
    </row>
    <row r="2410" spans="1:6" x14ac:dyDescent="0.3">
      <c r="A2410" t="s">
        <v>5</v>
      </c>
      <c r="B2410" s="1">
        <v>45758</v>
      </c>
      <c r="C2410">
        <v>10</v>
      </c>
      <c r="D2410">
        <v>7.1999999999999995E-2</v>
      </c>
      <c r="E2410" t="s">
        <v>6</v>
      </c>
      <c r="F2410">
        <v>0.10612000000000001</v>
      </c>
    </row>
    <row r="2411" spans="1:6" x14ac:dyDescent="0.3">
      <c r="A2411" t="s">
        <v>5</v>
      </c>
      <c r="B2411" s="1">
        <v>45758</v>
      </c>
      <c r="C2411">
        <v>11</v>
      </c>
      <c r="D2411">
        <v>0.13200000000000001</v>
      </c>
      <c r="E2411" t="s">
        <v>6</v>
      </c>
      <c r="F2411">
        <v>0.15687000000000001</v>
      </c>
    </row>
    <row r="2412" spans="1:6" x14ac:dyDescent="0.3">
      <c r="A2412" t="s">
        <v>5</v>
      </c>
      <c r="B2412" s="1">
        <v>45758</v>
      </c>
      <c r="C2412">
        <v>12</v>
      </c>
      <c r="D2412">
        <v>8.1000000000000003E-2</v>
      </c>
      <c r="E2412" t="s">
        <v>6</v>
      </c>
      <c r="F2412">
        <v>0.14221999999999999</v>
      </c>
    </row>
    <row r="2413" spans="1:6" x14ac:dyDescent="0.3">
      <c r="A2413" t="s">
        <v>5</v>
      </c>
      <c r="B2413" s="1">
        <v>45758</v>
      </c>
      <c r="C2413">
        <v>13</v>
      </c>
      <c r="D2413">
        <v>6.6000000000000003E-2</v>
      </c>
      <c r="E2413" t="s">
        <v>6</v>
      </c>
      <c r="F2413">
        <v>0.13794000000000001</v>
      </c>
    </row>
    <row r="2414" spans="1:6" x14ac:dyDescent="0.3">
      <c r="A2414" t="s">
        <v>5</v>
      </c>
      <c r="B2414" s="1">
        <v>45758</v>
      </c>
      <c r="C2414">
        <v>14</v>
      </c>
      <c r="D2414">
        <v>8.7999999999999995E-2</v>
      </c>
      <c r="E2414" t="s">
        <v>6</v>
      </c>
      <c r="F2414">
        <v>0.13453999999999999</v>
      </c>
    </row>
    <row r="2415" spans="1:6" x14ac:dyDescent="0.3">
      <c r="A2415" t="s">
        <v>5</v>
      </c>
      <c r="B2415" s="1">
        <v>45758</v>
      </c>
      <c r="C2415">
        <v>15</v>
      </c>
      <c r="D2415">
        <v>6.6000000000000003E-2</v>
      </c>
      <c r="E2415" t="s">
        <v>6</v>
      </c>
      <c r="F2415">
        <v>6.9919999999999996E-2</v>
      </c>
    </row>
    <row r="2416" spans="1:6" x14ac:dyDescent="0.3">
      <c r="A2416" t="s">
        <v>5</v>
      </c>
      <c r="B2416" s="1">
        <v>45758</v>
      </c>
      <c r="C2416">
        <v>16</v>
      </c>
      <c r="D2416">
        <v>8.4000000000000005E-2</v>
      </c>
      <c r="E2416" t="s">
        <v>6</v>
      </c>
      <c r="F2416">
        <v>7.1010000000000004E-2</v>
      </c>
    </row>
    <row r="2417" spans="1:6" x14ac:dyDescent="0.3">
      <c r="A2417" t="s">
        <v>5</v>
      </c>
      <c r="B2417" s="1">
        <v>45758</v>
      </c>
      <c r="C2417">
        <v>17</v>
      </c>
      <c r="D2417">
        <v>0.23200000000000001</v>
      </c>
      <c r="E2417" t="s">
        <v>6</v>
      </c>
      <c r="F2417">
        <v>7.1309999999999998E-2</v>
      </c>
    </row>
    <row r="2418" spans="1:6" x14ac:dyDescent="0.3">
      <c r="A2418" t="s">
        <v>5</v>
      </c>
      <c r="B2418" s="1">
        <v>45758</v>
      </c>
      <c r="C2418">
        <v>18</v>
      </c>
      <c r="D2418">
        <v>0.17100000000000001</v>
      </c>
      <c r="E2418" t="s">
        <v>6</v>
      </c>
      <c r="F2418">
        <v>7.596E-2</v>
      </c>
    </row>
    <row r="2419" spans="1:6" x14ac:dyDescent="0.3">
      <c r="A2419" t="s">
        <v>5</v>
      </c>
      <c r="B2419" s="1">
        <v>45758</v>
      </c>
      <c r="C2419">
        <v>19</v>
      </c>
      <c r="D2419">
        <v>0.157</v>
      </c>
      <c r="E2419" t="s">
        <v>6</v>
      </c>
      <c r="F2419">
        <v>0.1474</v>
      </c>
    </row>
    <row r="2420" spans="1:6" x14ac:dyDescent="0.3">
      <c r="A2420" t="s">
        <v>5</v>
      </c>
      <c r="B2420" s="1">
        <v>45758</v>
      </c>
      <c r="C2420">
        <v>20</v>
      </c>
      <c r="D2420">
        <v>0.13900000000000001</v>
      </c>
      <c r="E2420" t="s">
        <v>6</v>
      </c>
      <c r="F2420">
        <v>0.17396</v>
      </c>
    </row>
    <row r="2421" spans="1:6" x14ac:dyDescent="0.3">
      <c r="A2421" t="s">
        <v>5</v>
      </c>
      <c r="B2421" s="1">
        <v>45758</v>
      </c>
      <c r="C2421">
        <v>21</v>
      </c>
      <c r="D2421">
        <v>7.6999999999999999E-2</v>
      </c>
      <c r="E2421" t="s">
        <v>6</v>
      </c>
      <c r="F2421">
        <v>0.19353999999999999</v>
      </c>
    </row>
    <row r="2422" spans="1:6" x14ac:dyDescent="0.3">
      <c r="A2422" t="s">
        <v>5</v>
      </c>
      <c r="B2422" s="1">
        <v>45758</v>
      </c>
      <c r="C2422">
        <v>22</v>
      </c>
      <c r="D2422">
        <v>8.1000000000000003E-2</v>
      </c>
      <c r="E2422" t="s">
        <v>6</v>
      </c>
      <c r="F2422">
        <v>0.20031000000000002</v>
      </c>
    </row>
    <row r="2423" spans="1:6" x14ac:dyDescent="0.3">
      <c r="A2423" t="s">
        <v>5</v>
      </c>
      <c r="B2423" s="1">
        <v>45758</v>
      </c>
      <c r="C2423">
        <v>23</v>
      </c>
      <c r="D2423">
        <v>7.1999999999999995E-2</v>
      </c>
      <c r="E2423" t="s">
        <v>6</v>
      </c>
      <c r="F2423">
        <v>0.11934</v>
      </c>
    </row>
    <row r="2424" spans="1:6" x14ac:dyDescent="0.3">
      <c r="A2424" t="s">
        <v>5</v>
      </c>
      <c r="B2424" s="1">
        <v>45758</v>
      </c>
      <c r="C2424">
        <v>24</v>
      </c>
      <c r="D2424">
        <v>0.08</v>
      </c>
      <c r="E2424" t="s">
        <v>6</v>
      </c>
      <c r="F2424">
        <v>0.11241</v>
      </c>
    </row>
    <row r="2425" spans="1:6" x14ac:dyDescent="0.3">
      <c r="A2425" t="s">
        <v>5</v>
      </c>
      <c r="B2425" s="1">
        <v>45759</v>
      </c>
      <c r="C2425">
        <v>1</v>
      </c>
      <c r="D2425">
        <v>6.9000000000000006E-2</v>
      </c>
      <c r="E2425" t="s">
        <v>6</v>
      </c>
      <c r="F2425">
        <v>9.781999999999999E-2</v>
      </c>
    </row>
    <row r="2426" spans="1:6" x14ac:dyDescent="0.3">
      <c r="A2426" t="s">
        <v>5</v>
      </c>
      <c r="B2426" s="1">
        <v>45759</v>
      </c>
      <c r="C2426">
        <v>2</v>
      </c>
      <c r="D2426">
        <v>8.3000000000000004E-2</v>
      </c>
      <c r="E2426" t="s">
        <v>6</v>
      </c>
      <c r="F2426">
        <v>9.5700000000000007E-2</v>
      </c>
    </row>
    <row r="2427" spans="1:6" x14ac:dyDescent="0.3">
      <c r="A2427" t="s">
        <v>5</v>
      </c>
      <c r="B2427" s="1">
        <v>45759</v>
      </c>
      <c r="C2427">
        <v>3</v>
      </c>
      <c r="D2427">
        <v>6.5000000000000002E-2</v>
      </c>
      <c r="E2427" t="s">
        <v>6</v>
      </c>
      <c r="F2427">
        <v>0.10144</v>
      </c>
    </row>
    <row r="2428" spans="1:6" x14ac:dyDescent="0.3">
      <c r="A2428" t="s">
        <v>5</v>
      </c>
      <c r="B2428" s="1">
        <v>45759</v>
      </c>
      <c r="C2428">
        <v>4</v>
      </c>
      <c r="D2428">
        <v>8.4000000000000005E-2</v>
      </c>
      <c r="E2428" t="s">
        <v>6</v>
      </c>
      <c r="F2428">
        <v>9.733E-2</v>
      </c>
    </row>
    <row r="2429" spans="1:6" x14ac:dyDescent="0.3">
      <c r="A2429" t="s">
        <v>5</v>
      </c>
      <c r="B2429" s="1">
        <v>45759</v>
      </c>
      <c r="C2429">
        <v>5</v>
      </c>
      <c r="D2429">
        <v>6.4000000000000001E-2</v>
      </c>
      <c r="E2429" t="s">
        <v>6</v>
      </c>
      <c r="F2429">
        <v>9.7750000000000004E-2</v>
      </c>
    </row>
    <row r="2430" spans="1:6" x14ac:dyDescent="0.3">
      <c r="A2430" t="s">
        <v>5</v>
      </c>
      <c r="B2430" s="1">
        <v>45759</v>
      </c>
      <c r="C2430">
        <v>6</v>
      </c>
      <c r="D2430">
        <v>8.5000000000000006E-2</v>
      </c>
      <c r="E2430" t="s">
        <v>6</v>
      </c>
      <c r="F2430">
        <v>9.9140000000000006E-2</v>
      </c>
    </row>
    <row r="2431" spans="1:6" x14ac:dyDescent="0.3">
      <c r="A2431" t="s">
        <v>5</v>
      </c>
      <c r="B2431" s="1">
        <v>45759</v>
      </c>
      <c r="C2431">
        <v>7</v>
      </c>
      <c r="D2431">
        <v>6.3E-2</v>
      </c>
      <c r="E2431" t="s">
        <v>6</v>
      </c>
      <c r="F2431">
        <v>9.8879999999999996E-2</v>
      </c>
    </row>
    <row r="2432" spans="1:6" x14ac:dyDescent="0.3">
      <c r="A2432" t="s">
        <v>5</v>
      </c>
      <c r="B2432" s="1">
        <v>45759</v>
      </c>
      <c r="C2432">
        <v>8</v>
      </c>
      <c r="D2432">
        <v>8.4000000000000005E-2</v>
      </c>
      <c r="E2432" t="s">
        <v>6</v>
      </c>
      <c r="F2432">
        <v>8.4750000000000006E-2</v>
      </c>
    </row>
    <row r="2433" spans="1:6" x14ac:dyDescent="0.3">
      <c r="A2433" t="s">
        <v>5</v>
      </c>
      <c r="B2433" s="1">
        <v>45759</v>
      </c>
      <c r="C2433">
        <v>9</v>
      </c>
      <c r="D2433">
        <v>6.3E-2</v>
      </c>
      <c r="E2433" t="s">
        <v>6</v>
      </c>
      <c r="F2433">
        <v>8.5589999999999999E-2</v>
      </c>
    </row>
    <row r="2434" spans="1:6" x14ac:dyDescent="0.3">
      <c r="A2434" t="s">
        <v>5</v>
      </c>
      <c r="B2434" s="1">
        <v>45759</v>
      </c>
      <c r="C2434">
        <v>10</v>
      </c>
      <c r="D2434">
        <v>8.3000000000000004E-2</v>
      </c>
      <c r="E2434" t="s">
        <v>6</v>
      </c>
      <c r="F2434">
        <v>8.4370000000000001E-2</v>
      </c>
    </row>
    <row r="2435" spans="1:6" x14ac:dyDescent="0.3">
      <c r="A2435" t="s">
        <v>5</v>
      </c>
      <c r="B2435" s="1">
        <v>45759</v>
      </c>
      <c r="C2435">
        <v>11</v>
      </c>
      <c r="D2435">
        <v>6.4000000000000001E-2</v>
      </c>
      <c r="E2435" t="s">
        <v>6</v>
      </c>
      <c r="F2435">
        <v>7.0449999999999999E-2</v>
      </c>
    </row>
    <row r="2436" spans="1:6" x14ac:dyDescent="0.3">
      <c r="A2436" t="s">
        <v>5</v>
      </c>
      <c r="B2436" s="1">
        <v>45759</v>
      </c>
      <c r="C2436">
        <v>12</v>
      </c>
      <c r="D2436">
        <v>8.4000000000000005E-2</v>
      </c>
      <c r="E2436" t="s">
        <v>6</v>
      </c>
      <c r="F2436">
        <v>5.5899999999999998E-2</v>
      </c>
    </row>
    <row r="2437" spans="1:6" x14ac:dyDescent="0.3">
      <c r="A2437" t="s">
        <v>5</v>
      </c>
      <c r="B2437" s="1">
        <v>45759</v>
      </c>
      <c r="C2437">
        <v>13</v>
      </c>
      <c r="D2437">
        <v>6.4000000000000001E-2</v>
      </c>
      <c r="E2437" t="s">
        <v>6</v>
      </c>
      <c r="F2437">
        <v>5.0279999999999998E-2</v>
      </c>
    </row>
    <row r="2438" spans="1:6" x14ac:dyDescent="0.3">
      <c r="A2438" t="s">
        <v>5</v>
      </c>
      <c r="B2438" s="1">
        <v>45759</v>
      </c>
      <c r="C2438">
        <v>14</v>
      </c>
      <c r="D2438">
        <v>8.3000000000000004E-2</v>
      </c>
      <c r="E2438" t="s">
        <v>6</v>
      </c>
      <c r="F2438">
        <v>4.752E-2</v>
      </c>
    </row>
    <row r="2439" spans="1:6" x14ac:dyDescent="0.3">
      <c r="A2439" t="s">
        <v>5</v>
      </c>
      <c r="B2439" s="1">
        <v>45759</v>
      </c>
      <c r="C2439">
        <v>15</v>
      </c>
      <c r="D2439">
        <v>6.3E-2</v>
      </c>
      <c r="E2439" t="s">
        <v>6</v>
      </c>
      <c r="F2439">
        <v>4.6329999999999996E-2</v>
      </c>
    </row>
    <row r="2440" spans="1:6" x14ac:dyDescent="0.3">
      <c r="A2440" t="s">
        <v>5</v>
      </c>
      <c r="B2440" s="1">
        <v>45759</v>
      </c>
      <c r="C2440">
        <v>16</v>
      </c>
      <c r="D2440">
        <v>8.5000000000000006E-2</v>
      </c>
      <c r="E2440" t="s">
        <v>6</v>
      </c>
      <c r="F2440">
        <v>4.7820000000000001E-2</v>
      </c>
    </row>
    <row r="2441" spans="1:6" x14ac:dyDescent="0.3">
      <c r="A2441" t="s">
        <v>5</v>
      </c>
      <c r="B2441" s="1">
        <v>45759</v>
      </c>
      <c r="C2441">
        <v>17</v>
      </c>
      <c r="D2441">
        <v>6.4000000000000001E-2</v>
      </c>
      <c r="E2441" t="s">
        <v>6</v>
      </c>
      <c r="F2441">
        <v>4.9779999999999998E-2</v>
      </c>
    </row>
    <row r="2442" spans="1:6" x14ac:dyDescent="0.3">
      <c r="A2442" t="s">
        <v>5</v>
      </c>
      <c r="B2442" s="1">
        <v>45759</v>
      </c>
      <c r="C2442">
        <v>18</v>
      </c>
      <c r="D2442">
        <v>8.4000000000000005E-2</v>
      </c>
      <c r="E2442" t="s">
        <v>6</v>
      </c>
      <c r="F2442">
        <v>6.9199999999999998E-2</v>
      </c>
    </row>
    <row r="2443" spans="1:6" x14ac:dyDescent="0.3">
      <c r="A2443" t="s">
        <v>5</v>
      </c>
      <c r="B2443" s="1">
        <v>45759</v>
      </c>
      <c r="C2443">
        <v>19</v>
      </c>
      <c r="D2443">
        <v>6.4000000000000001E-2</v>
      </c>
      <c r="E2443" t="s">
        <v>6</v>
      </c>
      <c r="F2443">
        <v>7.2219999999999993E-2</v>
      </c>
    </row>
    <row r="2444" spans="1:6" x14ac:dyDescent="0.3">
      <c r="A2444" t="s">
        <v>5</v>
      </c>
      <c r="B2444" s="1">
        <v>45759</v>
      </c>
      <c r="C2444">
        <v>20</v>
      </c>
      <c r="D2444">
        <v>8.4000000000000005E-2</v>
      </c>
      <c r="E2444" t="s">
        <v>6</v>
      </c>
      <c r="F2444">
        <v>8.7739999999999999E-2</v>
      </c>
    </row>
    <row r="2445" spans="1:6" x14ac:dyDescent="0.3">
      <c r="A2445" t="s">
        <v>5</v>
      </c>
      <c r="B2445" s="1">
        <v>45759</v>
      </c>
      <c r="C2445">
        <v>21</v>
      </c>
      <c r="D2445">
        <v>6.4000000000000001E-2</v>
      </c>
      <c r="E2445" t="s">
        <v>6</v>
      </c>
      <c r="F2445">
        <v>9.9559999999999996E-2</v>
      </c>
    </row>
    <row r="2446" spans="1:6" x14ac:dyDescent="0.3">
      <c r="A2446" t="s">
        <v>5</v>
      </c>
      <c r="B2446" s="1">
        <v>45759</v>
      </c>
      <c r="C2446">
        <v>22</v>
      </c>
      <c r="D2446">
        <v>8.4000000000000005E-2</v>
      </c>
      <c r="E2446" t="s">
        <v>6</v>
      </c>
      <c r="F2446">
        <v>0.13437000000000002</v>
      </c>
    </row>
    <row r="2447" spans="1:6" x14ac:dyDescent="0.3">
      <c r="A2447" t="s">
        <v>5</v>
      </c>
      <c r="B2447" s="1">
        <v>45759</v>
      </c>
      <c r="C2447">
        <v>23</v>
      </c>
      <c r="D2447">
        <v>6.4000000000000001E-2</v>
      </c>
      <c r="E2447" t="s">
        <v>6</v>
      </c>
      <c r="F2447">
        <v>0.10596999999999999</v>
      </c>
    </row>
    <row r="2448" spans="1:6" x14ac:dyDescent="0.3">
      <c r="A2448" t="s">
        <v>5</v>
      </c>
      <c r="B2448" s="1">
        <v>45759</v>
      </c>
      <c r="C2448">
        <v>24</v>
      </c>
      <c r="D2448">
        <v>8.5000000000000006E-2</v>
      </c>
      <c r="E2448" t="s">
        <v>6</v>
      </c>
      <c r="F2448">
        <v>9.7239999999999993E-2</v>
      </c>
    </row>
    <row r="2449" spans="1:6" x14ac:dyDescent="0.3">
      <c r="A2449" t="s">
        <v>5</v>
      </c>
      <c r="B2449" s="1">
        <v>45760</v>
      </c>
      <c r="C2449">
        <v>1</v>
      </c>
      <c r="D2449">
        <v>6.4000000000000001E-2</v>
      </c>
      <c r="E2449" t="s">
        <v>6</v>
      </c>
      <c r="F2449">
        <v>0.10718000000000001</v>
      </c>
    </row>
    <row r="2450" spans="1:6" x14ac:dyDescent="0.3">
      <c r="A2450" t="s">
        <v>5</v>
      </c>
      <c r="B2450" s="1">
        <v>45760</v>
      </c>
      <c r="C2450">
        <v>2</v>
      </c>
      <c r="D2450">
        <v>8.4000000000000005E-2</v>
      </c>
      <c r="E2450" t="s">
        <v>6</v>
      </c>
      <c r="F2450">
        <v>0.11011</v>
      </c>
    </row>
    <row r="2451" spans="1:6" x14ac:dyDescent="0.3">
      <c r="A2451" t="s">
        <v>5</v>
      </c>
      <c r="B2451" s="1">
        <v>45760</v>
      </c>
      <c r="C2451">
        <v>3</v>
      </c>
      <c r="D2451">
        <v>6.3E-2</v>
      </c>
      <c r="E2451" t="s">
        <v>6</v>
      </c>
      <c r="F2451">
        <v>0.10812000000000001</v>
      </c>
    </row>
    <row r="2452" spans="1:6" x14ac:dyDescent="0.3">
      <c r="A2452" t="s">
        <v>5</v>
      </c>
      <c r="B2452" s="1">
        <v>45760</v>
      </c>
      <c r="C2452">
        <v>4</v>
      </c>
      <c r="D2452">
        <v>8.4000000000000005E-2</v>
      </c>
      <c r="E2452" t="s">
        <v>6</v>
      </c>
      <c r="F2452">
        <v>9.8849999999999993E-2</v>
      </c>
    </row>
    <row r="2453" spans="1:6" x14ac:dyDescent="0.3">
      <c r="A2453" t="s">
        <v>5</v>
      </c>
      <c r="B2453" s="1">
        <v>45760</v>
      </c>
      <c r="C2453">
        <v>5</v>
      </c>
      <c r="D2453">
        <v>6.3E-2</v>
      </c>
      <c r="E2453" t="s">
        <v>6</v>
      </c>
      <c r="F2453">
        <v>9.4519999999999993E-2</v>
      </c>
    </row>
    <row r="2454" spans="1:6" x14ac:dyDescent="0.3">
      <c r="A2454" t="s">
        <v>5</v>
      </c>
      <c r="B2454" s="1">
        <v>45760</v>
      </c>
      <c r="C2454">
        <v>6</v>
      </c>
      <c r="D2454">
        <v>8.4000000000000005E-2</v>
      </c>
      <c r="E2454" t="s">
        <v>6</v>
      </c>
      <c r="F2454">
        <v>9.401000000000001E-2</v>
      </c>
    </row>
    <row r="2455" spans="1:6" x14ac:dyDescent="0.3">
      <c r="A2455" t="s">
        <v>5</v>
      </c>
      <c r="B2455" s="1">
        <v>45760</v>
      </c>
      <c r="C2455">
        <v>7</v>
      </c>
      <c r="D2455">
        <v>6.3E-2</v>
      </c>
      <c r="E2455" t="s">
        <v>6</v>
      </c>
      <c r="F2455">
        <v>9.8330000000000001E-2</v>
      </c>
    </row>
    <row r="2456" spans="1:6" x14ac:dyDescent="0.3">
      <c r="A2456" t="s">
        <v>5</v>
      </c>
      <c r="B2456" s="1">
        <v>45760</v>
      </c>
      <c r="C2456">
        <v>8</v>
      </c>
      <c r="D2456">
        <v>8.4000000000000005E-2</v>
      </c>
      <c r="E2456" t="s">
        <v>6</v>
      </c>
      <c r="F2456">
        <v>0.10192</v>
      </c>
    </row>
    <row r="2457" spans="1:6" x14ac:dyDescent="0.3">
      <c r="A2457" t="s">
        <v>5</v>
      </c>
      <c r="B2457" s="1">
        <v>45760</v>
      </c>
      <c r="C2457">
        <v>9</v>
      </c>
      <c r="D2457">
        <v>6.3E-2</v>
      </c>
      <c r="E2457" t="s">
        <v>6</v>
      </c>
      <c r="F2457">
        <v>8.9760000000000006E-2</v>
      </c>
    </row>
    <row r="2458" spans="1:6" x14ac:dyDescent="0.3">
      <c r="A2458" t="s">
        <v>5</v>
      </c>
      <c r="B2458" s="1">
        <v>45760</v>
      </c>
      <c r="C2458">
        <v>10</v>
      </c>
      <c r="D2458">
        <v>8.2000000000000003E-2</v>
      </c>
      <c r="E2458" t="s">
        <v>6</v>
      </c>
      <c r="F2458">
        <v>6.3409999999999994E-2</v>
      </c>
    </row>
    <row r="2459" spans="1:6" x14ac:dyDescent="0.3">
      <c r="A2459" t="s">
        <v>5</v>
      </c>
      <c r="B2459" s="1">
        <v>45760</v>
      </c>
      <c r="C2459">
        <v>11</v>
      </c>
      <c r="D2459">
        <v>6.3E-2</v>
      </c>
      <c r="E2459" t="s">
        <v>6</v>
      </c>
      <c r="F2459">
        <v>5.2440000000000001E-2</v>
      </c>
    </row>
    <row r="2460" spans="1:6" x14ac:dyDescent="0.3">
      <c r="A2460" t="s">
        <v>5</v>
      </c>
      <c r="B2460" s="1">
        <v>45760</v>
      </c>
      <c r="C2460">
        <v>12</v>
      </c>
      <c r="D2460">
        <v>8.3000000000000004E-2</v>
      </c>
      <c r="E2460" t="s">
        <v>6</v>
      </c>
      <c r="F2460">
        <v>4.7920000000000004E-2</v>
      </c>
    </row>
    <row r="2461" spans="1:6" x14ac:dyDescent="0.3">
      <c r="A2461" t="s">
        <v>5</v>
      </c>
      <c r="B2461" s="1">
        <v>45760</v>
      </c>
      <c r="C2461">
        <v>13</v>
      </c>
      <c r="D2461">
        <v>6.4000000000000001E-2</v>
      </c>
      <c r="E2461" t="s">
        <v>6</v>
      </c>
      <c r="F2461">
        <v>4.7149999999999997E-2</v>
      </c>
    </row>
    <row r="2462" spans="1:6" x14ac:dyDescent="0.3">
      <c r="A2462" t="s">
        <v>5</v>
      </c>
      <c r="B2462" s="1">
        <v>45760</v>
      </c>
      <c r="C2462">
        <v>14</v>
      </c>
      <c r="D2462">
        <v>8.2000000000000003E-2</v>
      </c>
      <c r="E2462" t="s">
        <v>6</v>
      </c>
      <c r="F2462">
        <v>4.6420000000000003E-2</v>
      </c>
    </row>
    <row r="2463" spans="1:6" x14ac:dyDescent="0.3">
      <c r="A2463" t="s">
        <v>5</v>
      </c>
      <c r="B2463" s="1">
        <v>45760</v>
      </c>
      <c r="C2463">
        <v>15</v>
      </c>
      <c r="D2463">
        <v>6.3E-2</v>
      </c>
      <c r="E2463" t="s">
        <v>6</v>
      </c>
      <c r="F2463">
        <v>4.6520000000000006E-2</v>
      </c>
    </row>
    <row r="2464" spans="1:6" x14ac:dyDescent="0.3">
      <c r="A2464" t="s">
        <v>5</v>
      </c>
      <c r="B2464" s="1">
        <v>45760</v>
      </c>
      <c r="C2464">
        <v>16</v>
      </c>
      <c r="D2464">
        <v>8.4000000000000005E-2</v>
      </c>
      <c r="E2464" t="s">
        <v>6</v>
      </c>
      <c r="F2464">
        <v>4.6579999999999996E-2</v>
      </c>
    </row>
    <row r="2465" spans="1:6" x14ac:dyDescent="0.3">
      <c r="A2465" t="s">
        <v>5</v>
      </c>
      <c r="B2465" s="1">
        <v>45760</v>
      </c>
      <c r="C2465">
        <v>17</v>
      </c>
      <c r="D2465">
        <v>6.3E-2</v>
      </c>
      <c r="E2465" t="s">
        <v>6</v>
      </c>
      <c r="F2465">
        <v>4.8710000000000003E-2</v>
      </c>
    </row>
    <row r="2466" spans="1:6" x14ac:dyDescent="0.3">
      <c r="A2466" t="s">
        <v>5</v>
      </c>
      <c r="B2466" s="1">
        <v>45760</v>
      </c>
      <c r="C2466">
        <v>18</v>
      </c>
      <c r="D2466">
        <v>8.5000000000000006E-2</v>
      </c>
      <c r="E2466" t="s">
        <v>6</v>
      </c>
      <c r="F2466">
        <v>5.0549999999999998E-2</v>
      </c>
    </row>
    <row r="2467" spans="1:6" x14ac:dyDescent="0.3">
      <c r="A2467" t="s">
        <v>5</v>
      </c>
      <c r="B2467" s="1">
        <v>45760</v>
      </c>
      <c r="C2467">
        <v>19</v>
      </c>
      <c r="D2467">
        <v>6.3E-2</v>
      </c>
      <c r="E2467" t="s">
        <v>6</v>
      </c>
      <c r="F2467">
        <v>5.305E-2</v>
      </c>
    </row>
    <row r="2468" spans="1:6" x14ac:dyDescent="0.3">
      <c r="A2468" t="s">
        <v>5</v>
      </c>
      <c r="B2468" s="1">
        <v>45760</v>
      </c>
      <c r="C2468">
        <v>20</v>
      </c>
      <c r="D2468">
        <v>8.4000000000000005E-2</v>
      </c>
      <c r="E2468" t="s">
        <v>6</v>
      </c>
      <c r="F2468">
        <v>6.1289999999999997E-2</v>
      </c>
    </row>
    <row r="2469" spans="1:6" x14ac:dyDescent="0.3">
      <c r="A2469" t="s">
        <v>5</v>
      </c>
      <c r="B2469" s="1">
        <v>45760</v>
      </c>
      <c r="C2469">
        <v>21</v>
      </c>
      <c r="D2469">
        <v>6.4000000000000001E-2</v>
      </c>
      <c r="E2469" t="s">
        <v>6</v>
      </c>
      <c r="F2469">
        <v>9.4769999999999993E-2</v>
      </c>
    </row>
    <row r="2470" spans="1:6" x14ac:dyDescent="0.3">
      <c r="A2470" t="s">
        <v>5</v>
      </c>
      <c r="B2470" s="1">
        <v>45760</v>
      </c>
      <c r="C2470">
        <v>22</v>
      </c>
      <c r="D2470">
        <v>8.4000000000000005E-2</v>
      </c>
      <c r="E2470" t="s">
        <v>6</v>
      </c>
      <c r="F2470">
        <v>0.11364</v>
      </c>
    </row>
    <row r="2471" spans="1:6" x14ac:dyDescent="0.3">
      <c r="A2471" t="s">
        <v>5</v>
      </c>
      <c r="B2471" s="1">
        <v>45760</v>
      </c>
      <c r="C2471">
        <v>23</v>
      </c>
      <c r="D2471">
        <v>6.3E-2</v>
      </c>
      <c r="E2471" t="s">
        <v>6</v>
      </c>
      <c r="F2471">
        <v>0.11322</v>
      </c>
    </row>
    <row r="2472" spans="1:6" x14ac:dyDescent="0.3">
      <c r="A2472" t="s">
        <v>5</v>
      </c>
      <c r="B2472" s="1">
        <v>45760</v>
      </c>
      <c r="C2472">
        <v>24</v>
      </c>
      <c r="D2472">
        <v>8.4000000000000005E-2</v>
      </c>
      <c r="E2472" t="s">
        <v>6</v>
      </c>
      <c r="F2472">
        <v>9.2159999999999992E-2</v>
      </c>
    </row>
    <row r="2473" spans="1:6" x14ac:dyDescent="0.3">
      <c r="A2473" t="s">
        <v>5</v>
      </c>
      <c r="B2473" s="1">
        <v>45761</v>
      </c>
      <c r="C2473">
        <v>1</v>
      </c>
      <c r="D2473">
        <v>6.4000000000000001E-2</v>
      </c>
      <c r="E2473" t="s">
        <v>6</v>
      </c>
      <c r="F2473">
        <v>0.10833</v>
      </c>
    </row>
    <row r="2474" spans="1:6" x14ac:dyDescent="0.3">
      <c r="A2474" t="s">
        <v>5</v>
      </c>
      <c r="B2474" s="1">
        <v>45761</v>
      </c>
      <c r="C2474">
        <v>2</v>
      </c>
      <c r="D2474">
        <v>8.3000000000000004E-2</v>
      </c>
      <c r="E2474" t="s">
        <v>6</v>
      </c>
      <c r="F2474">
        <v>0.10856</v>
      </c>
    </row>
    <row r="2475" spans="1:6" x14ac:dyDescent="0.3">
      <c r="A2475" t="s">
        <v>5</v>
      </c>
      <c r="B2475" s="1">
        <v>45761</v>
      </c>
      <c r="C2475">
        <v>3</v>
      </c>
      <c r="D2475">
        <v>6.4000000000000001E-2</v>
      </c>
      <c r="E2475" t="s">
        <v>6</v>
      </c>
      <c r="F2475">
        <v>0.10945000000000001</v>
      </c>
    </row>
    <row r="2476" spans="1:6" x14ac:dyDescent="0.3">
      <c r="A2476" t="s">
        <v>5</v>
      </c>
      <c r="B2476" s="1">
        <v>45761</v>
      </c>
      <c r="C2476">
        <v>4</v>
      </c>
      <c r="D2476">
        <v>8.3000000000000004E-2</v>
      </c>
      <c r="E2476" t="s">
        <v>6</v>
      </c>
      <c r="F2476">
        <v>0.10865000000000001</v>
      </c>
    </row>
    <row r="2477" spans="1:6" x14ac:dyDescent="0.3">
      <c r="A2477" t="s">
        <v>5</v>
      </c>
      <c r="B2477" s="1">
        <v>45761</v>
      </c>
      <c r="C2477">
        <v>5</v>
      </c>
      <c r="D2477">
        <v>6.6000000000000003E-2</v>
      </c>
      <c r="E2477" t="s">
        <v>6</v>
      </c>
      <c r="F2477">
        <v>0.10367</v>
      </c>
    </row>
    <row r="2478" spans="1:6" x14ac:dyDescent="0.3">
      <c r="A2478" t="s">
        <v>5</v>
      </c>
      <c r="B2478" s="1">
        <v>45761</v>
      </c>
      <c r="C2478">
        <v>6</v>
      </c>
      <c r="D2478">
        <v>7.9000000000000001E-2</v>
      </c>
      <c r="E2478" t="s">
        <v>6</v>
      </c>
      <c r="F2478">
        <v>0.10564</v>
      </c>
    </row>
    <row r="2479" spans="1:6" x14ac:dyDescent="0.3">
      <c r="A2479" t="s">
        <v>5</v>
      </c>
      <c r="B2479" s="1">
        <v>45761</v>
      </c>
      <c r="C2479">
        <v>7</v>
      </c>
      <c r="D2479">
        <v>6.8000000000000005E-2</v>
      </c>
      <c r="E2479" t="s">
        <v>6</v>
      </c>
      <c r="F2479">
        <v>0.10928</v>
      </c>
    </row>
    <row r="2480" spans="1:6" x14ac:dyDescent="0.3">
      <c r="A2480" t="s">
        <v>5</v>
      </c>
      <c r="B2480" s="1">
        <v>45761</v>
      </c>
      <c r="C2480">
        <v>8</v>
      </c>
      <c r="D2480">
        <v>7.5999999999999998E-2</v>
      </c>
      <c r="E2480" t="s">
        <v>6</v>
      </c>
      <c r="F2480">
        <v>0.12307</v>
      </c>
    </row>
    <row r="2481" spans="1:6" x14ac:dyDescent="0.3">
      <c r="A2481" t="s">
        <v>5</v>
      </c>
      <c r="B2481" s="1">
        <v>45761</v>
      </c>
      <c r="C2481">
        <v>9</v>
      </c>
      <c r="D2481">
        <v>7.0999999999999994E-2</v>
      </c>
      <c r="E2481" t="s">
        <v>6</v>
      </c>
      <c r="F2481">
        <v>0.16081000000000001</v>
      </c>
    </row>
    <row r="2482" spans="1:6" x14ac:dyDescent="0.3">
      <c r="A2482" t="s">
        <v>5</v>
      </c>
      <c r="B2482" s="1">
        <v>45761</v>
      </c>
      <c r="C2482">
        <v>10</v>
      </c>
      <c r="D2482">
        <v>7.2999999999999995E-2</v>
      </c>
      <c r="E2482" t="s">
        <v>6</v>
      </c>
      <c r="F2482">
        <v>0.11361</v>
      </c>
    </row>
    <row r="2483" spans="1:6" x14ac:dyDescent="0.3">
      <c r="A2483" t="s">
        <v>5</v>
      </c>
      <c r="B2483" s="1">
        <v>45761</v>
      </c>
      <c r="C2483">
        <v>11</v>
      </c>
      <c r="D2483">
        <v>7.3999999999999996E-2</v>
      </c>
      <c r="E2483" t="s">
        <v>6</v>
      </c>
      <c r="F2483">
        <v>0.16993</v>
      </c>
    </row>
    <row r="2484" spans="1:6" x14ac:dyDescent="0.3">
      <c r="A2484" t="s">
        <v>5</v>
      </c>
      <c r="B2484" s="1">
        <v>45761</v>
      </c>
      <c r="C2484">
        <v>12</v>
      </c>
      <c r="D2484">
        <v>7.0000000000000007E-2</v>
      </c>
      <c r="E2484" t="s">
        <v>6</v>
      </c>
      <c r="F2484">
        <v>0.14384</v>
      </c>
    </row>
    <row r="2485" spans="1:6" x14ac:dyDescent="0.3">
      <c r="A2485" t="s">
        <v>5</v>
      </c>
      <c r="B2485" s="1">
        <v>45761</v>
      </c>
      <c r="C2485">
        <v>13</v>
      </c>
      <c r="D2485">
        <v>7.9000000000000001E-2</v>
      </c>
      <c r="E2485" t="s">
        <v>6</v>
      </c>
      <c r="F2485">
        <v>0.1394</v>
      </c>
    </row>
    <row r="2486" spans="1:6" x14ac:dyDescent="0.3">
      <c r="A2486" t="s">
        <v>5</v>
      </c>
      <c r="B2486" s="1">
        <v>45761</v>
      </c>
      <c r="C2486">
        <v>14</v>
      </c>
      <c r="D2486">
        <v>6.6000000000000003E-2</v>
      </c>
      <c r="E2486" t="s">
        <v>6</v>
      </c>
      <c r="F2486">
        <v>0.13358</v>
      </c>
    </row>
    <row r="2487" spans="1:6" x14ac:dyDescent="0.3">
      <c r="A2487" t="s">
        <v>5</v>
      </c>
      <c r="B2487" s="1">
        <v>45761</v>
      </c>
      <c r="C2487">
        <v>15</v>
      </c>
      <c r="D2487">
        <v>8.2000000000000003E-2</v>
      </c>
      <c r="E2487" t="s">
        <v>6</v>
      </c>
      <c r="F2487">
        <v>6.8569999999999992E-2</v>
      </c>
    </row>
    <row r="2488" spans="1:6" x14ac:dyDescent="0.3">
      <c r="A2488" t="s">
        <v>5</v>
      </c>
      <c r="B2488" s="1">
        <v>45761</v>
      </c>
      <c r="C2488">
        <v>16</v>
      </c>
      <c r="D2488">
        <v>6.5000000000000002E-2</v>
      </c>
      <c r="E2488" t="s">
        <v>6</v>
      </c>
      <c r="F2488">
        <v>6.9440000000000002E-2</v>
      </c>
    </row>
    <row r="2489" spans="1:6" x14ac:dyDescent="0.3">
      <c r="A2489" t="s">
        <v>5</v>
      </c>
      <c r="B2489" s="1">
        <v>45761</v>
      </c>
      <c r="C2489">
        <v>17</v>
      </c>
      <c r="D2489">
        <v>8.4000000000000005E-2</v>
      </c>
      <c r="E2489" t="s">
        <v>6</v>
      </c>
      <c r="F2489">
        <v>6.9989999999999997E-2</v>
      </c>
    </row>
    <row r="2490" spans="1:6" x14ac:dyDescent="0.3">
      <c r="A2490" t="s">
        <v>5</v>
      </c>
      <c r="B2490" s="1">
        <v>45761</v>
      </c>
      <c r="C2490">
        <v>18</v>
      </c>
      <c r="D2490">
        <v>6.5000000000000002E-2</v>
      </c>
      <c r="E2490" t="s">
        <v>6</v>
      </c>
      <c r="F2490">
        <v>7.0360000000000006E-2</v>
      </c>
    </row>
    <row r="2491" spans="1:6" x14ac:dyDescent="0.3">
      <c r="A2491" t="s">
        <v>5</v>
      </c>
      <c r="B2491" s="1">
        <v>45761</v>
      </c>
      <c r="C2491">
        <v>19</v>
      </c>
      <c r="D2491">
        <v>8.4000000000000005E-2</v>
      </c>
      <c r="E2491" t="s">
        <v>6</v>
      </c>
      <c r="F2491">
        <v>0.14022000000000001</v>
      </c>
    </row>
    <row r="2492" spans="1:6" x14ac:dyDescent="0.3">
      <c r="A2492" t="s">
        <v>5</v>
      </c>
      <c r="B2492" s="1">
        <v>45761</v>
      </c>
      <c r="C2492">
        <v>20</v>
      </c>
      <c r="D2492">
        <v>6.4000000000000001E-2</v>
      </c>
      <c r="E2492" t="s">
        <v>6</v>
      </c>
      <c r="F2492">
        <v>0.14483000000000001</v>
      </c>
    </row>
    <row r="2493" spans="1:6" x14ac:dyDescent="0.3">
      <c r="A2493" t="s">
        <v>5</v>
      </c>
      <c r="B2493" s="1">
        <v>45761</v>
      </c>
      <c r="C2493">
        <v>21</v>
      </c>
      <c r="D2493">
        <v>8.4000000000000005E-2</v>
      </c>
      <c r="E2493" t="s">
        <v>6</v>
      </c>
      <c r="F2493">
        <v>0.17288999999999999</v>
      </c>
    </row>
    <row r="2494" spans="1:6" x14ac:dyDescent="0.3">
      <c r="A2494" t="s">
        <v>5</v>
      </c>
      <c r="B2494" s="1">
        <v>45761</v>
      </c>
      <c r="C2494">
        <v>22</v>
      </c>
      <c r="D2494">
        <v>6.5000000000000002E-2</v>
      </c>
      <c r="E2494" t="s">
        <v>6</v>
      </c>
      <c r="F2494">
        <v>0.17083999999999999</v>
      </c>
    </row>
    <row r="2495" spans="1:6" x14ac:dyDescent="0.3">
      <c r="A2495" t="s">
        <v>5</v>
      </c>
      <c r="B2495" s="1">
        <v>45761</v>
      </c>
      <c r="C2495">
        <v>23</v>
      </c>
      <c r="D2495">
        <v>7.9000000000000001E-2</v>
      </c>
      <c r="E2495" t="s">
        <v>6</v>
      </c>
      <c r="F2495">
        <v>9.0719999999999995E-2</v>
      </c>
    </row>
    <row r="2496" spans="1:6" x14ac:dyDescent="0.3">
      <c r="A2496" t="s">
        <v>5</v>
      </c>
      <c r="B2496" s="1">
        <v>45761</v>
      </c>
      <c r="C2496">
        <v>24</v>
      </c>
      <c r="D2496">
        <v>6.9000000000000006E-2</v>
      </c>
      <c r="E2496" t="s">
        <v>6</v>
      </c>
      <c r="F2496">
        <v>8.4879999999999997E-2</v>
      </c>
    </row>
    <row r="2497" spans="1:6" x14ac:dyDescent="0.3">
      <c r="A2497" t="s">
        <v>5</v>
      </c>
      <c r="B2497" s="1">
        <v>45762</v>
      </c>
      <c r="C2497">
        <v>1</v>
      </c>
      <c r="D2497">
        <v>7.4999999999999997E-2</v>
      </c>
      <c r="E2497" t="s">
        <v>6</v>
      </c>
      <c r="F2497">
        <v>7.6999999999999999E-2</v>
      </c>
    </row>
    <row r="2498" spans="1:6" x14ac:dyDescent="0.3">
      <c r="A2498" t="s">
        <v>5</v>
      </c>
      <c r="B2498" s="1">
        <v>45762</v>
      </c>
      <c r="C2498">
        <v>2</v>
      </c>
      <c r="D2498">
        <v>7.3999999999999996E-2</v>
      </c>
      <c r="E2498" t="s">
        <v>6</v>
      </c>
      <c r="F2498">
        <v>7.1859999999999993E-2</v>
      </c>
    </row>
    <row r="2499" spans="1:6" x14ac:dyDescent="0.3">
      <c r="A2499" t="s">
        <v>5</v>
      </c>
      <c r="B2499" s="1">
        <v>45762</v>
      </c>
      <c r="C2499">
        <v>3</v>
      </c>
      <c r="D2499">
        <v>7.0000000000000007E-2</v>
      </c>
      <c r="E2499" t="s">
        <v>6</v>
      </c>
      <c r="F2499">
        <v>7.0949999999999999E-2</v>
      </c>
    </row>
    <row r="2500" spans="1:6" x14ac:dyDescent="0.3">
      <c r="A2500" t="s">
        <v>5</v>
      </c>
      <c r="B2500" s="1">
        <v>45762</v>
      </c>
      <c r="C2500">
        <v>4</v>
      </c>
      <c r="D2500">
        <v>7.9000000000000001E-2</v>
      </c>
      <c r="E2500" t="s">
        <v>6</v>
      </c>
      <c r="F2500">
        <v>6.6430000000000003E-2</v>
      </c>
    </row>
    <row r="2501" spans="1:6" x14ac:dyDescent="0.3">
      <c r="A2501" t="s">
        <v>5</v>
      </c>
      <c r="B2501" s="1">
        <v>45762</v>
      </c>
      <c r="C2501">
        <v>5</v>
      </c>
      <c r="D2501">
        <v>6.5000000000000002E-2</v>
      </c>
      <c r="E2501" t="s">
        <v>6</v>
      </c>
      <c r="F2501">
        <v>6.6119999999999998E-2</v>
      </c>
    </row>
    <row r="2502" spans="1:6" x14ac:dyDescent="0.3">
      <c r="A2502" t="s">
        <v>5</v>
      </c>
      <c r="B2502" s="1">
        <v>45762</v>
      </c>
      <c r="C2502">
        <v>6</v>
      </c>
      <c r="D2502">
        <v>8.3000000000000004E-2</v>
      </c>
      <c r="E2502" t="s">
        <v>6</v>
      </c>
      <c r="F2502">
        <v>6.8940000000000001E-2</v>
      </c>
    </row>
    <row r="2503" spans="1:6" x14ac:dyDescent="0.3">
      <c r="A2503" t="s">
        <v>5</v>
      </c>
      <c r="B2503" s="1">
        <v>45762</v>
      </c>
      <c r="C2503">
        <v>7</v>
      </c>
      <c r="D2503">
        <v>6.4000000000000001E-2</v>
      </c>
      <c r="E2503" t="s">
        <v>6</v>
      </c>
      <c r="F2503">
        <v>8.3640000000000006E-2</v>
      </c>
    </row>
    <row r="2504" spans="1:6" x14ac:dyDescent="0.3">
      <c r="A2504" t="s">
        <v>5</v>
      </c>
      <c r="B2504" s="1">
        <v>45762</v>
      </c>
      <c r="C2504">
        <v>8</v>
      </c>
      <c r="D2504">
        <v>8.4000000000000005E-2</v>
      </c>
      <c r="E2504" t="s">
        <v>6</v>
      </c>
      <c r="F2504">
        <v>9.487000000000001E-2</v>
      </c>
    </row>
    <row r="2505" spans="1:6" x14ac:dyDescent="0.3">
      <c r="A2505" t="s">
        <v>5</v>
      </c>
      <c r="B2505" s="1">
        <v>45762</v>
      </c>
      <c r="C2505">
        <v>9</v>
      </c>
      <c r="D2505">
        <v>6.4000000000000001E-2</v>
      </c>
      <c r="E2505" t="s">
        <v>6</v>
      </c>
      <c r="F2505">
        <v>0.11902</v>
      </c>
    </row>
    <row r="2506" spans="1:6" x14ac:dyDescent="0.3">
      <c r="A2506" t="s">
        <v>5</v>
      </c>
      <c r="B2506" s="1">
        <v>45762</v>
      </c>
      <c r="C2506">
        <v>10</v>
      </c>
      <c r="D2506">
        <v>8.4000000000000005E-2</v>
      </c>
      <c r="E2506" t="s">
        <v>6</v>
      </c>
      <c r="F2506">
        <v>9.5379999999999993E-2</v>
      </c>
    </row>
    <row r="2507" spans="1:6" x14ac:dyDescent="0.3">
      <c r="A2507" t="s">
        <v>5</v>
      </c>
      <c r="B2507" s="1">
        <v>45762</v>
      </c>
      <c r="C2507">
        <v>11</v>
      </c>
      <c r="D2507">
        <v>6.5000000000000002E-2</v>
      </c>
      <c r="E2507" t="s">
        <v>6</v>
      </c>
      <c r="F2507">
        <v>0.14513999999999999</v>
      </c>
    </row>
    <row r="2508" spans="1:6" x14ac:dyDescent="0.3">
      <c r="A2508" t="s">
        <v>5</v>
      </c>
      <c r="B2508" s="1">
        <v>45762</v>
      </c>
      <c r="C2508">
        <v>12</v>
      </c>
      <c r="D2508">
        <v>7.8E-2</v>
      </c>
      <c r="E2508" t="s">
        <v>6</v>
      </c>
      <c r="F2508">
        <v>0.14248</v>
      </c>
    </row>
    <row r="2509" spans="1:6" x14ac:dyDescent="0.3">
      <c r="A2509" t="s">
        <v>5</v>
      </c>
      <c r="B2509" s="1">
        <v>45762</v>
      </c>
      <c r="C2509">
        <v>13</v>
      </c>
      <c r="D2509">
        <v>6.9000000000000006E-2</v>
      </c>
      <c r="E2509" t="s">
        <v>6</v>
      </c>
      <c r="F2509">
        <v>0.13886999999999999</v>
      </c>
    </row>
    <row r="2510" spans="1:6" x14ac:dyDescent="0.3">
      <c r="A2510" t="s">
        <v>5</v>
      </c>
      <c r="B2510" s="1">
        <v>45762</v>
      </c>
      <c r="C2510">
        <v>14</v>
      </c>
      <c r="D2510">
        <v>7.3999999999999996E-2</v>
      </c>
      <c r="E2510" t="s">
        <v>6</v>
      </c>
      <c r="F2510">
        <v>0.13578000000000001</v>
      </c>
    </row>
    <row r="2511" spans="1:6" x14ac:dyDescent="0.3">
      <c r="A2511" t="s">
        <v>5</v>
      </c>
      <c r="B2511" s="1">
        <v>45762</v>
      </c>
      <c r="C2511">
        <v>15</v>
      </c>
      <c r="D2511">
        <v>7.4999999999999997E-2</v>
      </c>
      <c r="E2511" t="s">
        <v>6</v>
      </c>
      <c r="F2511">
        <v>7.1779999999999997E-2</v>
      </c>
    </row>
    <row r="2512" spans="1:6" x14ac:dyDescent="0.3">
      <c r="A2512" t="s">
        <v>5</v>
      </c>
      <c r="B2512" s="1">
        <v>45762</v>
      </c>
      <c r="C2512">
        <v>16</v>
      </c>
      <c r="D2512">
        <v>6.9000000000000006E-2</v>
      </c>
      <c r="E2512" t="s">
        <v>6</v>
      </c>
      <c r="F2512">
        <v>7.2510000000000005E-2</v>
      </c>
    </row>
    <row r="2513" spans="1:6" x14ac:dyDescent="0.3">
      <c r="A2513" t="s">
        <v>5</v>
      </c>
      <c r="B2513" s="1">
        <v>45762</v>
      </c>
      <c r="C2513">
        <v>17</v>
      </c>
      <c r="D2513">
        <v>0.08</v>
      </c>
      <c r="E2513" t="s">
        <v>6</v>
      </c>
      <c r="F2513">
        <v>7.306E-2</v>
      </c>
    </row>
    <row r="2514" spans="1:6" x14ac:dyDescent="0.3">
      <c r="A2514" t="s">
        <v>5</v>
      </c>
      <c r="B2514" s="1">
        <v>45762</v>
      </c>
      <c r="C2514">
        <v>18</v>
      </c>
      <c r="D2514">
        <v>6.5000000000000002E-2</v>
      </c>
      <c r="E2514" t="s">
        <v>6</v>
      </c>
      <c r="F2514">
        <v>7.3219999999999993E-2</v>
      </c>
    </row>
    <row r="2515" spans="1:6" x14ac:dyDescent="0.3">
      <c r="A2515" t="s">
        <v>5</v>
      </c>
      <c r="B2515" s="1">
        <v>45762</v>
      </c>
      <c r="C2515">
        <v>19</v>
      </c>
      <c r="D2515">
        <v>8.4000000000000005E-2</v>
      </c>
      <c r="E2515" t="s">
        <v>6</v>
      </c>
      <c r="F2515">
        <v>0.14127999999999999</v>
      </c>
    </row>
    <row r="2516" spans="1:6" x14ac:dyDescent="0.3">
      <c r="A2516" t="s">
        <v>5</v>
      </c>
      <c r="B2516" s="1">
        <v>45762</v>
      </c>
      <c r="C2516">
        <v>20</v>
      </c>
      <c r="D2516">
        <v>6.5000000000000002E-2</v>
      </c>
      <c r="E2516" t="s">
        <v>6</v>
      </c>
      <c r="F2516">
        <v>0.14788999999999999</v>
      </c>
    </row>
    <row r="2517" spans="1:6" x14ac:dyDescent="0.3">
      <c r="A2517" t="s">
        <v>5</v>
      </c>
      <c r="B2517" s="1">
        <v>45762</v>
      </c>
      <c r="C2517">
        <v>21</v>
      </c>
      <c r="D2517">
        <v>8.4000000000000005E-2</v>
      </c>
      <c r="E2517" t="s">
        <v>6</v>
      </c>
      <c r="F2517">
        <v>0.17588000000000001</v>
      </c>
    </row>
    <row r="2518" spans="1:6" x14ac:dyDescent="0.3">
      <c r="A2518" t="s">
        <v>5</v>
      </c>
      <c r="B2518" s="1">
        <v>45762</v>
      </c>
      <c r="C2518">
        <v>22</v>
      </c>
      <c r="D2518">
        <v>6.4000000000000001E-2</v>
      </c>
      <c r="E2518" t="s">
        <v>6</v>
      </c>
      <c r="F2518">
        <v>0.17624000000000001</v>
      </c>
    </row>
    <row r="2519" spans="1:6" x14ac:dyDescent="0.3">
      <c r="A2519" t="s">
        <v>5</v>
      </c>
      <c r="B2519" s="1">
        <v>45762</v>
      </c>
      <c r="C2519">
        <v>23</v>
      </c>
      <c r="D2519">
        <v>8.2000000000000003E-2</v>
      </c>
      <c r="E2519" t="s">
        <v>6</v>
      </c>
      <c r="F2519">
        <v>9.8709999999999992E-2</v>
      </c>
    </row>
    <row r="2520" spans="1:6" x14ac:dyDescent="0.3">
      <c r="A2520" t="s">
        <v>5</v>
      </c>
      <c r="B2520" s="1">
        <v>45762</v>
      </c>
      <c r="C2520">
        <v>24</v>
      </c>
      <c r="D2520">
        <v>6.5000000000000002E-2</v>
      </c>
      <c r="E2520" t="s">
        <v>6</v>
      </c>
      <c r="F2520">
        <v>0.10043000000000001</v>
      </c>
    </row>
    <row r="2521" spans="1:6" x14ac:dyDescent="0.3">
      <c r="A2521" t="s">
        <v>5</v>
      </c>
      <c r="B2521" s="1">
        <v>45763</v>
      </c>
      <c r="C2521">
        <v>1</v>
      </c>
      <c r="D2521">
        <v>0.08</v>
      </c>
      <c r="E2521" t="s">
        <v>6</v>
      </c>
      <c r="F2521">
        <v>7.664E-2</v>
      </c>
    </row>
    <row r="2522" spans="1:6" x14ac:dyDescent="0.3">
      <c r="A2522" t="s">
        <v>5</v>
      </c>
      <c r="B2522" s="1">
        <v>45763</v>
      </c>
      <c r="C2522">
        <v>2</v>
      </c>
      <c r="D2522">
        <v>6.8000000000000005E-2</v>
      </c>
      <c r="E2522" t="s">
        <v>6</v>
      </c>
      <c r="F2522">
        <v>7.9239999999999991E-2</v>
      </c>
    </row>
    <row r="2523" spans="1:6" x14ac:dyDescent="0.3">
      <c r="A2523" t="s">
        <v>5</v>
      </c>
      <c r="B2523" s="1">
        <v>45763</v>
      </c>
      <c r="C2523">
        <v>3</v>
      </c>
      <c r="D2523">
        <v>7.5999999999999998E-2</v>
      </c>
      <c r="E2523" t="s">
        <v>6</v>
      </c>
      <c r="F2523">
        <v>7.9189999999999997E-2</v>
      </c>
    </row>
    <row r="2524" spans="1:6" x14ac:dyDescent="0.3">
      <c r="A2524" t="s">
        <v>5</v>
      </c>
      <c r="B2524" s="1">
        <v>45763</v>
      </c>
      <c r="C2524">
        <v>4</v>
      </c>
      <c r="D2524">
        <v>7.1999999999999995E-2</v>
      </c>
      <c r="E2524" t="s">
        <v>6</v>
      </c>
      <c r="F2524">
        <v>7.535E-2</v>
      </c>
    </row>
    <row r="2525" spans="1:6" x14ac:dyDescent="0.3">
      <c r="A2525" t="s">
        <v>5</v>
      </c>
      <c r="B2525" s="1">
        <v>45763</v>
      </c>
      <c r="C2525">
        <v>5</v>
      </c>
      <c r="D2525">
        <v>0.127</v>
      </c>
      <c r="E2525" t="s">
        <v>6</v>
      </c>
      <c r="F2525">
        <v>6.8519999999999998E-2</v>
      </c>
    </row>
    <row r="2526" spans="1:6" x14ac:dyDescent="0.3">
      <c r="A2526" t="s">
        <v>5</v>
      </c>
      <c r="B2526" s="1">
        <v>45763</v>
      </c>
      <c r="C2526">
        <v>6</v>
      </c>
      <c r="D2526">
        <v>0.09</v>
      </c>
      <c r="E2526" t="s">
        <v>6</v>
      </c>
      <c r="F2526">
        <v>6.8699999999999997E-2</v>
      </c>
    </row>
    <row r="2527" spans="1:6" x14ac:dyDescent="0.3">
      <c r="A2527" t="s">
        <v>5</v>
      </c>
      <c r="B2527" s="1">
        <v>45763</v>
      </c>
      <c r="C2527">
        <v>7</v>
      </c>
      <c r="D2527">
        <v>0.108</v>
      </c>
      <c r="E2527" t="s">
        <v>6</v>
      </c>
      <c r="F2527">
        <v>7.5639999999999999E-2</v>
      </c>
    </row>
    <row r="2528" spans="1:6" x14ac:dyDescent="0.3">
      <c r="A2528" t="s">
        <v>5</v>
      </c>
      <c r="B2528" s="1">
        <v>45763</v>
      </c>
      <c r="C2528">
        <v>8</v>
      </c>
      <c r="D2528">
        <v>7.8E-2</v>
      </c>
      <c r="E2528" t="s">
        <v>6</v>
      </c>
      <c r="F2528">
        <v>7.195E-2</v>
      </c>
    </row>
    <row r="2529" spans="1:6" x14ac:dyDescent="0.3">
      <c r="A2529" t="s">
        <v>5</v>
      </c>
      <c r="B2529" s="1">
        <v>45763</v>
      </c>
      <c r="C2529">
        <v>9</v>
      </c>
      <c r="D2529">
        <v>6.5000000000000002E-2</v>
      </c>
      <c r="E2529" t="s">
        <v>6</v>
      </c>
      <c r="F2529">
        <v>9.5239999999999991E-2</v>
      </c>
    </row>
    <row r="2530" spans="1:6" x14ac:dyDescent="0.3">
      <c r="A2530" t="s">
        <v>5</v>
      </c>
      <c r="B2530" s="1">
        <v>45763</v>
      </c>
      <c r="C2530">
        <v>10</v>
      </c>
      <c r="D2530">
        <v>0.106</v>
      </c>
      <c r="E2530" t="s">
        <v>6</v>
      </c>
      <c r="F2530">
        <v>7.986E-2</v>
      </c>
    </row>
    <row r="2531" spans="1:6" x14ac:dyDescent="0.3">
      <c r="A2531" t="s">
        <v>5</v>
      </c>
      <c r="B2531" s="1">
        <v>45763</v>
      </c>
      <c r="C2531">
        <v>11</v>
      </c>
      <c r="D2531">
        <v>0.122</v>
      </c>
      <c r="E2531" t="s">
        <v>6</v>
      </c>
      <c r="F2531">
        <v>0.14121</v>
      </c>
    </row>
    <row r="2532" spans="1:6" x14ac:dyDescent="0.3">
      <c r="A2532" t="s">
        <v>5</v>
      </c>
      <c r="B2532" s="1">
        <v>45763</v>
      </c>
      <c r="C2532">
        <v>12</v>
      </c>
      <c r="D2532">
        <v>9.5000000000000001E-2</v>
      </c>
      <c r="E2532" t="s">
        <v>6</v>
      </c>
      <c r="F2532">
        <v>0.13980000000000001</v>
      </c>
    </row>
    <row r="2533" spans="1:6" x14ac:dyDescent="0.3">
      <c r="A2533" t="s">
        <v>5</v>
      </c>
      <c r="B2533" s="1">
        <v>45763</v>
      </c>
      <c r="C2533">
        <v>13</v>
      </c>
      <c r="D2533">
        <v>6.4000000000000001E-2</v>
      </c>
      <c r="E2533" t="s">
        <v>6</v>
      </c>
      <c r="F2533">
        <v>0.13974</v>
      </c>
    </row>
    <row r="2534" spans="1:6" x14ac:dyDescent="0.3">
      <c r="A2534" t="s">
        <v>5</v>
      </c>
      <c r="B2534" s="1">
        <v>45763</v>
      </c>
      <c r="C2534">
        <v>14</v>
      </c>
      <c r="D2534">
        <v>8.4000000000000005E-2</v>
      </c>
      <c r="E2534" t="s">
        <v>6</v>
      </c>
      <c r="F2534">
        <v>0.13707</v>
      </c>
    </row>
    <row r="2535" spans="1:6" x14ac:dyDescent="0.3">
      <c r="A2535" t="s">
        <v>5</v>
      </c>
      <c r="B2535" s="1">
        <v>45763</v>
      </c>
      <c r="C2535">
        <v>15</v>
      </c>
      <c r="D2535">
        <v>6.4000000000000001E-2</v>
      </c>
      <c r="E2535" t="s">
        <v>6</v>
      </c>
      <c r="F2535">
        <v>7.281E-2</v>
      </c>
    </row>
    <row r="2536" spans="1:6" x14ac:dyDescent="0.3">
      <c r="A2536" t="s">
        <v>5</v>
      </c>
      <c r="B2536" s="1">
        <v>45763</v>
      </c>
      <c r="C2536">
        <v>16</v>
      </c>
      <c r="D2536">
        <v>8.2000000000000003E-2</v>
      </c>
      <c r="E2536" t="s">
        <v>6</v>
      </c>
      <c r="F2536">
        <v>7.3849999999999999E-2</v>
      </c>
    </row>
    <row r="2537" spans="1:6" x14ac:dyDescent="0.3">
      <c r="A2537" t="s">
        <v>5</v>
      </c>
      <c r="B2537" s="1">
        <v>45763</v>
      </c>
      <c r="C2537">
        <v>17</v>
      </c>
      <c r="D2537">
        <v>6.6000000000000003E-2</v>
      </c>
      <c r="E2537" t="s">
        <v>6</v>
      </c>
      <c r="F2537">
        <v>7.443000000000001E-2</v>
      </c>
    </row>
    <row r="2538" spans="1:6" x14ac:dyDescent="0.3">
      <c r="A2538" t="s">
        <v>5</v>
      </c>
      <c r="B2538" s="1">
        <v>45763</v>
      </c>
      <c r="C2538">
        <v>18</v>
      </c>
      <c r="D2538">
        <v>7.6999999999999999E-2</v>
      </c>
      <c r="E2538" t="s">
        <v>6</v>
      </c>
      <c r="F2538">
        <v>7.492E-2</v>
      </c>
    </row>
    <row r="2539" spans="1:6" x14ac:dyDescent="0.3">
      <c r="A2539" t="s">
        <v>5</v>
      </c>
      <c r="B2539" s="1">
        <v>45763</v>
      </c>
      <c r="C2539">
        <v>19</v>
      </c>
      <c r="D2539">
        <v>0.13500000000000001</v>
      </c>
      <c r="E2539" t="s">
        <v>6</v>
      </c>
      <c r="F2539">
        <v>0.14330000000000001</v>
      </c>
    </row>
    <row r="2540" spans="1:6" x14ac:dyDescent="0.3">
      <c r="A2540" t="s">
        <v>5</v>
      </c>
      <c r="B2540" s="1">
        <v>45763</v>
      </c>
      <c r="C2540">
        <v>20</v>
      </c>
      <c r="D2540">
        <v>0.10299999999999999</v>
      </c>
      <c r="E2540" t="s">
        <v>6</v>
      </c>
      <c r="F2540">
        <v>0.15001</v>
      </c>
    </row>
    <row r="2541" spans="1:6" x14ac:dyDescent="0.3">
      <c r="A2541" t="s">
        <v>5</v>
      </c>
      <c r="B2541" s="1">
        <v>45763</v>
      </c>
      <c r="C2541">
        <v>21</v>
      </c>
      <c r="D2541">
        <v>7.5999999999999998E-2</v>
      </c>
      <c r="E2541" t="s">
        <v>6</v>
      </c>
      <c r="F2541">
        <v>0.1744</v>
      </c>
    </row>
    <row r="2542" spans="1:6" x14ac:dyDescent="0.3">
      <c r="A2542" t="s">
        <v>5</v>
      </c>
      <c r="B2542" s="1">
        <v>45763</v>
      </c>
      <c r="C2542">
        <v>22</v>
      </c>
      <c r="D2542">
        <v>6.9000000000000006E-2</v>
      </c>
      <c r="E2542" t="s">
        <v>6</v>
      </c>
      <c r="F2542">
        <v>0.21743999999999999</v>
      </c>
    </row>
    <row r="2543" spans="1:6" x14ac:dyDescent="0.3">
      <c r="A2543" t="s">
        <v>5</v>
      </c>
      <c r="B2543" s="1">
        <v>45763</v>
      </c>
      <c r="C2543">
        <v>23</v>
      </c>
      <c r="D2543">
        <v>7.9000000000000001E-2</v>
      </c>
      <c r="E2543" t="s">
        <v>6</v>
      </c>
      <c r="F2543">
        <v>0.11791</v>
      </c>
    </row>
    <row r="2544" spans="1:6" x14ac:dyDescent="0.3">
      <c r="A2544" t="s">
        <v>5</v>
      </c>
      <c r="B2544" s="1">
        <v>45763</v>
      </c>
      <c r="C2544">
        <v>24</v>
      </c>
      <c r="D2544">
        <v>6.5000000000000002E-2</v>
      </c>
      <c r="E2544" t="s">
        <v>6</v>
      </c>
      <c r="F2544">
        <v>0.10425</v>
      </c>
    </row>
    <row r="2545" spans="1:6" x14ac:dyDescent="0.3">
      <c r="A2545" t="s">
        <v>5</v>
      </c>
      <c r="B2545" s="1">
        <v>45764</v>
      </c>
      <c r="C2545">
        <v>1</v>
      </c>
      <c r="D2545">
        <v>0.13900000000000001</v>
      </c>
      <c r="E2545" t="s">
        <v>6</v>
      </c>
      <c r="F2545">
        <v>8.5300000000000001E-2</v>
      </c>
    </row>
    <row r="2546" spans="1:6" x14ac:dyDescent="0.3">
      <c r="A2546" t="s">
        <v>5</v>
      </c>
      <c r="B2546" s="1">
        <v>45764</v>
      </c>
      <c r="C2546">
        <v>2</v>
      </c>
      <c r="D2546">
        <v>0.09</v>
      </c>
      <c r="E2546" t="s">
        <v>6</v>
      </c>
      <c r="F2546">
        <v>8.3650000000000002E-2</v>
      </c>
    </row>
    <row r="2547" spans="1:6" x14ac:dyDescent="0.3">
      <c r="A2547" t="s">
        <v>5</v>
      </c>
      <c r="B2547" s="1">
        <v>45764</v>
      </c>
      <c r="C2547">
        <v>3</v>
      </c>
      <c r="D2547">
        <v>8.4000000000000005E-2</v>
      </c>
      <c r="E2547" t="s">
        <v>6</v>
      </c>
      <c r="F2547">
        <v>8.6069999999999994E-2</v>
      </c>
    </row>
    <row r="2548" spans="1:6" x14ac:dyDescent="0.3">
      <c r="A2548" t="s">
        <v>5</v>
      </c>
      <c r="B2548" s="1">
        <v>45764</v>
      </c>
      <c r="C2548">
        <v>4</v>
      </c>
      <c r="D2548">
        <v>6.4000000000000001E-2</v>
      </c>
      <c r="E2548" t="s">
        <v>6</v>
      </c>
      <c r="F2548">
        <v>8.3150000000000002E-2</v>
      </c>
    </row>
    <row r="2549" spans="1:6" x14ac:dyDescent="0.3">
      <c r="A2549" t="s">
        <v>5</v>
      </c>
      <c r="B2549" s="1">
        <v>45764</v>
      </c>
      <c r="C2549">
        <v>5</v>
      </c>
      <c r="D2549">
        <v>8.4000000000000005E-2</v>
      </c>
      <c r="E2549" t="s">
        <v>6</v>
      </c>
      <c r="F2549">
        <v>8.3379999999999996E-2</v>
      </c>
    </row>
    <row r="2550" spans="1:6" x14ac:dyDescent="0.3">
      <c r="A2550" t="s">
        <v>5</v>
      </c>
      <c r="B2550" s="1">
        <v>45764</v>
      </c>
      <c r="C2550">
        <v>6</v>
      </c>
      <c r="D2550">
        <v>0.11899999999999999</v>
      </c>
      <c r="E2550" t="s">
        <v>6</v>
      </c>
      <c r="F2550">
        <v>8.301E-2</v>
      </c>
    </row>
    <row r="2551" spans="1:6" x14ac:dyDescent="0.3">
      <c r="A2551" t="s">
        <v>5</v>
      </c>
      <c r="B2551" s="1">
        <v>45764</v>
      </c>
      <c r="C2551">
        <v>7</v>
      </c>
      <c r="D2551">
        <v>0.13700000000000001</v>
      </c>
      <c r="E2551" t="s">
        <v>6</v>
      </c>
      <c r="F2551">
        <v>8.070999999999999E-2</v>
      </c>
    </row>
    <row r="2552" spans="1:6" x14ac:dyDescent="0.3">
      <c r="A2552" t="s">
        <v>5</v>
      </c>
      <c r="B2552" s="1">
        <v>45764</v>
      </c>
      <c r="C2552">
        <v>8</v>
      </c>
      <c r="D2552">
        <v>0.13</v>
      </c>
      <c r="E2552" t="s">
        <v>6</v>
      </c>
      <c r="F2552">
        <v>8.5500000000000007E-2</v>
      </c>
    </row>
    <row r="2553" spans="1:6" x14ac:dyDescent="0.3">
      <c r="A2553" t="s">
        <v>5</v>
      </c>
      <c r="B2553" s="1">
        <v>45764</v>
      </c>
      <c r="C2553">
        <v>9</v>
      </c>
      <c r="D2553">
        <v>0.13100000000000001</v>
      </c>
      <c r="E2553" t="s">
        <v>6</v>
      </c>
      <c r="F2553">
        <v>9.9569999999999992E-2</v>
      </c>
    </row>
    <row r="2554" spans="1:6" x14ac:dyDescent="0.3">
      <c r="A2554" t="s">
        <v>5</v>
      </c>
      <c r="B2554" s="1">
        <v>45764</v>
      </c>
      <c r="C2554">
        <v>10</v>
      </c>
      <c r="D2554">
        <v>0.13600000000000001</v>
      </c>
      <c r="E2554" t="s">
        <v>6</v>
      </c>
      <c r="F2554">
        <v>8.2729999999999998E-2</v>
      </c>
    </row>
    <row r="2555" spans="1:6" x14ac:dyDescent="0.3">
      <c r="A2555" t="s">
        <v>5</v>
      </c>
      <c r="B2555" s="1">
        <v>45764</v>
      </c>
      <c r="C2555">
        <v>11</v>
      </c>
      <c r="D2555">
        <v>0.126</v>
      </c>
      <c r="E2555" t="s">
        <v>6</v>
      </c>
      <c r="F2555">
        <v>0.14091000000000001</v>
      </c>
    </row>
    <row r="2556" spans="1:6" x14ac:dyDescent="0.3">
      <c r="A2556" t="s">
        <v>5</v>
      </c>
      <c r="B2556" s="1">
        <v>45764</v>
      </c>
      <c r="C2556">
        <v>12</v>
      </c>
      <c r="D2556">
        <v>0.14399999999999999</v>
      </c>
      <c r="E2556" t="s">
        <v>6</v>
      </c>
      <c r="F2556">
        <v>0.13866000000000001</v>
      </c>
    </row>
    <row r="2557" spans="1:6" x14ac:dyDescent="0.3">
      <c r="A2557" t="s">
        <v>5</v>
      </c>
      <c r="B2557" s="1">
        <v>45764</v>
      </c>
      <c r="C2557">
        <v>13</v>
      </c>
      <c r="D2557">
        <v>0.125</v>
      </c>
      <c r="E2557" t="s">
        <v>6</v>
      </c>
      <c r="F2557">
        <v>0.13721</v>
      </c>
    </row>
    <row r="2558" spans="1:6" x14ac:dyDescent="0.3">
      <c r="A2558" t="s">
        <v>5</v>
      </c>
      <c r="B2558" s="1">
        <v>45764</v>
      </c>
      <c r="C2558">
        <v>14</v>
      </c>
      <c r="D2558">
        <v>0.14499999999999999</v>
      </c>
      <c r="E2558" t="s">
        <v>6</v>
      </c>
      <c r="F2558">
        <v>0.13685</v>
      </c>
    </row>
    <row r="2559" spans="1:6" x14ac:dyDescent="0.3">
      <c r="A2559" t="s">
        <v>5</v>
      </c>
      <c r="B2559" s="1">
        <v>45764</v>
      </c>
      <c r="C2559">
        <v>15</v>
      </c>
      <c r="D2559">
        <v>0.126</v>
      </c>
      <c r="E2559" t="s">
        <v>6</v>
      </c>
      <c r="F2559">
        <v>7.2139999999999996E-2</v>
      </c>
    </row>
    <row r="2560" spans="1:6" x14ac:dyDescent="0.3">
      <c r="A2560" t="s">
        <v>5</v>
      </c>
      <c r="B2560" s="1">
        <v>45764</v>
      </c>
      <c r="C2560">
        <v>16</v>
      </c>
      <c r="D2560">
        <v>0.10100000000000001</v>
      </c>
      <c r="E2560" t="s">
        <v>6</v>
      </c>
      <c r="F2560">
        <v>7.3400000000000007E-2</v>
      </c>
    </row>
    <row r="2561" spans="1:6" x14ac:dyDescent="0.3">
      <c r="A2561" t="s">
        <v>5</v>
      </c>
      <c r="B2561" s="1">
        <v>45764</v>
      </c>
      <c r="C2561">
        <v>17</v>
      </c>
      <c r="D2561">
        <v>6.9000000000000006E-2</v>
      </c>
      <c r="E2561" t="s">
        <v>6</v>
      </c>
      <c r="F2561">
        <v>7.4319999999999997E-2</v>
      </c>
    </row>
    <row r="2562" spans="1:6" x14ac:dyDescent="0.3">
      <c r="A2562" t="s">
        <v>5</v>
      </c>
      <c r="B2562" s="1">
        <v>45764</v>
      </c>
      <c r="C2562">
        <v>18</v>
      </c>
      <c r="D2562">
        <v>7.3999999999999996E-2</v>
      </c>
      <c r="E2562" t="s">
        <v>6</v>
      </c>
      <c r="F2562">
        <v>7.5340000000000004E-2</v>
      </c>
    </row>
    <row r="2563" spans="1:6" x14ac:dyDescent="0.3">
      <c r="A2563" t="s">
        <v>5</v>
      </c>
      <c r="B2563" s="1">
        <v>45764</v>
      </c>
      <c r="C2563">
        <v>19</v>
      </c>
      <c r="D2563">
        <v>7.4999999999999997E-2</v>
      </c>
      <c r="E2563" t="s">
        <v>6</v>
      </c>
      <c r="F2563">
        <v>0.14337</v>
      </c>
    </row>
    <row r="2564" spans="1:6" x14ac:dyDescent="0.3">
      <c r="A2564" t="s">
        <v>5</v>
      </c>
      <c r="B2564" s="1">
        <v>45764</v>
      </c>
      <c r="C2564">
        <v>20</v>
      </c>
      <c r="D2564">
        <v>6.9000000000000006E-2</v>
      </c>
      <c r="E2564" t="s">
        <v>6</v>
      </c>
      <c r="F2564">
        <v>0.15884000000000001</v>
      </c>
    </row>
    <row r="2565" spans="1:6" x14ac:dyDescent="0.3">
      <c r="A2565" t="s">
        <v>5</v>
      </c>
      <c r="B2565" s="1">
        <v>45764</v>
      </c>
      <c r="C2565">
        <v>21</v>
      </c>
      <c r="D2565">
        <v>0.14599999999999999</v>
      </c>
      <c r="E2565" t="s">
        <v>6</v>
      </c>
      <c r="F2565">
        <v>0.21543999999999999</v>
      </c>
    </row>
    <row r="2566" spans="1:6" x14ac:dyDescent="0.3">
      <c r="A2566" t="s">
        <v>5</v>
      </c>
      <c r="B2566" s="1">
        <v>45764</v>
      </c>
      <c r="C2566">
        <v>22</v>
      </c>
      <c r="D2566">
        <v>8.5000000000000006E-2</v>
      </c>
      <c r="E2566" t="s">
        <v>6</v>
      </c>
      <c r="F2566">
        <v>0.25607000000000002</v>
      </c>
    </row>
    <row r="2567" spans="1:6" x14ac:dyDescent="0.3">
      <c r="A2567" t="s">
        <v>5</v>
      </c>
      <c r="B2567" s="1">
        <v>45764</v>
      </c>
      <c r="C2567">
        <v>23</v>
      </c>
      <c r="D2567">
        <v>0.12</v>
      </c>
      <c r="E2567" t="s">
        <v>6</v>
      </c>
      <c r="F2567">
        <v>0.17238999999999999</v>
      </c>
    </row>
    <row r="2568" spans="1:6" x14ac:dyDescent="0.3">
      <c r="A2568" t="s">
        <v>5</v>
      </c>
      <c r="B2568" s="1">
        <v>45764</v>
      </c>
      <c r="C2568">
        <v>24</v>
      </c>
      <c r="D2568">
        <v>0.14399999999999999</v>
      </c>
      <c r="E2568" t="s">
        <v>6</v>
      </c>
      <c r="F2568">
        <v>0.14596000000000001</v>
      </c>
    </row>
    <row r="2569" spans="1:6" x14ac:dyDescent="0.3">
      <c r="A2569" t="s">
        <v>5</v>
      </c>
      <c r="B2569" s="1">
        <v>45765</v>
      </c>
      <c r="C2569">
        <v>1</v>
      </c>
      <c r="D2569">
        <v>7.6999999999999999E-2</v>
      </c>
      <c r="E2569" t="s">
        <v>6</v>
      </c>
      <c r="F2569">
        <v>0.11137999999999999</v>
      </c>
    </row>
    <row r="2570" spans="1:6" x14ac:dyDescent="0.3">
      <c r="A2570" t="s">
        <v>5</v>
      </c>
      <c r="B2570" s="1">
        <v>45765</v>
      </c>
      <c r="C2570">
        <v>2</v>
      </c>
      <c r="D2570">
        <v>0.105</v>
      </c>
      <c r="E2570" t="s">
        <v>6</v>
      </c>
      <c r="F2570">
        <v>0.10274</v>
      </c>
    </row>
    <row r="2571" spans="1:6" x14ac:dyDescent="0.3">
      <c r="A2571" t="s">
        <v>5</v>
      </c>
      <c r="B2571" s="1">
        <v>45765</v>
      </c>
      <c r="C2571">
        <v>3</v>
      </c>
      <c r="D2571">
        <v>0.123</v>
      </c>
      <c r="E2571" t="s">
        <v>6</v>
      </c>
      <c r="F2571">
        <v>0.10485999999999999</v>
      </c>
    </row>
    <row r="2572" spans="1:6" x14ac:dyDescent="0.3">
      <c r="A2572" t="s">
        <v>5</v>
      </c>
      <c r="B2572" s="1">
        <v>45765</v>
      </c>
      <c r="C2572">
        <v>4</v>
      </c>
      <c r="D2572">
        <v>8.4000000000000005E-2</v>
      </c>
      <c r="E2572" t="s">
        <v>6</v>
      </c>
      <c r="F2572">
        <v>0.10640000000000001</v>
      </c>
    </row>
    <row r="2573" spans="1:6" x14ac:dyDescent="0.3">
      <c r="A2573" t="s">
        <v>5</v>
      </c>
      <c r="B2573" s="1">
        <v>45765</v>
      </c>
      <c r="C2573">
        <v>5</v>
      </c>
      <c r="D2573">
        <v>6.3E-2</v>
      </c>
      <c r="E2573" t="s">
        <v>6</v>
      </c>
      <c r="F2573">
        <v>0.10711</v>
      </c>
    </row>
    <row r="2574" spans="1:6" x14ac:dyDescent="0.3">
      <c r="A2574" t="s">
        <v>5</v>
      </c>
      <c r="B2574" s="1">
        <v>45765</v>
      </c>
      <c r="C2574">
        <v>6</v>
      </c>
      <c r="D2574">
        <v>8.3000000000000004E-2</v>
      </c>
      <c r="E2574" t="s">
        <v>6</v>
      </c>
      <c r="F2574">
        <v>0.10642</v>
      </c>
    </row>
    <row r="2575" spans="1:6" x14ac:dyDescent="0.3">
      <c r="A2575" t="s">
        <v>5</v>
      </c>
      <c r="B2575" s="1">
        <v>45765</v>
      </c>
      <c r="C2575">
        <v>7</v>
      </c>
      <c r="D2575">
        <v>8.6999999999999994E-2</v>
      </c>
      <c r="E2575" t="s">
        <v>6</v>
      </c>
      <c r="F2575">
        <v>9.845000000000001E-2</v>
      </c>
    </row>
    <row r="2576" spans="1:6" x14ac:dyDescent="0.3">
      <c r="A2576" t="s">
        <v>5</v>
      </c>
      <c r="B2576" s="1">
        <v>45765</v>
      </c>
      <c r="C2576">
        <v>8</v>
      </c>
      <c r="D2576">
        <v>0.14099999999999999</v>
      </c>
      <c r="E2576" t="s">
        <v>6</v>
      </c>
      <c r="F2576">
        <v>9.9659999999999999E-2</v>
      </c>
    </row>
    <row r="2577" spans="1:6" x14ac:dyDescent="0.3">
      <c r="A2577" t="s">
        <v>5</v>
      </c>
      <c r="B2577" s="1">
        <v>45765</v>
      </c>
      <c r="C2577">
        <v>9</v>
      </c>
      <c r="D2577">
        <v>6.5000000000000002E-2</v>
      </c>
      <c r="E2577" t="s">
        <v>6</v>
      </c>
      <c r="F2577">
        <v>0.12082999999999999</v>
      </c>
    </row>
    <row r="2578" spans="1:6" x14ac:dyDescent="0.3">
      <c r="A2578" t="s">
        <v>5</v>
      </c>
      <c r="B2578" s="1">
        <v>45765</v>
      </c>
      <c r="C2578">
        <v>10</v>
      </c>
      <c r="D2578">
        <v>7.9000000000000001E-2</v>
      </c>
      <c r="E2578" t="s">
        <v>6</v>
      </c>
      <c r="F2578">
        <v>0.10421999999999999</v>
      </c>
    </row>
    <row r="2579" spans="1:6" x14ac:dyDescent="0.3">
      <c r="A2579" t="s">
        <v>5</v>
      </c>
      <c r="B2579" s="1">
        <v>45765</v>
      </c>
      <c r="C2579">
        <v>11</v>
      </c>
      <c r="D2579">
        <v>7.0999999999999994E-2</v>
      </c>
      <c r="E2579" t="s">
        <v>6</v>
      </c>
      <c r="F2579">
        <v>0.15190999999999999</v>
      </c>
    </row>
    <row r="2580" spans="1:6" x14ac:dyDescent="0.3">
      <c r="A2580" t="s">
        <v>5</v>
      </c>
      <c r="B2580" s="1">
        <v>45765</v>
      </c>
      <c r="C2580">
        <v>12</v>
      </c>
      <c r="D2580">
        <v>7.2999999999999995E-2</v>
      </c>
      <c r="E2580" t="s">
        <v>6</v>
      </c>
      <c r="F2580">
        <v>0.14945</v>
      </c>
    </row>
    <row r="2581" spans="1:6" x14ac:dyDescent="0.3">
      <c r="A2581" t="s">
        <v>5</v>
      </c>
      <c r="B2581" s="1">
        <v>45765</v>
      </c>
      <c r="C2581">
        <v>13</v>
      </c>
      <c r="D2581">
        <v>0.11</v>
      </c>
      <c r="E2581" t="s">
        <v>6</v>
      </c>
      <c r="F2581">
        <v>0.14908000000000002</v>
      </c>
    </row>
    <row r="2582" spans="1:6" x14ac:dyDescent="0.3">
      <c r="A2582" t="s">
        <v>5</v>
      </c>
      <c r="B2582" s="1">
        <v>45765</v>
      </c>
      <c r="C2582">
        <v>14</v>
      </c>
      <c r="D2582">
        <v>0.11899999999999999</v>
      </c>
      <c r="E2582" t="s">
        <v>6</v>
      </c>
      <c r="F2582">
        <v>0.14774000000000001</v>
      </c>
    </row>
    <row r="2583" spans="1:6" x14ac:dyDescent="0.3">
      <c r="A2583" t="s">
        <v>5</v>
      </c>
      <c r="B2583" s="1">
        <v>45765</v>
      </c>
      <c r="C2583">
        <v>15</v>
      </c>
      <c r="D2583">
        <v>8.2000000000000003E-2</v>
      </c>
      <c r="E2583" t="s">
        <v>6</v>
      </c>
      <c r="F2583">
        <v>8.2729999999999998E-2</v>
      </c>
    </row>
    <row r="2584" spans="1:6" x14ac:dyDescent="0.3">
      <c r="A2584" t="s">
        <v>5</v>
      </c>
      <c r="B2584" s="1">
        <v>45765</v>
      </c>
      <c r="C2584">
        <v>16</v>
      </c>
      <c r="D2584">
        <v>6.3E-2</v>
      </c>
      <c r="E2584" t="s">
        <v>6</v>
      </c>
      <c r="F2584">
        <v>8.3819999999999992E-2</v>
      </c>
    </row>
    <row r="2585" spans="1:6" x14ac:dyDescent="0.3">
      <c r="A2585" t="s">
        <v>5</v>
      </c>
      <c r="B2585" s="1">
        <v>45765</v>
      </c>
      <c r="C2585">
        <v>17</v>
      </c>
      <c r="D2585">
        <v>8.3000000000000004E-2</v>
      </c>
      <c r="E2585" t="s">
        <v>6</v>
      </c>
      <c r="F2585">
        <v>8.5319999999999993E-2</v>
      </c>
    </row>
    <row r="2586" spans="1:6" x14ac:dyDescent="0.3">
      <c r="A2586" t="s">
        <v>5</v>
      </c>
      <c r="B2586" s="1">
        <v>45765</v>
      </c>
      <c r="C2586">
        <v>18</v>
      </c>
      <c r="D2586">
        <v>6.3E-2</v>
      </c>
      <c r="E2586" t="s">
        <v>6</v>
      </c>
      <c r="F2586">
        <v>8.616E-2</v>
      </c>
    </row>
    <row r="2587" spans="1:6" x14ac:dyDescent="0.3">
      <c r="A2587" t="s">
        <v>5</v>
      </c>
      <c r="B2587" s="1">
        <v>45765</v>
      </c>
      <c r="C2587">
        <v>19</v>
      </c>
      <c r="D2587">
        <v>8.2000000000000003E-2</v>
      </c>
      <c r="E2587" t="s">
        <v>6</v>
      </c>
      <c r="F2587">
        <v>0.15156</v>
      </c>
    </row>
    <row r="2588" spans="1:6" x14ac:dyDescent="0.3">
      <c r="A2588" t="s">
        <v>5</v>
      </c>
      <c r="B2588" s="1">
        <v>45765</v>
      </c>
      <c r="C2588">
        <v>20</v>
      </c>
      <c r="D2588">
        <v>7.9000000000000001E-2</v>
      </c>
      <c r="E2588" t="s">
        <v>6</v>
      </c>
      <c r="F2588">
        <v>0.155</v>
      </c>
    </row>
    <row r="2589" spans="1:6" x14ac:dyDescent="0.3">
      <c r="A2589" t="s">
        <v>5</v>
      </c>
      <c r="B2589" s="1">
        <v>45765</v>
      </c>
      <c r="C2589">
        <v>21</v>
      </c>
      <c r="D2589">
        <v>0.13700000000000001</v>
      </c>
      <c r="E2589" t="s">
        <v>6</v>
      </c>
      <c r="F2589">
        <v>0.16249</v>
      </c>
    </row>
    <row r="2590" spans="1:6" x14ac:dyDescent="0.3">
      <c r="A2590" t="s">
        <v>5</v>
      </c>
      <c r="B2590" s="1">
        <v>45765</v>
      </c>
      <c r="C2590">
        <v>22</v>
      </c>
      <c r="D2590">
        <v>9.5000000000000001E-2</v>
      </c>
      <c r="E2590" t="s">
        <v>6</v>
      </c>
      <c r="F2590">
        <v>0.17896000000000001</v>
      </c>
    </row>
    <row r="2591" spans="1:6" x14ac:dyDescent="0.3">
      <c r="A2591" t="s">
        <v>5</v>
      </c>
      <c r="B2591" s="1">
        <v>45765</v>
      </c>
      <c r="C2591">
        <v>23</v>
      </c>
      <c r="D2591">
        <v>7.2999999999999995E-2</v>
      </c>
      <c r="E2591" t="s">
        <v>6</v>
      </c>
      <c r="F2591">
        <v>0.10917</v>
      </c>
    </row>
    <row r="2592" spans="1:6" x14ac:dyDescent="0.3">
      <c r="A2592" t="s">
        <v>5</v>
      </c>
      <c r="B2592" s="1">
        <v>45765</v>
      </c>
      <c r="C2592">
        <v>24</v>
      </c>
      <c r="D2592">
        <v>7.9000000000000001E-2</v>
      </c>
      <c r="E2592" t="s">
        <v>6</v>
      </c>
      <c r="F2592">
        <v>0.10105</v>
      </c>
    </row>
    <row r="2593" spans="1:6" x14ac:dyDescent="0.3">
      <c r="A2593" t="s">
        <v>5</v>
      </c>
      <c r="B2593" s="1">
        <v>45766</v>
      </c>
      <c r="C2593">
        <v>1</v>
      </c>
      <c r="D2593">
        <v>6.8000000000000005E-2</v>
      </c>
      <c r="E2593" t="s">
        <v>6</v>
      </c>
      <c r="F2593">
        <v>9.103E-2</v>
      </c>
    </row>
    <row r="2594" spans="1:6" x14ac:dyDescent="0.3">
      <c r="A2594" t="s">
        <v>5</v>
      </c>
      <c r="B2594" s="1">
        <v>45766</v>
      </c>
      <c r="C2594">
        <v>2</v>
      </c>
      <c r="D2594">
        <v>8.1000000000000003E-2</v>
      </c>
      <c r="E2594" t="s">
        <v>6</v>
      </c>
      <c r="F2594">
        <v>9.154000000000001E-2</v>
      </c>
    </row>
    <row r="2595" spans="1:6" x14ac:dyDescent="0.3">
      <c r="A2595" t="s">
        <v>5</v>
      </c>
      <c r="B2595" s="1">
        <v>45766</v>
      </c>
      <c r="C2595">
        <v>3</v>
      </c>
      <c r="D2595">
        <v>6.4000000000000001E-2</v>
      </c>
      <c r="E2595" t="s">
        <v>6</v>
      </c>
      <c r="F2595">
        <v>9.351000000000001E-2</v>
      </c>
    </row>
    <row r="2596" spans="1:6" x14ac:dyDescent="0.3">
      <c r="A2596" t="s">
        <v>5</v>
      </c>
      <c r="B2596" s="1">
        <v>45766</v>
      </c>
      <c r="C2596">
        <v>4</v>
      </c>
      <c r="D2596">
        <v>0.14599999999999999</v>
      </c>
      <c r="E2596" t="s">
        <v>6</v>
      </c>
      <c r="F2596">
        <v>9.4500000000000001E-2</v>
      </c>
    </row>
    <row r="2597" spans="1:6" x14ac:dyDescent="0.3">
      <c r="A2597" t="s">
        <v>5</v>
      </c>
      <c r="B2597" s="1">
        <v>45766</v>
      </c>
      <c r="C2597">
        <v>5</v>
      </c>
      <c r="D2597">
        <v>7.6999999999999999E-2</v>
      </c>
      <c r="E2597" t="s">
        <v>6</v>
      </c>
      <c r="F2597">
        <v>9.5180000000000001E-2</v>
      </c>
    </row>
    <row r="2598" spans="1:6" x14ac:dyDescent="0.3">
      <c r="A2598" t="s">
        <v>5</v>
      </c>
      <c r="B2598" s="1">
        <v>45766</v>
      </c>
      <c r="C2598">
        <v>6</v>
      </c>
      <c r="D2598">
        <v>8.2000000000000003E-2</v>
      </c>
      <c r="E2598" t="s">
        <v>6</v>
      </c>
      <c r="F2598">
        <v>9.4790000000000013E-2</v>
      </c>
    </row>
    <row r="2599" spans="1:6" x14ac:dyDescent="0.3">
      <c r="A2599" t="s">
        <v>5</v>
      </c>
      <c r="B2599" s="1">
        <v>45766</v>
      </c>
      <c r="C2599">
        <v>7</v>
      </c>
      <c r="D2599">
        <v>6.4000000000000001E-2</v>
      </c>
      <c r="E2599" t="s">
        <v>6</v>
      </c>
      <c r="F2599">
        <v>9.1969999999999996E-2</v>
      </c>
    </row>
    <row r="2600" spans="1:6" x14ac:dyDescent="0.3">
      <c r="A2600" t="s">
        <v>5</v>
      </c>
      <c r="B2600" s="1">
        <v>45766</v>
      </c>
      <c r="C2600">
        <v>8</v>
      </c>
      <c r="D2600">
        <v>8.3000000000000004E-2</v>
      </c>
      <c r="E2600" t="s">
        <v>6</v>
      </c>
      <c r="F2600">
        <v>8.9169999999999999E-2</v>
      </c>
    </row>
    <row r="2601" spans="1:6" x14ac:dyDescent="0.3">
      <c r="A2601" t="s">
        <v>5</v>
      </c>
      <c r="B2601" s="1">
        <v>45766</v>
      </c>
      <c r="C2601">
        <v>9</v>
      </c>
      <c r="D2601">
        <v>6.5000000000000002E-2</v>
      </c>
      <c r="E2601" t="s">
        <v>6</v>
      </c>
      <c r="F2601">
        <v>8.5110000000000005E-2</v>
      </c>
    </row>
    <row r="2602" spans="1:6" x14ac:dyDescent="0.3">
      <c r="A2602" t="s">
        <v>5</v>
      </c>
      <c r="B2602" s="1">
        <v>45766</v>
      </c>
      <c r="C2602">
        <v>10</v>
      </c>
      <c r="D2602">
        <v>0.08</v>
      </c>
      <c r="E2602" t="s">
        <v>6</v>
      </c>
      <c r="F2602">
        <v>7.715000000000001E-2</v>
      </c>
    </row>
    <row r="2603" spans="1:6" x14ac:dyDescent="0.3">
      <c r="A2603" t="s">
        <v>5</v>
      </c>
      <c r="B2603" s="1">
        <v>45766</v>
      </c>
      <c r="C2603">
        <v>11</v>
      </c>
      <c r="D2603">
        <v>0.122</v>
      </c>
      <c r="E2603" t="s">
        <v>6</v>
      </c>
      <c r="F2603">
        <v>6.368E-2</v>
      </c>
    </row>
    <row r="2604" spans="1:6" x14ac:dyDescent="0.3">
      <c r="A2604" t="s">
        <v>5</v>
      </c>
      <c r="B2604" s="1">
        <v>45766</v>
      </c>
      <c r="C2604">
        <v>12</v>
      </c>
      <c r="D2604">
        <v>9.0999999999999998E-2</v>
      </c>
      <c r="E2604" t="s">
        <v>6</v>
      </c>
      <c r="F2604">
        <v>6.1939999999999995E-2</v>
      </c>
    </row>
    <row r="2605" spans="1:6" x14ac:dyDescent="0.3">
      <c r="A2605" t="s">
        <v>5</v>
      </c>
      <c r="B2605" s="1">
        <v>45766</v>
      </c>
      <c r="C2605">
        <v>13</v>
      </c>
      <c r="D2605">
        <v>7.3999999999999996E-2</v>
      </c>
      <c r="E2605" t="s">
        <v>6</v>
      </c>
      <c r="F2605">
        <v>6.1539999999999997E-2</v>
      </c>
    </row>
    <row r="2606" spans="1:6" x14ac:dyDescent="0.3">
      <c r="A2606" t="s">
        <v>5</v>
      </c>
      <c r="B2606" s="1">
        <v>45766</v>
      </c>
      <c r="C2606">
        <v>14</v>
      </c>
      <c r="D2606">
        <v>7.1999999999999995E-2</v>
      </c>
      <c r="E2606" t="s">
        <v>6</v>
      </c>
      <c r="F2606">
        <v>6.0840000000000005E-2</v>
      </c>
    </row>
    <row r="2607" spans="1:6" x14ac:dyDescent="0.3">
      <c r="A2607" t="s">
        <v>5</v>
      </c>
      <c r="B2607" s="1">
        <v>45766</v>
      </c>
      <c r="C2607">
        <v>15</v>
      </c>
      <c r="D2607">
        <v>7.6999999999999999E-2</v>
      </c>
      <c r="E2607" t="s">
        <v>6</v>
      </c>
      <c r="F2607">
        <v>6.0359999999999997E-2</v>
      </c>
    </row>
    <row r="2608" spans="1:6" x14ac:dyDescent="0.3">
      <c r="A2608" t="s">
        <v>5</v>
      </c>
      <c r="B2608" s="1">
        <v>45766</v>
      </c>
      <c r="C2608">
        <v>16</v>
      </c>
      <c r="D2608">
        <v>6.9000000000000006E-2</v>
      </c>
      <c r="E2608" t="s">
        <v>6</v>
      </c>
      <c r="F2608">
        <v>6.1710000000000001E-2</v>
      </c>
    </row>
    <row r="2609" spans="1:6" x14ac:dyDescent="0.3">
      <c r="A2609" t="s">
        <v>5</v>
      </c>
      <c r="B2609" s="1">
        <v>45766</v>
      </c>
      <c r="C2609">
        <v>17</v>
      </c>
      <c r="D2609">
        <v>8.1000000000000003E-2</v>
      </c>
      <c r="E2609" t="s">
        <v>6</v>
      </c>
      <c r="F2609">
        <v>6.3079999999999997E-2</v>
      </c>
    </row>
    <row r="2610" spans="1:6" x14ac:dyDescent="0.3">
      <c r="A2610" t="s">
        <v>5</v>
      </c>
      <c r="B2610" s="1">
        <v>45766</v>
      </c>
      <c r="C2610">
        <v>18</v>
      </c>
      <c r="D2610">
        <v>6.5000000000000002E-2</v>
      </c>
      <c r="E2610" t="s">
        <v>6</v>
      </c>
      <c r="F2610">
        <v>6.445999999999999E-2</v>
      </c>
    </row>
    <row r="2611" spans="1:6" x14ac:dyDescent="0.3">
      <c r="A2611" t="s">
        <v>5</v>
      </c>
      <c r="B2611" s="1">
        <v>45766</v>
      </c>
      <c r="C2611">
        <v>19</v>
      </c>
      <c r="D2611">
        <v>0.126</v>
      </c>
      <c r="E2611" t="s">
        <v>6</v>
      </c>
      <c r="F2611">
        <v>5.4090000000000006E-2</v>
      </c>
    </row>
    <row r="2612" spans="1:6" x14ac:dyDescent="0.3">
      <c r="A2612" t="s">
        <v>5</v>
      </c>
      <c r="B2612" s="1">
        <v>45766</v>
      </c>
      <c r="C2612">
        <v>20</v>
      </c>
      <c r="D2612">
        <v>9.6000000000000002E-2</v>
      </c>
      <c r="E2612" t="s">
        <v>6</v>
      </c>
      <c r="F2612">
        <v>5.5890000000000002E-2</v>
      </c>
    </row>
    <row r="2613" spans="1:6" x14ac:dyDescent="0.3">
      <c r="A2613" t="s">
        <v>5</v>
      </c>
      <c r="B2613" s="1">
        <v>45766</v>
      </c>
      <c r="C2613">
        <v>21</v>
      </c>
      <c r="D2613">
        <v>8.3000000000000004E-2</v>
      </c>
      <c r="E2613" t="s">
        <v>6</v>
      </c>
      <c r="F2613">
        <v>4.9750000000000003E-2</v>
      </c>
    </row>
    <row r="2614" spans="1:6" x14ac:dyDescent="0.3">
      <c r="A2614" t="s">
        <v>5</v>
      </c>
      <c r="B2614" s="1">
        <v>45766</v>
      </c>
      <c r="C2614">
        <v>22</v>
      </c>
      <c r="D2614">
        <v>6.4000000000000001E-2</v>
      </c>
      <c r="E2614" t="s">
        <v>6</v>
      </c>
      <c r="F2614">
        <v>5.7890000000000004E-2</v>
      </c>
    </row>
    <row r="2615" spans="1:6" x14ac:dyDescent="0.3">
      <c r="A2615" t="s">
        <v>5</v>
      </c>
      <c r="B2615" s="1">
        <v>45766</v>
      </c>
      <c r="C2615">
        <v>23</v>
      </c>
      <c r="D2615">
        <v>8.3000000000000004E-2</v>
      </c>
      <c r="E2615" t="s">
        <v>6</v>
      </c>
      <c r="F2615">
        <v>5.6420000000000005E-2</v>
      </c>
    </row>
    <row r="2616" spans="1:6" x14ac:dyDescent="0.3">
      <c r="A2616" t="s">
        <v>5</v>
      </c>
      <c r="B2616" s="1">
        <v>45766</v>
      </c>
      <c r="C2616">
        <v>24</v>
      </c>
      <c r="D2616">
        <v>8.7999999999999995E-2</v>
      </c>
      <c r="E2616" t="s">
        <v>6</v>
      </c>
      <c r="F2616">
        <v>6.6280000000000006E-2</v>
      </c>
    </row>
    <row r="2617" spans="1:6" x14ac:dyDescent="0.3">
      <c r="A2617" t="s">
        <v>5</v>
      </c>
      <c r="B2617" s="1">
        <v>45767</v>
      </c>
      <c r="C2617">
        <v>1</v>
      </c>
      <c r="D2617">
        <v>0.14299999999999999</v>
      </c>
      <c r="E2617" t="s">
        <v>6</v>
      </c>
      <c r="F2617">
        <v>8.134000000000001E-2</v>
      </c>
    </row>
    <row r="2618" spans="1:6" x14ac:dyDescent="0.3">
      <c r="A2618" t="s">
        <v>5</v>
      </c>
      <c r="B2618" s="1">
        <v>45767</v>
      </c>
      <c r="C2618">
        <v>2</v>
      </c>
      <c r="D2618">
        <v>6.4000000000000001E-2</v>
      </c>
      <c r="E2618" t="s">
        <v>6</v>
      </c>
      <c r="F2618">
        <v>8.5330000000000003E-2</v>
      </c>
    </row>
    <row r="2619" spans="1:6" x14ac:dyDescent="0.3">
      <c r="A2619" t="s">
        <v>5</v>
      </c>
      <c r="B2619" s="1">
        <v>45767</v>
      </c>
      <c r="C2619">
        <v>3</v>
      </c>
      <c r="D2619">
        <v>8.2000000000000003E-2</v>
      </c>
      <c r="E2619" t="s">
        <v>6</v>
      </c>
      <c r="F2619">
        <v>8.8410000000000002E-2</v>
      </c>
    </row>
    <row r="2620" spans="1:6" x14ac:dyDescent="0.3">
      <c r="A2620" t="s">
        <v>5</v>
      </c>
      <c r="B2620" s="1">
        <v>45767</v>
      </c>
      <c r="C2620">
        <v>4</v>
      </c>
      <c r="D2620">
        <v>6.4000000000000001E-2</v>
      </c>
      <c r="E2620" t="s">
        <v>6</v>
      </c>
      <c r="F2620">
        <v>9.1120000000000007E-2</v>
      </c>
    </row>
    <row r="2621" spans="1:6" x14ac:dyDescent="0.3">
      <c r="A2621" t="s">
        <v>5</v>
      </c>
      <c r="B2621" s="1">
        <v>45767</v>
      </c>
      <c r="C2621">
        <v>5</v>
      </c>
      <c r="D2621">
        <v>0.106</v>
      </c>
      <c r="E2621" t="s">
        <v>6</v>
      </c>
      <c r="F2621">
        <v>9.2939999999999995E-2</v>
      </c>
    </row>
    <row r="2622" spans="1:6" x14ac:dyDescent="0.3">
      <c r="A2622" t="s">
        <v>5</v>
      </c>
      <c r="B2622" s="1">
        <v>45767</v>
      </c>
      <c r="C2622">
        <v>6</v>
      </c>
      <c r="D2622">
        <v>0.125</v>
      </c>
      <c r="E2622" t="s">
        <v>6</v>
      </c>
      <c r="F2622">
        <v>9.3290000000000012E-2</v>
      </c>
    </row>
    <row r="2623" spans="1:6" x14ac:dyDescent="0.3">
      <c r="A2623" t="s">
        <v>5</v>
      </c>
      <c r="B2623" s="1">
        <v>45767</v>
      </c>
      <c r="C2623">
        <v>7</v>
      </c>
      <c r="D2623">
        <v>9.1999999999999998E-2</v>
      </c>
      <c r="E2623" t="s">
        <v>6</v>
      </c>
      <c r="F2623">
        <v>9.1930000000000012E-2</v>
      </c>
    </row>
    <row r="2624" spans="1:6" x14ac:dyDescent="0.3">
      <c r="A2624" t="s">
        <v>5</v>
      </c>
      <c r="B2624" s="1">
        <v>45767</v>
      </c>
      <c r="C2624">
        <v>8</v>
      </c>
      <c r="D2624">
        <v>6.6000000000000003E-2</v>
      </c>
      <c r="E2624" t="s">
        <v>6</v>
      </c>
      <c r="F2624">
        <v>9.4840000000000008E-2</v>
      </c>
    </row>
    <row r="2625" spans="1:6" x14ac:dyDescent="0.3">
      <c r="A2625" t="s">
        <v>5</v>
      </c>
      <c r="B2625" s="1">
        <v>45767</v>
      </c>
      <c r="C2625">
        <v>9</v>
      </c>
      <c r="D2625">
        <v>7.9000000000000001E-2</v>
      </c>
      <c r="E2625" t="s">
        <v>6</v>
      </c>
      <c r="F2625">
        <v>9.1209999999999999E-2</v>
      </c>
    </row>
    <row r="2626" spans="1:6" x14ac:dyDescent="0.3">
      <c r="A2626" t="s">
        <v>5</v>
      </c>
      <c r="B2626" s="1">
        <v>45767</v>
      </c>
      <c r="C2626">
        <v>10</v>
      </c>
      <c r="D2626">
        <v>0.12</v>
      </c>
      <c r="E2626" t="s">
        <v>6</v>
      </c>
      <c r="F2626">
        <v>7.4650000000000008E-2</v>
      </c>
    </row>
    <row r="2627" spans="1:6" x14ac:dyDescent="0.3">
      <c r="A2627" t="s">
        <v>5</v>
      </c>
      <c r="B2627" s="1">
        <v>45767</v>
      </c>
      <c r="C2627">
        <v>11</v>
      </c>
      <c r="D2627">
        <v>0.11899999999999999</v>
      </c>
      <c r="E2627" t="s">
        <v>6</v>
      </c>
      <c r="F2627">
        <v>6.1009999999999995E-2</v>
      </c>
    </row>
    <row r="2628" spans="1:6" x14ac:dyDescent="0.3">
      <c r="A2628" t="s">
        <v>5</v>
      </c>
      <c r="B2628" s="1">
        <v>45767</v>
      </c>
      <c r="C2628">
        <v>12</v>
      </c>
      <c r="D2628">
        <v>6.9000000000000006E-2</v>
      </c>
      <c r="E2628" t="s">
        <v>6</v>
      </c>
      <c r="F2628">
        <v>5.9789999999999996E-2</v>
      </c>
    </row>
    <row r="2629" spans="1:6" x14ac:dyDescent="0.3">
      <c r="A2629" t="s">
        <v>5</v>
      </c>
      <c r="B2629" s="1">
        <v>45767</v>
      </c>
      <c r="C2629">
        <v>13</v>
      </c>
      <c r="D2629">
        <v>7.6999999999999999E-2</v>
      </c>
      <c r="E2629" t="s">
        <v>6</v>
      </c>
      <c r="F2629">
        <v>5.8270000000000002E-2</v>
      </c>
    </row>
    <row r="2630" spans="1:6" x14ac:dyDescent="0.3">
      <c r="A2630" t="s">
        <v>5</v>
      </c>
      <c r="B2630" s="1">
        <v>45767</v>
      </c>
      <c r="C2630">
        <v>14</v>
      </c>
      <c r="D2630">
        <v>6.9000000000000006E-2</v>
      </c>
      <c r="E2630" t="s">
        <v>6</v>
      </c>
      <c r="F2630">
        <v>5.475E-2</v>
      </c>
    </row>
    <row r="2631" spans="1:6" x14ac:dyDescent="0.3">
      <c r="A2631" t="s">
        <v>5</v>
      </c>
      <c r="B2631" s="1">
        <v>45767</v>
      </c>
      <c r="C2631">
        <v>15</v>
      </c>
      <c r="D2631">
        <v>7.6999999999999999E-2</v>
      </c>
      <c r="E2631" t="s">
        <v>6</v>
      </c>
      <c r="F2631">
        <v>5.4210000000000001E-2</v>
      </c>
    </row>
    <row r="2632" spans="1:6" x14ac:dyDescent="0.3">
      <c r="A2632" t="s">
        <v>5</v>
      </c>
      <c r="B2632" s="1">
        <v>45767</v>
      </c>
      <c r="C2632">
        <v>16</v>
      </c>
      <c r="D2632">
        <v>0.10199999999999999</v>
      </c>
      <c r="E2632" t="s">
        <v>6</v>
      </c>
      <c r="F2632">
        <v>5.6950000000000001E-2</v>
      </c>
    </row>
    <row r="2633" spans="1:6" x14ac:dyDescent="0.3">
      <c r="A2633" t="s">
        <v>5</v>
      </c>
      <c r="B2633" s="1">
        <v>45767</v>
      </c>
      <c r="C2633">
        <v>17</v>
      </c>
      <c r="D2633">
        <v>0.128</v>
      </c>
      <c r="E2633" t="s">
        <v>6</v>
      </c>
      <c r="F2633">
        <v>6.1009999999999995E-2</v>
      </c>
    </row>
    <row r="2634" spans="1:6" x14ac:dyDescent="0.3">
      <c r="A2634" t="s">
        <v>5</v>
      </c>
      <c r="B2634" s="1">
        <v>45767</v>
      </c>
      <c r="C2634">
        <v>18</v>
      </c>
      <c r="D2634">
        <v>6.9000000000000006E-2</v>
      </c>
      <c r="E2634" t="s">
        <v>6</v>
      </c>
      <c r="F2634">
        <v>6.2289999999999998E-2</v>
      </c>
    </row>
    <row r="2635" spans="1:6" x14ac:dyDescent="0.3">
      <c r="A2635" t="s">
        <v>5</v>
      </c>
      <c r="B2635" s="1">
        <v>45767</v>
      </c>
      <c r="C2635">
        <v>19</v>
      </c>
      <c r="D2635">
        <v>7.6999999999999999E-2</v>
      </c>
      <c r="E2635" t="s">
        <v>6</v>
      </c>
      <c r="F2635">
        <v>6.3530000000000003E-2</v>
      </c>
    </row>
    <row r="2636" spans="1:6" x14ac:dyDescent="0.3">
      <c r="A2636" t="s">
        <v>5</v>
      </c>
      <c r="B2636" s="1">
        <v>45767</v>
      </c>
      <c r="C2636">
        <v>20</v>
      </c>
      <c r="D2636">
        <v>7.0000000000000007E-2</v>
      </c>
      <c r="E2636" t="s">
        <v>6</v>
      </c>
      <c r="F2636">
        <v>5.8299999999999998E-2</v>
      </c>
    </row>
    <row r="2637" spans="1:6" x14ac:dyDescent="0.3">
      <c r="A2637" t="s">
        <v>5</v>
      </c>
      <c r="B2637" s="1">
        <v>45767</v>
      </c>
      <c r="C2637">
        <v>21</v>
      </c>
      <c r="D2637">
        <v>7.6999999999999999E-2</v>
      </c>
      <c r="E2637" t="s">
        <v>6</v>
      </c>
      <c r="F2637">
        <v>9.0950000000000003E-2</v>
      </c>
    </row>
    <row r="2638" spans="1:6" x14ac:dyDescent="0.3">
      <c r="A2638" t="s">
        <v>5</v>
      </c>
      <c r="B2638" s="1">
        <v>45767</v>
      </c>
      <c r="C2638">
        <v>22</v>
      </c>
      <c r="D2638">
        <v>0.13100000000000001</v>
      </c>
      <c r="E2638" t="s">
        <v>6</v>
      </c>
      <c r="F2638">
        <v>0.14324999999999999</v>
      </c>
    </row>
    <row r="2639" spans="1:6" x14ac:dyDescent="0.3">
      <c r="A2639" t="s">
        <v>5</v>
      </c>
      <c r="B2639" s="1">
        <v>45767</v>
      </c>
      <c r="C2639">
        <v>23</v>
      </c>
      <c r="D2639">
        <v>9.7000000000000003E-2</v>
      </c>
      <c r="E2639" t="s">
        <v>6</v>
      </c>
      <c r="F2639">
        <v>0.14271999999999999</v>
      </c>
    </row>
    <row r="2640" spans="1:6" x14ac:dyDescent="0.3">
      <c r="A2640" t="s">
        <v>5</v>
      </c>
      <c r="B2640" s="1">
        <v>45767</v>
      </c>
      <c r="C2640">
        <v>24</v>
      </c>
      <c r="D2640">
        <v>7.0000000000000007E-2</v>
      </c>
      <c r="E2640" t="s">
        <v>6</v>
      </c>
      <c r="F2640">
        <v>9.9290000000000003E-2</v>
      </c>
    </row>
    <row r="2641" spans="1:6" x14ac:dyDescent="0.3">
      <c r="A2641" t="s">
        <v>5</v>
      </c>
      <c r="B2641" s="1">
        <v>45768</v>
      </c>
      <c r="C2641">
        <v>1</v>
      </c>
      <c r="D2641">
        <v>7.8E-2</v>
      </c>
      <c r="E2641" t="s">
        <v>6</v>
      </c>
      <c r="F2641">
        <v>0.10138</v>
      </c>
    </row>
    <row r="2642" spans="1:6" x14ac:dyDescent="0.3">
      <c r="A2642" t="s">
        <v>5</v>
      </c>
      <c r="B2642" s="1">
        <v>45768</v>
      </c>
      <c r="C2642">
        <v>2</v>
      </c>
      <c r="D2642">
        <v>0.08</v>
      </c>
      <c r="E2642" t="s">
        <v>6</v>
      </c>
      <c r="F2642">
        <v>9.078E-2</v>
      </c>
    </row>
    <row r="2643" spans="1:6" x14ac:dyDescent="0.3">
      <c r="A2643" t="s">
        <v>5</v>
      </c>
      <c r="B2643" s="1">
        <v>45768</v>
      </c>
      <c r="C2643">
        <v>3</v>
      </c>
      <c r="D2643">
        <v>0.13900000000000001</v>
      </c>
      <c r="E2643" t="s">
        <v>6</v>
      </c>
      <c r="F2643">
        <v>9.0870000000000006E-2</v>
      </c>
    </row>
    <row r="2644" spans="1:6" x14ac:dyDescent="0.3">
      <c r="A2644" t="s">
        <v>5</v>
      </c>
      <c r="B2644" s="1">
        <v>45768</v>
      </c>
      <c r="C2644">
        <v>4</v>
      </c>
      <c r="D2644">
        <v>9.7000000000000003E-2</v>
      </c>
      <c r="E2644" t="s">
        <v>6</v>
      </c>
      <c r="F2644">
        <v>9.0909999999999991E-2</v>
      </c>
    </row>
    <row r="2645" spans="1:6" x14ac:dyDescent="0.3">
      <c r="A2645" t="s">
        <v>5</v>
      </c>
      <c r="B2645" s="1">
        <v>45768</v>
      </c>
      <c r="C2645">
        <v>5</v>
      </c>
      <c r="D2645">
        <v>0.08</v>
      </c>
      <c r="E2645" t="s">
        <v>6</v>
      </c>
      <c r="F2645">
        <v>9.3370000000000009E-2</v>
      </c>
    </row>
    <row r="2646" spans="1:6" x14ac:dyDescent="0.3">
      <c r="A2646" t="s">
        <v>5</v>
      </c>
      <c r="B2646" s="1">
        <v>45768</v>
      </c>
      <c r="C2646">
        <v>6</v>
      </c>
      <c r="D2646">
        <v>6.5000000000000002E-2</v>
      </c>
      <c r="E2646" t="s">
        <v>6</v>
      </c>
      <c r="F2646">
        <v>9.6869999999999998E-2</v>
      </c>
    </row>
    <row r="2647" spans="1:6" x14ac:dyDescent="0.3">
      <c r="A2647" t="s">
        <v>5</v>
      </c>
      <c r="B2647" s="1">
        <v>45768</v>
      </c>
      <c r="C2647">
        <v>7</v>
      </c>
      <c r="D2647">
        <v>0.125</v>
      </c>
      <c r="E2647" t="s">
        <v>6</v>
      </c>
      <c r="F2647">
        <v>0.12619</v>
      </c>
    </row>
    <row r="2648" spans="1:6" x14ac:dyDescent="0.3">
      <c r="A2648" t="s">
        <v>5</v>
      </c>
      <c r="B2648" s="1">
        <v>45768</v>
      </c>
      <c r="C2648">
        <v>8</v>
      </c>
      <c r="D2648">
        <v>0.114</v>
      </c>
      <c r="E2648" t="s">
        <v>6</v>
      </c>
      <c r="F2648">
        <v>0.13041999999999998</v>
      </c>
    </row>
    <row r="2649" spans="1:6" x14ac:dyDescent="0.3">
      <c r="A2649" t="s">
        <v>5</v>
      </c>
      <c r="B2649" s="1">
        <v>45768</v>
      </c>
      <c r="C2649">
        <v>9</v>
      </c>
      <c r="D2649">
        <v>8.3000000000000004E-2</v>
      </c>
      <c r="E2649" t="s">
        <v>6</v>
      </c>
      <c r="F2649">
        <v>0.14133000000000001</v>
      </c>
    </row>
    <row r="2650" spans="1:6" x14ac:dyDescent="0.3">
      <c r="A2650" t="s">
        <v>5</v>
      </c>
      <c r="B2650" s="1">
        <v>45768</v>
      </c>
      <c r="C2650">
        <v>10</v>
      </c>
      <c r="D2650">
        <v>6.3E-2</v>
      </c>
      <c r="E2650" t="s">
        <v>6</v>
      </c>
      <c r="F2650">
        <v>9.8659999999999998E-2</v>
      </c>
    </row>
    <row r="2651" spans="1:6" x14ac:dyDescent="0.3">
      <c r="A2651" t="s">
        <v>5</v>
      </c>
      <c r="B2651" s="1">
        <v>45768</v>
      </c>
      <c r="C2651">
        <v>11</v>
      </c>
      <c r="D2651">
        <v>8.4000000000000005E-2</v>
      </c>
      <c r="E2651" t="s">
        <v>6</v>
      </c>
      <c r="F2651">
        <v>0.15449000000000002</v>
      </c>
    </row>
    <row r="2652" spans="1:6" x14ac:dyDescent="0.3">
      <c r="A2652" t="s">
        <v>5</v>
      </c>
      <c r="B2652" s="1">
        <v>45768</v>
      </c>
      <c r="C2652">
        <v>12</v>
      </c>
      <c r="D2652">
        <v>7.4999999999999997E-2</v>
      </c>
      <c r="E2652" t="s">
        <v>6</v>
      </c>
      <c r="F2652">
        <v>0.14152999999999999</v>
      </c>
    </row>
    <row r="2653" spans="1:6" x14ac:dyDescent="0.3">
      <c r="A2653" t="s">
        <v>5</v>
      </c>
      <c r="B2653" s="1">
        <v>45768</v>
      </c>
      <c r="C2653">
        <v>13</v>
      </c>
      <c r="D2653">
        <v>0.14599999999999999</v>
      </c>
      <c r="E2653" t="s">
        <v>6</v>
      </c>
      <c r="F2653">
        <v>0.13791</v>
      </c>
    </row>
    <row r="2654" spans="1:6" x14ac:dyDescent="0.3">
      <c r="A2654" t="s">
        <v>5</v>
      </c>
      <c r="B2654" s="1">
        <v>45768</v>
      </c>
      <c r="C2654">
        <v>14</v>
      </c>
      <c r="D2654">
        <v>6.8000000000000005E-2</v>
      </c>
      <c r="E2654" t="s">
        <v>6</v>
      </c>
      <c r="F2654">
        <v>0.13063</v>
      </c>
    </row>
    <row r="2655" spans="1:6" x14ac:dyDescent="0.3">
      <c r="A2655" t="s">
        <v>5</v>
      </c>
      <c r="B2655" s="1">
        <v>45768</v>
      </c>
      <c r="C2655">
        <v>15</v>
      </c>
      <c r="D2655">
        <v>8.4000000000000005E-2</v>
      </c>
      <c r="E2655" t="s">
        <v>6</v>
      </c>
      <c r="F2655">
        <v>6.4500000000000002E-2</v>
      </c>
    </row>
    <row r="2656" spans="1:6" x14ac:dyDescent="0.3">
      <c r="A2656" t="s">
        <v>5</v>
      </c>
      <c r="B2656" s="1">
        <v>45768</v>
      </c>
      <c r="C2656">
        <v>16</v>
      </c>
      <c r="D2656">
        <v>6.4000000000000001E-2</v>
      </c>
      <c r="E2656" t="s">
        <v>6</v>
      </c>
      <c r="F2656">
        <v>6.8879999999999997E-2</v>
      </c>
    </row>
    <row r="2657" spans="1:6" x14ac:dyDescent="0.3">
      <c r="A2657" t="s">
        <v>5</v>
      </c>
      <c r="B2657" s="1">
        <v>45768</v>
      </c>
      <c r="C2657">
        <v>17</v>
      </c>
      <c r="D2657">
        <v>8.5000000000000006E-2</v>
      </c>
      <c r="E2657" t="s">
        <v>6</v>
      </c>
      <c r="F2657">
        <v>7.3079999999999992E-2</v>
      </c>
    </row>
    <row r="2658" spans="1:6" x14ac:dyDescent="0.3">
      <c r="A2658" t="s">
        <v>5</v>
      </c>
      <c r="B2658" s="1">
        <v>45768</v>
      </c>
      <c r="C2658">
        <v>18</v>
      </c>
      <c r="D2658">
        <v>6.4000000000000001E-2</v>
      </c>
      <c r="E2658" t="s">
        <v>6</v>
      </c>
      <c r="F2658">
        <v>8.4849999999999995E-2</v>
      </c>
    </row>
    <row r="2659" spans="1:6" x14ac:dyDescent="0.3">
      <c r="A2659" t="s">
        <v>5</v>
      </c>
      <c r="B2659" s="1">
        <v>45768</v>
      </c>
      <c r="C2659">
        <v>19</v>
      </c>
      <c r="D2659">
        <v>8.2000000000000003E-2</v>
      </c>
      <c r="E2659" t="s">
        <v>6</v>
      </c>
      <c r="F2659">
        <v>0.17917</v>
      </c>
    </row>
    <row r="2660" spans="1:6" x14ac:dyDescent="0.3">
      <c r="A2660" t="s">
        <v>5</v>
      </c>
      <c r="B2660" s="1">
        <v>45768</v>
      </c>
      <c r="C2660">
        <v>20</v>
      </c>
      <c r="D2660">
        <v>6.8000000000000005E-2</v>
      </c>
      <c r="E2660" t="s">
        <v>6</v>
      </c>
      <c r="F2660">
        <v>0.25022</v>
      </c>
    </row>
    <row r="2661" spans="1:6" x14ac:dyDescent="0.3">
      <c r="A2661" t="s">
        <v>5</v>
      </c>
      <c r="B2661" s="1">
        <v>45768</v>
      </c>
      <c r="C2661">
        <v>21</v>
      </c>
      <c r="D2661">
        <v>0.23300000000000001</v>
      </c>
      <c r="E2661" t="s">
        <v>6</v>
      </c>
      <c r="F2661">
        <v>0.27673999999999999</v>
      </c>
    </row>
    <row r="2662" spans="1:6" x14ac:dyDescent="0.3">
      <c r="A2662" t="s">
        <v>5</v>
      </c>
      <c r="B2662" s="1">
        <v>45768</v>
      </c>
      <c r="C2662">
        <v>22</v>
      </c>
      <c r="D2662">
        <v>0.20300000000000001</v>
      </c>
      <c r="E2662" t="s">
        <v>6</v>
      </c>
      <c r="F2662">
        <v>0.30745</v>
      </c>
    </row>
    <row r="2663" spans="1:6" x14ac:dyDescent="0.3">
      <c r="A2663" t="s">
        <v>5</v>
      </c>
      <c r="B2663" s="1">
        <v>45768</v>
      </c>
      <c r="C2663">
        <v>23</v>
      </c>
      <c r="D2663">
        <v>0.71599999999999997</v>
      </c>
      <c r="E2663" t="s">
        <v>6</v>
      </c>
      <c r="F2663">
        <v>0.20236000000000001</v>
      </c>
    </row>
    <row r="2664" spans="1:6" x14ac:dyDescent="0.3">
      <c r="A2664" t="s">
        <v>5</v>
      </c>
      <c r="B2664" s="1">
        <v>45768</v>
      </c>
      <c r="C2664">
        <v>24</v>
      </c>
      <c r="D2664">
        <v>0.55700000000000005</v>
      </c>
      <c r="E2664" t="s">
        <v>6</v>
      </c>
      <c r="F2664">
        <v>0.18211000000000002</v>
      </c>
    </row>
    <row r="2665" spans="1:6" x14ac:dyDescent="0.3">
      <c r="A2665" t="s">
        <v>5</v>
      </c>
      <c r="B2665" s="1">
        <v>45769</v>
      </c>
      <c r="C2665">
        <v>1</v>
      </c>
      <c r="D2665">
        <v>0.68799999999999994</v>
      </c>
      <c r="E2665" t="s">
        <v>6</v>
      </c>
      <c r="F2665">
        <v>0.13977999999999999</v>
      </c>
    </row>
    <row r="2666" spans="1:6" x14ac:dyDescent="0.3">
      <c r="A2666" t="s">
        <v>5</v>
      </c>
      <c r="B2666" s="1">
        <v>45769</v>
      </c>
      <c r="C2666">
        <v>2</v>
      </c>
      <c r="D2666">
        <v>8.6999999999999994E-2</v>
      </c>
      <c r="E2666" t="s">
        <v>6</v>
      </c>
      <c r="F2666">
        <v>0.13313</v>
      </c>
    </row>
    <row r="2667" spans="1:6" x14ac:dyDescent="0.3">
      <c r="A2667" t="s">
        <v>5</v>
      </c>
      <c r="B2667" s="1">
        <v>45769</v>
      </c>
      <c r="C2667">
        <v>3</v>
      </c>
      <c r="D2667">
        <v>0.08</v>
      </c>
      <c r="E2667" t="s">
        <v>6</v>
      </c>
      <c r="F2667">
        <v>0.13034000000000001</v>
      </c>
    </row>
    <row r="2668" spans="1:6" x14ac:dyDescent="0.3">
      <c r="A2668" t="s">
        <v>5</v>
      </c>
      <c r="B2668" s="1">
        <v>45769</v>
      </c>
      <c r="C2668">
        <v>4</v>
      </c>
      <c r="D2668">
        <v>8.1000000000000003E-2</v>
      </c>
      <c r="E2668" t="s">
        <v>6</v>
      </c>
      <c r="F2668">
        <v>0.12553</v>
      </c>
    </row>
    <row r="2669" spans="1:6" x14ac:dyDescent="0.3">
      <c r="A2669" t="s">
        <v>5</v>
      </c>
      <c r="B2669" s="1">
        <v>45769</v>
      </c>
      <c r="C2669">
        <v>5</v>
      </c>
      <c r="D2669">
        <v>0.13800000000000001</v>
      </c>
      <c r="E2669" t="s">
        <v>6</v>
      </c>
      <c r="F2669">
        <v>0.12819999999999998</v>
      </c>
    </row>
    <row r="2670" spans="1:6" x14ac:dyDescent="0.3">
      <c r="A2670" t="s">
        <v>5</v>
      </c>
      <c r="B2670" s="1">
        <v>45769</v>
      </c>
      <c r="C2670">
        <v>6</v>
      </c>
      <c r="D2670">
        <v>8.5000000000000006E-2</v>
      </c>
      <c r="E2670" t="s">
        <v>6</v>
      </c>
      <c r="F2670">
        <v>0.1198</v>
      </c>
    </row>
    <row r="2671" spans="1:6" x14ac:dyDescent="0.3">
      <c r="A2671" t="s">
        <v>5</v>
      </c>
      <c r="B2671" s="1">
        <v>45769</v>
      </c>
      <c r="C2671">
        <v>7</v>
      </c>
      <c r="D2671">
        <v>0.161</v>
      </c>
      <c r="E2671" t="s">
        <v>6</v>
      </c>
      <c r="F2671">
        <v>0.13166999999999998</v>
      </c>
    </row>
    <row r="2672" spans="1:6" x14ac:dyDescent="0.3">
      <c r="A2672" t="s">
        <v>5</v>
      </c>
      <c r="B2672" s="1">
        <v>45769</v>
      </c>
      <c r="C2672">
        <v>8</v>
      </c>
      <c r="D2672">
        <v>9.0999999999999998E-2</v>
      </c>
      <c r="E2672" t="s">
        <v>6</v>
      </c>
      <c r="F2672">
        <v>0.16249</v>
      </c>
    </row>
    <row r="2673" spans="1:6" x14ac:dyDescent="0.3">
      <c r="A2673" t="s">
        <v>5</v>
      </c>
      <c r="B2673" s="1">
        <v>45769</v>
      </c>
      <c r="C2673">
        <v>9</v>
      </c>
      <c r="D2673">
        <v>8.8999999999999996E-2</v>
      </c>
      <c r="E2673" t="s">
        <v>6</v>
      </c>
      <c r="F2673">
        <v>0.19975000000000001</v>
      </c>
    </row>
    <row r="2674" spans="1:6" x14ac:dyDescent="0.3">
      <c r="A2674" t="s">
        <v>5</v>
      </c>
      <c r="B2674" s="1">
        <v>45769</v>
      </c>
      <c r="C2674">
        <v>10</v>
      </c>
      <c r="D2674">
        <v>8.5999999999999993E-2</v>
      </c>
      <c r="E2674" t="s">
        <v>6</v>
      </c>
      <c r="F2674">
        <v>0.1411</v>
      </c>
    </row>
    <row r="2675" spans="1:6" x14ac:dyDescent="0.3">
      <c r="A2675" t="s">
        <v>5</v>
      </c>
      <c r="B2675" s="1">
        <v>45769</v>
      </c>
      <c r="C2675">
        <v>11</v>
      </c>
      <c r="D2675">
        <v>0.13900000000000001</v>
      </c>
      <c r="E2675" t="s">
        <v>6</v>
      </c>
      <c r="F2675">
        <v>0.19165000000000001</v>
      </c>
    </row>
    <row r="2676" spans="1:6" x14ac:dyDescent="0.3">
      <c r="A2676" t="s">
        <v>5</v>
      </c>
      <c r="B2676" s="1">
        <v>45769</v>
      </c>
      <c r="C2676">
        <v>12</v>
      </c>
      <c r="D2676">
        <v>0.104</v>
      </c>
      <c r="E2676" t="s">
        <v>6</v>
      </c>
      <c r="F2676">
        <v>0.16322999999999999</v>
      </c>
    </row>
    <row r="2677" spans="1:6" x14ac:dyDescent="0.3">
      <c r="A2677" t="s">
        <v>5</v>
      </c>
      <c r="B2677" s="1">
        <v>45769</v>
      </c>
      <c r="C2677">
        <v>13</v>
      </c>
      <c r="D2677">
        <v>0.109</v>
      </c>
      <c r="E2677" t="s">
        <v>6</v>
      </c>
      <c r="F2677">
        <v>0.14602999999999999</v>
      </c>
    </row>
    <row r="2678" spans="1:6" x14ac:dyDescent="0.3">
      <c r="A2678" t="s">
        <v>5</v>
      </c>
      <c r="B2678" s="1">
        <v>45769</v>
      </c>
      <c r="C2678">
        <v>14</v>
      </c>
      <c r="D2678">
        <v>0.20300000000000001</v>
      </c>
      <c r="E2678" t="s">
        <v>6</v>
      </c>
      <c r="F2678">
        <v>0.13255</v>
      </c>
    </row>
    <row r="2679" spans="1:6" x14ac:dyDescent="0.3">
      <c r="A2679" t="s">
        <v>5</v>
      </c>
      <c r="B2679" s="1">
        <v>45769</v>
      </c>
      <c r="C2679">
        <v>15</v>
      </c>
      <c r="D2679">
        <v>9.0999999999999998E-2</v>
      </c>
      <c r="E2679" t="s">
        <v>6</v>
      </c>
      <c r="F2679">
        <v>6.2049999999999994E-2</v>
      </c>
    </row>
    <row r="2680" spans="1:6" x14ac:dyDescent="0.3">
      <c r="A2680" t="s">
        <v>5</v>
      </c>
      <c r="B2680" s="1">
        <v>45769</v>
      </c>
      <c r="C2680">
        <v>16</v>
      </c>
      <c r="D2680">
        <v>8.2000000000000003E-2</v>
      </c>
      <c r="E2680" t="s">
        <v>6</v>
      </c>
      <c r="F2680">
        <v>5.101E-2</v>
      </c>
    </row>
    <row r="2681" spans="1:6" x14ac:dyDescent="0.3">
      <c r="A2681" t="s">
        <v>5</v>
      </c>
      <c r="B2681" s="1">
        <v>45769</v>
      </c>
      <c r="C2681">
        <v>17</v>
      </c>
      <c r="D2681">
        <v>0.10199999999999999</v>
      </c>
      <c r="E2681" t="s">
        <v>6</v>
      </c>
      <c r="F2681">
        <v>5.058E-2</v>
      </c>
    </row>
    <row r="2682" spans="1:6" x14ac:dyDescent="0.3">
      <c r="A2682" t="s">
        <v>5</v>
      </c>
      <c r="B2682" s="1">
        <v>45769</v>
      </c>
      <c r="C2682">
        <v>18</v>
      </c>
      <c r="D2682">
        <v>0.114</v>
      </c>
      <c r="E2682" t="s">
        <v>6</v>
      </c>
      <c r="F2682">
        <v>5.237E-2</v>
      </c>
    </row>
    <row r="2683" spans="1:6" x14ac:dyDescent="0.3">
      <c r="A2683" t="s">
        <v>5</v>
      </c>
      <c r="B2683" s="1">
        <v>45769</v>
      </c>
      <c r="C2683">
        <v>19</v>
      </c>
      <c r="D2683">
        <v>0.15</v>
      </c>
      <c r="E2683" t="s">
        <v>6</v>
      </c>
      <c r="F2683">
        <v>0.14016000000000001</v>
      </c>
    </row>
    <row r="2684" spans="1:6" x14ac:dyDescent="0.3">
      <c r="A2684" t="s">
        <v>5</v>
      </c>
      <c r="B2684" s="1">
        <v>45769</v>
      </c>
      <c r="C2684">
        <v>20</v>
      </c>
      <c r="D2684">
        <v>0.13700000000000001</v>
      </c>
      <c r="E2684" t="s">
        <v>6</v>
      </c>
      <c r="F2684">
        <v>0.18227000000000002</v>
      </c>
    </row>
    <row r="2685" spans="1:6" x14ac:dyDescent="0.3">
      <c r="A2685" t="s">
        <v>5</v>
      </c>
      <c r="B2685" s="1">
        <v>45769</v>
      </c>
      <c r="C2685">
        <v>21</v>
      </c>
      <c r="D2685">
        <v>1.0329999999999999</v>
      </c>
      <c r="E2685" t="s">
        <v>6</v>
      </c>
      <c r="F2685">
        <v>0.2268</v>
      </c>
    </row>
    <row r="2686" spans="1:6" x14ac:dyDescent="0.3">
      <c r="A2686" t="s">
        <v>5</v>
      </c>
      <c r="B2686" s="1">
        <v>45769</v>
      </c>
      <c r="C2686">
        <v>22</v>
      </c>
      <c r="D2686">
        <v>0.70099999999999996</v>
      </c>
      <c r="E2686" t="s">
        <v>6</v>
      </c>
      <c r="F2686">
        <v>0.26139999999999997</v>
      </c>
    </row>
    <row r="2687" spans="1:6" x14ac:dyDescent="0.3">
      <c r="A2687" t="s">
        <v>5</v>
      </c>
      <c r="B2687" s="1">
        <v>45769</v>
      </c>
      <c r="C2687">
        <v>23</v>
      </c>
      <c r="D2687">
        <v>0.153</v>
      </c>
      <c r="E2687" t="s">
        <v>6</v>
      </c>
      <c r="F2687">
        <v>0.17147000000000001</v>
      </c>
    </row>
    <row r="2688" spans="1:6" x14ac:dyDescent="0.3">
      <c r="A2688" t="s">
        <v>5</v>
      </c>
      <c r="B2688" s="1">
        <v>45769</v>
      </c>
      <c r="C2688">
        <v>24</v>
      </c>
      <c r="D2688">
        <v>0.11899999999999999</v>
      </c>
      <c r="E2688" t="s">
        <v>6</v>
      </c>
      <c r="F2688">
        <v>0.13899</v>
      </c>
    </row>
    <row r="2689" spans="1:6" x14ac:dyDescent="0.3">
      <c r="A2689" t="s">
        <v>5</v>
      </c>
      <c r="B2689" s="1">
        <v>45770</v>
      </c>
      <c r="C2689">
        <v>1</v>
      </c>
      <c r="D2689">
        <v>9.4E-2</v>
      </c>
      <c r="E2689" t="s">
        <v>6</v>
      </c>
      <c r="F2689">
        <v>0.12703</v>
      </c>
    </row>
    <row r="2690" spans="1:6" x14ac:dyDescent="0.3">
      <c r="A2690" t="s">
        <v>5</v>
      </c>
      <c r="B2690" s="1">
        <v>45770</v>
      </c>
      <c r="C2690">
        <v>2</v>
      </c>
      <c r="D2690">
        <v>8.5999999999999993E-2</v>
      </c>
      <c r="E2690" t="s">
        <v>6</v>
      </c>
      <c r="F2690">
        <v>0.11716</v>
      </c>
    </row>
    <row r="2691" spans="1:6" x14ac:dyDescent="0.3">
      <c r="A2691" t="s">
        <v>5</v>
      </c>
      <c r="B2691" s="1">
        <v>45770</v>
      </c>
      <c r="C2691">
        <v>3</v>
      </c>
      <c r="D2691">
        <v>0.09</v>
      </c>
      <c r="E2691" t="s">
        <v>6</v>
      </c>
      <c r="F2691">
        <v>0.12284</v>
      </c>
    </row>
    <row r="2692" spans="1:6" x14ac:dyDescent="0.3">
      <c r="A2692" t="s">
        <v>5</v>
      </c>
      <c r="B2692" s="1">
        <v>45770</v>
      </c>
      <c r="C2692">
        <v>4</v>
      </c>
      <c r="D2692">
        <v>9.8000000000000004E-2</v>
      </c>
      <c r="E2692" t="s">
        <v>6</v>
      </c>
      <c r="F2692">
        <v>0.11233</v>
      </c>
    </row>
    <row r="2693" spans="1:6" x14ac:dyDescent="0.3">
      <c r="A2693" t="s">
        <v>5</v>
      </c>
      <c r="B2693" s="1">
        <v>45770</v>
      </c>
      <c r="C2693">
        <v>5</v>
      </c>
      <c r="D2693">
        <v>0.21099999999999999</v>
      </c>
      <c r="E2693" t="s">
        <v>6</v>
      </c>
      <c r="F2693">
        <v>0.11022</v>
      </c>
    </row>
    <row r="2694" spans="1:6" x14ac:dyDescent="0.3">
      <c r="A2694" t="s">
        <v>5</v>
      </c>
      <c r="B2694" s="1">
        <v>45770</v>
      </c>
      <c r="C2694">
        <v>6</v>
      </c>
      <c r="D2694">
        <v>0.161</v>
      </c>
      <c r="E2694" t="s">
        <v>6</v>
      </c>
      <c r="F2694">
        <v>0.11229</v>
      </c>
    </row>
    <row r="2695" spans="1:6" x14ac:dyDescent="0.3">
      <c r="A2695" t="s">
        <v>5</v>
      </c>
      <c r="B2695" s="1">
        <v>45770</v>
      </c>
      <c r="C2695">
        <v>7</v>
      </c>
      <c r="D2695">
        <v>0.13700000000000001</v>
      </c>
      <c r="E2695" t="s">
        <v>6</v>
      </c>
      <c r="F2695">
        <v>0.12195</v>
      </c>
    </row>
    <row r="2696" spans="1:6" x14ac:dyDescent="0.3">
      <c r="A2696" t="s">
        <v>5</v>
      </c>
      <c r="B2696" s="1">
        <v>45770</v>
      </c>
      <c r="C2696">
        <v>8</v>
      </c>
      <c r="D2696">
        <v>0.111</v>
      </c>
      <c r="E2696" t="s">
        <v>6</v>
      </c>
      <c r="F2696">
        <v>0.12537000000000001</v>
      </c>
    </row>
    <row r="2697" spans="1:6" x14ac:dyDescent="0.3">
      <c r="A2697" t="s">
        <v>5</v>
      </c>
      <c r="B2697" s="1">
        <v>45770</v>
      </c>
      <c r="C2697">
        <v>9</v>
      </c>
      <c r="D2697">
        <v>9.0999999999999998E-2</v>
      </c>
      <c r="E2697" t="s">
        <v>6</v>
      </c>
      <c r="F2697">
        <v>0.14363000000000001</v>
      </c>
    </row>
    <row r="2698" spans="1:6" x14ac:dyDescent="0.3">
      <c r="A2698" t="s">
        <v>5</v>
      </c>
      <c r="B2698" s="1">
        <v>45770</v>
      </c>
      <c r="C2698">
        <v>10</v>
      </c>
      <c r="D2698">
        <v>0.12</v>
      </c>
      <c r="E2698" t="s">
        <v>6</v>
      </c>
      <c r="F2698">
        <v>0.10798000000000001</v>
      </c>
    </row>
    <row r="2699" spans="1:6" x14ac:dyDescent="0.3">
      <c r="A2699" t="s">
        <v>5</v>
      </c>
      <c r="B2699" s="1">
        <v>45770</v>
      </c>
      <c r="C2699">
        <v>11</v>
      </c>
      <c r="D2699">
        <v>7.6999999999999999E-2</v>
      </c>
      <c r="E2699" t="s">
        <v>6</v>
      </c>
      <c r="F2699">
        <v>0.13447999999999999</v>
      </c>
    </row>
    <row r="2700" spans="1:6" x14ac:dyDescent="0.3">
      <c r="A2700" t="s">
        <v>5</v>
      </c>
      <c r="B2700" s="1">
        <v>45770</v>
      </c>
      <c r="C2700">
        <v>12</v>
      </c>
      <c r="D2700">
        <v>7.3999999999999996E-2</v>
      </c>
      <c r="E2700" t="s">
        <v>6</v>
      </c>
      <c r="F2700">
        <v>0.12603</v>
      </c>
    </row>
    <row r="2701" spans="1:6" x14ac:dyDescent="0.3">
      <c r="A2701" t="s">
        <v>5</v>
      </c>
      <c r="B2701" s="1">
        <v>45770</v>
      </c>
      <c r="C2701">
        <v>13</v>
      </c>
      <c r="D2701">
        <v>0.123</v>
      </c>
      <c r="E2701" t="s">
        <v>6</v>
      </c>
      <c r="F2701">
        <v>0.12156</v>
      </c>
    </row>
    <row r="2702" spans="1:6" x14ac:dyDescent="0.3">
      <c r="A2702" t="s">
        <v>5</v>
      </c>
      <c r="B2702" s="1">
        <v>45770</v>
      </c>
      <c r="C2702">
        <v>14</v>
      </c>
      <c r="D2702">
        <v>0.217</v>
      </c>
      <c r="E2702" t="s">
        <v>6</v>
      </c>
      <c r="F2702">
        <v>0.11835999999999999</v>
      </c>
    </row>
    <row r="2703" spans="1:6" x14ac:dyDescent="0.3">
      <c r="A2703" t="s">
        <v>5</v>
      </c>
      <c r="B2703" s="1">
        <v>45770</v>
      </c>
      <c r="C2703">
        <v>15</v>
      </c>
      <c r="D2703">
        <v>0.33</v>
      </c>
      <c r="E2703" t="s">
        <v>6</v>
      </c>
      <c r="F2703">
        <v>5.3490000000000003E-2</v>
      </c>
    </row>
    <row r="2704" spans="1:6" x14ac:dyDescent="0.3">
      <c r="A2704" t="s">
        <v>5</v>
      </c>
      <c r="B2704" s="1">
        <v>45770</v>
      </c>
      <c r="C2704">
        <v>16</v>
      </c>
      <c r="D2704">
        <v>0.17</v>
      </c>
      <c r="E2704" t="s">
        <v>6</v>
      </c>
      <c r="F2704">
        <v>5.3920000000000003E-2</v>
      </c>
    </row>
    <row r="2705" spans="1:6" x14ac:dyDescent="0.3">
      <c r="A2705" t="s">
        <v>5</v>
      </c>
      <c r="B2705" s="1">
        <v>45770</v>
      </c>
      <c r="C2705">
        <v>17</v>
      </c>
      <c r="D2705">
        <v>0.192</v>
      </c>
      <c r="E2705" t="s">
        <v>6</v>
      </c>
      <c r="F2705">
        <v>5.4280000000000002E-2</v>
      </c>
    </row>
    <row r="2706" spans="1:6" x14ac:dyDescent="0.3">
      <c r="A2706" t="s">
        <v>5</v>
      </c>
      <c r="B2706" s="1">
        <v>45770</v>
      </c>
      <c r="C2706">
        <v>18</v>
      </c>
      <c r="D2706">
        <v>0.245</v>
      </c>
      <c r="E2706" t="s">
        <v>6</v>
      </c>
      <c r="F2706">
        <v>5.4399999999999997E-2</v>
      </c>
    </row>
    <row r="2707" spans="1:6" x14ac:dyDescent="0.3">
      <c r="A2707" t="s">
        <v>5</v>
      </c>
      <c r="B2707" s="1">
        <v>45770</v>
      </c>
      <c r="C2707">
        <v>19</v>
      </c>
      <c r="D2707">
        <v>0.112</v>
      </c>
      <c r="E2707" t="s">
        <v>6</v>
      </c>
      <c r="F2707">
        <v>0.12669</v>
      </c>
    </row>
    <row r="2708" spans="1:6" x14ac:dyDescent="0.3">
      <c r="A2708" t="s">
        <v>5</v>
      </c>
      <c r="B2708" s="1">
        <v>45770</v>
      </c>
      <c r="C2708">
        <v>20</v>
      </c>
      <c r="D2708">
        <v>9.2999999999999999E-2</v>
      </c>
      <c r="E2708" t="s">
        <v>6</v>
      </c>
      <c r="F2708">
        <v>0.16083</v>
      </c>
    </row>
    <row r="2709" spans="1:6" x14ac:dyDescent="0.3">
      <c r="A2709" t="s">
        <v>5</v>
      </c>
      <c r="B2709" s="1">
        <v>45770</v>
      </c>
      <c r="C2709">
        <v>21</v>
      </c>
      <c r="D2709">
        <v>8.4000000000000005E-2</v>
      </c>
      <c r="E2709" t="s">
        <v>6</v>
      </c>
      <c r="F2709">
        <v>0.22384000000000001</v>
      </c>
    </row>
    <row r="2710" spans="1:6" x14ac:dyDescent="0.3">
      <c r="A2710" t="s">
        <v>5</v>
      </c>
      <c r="B2710" s="1">
        <v>45770</v>
      </c>
      <c r="C2710">
        <v>22</v>
      </c>
      <c r="D2710">
        <v>0.11</v>
      </c>
      <c r="E2710" t="s">
        <v>6</v>
      </c>
      <c r="F2710">
        <v>0.25779000000000002</v>
      </c>
    </row>
    <row r="2711" spans="1:6" x14ac:dyDescent="0.3">
      <c r="A2711" t="s">
        <v>5</v>
      </c>
      <c r="B2711" s="1">
        <v>45770</v>
      </c>
      <c r="C2711">
        <v>23</v>
      </c>
      <c r="D2711">
        <v>0.35099999999999998</v>
      </c>
      <c r="E2711" t="s">
        <v>6</v>
      </c>
      <c r="F2711">
        <v>0.18444999999999998</v>
      </c>
    </row>
    <row r="2712" spans="1:6" x14ac:dyDescent="0.3">
      <c r="A2712" t="s">
        <v>5</v>
      </c>
      <c r="B2712" s="1">
        <v>45770</v>
      </c>
      <c r="C2712">
        <v>24</v>
      </c>
      <c r="D2712">
        <v>0.152</v>
      </c>
      <c r="E2712" t="s">
        <v>6</v>
      </c>
      <c r="F2712">
        <v>0.15559000000000001</v>
      </c>
    </row>
    <row r="2713" spans="1:6" x14ac:dyDescent="0.3">
      <c r="A2713" t="s">
        <v>5</v>
      </c>
      <c r="B2713" s="1">
        <v>45771</v>
      </c>
      <c r="C2713">
        <v>1</v>
      </c>
      <c r="D2713">
        <v>9.2999999999999999E-2</v>
      </c>
      <c r="E2713" t="s">
        <v>6</v>
      </c>
      <c r="F2713">
        <v>0.12655</v>
      </c>
    </row>
    <row r="2714" spans="1:6" x14ac:dyDescent="0.3">
      <c r="A2714" t="s">
        <v>5</v>
      </c>
      <c r="B2714" s="1">
        <v>45771</v>
      </c>
      <c r="C2714">
        <v>2</v>
      </c>
      <c r="D2714">
        <v>7.6999999999999999E-2</v>
      </c>
      <c r="E2714" t="s">
        <v>6</v>
      </c>
      <c r="F2714">
        <v>0.10714</v>
      </c>
    </row>
    <row r="2715" spans="1:6" x14ac:dyDescent="0.3">
      <c r="A2715" t="s">
        <v>5</v>
      </c>
      <c r="B2715" s="1">
        <v>45771</v>
      </c>
      <c r="C2715">
        <v>3</v>
      </c>
      <c r="D2715">
        <v>0.107</v>
      </c>
      <c r="E2715" t="s">
        <v>6</v>
      </c>
      <c r="F2715">
        <v>0.10618000000000001</v>
      </c>
    </row>
    <row r="2716" spans="1:6" x14ac:dyDescent="0.3">
      <c r="A2716" t="s">
        <v>5</v>
      </c>
      <c r="B2716" s="1">
        <v>45771</v>
      </c>
      <c r="C2716">
        <v>4</v>
      </c>
      <c r="D2716">
        <v>7.0000000000000007E-2</v>
      </c>
      <c r="E2716" t="s">
        <v>6</v>
      </c>
      <c r="F2716">
        <v>0.10332</v>
      </c>
    </row>
    <row r="2717" spans="1:6" x14ac:dyDescent="0.3">
      <c r="A2717" t="s">
        <v>5</v>
      </c>
      <c r="B2717" s="1">
        <v>45771</v>
      </c>
      <c r="C2717">
        <v>5</v>
      </c>
      <c r="D2717">
        <v>8.4000000000000005E-2</v>
      </c>
      <c r="E2717" t="s">
        <v>6</v>
      </c>
      <c r="F2717">
        <v>0.10291</v>
      </c>
    </row>
    <row r="2718" spans="1:6" x14ac:dyDescent="0.3">
      <c r="A2718" t="s">
        <v>5</v>
      </c>
      <c r="B2718" s="1">
        <v>45771</v>
      </c>
      <c r="C2718">
        <v>6</v>
      </c>
      <c r="D2718">
        <v>0.374</v>
      </c>
      <c r="E2718" t="s">
        <v>6</v>
      </c>
      <c r="F2718">
        <v>0.10798000000000001</v>
      </c>
    </row>
    <row r="2719" spans="1:6" x14ac:dyDescent="0.3">
      <c r="A2719" t="s">
        <v>5</v>
      </c>
      <c r="B2719" s="1">
        <v>45771</v>
      </c>
      <c r="C2719">
        <v>7</v>
      </c>
      <c r="D2719">
        <v>0.78900000000000003</v>
      </c>
      <c r="E2719" t="s">
        <v>6</v>
      </c>
      <c r="F2719">
        <v>0.11302</v>
      </c>
    </row>
    <row r="2720" spans="1:6" x14ac:dyDescent="0.3">
      <c r="A2720" t="s">
        <v>5</v>
      </c>
      <c r="B2720" s="1">
        <v>45771</v>
      </c>
      <c r="C2720">
        <v>8</v>
      </c>
      <c r="D2720">
        <v>0.74</v>
      </c>
      <c r="E2720" t="s">
        <v>6</v>
      </c>
      <c r="F2720">
        <v>0.14021</v>
      </c>
    </row>
    <row r="2721" spans="1:6" x14ac:dyDescent="0.3">
      <c r="A2721" t="s">
        <v>5</v>
      </c>
      <c r="B2721" s="1">
        <v>45771</v>
      </c>
      <c r="C2721">
        <v>9</v>
      </c>
      <c r="D2721">
        <v>0.12</v>
      </c>
      <c r="E2721" t="s">
        <v>6</v>
      </c>
      <c r="F2721">
        <v>0.14413000000000001</v>
      </c>
    </row>
    <row r="2722" spans="1:6" x14ac:dyDescent="0.3">
      <c r="A2722" t="s">
        <v>5</v>
      </c>
      <c r="B2722" s="1">
        <v>45771</v>
      </c>
      <c r="C2722">
        <v>10</v>
      </c>
      <c r="D2722">
        <v>0.182</v>
      </c>
      <c r="E2722" t="s">
        <v>6</v>
      </c>
      <c r="F2722">
        <v>7.7920000000000003E-2</v>
      </c>
    </row>
    <row r="2723" spans="1:6" x14ac:dyDescent="0.3">
      <c r="A2723" t="s">
        <v>5</v>
      </c>
      <c r="B2723" s="1">
        <v>45771</v>
      </c>
      <c r="C2723">
        <v>11</v>
      </c>
      <c r="D2723">
        <v>9.6000000000000002E-2</v>
      </c>
      <c r="E2723" t="s">
        <v>6</v>
      </c>
      <c r="F2723">
        <v>0.12131</v>
      </c>
    </row>
    <row r="2724" spans="1:6" x14ac:dyDescent="0.3">
      <c r="A2724" t="s">
        <v>5</v>
      </c>
      <c r="B2724" s="1">
        <v>45771</v>
      </c>
      <c r="C2724">
        <v>12</v>
      </c>
      <c r="D2724">
        <v>0.13600000000000001</v>
      </c>
      <c r="E2724" t="s">
        <v>6</v>
      </c>
      <c r="F2724">
        <v>0.12006</v>
      </c>
    </row>
    <row r="2725" spans="1:6" x14ac:dyDescent="0.3">
      <c r="A2725" t="s">
        <v>5</v>
      </c>
      <c r="B2725" s="1">
        <v>45771</v>
      </c>
      <c r="C2725">
        <v>13</v>
      </c>
      <c r="D2725">
        <v>0.218</v>
      </c>
      <c r="E2725" t="s">
        <v>6</v>
      </c>
      <c r="F2725">
        <v>0.12027</v>
      </c>
    </row>
    <row r="2726" spans="1:6" x14ac:dyDescent="0.3">
      <c r="A2726" t="s">
        <v>5</v>
      </c>
      <c r="B2726" s="1">
        <v>45771</v>
      </c>
      <c r="C2726">
        <v>14</v>
      </c>
      <c r="D2726">
        <v>0.17899999999999999</v>
      </c>
      <c r="E2726" t="s">
        <v>6</v>
      </c>
      <c r="F2726">
        <v>0.11745999999999999</v>
      </c>
    </row>
    <row r="2727" spans="1:6" x14ac:dyDescent="0.3">
      <c r="A2727" t="s">
        <v>5</v>
      </c>
      <c r="B2727" s="1">
        <v>45771</v>
      </c>
      <c r="C2727">
        <v>15</v>
      </c>
      <c r="D2727">
        <v>0.20100000000000001</v>
      </c>
      <c r="E2727" t="s">
        <v>6</v>
      </c>
      <c r="F2727">
        <v>5.2789999999999997E-2</v>
      </c>
    </row>
    <row r="2728" spans="1:6" x14ac:dyDescent="0.3">
      <c r="A2728" t="s">
        <v>5</v>
      </c>
      <c r="B2728" s="1">
        <v>45771</v>
      </c>
      <c r="C2728">
        <v>16</v>
      </c>
      <c r="D2728">
        <v>0.108</v>
      </c>
      <c r="E2728" t="s">
        <v>6</v>
      </c>
      <c r="F2728">
        <v>5.3190000000000001E-2</v>
      </c>
    </row>
    <row r="2729" spans="1:6" x14ac:dyDescent="0.3">
      <c r="A2729" t="s">
        <v>5</v>
      </c>
      <c r="B2729" s="1">
        <v>45771</v>
      </c>
      <c r="C2729">
        <v>17</v>
      </c>
      <c r="D2729">
        <v>0.128</v>
      </c>
      <c r="E2729" t="s">
        <v>6</v>
      </c>
      <c r="F2729">
        <v>5.3749999999999999E-2</v>
      </c>
    </row>
    <row r="2730" spans="1:6" x14ac:dyDescent="0.3">
      <c r="A2730" t="s">
        <v>5</v>
      </c>
      <c r="B2730" s="1">
        <v>45771</v>
      </c>
      <c r="C2730">
        <v>18</v>
      </c>
      <c r="D2730">
        <v>0.13100000000000001</v>
      </c>
      <c r="E2730" t="s">
        <v>6</v>
      </c>
      <c r="F2730">
        <v>5.3829999999999996E-2</v>
      </c>
    </row>
    <row r="2731" spans="1:6" x14ac:dyDescent="0.3">
      <c r="A2731" t="s">
        <v>5</v>
      </c>
      <c r="B2731" s="1">
        <v>45771</v>
      </c>
      <c r="C2731">
        <v>19</v>
      </c>
      <c r="D2731">
        <v>0.17299999999999999</v>
      </c>
      <c r="E2731" t="s">
        <v>6</v>
      </c>
      <c r="F2731">
        <v>0.12594</v>
      </c>
    </row>
    <row r="2732" spans="1:6" x14ac:dyDescent="0.3">
      <c r="A2732" t="s">
        <v>5</v>
      </c>
      <c r="B2732" s="1">
        <v>45771</v>
      </c>
      <c r="C2732">
        <v>20</v>
      </c>
      <c r="D2732">
        <v>0.41499999999999998</v>
      </c>
      <c r="E2732" t="s">
        <v>6</v>
      </c>
      <c r="F2732">
        <v>0.17746000000000001</v>
      </c>
    </row>
    <row r="2733" spans="1:6" x14ac:dyDescent="0.3">
      <c r="A2733" t="s">
        <v>5</v>
      </c>
      <c r="B2733" s="1">
        <v>45771</v>
      </c>
      <c r="C2733">
        <v>21</v>
      </c>
      <c r="D2733">
        <v>0.44900000000000001</v>
      </c>
      <c r="E2733" t="s">
        <v>6</v>
      </c>
      <c r="F2733">
        <v>0.23813999999999999</v>
      </c>
    </row>
    <row r="2734" spans="1:6" x14ac:dyDescent="0.3">
      <c r="A2734" t="s">
        <v>5</v>
      </c>
      <c r="B2734" s="1">
        <v>45771</v>
      </c>
      <c r="C2734">
        <v>22</v>
      </c>
      <c r="D2734">
        <v>0.44900000000000001</v>
      </c>
      <c r="E2734" t="s">
        <v>6</v>
      </c>
      <c r="F2734">
        <v>0.25347999999999998</v>
      </c>
    </row>
    <row r="2735" spans="1:6" x14ac:dyDescent="0.3">
      <c r="A2735" t="s">
        <v>5</v>
      </c>
      <c r="B2735" s="1">
        <v>45771</v>
      </c>
      <c r="C2735">
        <v>23</v>
      </c>
      <c r="D2735">
        <v>0.35</v>
      </c>
      <c r="E2735" t="s">
        <v>6</v>
      </c>
      <c r="F2735">
        <v>0.18422999999999998</v>
      </c>
    </row>
    <row r="2736" spans="1:6" x14ac:dyDescent="0.3">
      <c r="A2736" t="s">
        <v>5</v>
      </c>
      <c r="B2736" s="1">
        <v>45771</v>
      </c>
      <c r="C2736">
        <v>24</v>
      </c>
      <c r="D2736">
        <v>0.376</v>
      </c>
      <c r="E2736" t="s">
        <v>6</v>
      </c>
      <c r="F2736">
        <v>0.17179</v>
      </c>
    </row>
    <row r="2737" spans="1:6" x14ac:dyDescent="0.3">
      <c r="A2737" t="s">
        <v>5</v>
      </c>
      <c r="B2737" s="1">
        <v>45772</v>
      </c>
      <c r="C2737">
        <v>1</v>
      </c>
      <c r="D2737">
        <v>0.19400000000000001</v>
      </c>
      <c r="E2737" t="s">
        <v>6</v>
      </c>
      <c r="F2737">
        <v>0.12623999999999999</v>
      </c>
    </row>
    <row r="2738" spans="1:6" x14ac:dyDescent="0.3">
      <c r="A2738" t="s">
        <v>5</v>
      </c>
      <c r="B2738" s="1">
        <v>45772</v>
      </c>
      <c r="C2738">
        <v>2</v>
      </c>
      <c r="D2738">
        <v>9.0999999999999998E-2</v>
      </c>
      <c r="E2738" t="s">
        <v>6</v>
      </c>
      <c r="F2738">
        <v>0.11768000000000001</v>
      </c>
    </row>
    <row r="2739" spans="1:6" x14ac:dyDescent="0.3">
      <c r="A2739" t="s">
        <v>5</v>
      </c>
      <c r="B2739" s="1">
        <v>45772</v>
      </c>
      <c r="C2739">
        <v>3</v>
      </c>
      <c r="D2739">
        <v>8.5000000000000006E-2</v>
      </c>
      <c r="E2739" t="s">
        <v>6</v>
      </c>
      <c r="F2739">
        <v>0.13261000000000001</v>
      </c>
    </row>
    <row r="2740" spans="1:6" x14ac:dyDescent="0.3">
      <c r="A2740" t="s">
        <v>5</v>
      </c>
      <c r="B2740" s="1">
        <v>45772</v>
      </c>
      <c r="C2740">
        <v>4</v>
      </c>
      <c r="D2740">
        <v>8.5000000000000006E-2</v>
      </c>
      <c r="E2740" t="s">
        <v>6</v>
      </c>
      <c r="F2740">
        <v>0.12104000000000001</v>
      </c>
    </row>
    <row r="2741" spans="1:6" x14ac:dyDescent="0.3">
      <c r="A2741" t="s">
        <v>5</v>
      </c>
      <c r="B2741" s="1">
        <v>45772</v>
      </c>
      <c r="C2741">
        <v>5</v>
      </c>
      <c r="D2741">
        <v>8.5000000000000006E-2</v>
      </c>
      <c r="E2741" t="s">
        <v>6</v>
      </c>
      <c r="F2741">
        <v>0.12544</v>
      </c>
    </row>
    <row r="2742" spans="1:6" x14ac:dyDescent="0.3">
      <c r="A2742" t="s">
        <v>5</v>
      </c>
      <c r="B2742" s="1">
        <v>45772</v>
      </c>
      <c r="C2742">
        <v>6</v>
      </c>
      <c r="D2742">
        <v>7.0999999999999994E-2</v>
      </c>
      <c r="E2742" t="s">
        <v>6</v>
      </c>
      <c r="F2742">
        <v>0.13291999999999998</v>
      </c>
    </row>
    <row r="2743" spans="1:6" x14ac:dyDescent="0.3">
      <c r="A2743" t="s">
        <v>5</v>
      </c>
      <c r="B2743" s="1">
        <v>45772</v>
      </c>
      <c r="C2743">
        <v>7</v>
      </c>
      <c r="D2743">
        <v>8.5999999999999993E-2</v>
      </c>
      <c r="E2743" t="s">
        <v>6</v>
      </c>
      <c r="F2743">
        <v>0.14238000000000001</v>
      </c>
    </row>
    <row r="2744" spans="1:6" x14ac:dyDescent="0.3">
      <c r="A2744" t="s">
        <v>5</v>
      </c>
      <c r="B2744" s="1">
        <v>45772</v>
      </c>
      <c r="C2744">
        <v>8</v>
      </c>
      <c r="D2744">
        <v>7.0000000000000007E-2</v>
      </c>
      <c r="E2744" t="s">
        <v>6</v>
      </c>
      <c r="F2744">
        <v>0.16131000000000001</v>
      </c>
    </row>
    <row r="2745" spans="1:6" x14ac:dyDescent="0.3">
      <c r="A2745" t="s">
        <v>5</v>
      </c>
      <c r="B2745" s="1">
        <v>45772</v>
      </c>
      <c r="C2745">
        <v>9</v>
      </c>
      <c r="D2745">
        <v>0.107</v>
      </c>
      <c r="E2745" t="s">
        <v>6</v>
      </c>
      <c r="F2745">
        <v>0.17312</v>
      </c>
    </row>
    <row r="2746" spans="1:6" x14ac:dyDescent="0.3">
      <c r="A2746" t="s">
        <v>5</v>
      </c>
      <c r="B2746" s="1">
        <v>45772</v>
      </c>
      <c r="C2746">
        <v>10</v>
      </c>
      <c r="D2746">
        <v>0.126</v>
      </c>
      <c r="E2746" t="s">
        <v>6</v>
      </c>
      <c r="F2746">
        <v>0.10345</v>
      </c>
    </row>
    <row r="2747" spans="1:6" x14ac:dyDescent="0.3">
      <c r="A2747" t="s">
        <v>5</v>
      </c>
      <c r="B2747" s="1">
        <v>45772</v>
      </c>
      <c r="C2747">
        <v>11</v>
      </c>
      <c r="D2747">
        <v>0.17399999999999999</v>
      </c>
      <c r="E2747" t="s">
        <v>6</v>
      </c>
      <c r="F2747">
        <v>0.13786999999999999</v>
      </c>
    </row>
    <row r="2748" spans="1:6" x14ac:dyDescent="0.3">
      <c r="A2748" t="s">
        <v>5</v>
      </c>
      <c r="B2748" s="1">
        <v>45772</v>
      </c>
      <c r="C2748">
        <v>12</v>
      </c>
      <c r="D2748">
        <v>9.7000000000000003E-2</v>
      </c>
      <c r="E2748" t="s">
        <v>6</v>
      </c>
      <c r="F2748">
        <v>0.12107</v>
      </c>
    </row>
    <row r="2749" spans="1:6" x14ac:dyDescent="0.3">
      <c r="A2749" t="s">
        <v>5</v>
      </c>
      <c r="B2749" s="1">
        <v>45772</v>
      </c>
      <c r="C2749">
        <v>13</v>
      </c>
      <c r="D2749">
        <v>6.9000000000000006E-2</v>
      </c>
      <c r="E2749" t="s">
        <v>6</v>
      </c>
      <c r="F2749">
        <v>0.12002</v>
      </c>
    </row>
    <row r="2750" spans="1:6" x14ac:dyDescent="0.3">
      <c r="A2750" t="s">
        <v>5</v>
      </c>
      <c r="B2750" s="1">
        <v>45772</v>
      </c>
      <c r="C2750">
        <v>14</v>
      </c>
      <c r="D2750">
        <v>8.8999999999999996E-2</v>
      </c>
      <c r="E2750" t="s">
        <v>6</v>
      </c>
      <c r="F2750">
        <v>0.1171</v>
      </c>
    </row>
    <row r="2751" spans="1:6" x14ac:dyDescent="0.3">
      <c r="A2751" t="s">
        <v>5</v>
      </c>
      <c r="B2751" s="1">
        <v>45772</v>
      </c>
      <c r="C2751">
        <v>15</v>
      </c>
      <c r="D2751">
        <v>6.6000000000000003E-2</v>
      </c>
      <c r="E2751" t="s">
        <v>6</v>
      </c>
      <c r="F2751">
        <v>5.2499999999999998E-2</v>
      </c>
    </row>
    <row r="2752" spans="1:6" x14ac:dyDescent="0.3">
      <c r="A2752" t="s">
        <v>5</v>
      </c>
      <c r="B2752" s="1">
        <v>45772</v>
      </c>
      <c r="C2752">
        <v>16</v>
      </c>
      <c r="D2752">
        <v>8.4000000000000005E-2</v>
      </c>
      <c r="E2752" t="s">
        <v>6</v>
      </c>
      <c r="F2752">
        <v>5.2780000000000001E-2</v>
      </c>
    </row>
    <row r="2753" spans="1:6" x14ac:dyDescent="0.3">
      <c r="A2753" t="s">
        <v>5</v>
      </c>
      <c r="B2753" s="1">
        <v>45772</v>
      </c>
      <c r="C2753">
        <v>17</v>
      </c>
      <c r="D2753">
        <v>7.0000000000000007E-2</v>
      </c>
      <c r="E2753" t="s">
        <v>6</v>
      </c>
      <c r="F2753">
        <v>5.3310000000000003E-2</v>
      </c>
    </row>
    <row r="2754" spans="1:6" x14ac:dyDescent="0.3">
      <c r="A2754" t="s">
        <v>5</v>
      </c>
      <c r="B2754" s="1">
        <v>45772</v>
      </c>
      <c r="C2754">
        <v>18</v>
      </c>
      <c r="D2754">
        <v>7.3999999999999996E-2</v>
      </c>
      <c r="E2754" t="s">
        <v>6</v>
      </c>
      <c r="F2754">
        <v>5.3859999999999998E-2</v>
      </c>
    </row>
    <row r="2755" spans="1:6" x14ac:dyDescent="0.3">
      <c r="A2755" t="s">
        <v>5</v>
      </c>
      <c r="B2755" s="1">
        <v>45772</v>
      </c>
      <c r="C2755">
        <v>19</v>
      </c>
      <c r="D2755">
        <v>8.1000000000000003E-2</v>
      </c>
      <c r="E2755" t="s">
        <v>6</v>
      </c>
      <c r="F2755">
        <v>0.12326999999999999</v>
      </c>
    </row>
    <row r="2756" spans="1:6" x14ac:dyDescent="0.3">
      <c r="A2756" t="s">
        <v>5</v>
      </c>
      <c r="B2756" s="1">
        <v>45772</v>
      </c>
      <c r="C2756">
        <v>20</v>
      </c>
      <c r="D2756">
        <v>6.6000000000000003E-2</v>
      </c>
      <c r="E2756" t="s">
        <v>6</v>
      </c>
      <c r="F2756">
        <v>0.14731</v>
      </c>
    </row>
    <row r="2757" spans="1:6" x14ac:dyDescent="0.3">
      <c r="A2757" t="s">
        <v>5</v>
      </c>
      <c r="B2757" s="1">
        <v>45772</v>
      </c>
      <c r="C2757">
        <v>21</v>
      </c>
      <c r="D2757">
        <v>8.6999999999999994E-2</v>
      </c>
      <c r="E2757" t="s">
        <v>6</v>
      </c>
      <c r="F2757">
        <v>0.21503</v>
      </c>
    </row>
    <row r="2758" spans="1:6" x14ac:dyDescent="0.3">
      <c r="A2758" t="s">
        <v>5</v>
      </c>
      <c r="B2758" s="1">
        <v>45772</v>
      </c>
      <c r="C2758">
        <v>22</v>
      </c>
      <c r="D2758">
        <v>6.5000000000000002E-2</v>
      </c>
      <c r="E2758" t="s">
        <v>6</v>
      </c>
      <c r="F2758">
        <v>0.24700999999999998</v>
      </c>
    </row>
    <row r="2759" spans="1:6" x14ac:dyDescent="0.3">
      <c r="A2759" t="s">
        <v>5</v>
      </c>
      <c r="B2759" s="1">
        <v>45772</v>
      </c>
      <c r="C2759">
        <v>23</v>
      </c>
      <c r="D2759">
        <v>8.1000000000000003E-2</v>
      </c>
      <c r="E2759" t="s">
        <v>6</v>
      </c>
      <c r="F2759">
        <v>0.14830000000000002</v>
      </c>
    </row>
    <row r="2760" spans="1:6" x14ac:dyDescent="0.3">
      <c r="A2760" t="s">
        <v>5</v>
      </c>
      <c r="B2760" s="1">
        <v>45772</v>
      </c>
      <c r="C2760">
        <v>24</v>
      </c>
      <c r="D2760">
        <v>7.1999999999999995E-2</v>
      </c>
      <c r="E2760" t="s">
        <v>6</v>
      </c>
      <c r="F2760">
        <v>0.10672</v>
      </c>
    </row>
    <row r="2761" spans="1:6" x14ac:dyDescent="0.3">
      <c r="A2761" t="s">
        <v>5</v>
      </c>
      <c r="B2761" s="1">
        <v>45773</v>
      </c>
      <c r="C2761">
        <v>1</v>
      </c>
      <c r="D2761">
        <v>7.0999999999999994E-2</v>
      </c>
      <c r="E2761" t="s">
        <v>6</v>
      </c>
      <c r="F2761">
        <v>8.7680000000000008E-2</v>
      </c>
    </row>
    <row r="2762" spans="1:6" x14ac:dyDescent="0.3">
      <c r="A2762" t="s">
        <v>5</v>
      </c>
      <c r="B2762" s="1">
        <v>45773</v>
      </c>
      <c r="C2762">
        <v>2</v>
      </c>
      <c r="D2762">
        <v>8.2000000000000003E-2</v>
      </c>
      <c r="E2762" t="s">
        <v>6</v>
      </c>
      <c r="F2762">
        <v>7.6730000000000007E-2</v>
      </c>
    </row>
    <row r="2763" spans="1:6" x14ac:dyDescent="0.3">
      <c r="A2763" t="s">
        <v>5</v>
      </c>
      <c r="B2763" s="1">
        <v>45773</v>
      </c>
      <c r="C2763">
        <v>3</v>
      </c>
      <c r="D2763">
        <v>6.6000000000000003E-2</v>
      </c>
      <c r="E2763" t="s">
        <v>6</v>
      </c>
      <c r="F2763">
        <v>8.1430000000000002E-2</v>
      </c>
    </row>
    <row r="2764" spans="1:6" x14ac:dyDescent="0.3">
      <c r="A2764" t="s">
        <v>5</v>
      </c>
      <c r="B2764" s="1">
        <v>45773</v>
      </c>
      <c r="C2764">
        <v>4</v>
      </c>
      <c r="D2764">
        <v>8.5999999999999993E-2</v>
      </c>
      <c r="E2764" t="s">
        <v>6</v>
      </c>
      <c r="F2764">
        <v>8.0579999999999999E-2</v>
      </c>
    </row>
    <row r="2765" spans="1:6" x14ac:dyDescent="0.3">
      <c r="A2765" t="s">
        <v>5</v>
      </c>
      <c r="B2765" s="1">
        <v>45773</v>
      </c>
      <c r="C2765">
        <v>5</v>
      </c>
      <c r="D2765">
        <v>6.6000000000000003E-2</v>
      </c>
      <c r="E2765" t="s">
        <v>6</v>
      </c>
      <c r="F2765">
        <v>8.1209999999999991E-2</v>
      </c>
    </row>
    <row r="2766" spans="1:6" x14ac:dyDescent="0.3">
      <c r="A2766" t="s">
        <v>5</v>
      </c>
      <c r="B2766" s="1">
        <v>45773</v>
      </c>
      <c r="C2766">
        <v>6</v>
      </c>
      <c r="D2766">
        <v>7.4999999999999997E-2</v>
      </c>
      <c r="E2766" t="s">
        <v>6</v>
      </c>
      <c r="F2766">
        <v>7.937000000000001E-2</v>
      </c>
    </row>
    <row r="2767" spans="1:6" x14ac:dyDescent="0.3">
      <c r="A2767" t="s">
        <v>5</v>
      </c>
      <c r="B2767" s="1">
        <v>45773</v>
      </c>
      <c r="C2767">
        <v>7</v>
      </c>
      <c r="D2767">
        <v>7.6999999999999999E-2</v>
      </c>
      <c r="E2767" t="s">
        <v>6</v>
      </c>
      <c r="F2767">
        <v>8.1230000000000011E-2</v>
      </c>
    </row>
    <row r="2768" spans="1:6" x14ac:dyDescent="0.3">
      <c r="A2768" t="s">
        <v>5</v>
      </c>
      <c r="B2768" s="1">
        <v>45773</v>
      </c>
      <c r="C2768">
        <v>8</v>
      </c>
      <c r="D2768">
        <v>6.5000000000000002E-2</v>
      </c>
      <c r="E2768" t="s">
        <v>6</v>
      </c>
      <c r="F2768">
        <v>8.1129999999999994E-2</v>
      </c>
    </row>
    <row r="2769" spans="1:6" x14ac:dyDescent="0.3">
      <c r="A2769" t="s">
        <v>5</v>
      </c>
      <c r="B2769" s="1">
        <v>45773</v>
      </c>
      <c r="C2769">
        <v>9</v>
      </c>
      <c r="D2769">
        <v>8.5999999999999993E-2</v>
      </c>
      <c r="E2769" t="s">
        <v>6</v>
      </c>
      <c r="F2769">
        <v>7.009E-2</v>
      </c>
    </row>
    <row r="2770" spans="1:6" x14ac:dyDescent="0.3">
      <c r="A2770" t="s">
        <v>5</v>
      </c>
      <c r="B2770" s="1">
        <v>45773</v>
      </c>
      <c r="C2770">
        <v>10</v>
      </c>
      <c r="D2770">
        <v>6.5000000000000002E-2</v>
      </c>
      <c r="E2770" t="s">
        <v>6</v>
      </c>
      <c r="F2770">
        <v>5.4560000000000004E-2</v>
      </c>
    </row>
    <row r="2771" spans="1:6" x14ac:dyDescent="0.3">
      <c r="A2771" t="s">
        <v>5</v>
      </c>
      <c r="B2771" s="1">
        <v>45773</v>
      </c>
      <c r="C2771">
        <v>11</v>
      </c>
      <c r="D2771">
        <v>7.6999999999999999E-2</v>
      </c>
      <c r="E2771" t="s">
        <v>6</v>
      </c>
      <c r="F2771">
        <v>5.2600000000000001E-2</v>
      </c>
    </row>
    <row r="2772" spans="1:6" x14ac:dyDescent="0.3">
      <c r="A2772" t="s">
        <v>5</v>
      </c>
      <c r="B2772" s="1">
        <v>45773</v>
      </c>
      <c r="C2772">
        <v>12</v>
      </c>
      <c r="D2772">
        <v>7.3999999999999996E-2</v>
      </c>
      <c r="E2772" t="s">
        <v>6</v>
      </c>
      <c r="F2772">
        <v>5.1139999999999998E-2</v>
      </c>
    </row>
    <row r="2773" spans="1:6" x14ac:dyDescent="0.3">
      <c r="A2773" t="s">
        <v>5</v>
      </c>
      <c r="B2773" s="1">
        <v>45773</v>
      </c>
      <c r="C2773">
        <v>13</v>
      </c>
      <c r="D2773">
        <v>0.09</v>
      </c>
      <c r="E2773" t="s">
        <v>6</v>
      </c>
      <c r="F2773">
        <v>5.0619999999999998E-2</v>
      </c>
    </row>
    <row r="2774" spans="1:6" x14ac:dyDescent="0.3">
      <c r="A2774" t="s">
        <v>5</v>
      </c>
      <c r="B2774" s="1">
        <v>45773</v>
      </c>
      <c r="C2774">
        <v>14</v>
      </c>
      <c r="D2774">
        <v>0.15</v>
      </c>
      <c r="E2774" t="s">
        <v>6</v>
      </c>
      <c r="F2774">
        <v>5.0270000000000002E-2</v>
      </c>
    </row>
    <row r="2775" spans="1:6" x14ac:dyDescent="0.3">
      <c r="A2775" t="s">
        <v>5</v>
      </c>
      <c r="B2775" s="1">
        <v>45773</v>
      </c>
      <c r="C2775">
        <v>15</v>
      </c>
      <c r="D2775">
        <v>9.7000000000000003E-2</v>
      </c>
      <c r="E2775" t="s">
        <v>6</v>
      </c>
      <c r="F2775">
        <v>4.9430000000000002E-2</v>
      </c>
    </row>
    <row r="2776" spans="1:6" x14ac:dyDescent="0.3">
      <c r="A2776" t="s">
        <v>5</v>
      </c>
      <c r="B2776" s="1">
        <v>45773</v>
      </c>
      <c r="C2776">
        <v>16</v>
      </c>
      <c r="D2776">
        <v>6.5000000000000002E-2</v>
      </c>
      <c r="E2776" t="s">
        <v>6</v>
      </c>
      <c r="F2776">
        <v>5.0610000000000002E-2</v>
      </c>
    </row>
    <row r="2777" spans="1:6" x14ac:dyDescent="0.3">
      <c r="A2777" t="s">
        <v>5</v>
      </c>
      <c r="B2777" s="1">
        <v>45773</v>
      </c>
      <c r="C2777">
        <v>17</v>
      </c>
      <c r="D2777">
        <v>8.5999999999999993E-2</v>
      </c>
      <c r="E2777" t="s">
        <v>6</v>
      </c>
      <c r="F2777">
        <v>5.1470000000000002E-2</v>
      </c>
    </row>
    <row r="2778" spans="1:6" x14ac:dyDescent="0.3">
      <c r="A2778" t="s">
        <v>5</v>
      </c>
      <c r="B2778" s="1">
        <v>45773</v>
      </c>
      <c r="C2778">
        <v>18</v>
      </c>
      <c r="D2778">
        <v>6.4000000000000001E-2</v>
      </c>
      <c r="E2778" t="s">
        <v>6</v>
      </c>
      <c r="F2778">
        <v>5.2229999999999999E-2</v>
      </c>
    </row>
    <row r="2779" spans="1:6" x14ac:dyDescent="0.3">
      <c r="A2779" t="s">
        <v>5</v>
      </c>
      <c r="B2779" s="1">
        <v>45773</v>
      </c>
      <c r="C2779">
        <v>19</v>
      </c>
      <c r="D2779">
        <v>8.4000000000000005E-2</v>
      </c>
      <c r="E2779" t="s">
        <v>6</v>
      </c>
      <c r="F2779">
        <v>5.1189999999999999E-2</v>
      </c>
    </row>
    <row r="2780" spans="1:6" x14ac:dyDescent="0.3">
      <c r="A2780" t="s">
        <v>5</v>
      </c>
      <c r="B2780" s="1">
        <v>45773</v>
      </c>
      <c r="C2780">
        <v>20</v>
      </c>
      <c r="D2780">
        <v>6.3E-2</v>
      </c>
      <c r="E2780" t="s">
        <v>6</v>
      </c>
      <c r="F2780">
        <v>5.3719999999999997E-2</v>
      </c>
    </row>
    <row r="2781" spans="1:6" x14ac:dyDescent="0.3">
      <c r="A2781" t="s">
        <v>5</v>
      </c>
      <c r="B2781" s="1">
        <v>45773</v>
      </c>
      <c r="C2781">
        <v>21</v>
      </c>
      <c r="D2781">
        <v>8.4000000000000005E-2</v>
      </c>
      <c r="E2781" t="s">
        <v>6</v>
      </c>
      <c r="F2781">
        <v>6.584000000000001E-2</v>
      </c>
    </row>
    <row r="2782" spans="1:6" x14ac:dyDescent="0.3">
      <c r="A2782" t="s">
        <v>5</v>
      </c>
      <c r="B2782" s="1">
        <v>45773</v>
      </c>
      <c r="C2782">
        <v>22</v>
      </c>
      <c r="D2782">
        <v>6.4000000000000001E-2</v>
      </c>
      <c r="E2782" t="s">
        <v>6</v>
      </c>
      <c r="F2782">
        <v>8.0610000000000001E-2</v>
      </c>
    </row>
    <row r="2783" spans="1:6" x14ac:dyDescent="0.3">
      <c r="A2783" t="s">
        <v>5</v>
      </c>
      <c r="B2783" s="1">
        <v>45773</v>
      </c>
      <c r="C2783">
        <v>23</v>
      </c>
      <c r="D2783">
        <v>8.3000000000000004E-2</v>
      </c>
      <c r="E2783" t="s">
        <v>6</v>
      </c>
      <c r="F2783">
        <v>7.639E-2</v>
      </c>
    </row>
    <row r="2784" spans="1:6" x14ac:dyDescent="0.3">
      <c r="A2784" t="s">
        <v>5</v>
      </c>
      <c r="B2784" s="1">
        <v>45773</v>
      </c>
      <c r="C2784">
        <v>24</v>
      </c>
      <c r="D2784">
        <v>6.4000000000000001E-2</v>
      </c>
      <c r="E2784" t="s">
        <v>6</v>
      </c>
      <c r="F2784">
        <v>7.5109999999999996E-2</v>
      </c>
    </row>
    <row r="2785" spans="1:6" x14ac:dyDescent="0.3">
      <c r="A2785" t="s">
        <v>5</v>
      </c>
      <c r="B2785" s="1">
        <v>45774</v>
      </c>
      <c r="C2785">
        <v>1</v>
      </c>
      <c r="D2785">
        <v>8.3000000000000004E-2</v>
      </c>
      <c r="E2785" t="s">
        <v>6</v>
      </c>
      <c r="F2785">
        <v>8.9760000000000006E-2</v>
      </c>
    </row>
    <row r="2786" spans="1:6" x14ac:dyDescent="0.3">
      <c r="A2786" t="s">
        <v>5</v>
      </c>
      <c r="B2786" s="1">
        <v>45774</v>
      </c>
      <c r="C2786">
        <v>2</v>
      </c>
      <c r="D2786">
        <v>6.4000000000000001E-2</v>
      </c>
      <c r="E2786" t="s">
        <v>6</v>
      </c>
      <c r="F2786">
        <v>8.4360000000000004E-2</v>
      </c>
    </row>
    <row r="2787" spans="1:6" x14ac:dyDescent="0.3">
      <c r="A2787" t="s">
        <v>5</v>
      </c>
      <c r="B2787" s="1">
        <v>45774</v>
      </c>
      <c r="C2787">
        <v>3</v>
      </c>
      <c r="D2787">
        <v>8.3000000000000004E-2</v>
      </c>
      <c r="E2787" t="s">
        <v>6</v>
      </c>
      <c r="F2787">
        <v>8.3720000000000003E-2</v>
      </c>
    </row>
    <row r="2788" spans="1:6" x14ac:dyDescent="0.3">
      <c r="A2788" t="s">
        <v>5</v>
      </c>
      <c r="B2788" s="1">
        <v>45774</v>
      </c>
      <c r="C2788">
        <v>4</v>
      </c>
      <c r="D2788">
        <v>6.4000000000000001E-2</v>
      </c>
      <c r="E2788" t="s">
        <v>6</v>
      </c>
      <c r="F2788">
        <v>8.6510000000000004E-2</v>
      </c>
    </row>
    <row r="2789" spans="1:6" x14ac:dyDescent="0.3">
      <c r="A2789" t="s">
        <v>5</v>
      </c>
      <c r="B2789" s="1">
        <v>45774</v>
      </c>
      <c r="C2789">
        <v>5</v>
      </c>
      <c r="D2789">
        <v>8.4000000000000005E-2</v>
      </c>
      <c r="E2789" t="s">
        <v>6</v>
      </c>
      <c r="F2789">
        <v>8.6900000000000005E-2</v>
      </c>
    </row>
    <row r="2790" spans="1:6" x14ac:dyDescent="0.3">
      <c r="A2790" t="s">
        <v>5</v>
      </c>
      <c r="B2790" s="1">
        <v>45774</v>
      </c>
      <c r="C2790">
        <v>6</v>
      </c>
      <c r="D2790">
        <v>8.6999999999999994E-2</v>
      </c>
      <c r="E2790" t="s">
        <v>6</v>
      </c>
      <c r="F2790">
        <v>8.6489999999999997E-2</v>
      </c>
    </row>
    <row r="2791" spans="1:6" x14ac:dyDescent="0.3">
      <c r="A2791" t="s">
        <v>5</v>
      </c>
      <c r="B2791" s="1">
        <v>45774</v>
      </c>
      <c r="C2791">
        <v>7</v>
      </c>
      <c r="D2791">
        <v>0.13400000000000001</v>
      </c>
      <c r="E2791" t="s">
        <v>6</v>
      </c>
      <c r="F2791">
        <v>8.4000000000000005E-2</v>
      </c>
    </row>
    <row r="2792" spans="1:6" x14ac:dyDescent="0.3">
      <c r="A2792" t="s">
        <v>5</v>
      </c>
      <c r="B2792" s="1">
        <v>45774</v>
      </c>
      <c r="C2792">
        <v>8</v>
      </c>
      <c r="D2792">
        <v>6.4000000000000001E-2</v>
      </c>
      <c r="E2792" t="s">
        <v>6</v>
      </c>
      <c r="F2792">
        <v>8.3510000000000001E-2</v>
      </c>
    </row>
    <row r="2793" spans="1:6" x14ac:dyDescent="0.3">
      <c r="A2793" t="s">
        <v>5</v>
      </c>
      <c r="B2793" s="1">
        <v>45774</v>
      </c>
      <c r="C2793">
        <v>9</v>
      </c>
      <c r="D2793">
        <v>8.2000000000000003E-2</v>
      </c>
      <c r="E2793" t="s">
        <v>6</v>
      </c>
      <c r="F2793">
        <v>7.0680000000000007E-2</v>
      </c>
    </row>
    <row r="2794" spans="1:6" x14ac:dyDescent="0.3">
      <c r="A2794" t="s">
        <v>5</v>
      </c>
      <c r="B2794" s="1">
        <v>45774</v>
      </c>
      <c r="C2794">
        <v>10</v>
      </c>
      <c r="D2794">
        <v>6.6000000000000003E-2</v>
      </c>
      <c r="E2794" t="s">
        <v>6</v>
      </c>
      <c r="F2794">
        <v>5.9409999999999998E-2</v>
      </c>
    </row>
    <row r="2795" spans="1:6" x14ac:dyDescent="0.3">
      <c r="A2795" t="s">
        <v>5</v>
      </c>
      <c r="B2795" s="1">
        <v>45774</v>
      </c>
      <c r="C2795">
        <v>11</v>
      </c>
      <c r="D2795">
        <v>7.8E-2</v>
      </c>
      <c r="E2795" t="s">
        <v>6</v>
      </c>
      <c r="F2795">
        <v>5.6809999999999999E-2</v>
      </c>
    </row>
    <row r="2796" spans="1:6" x14ac:dyDescent="0.3">
      <c r="A2796" t="s">
        <v>5</v>
      </c>
      <c r="B2796" s="1">
        <v>45774</v>
      </c>
      <c r="C2796">
        <v>12</v>
      </c>
      <c r="D2796">
        <v>6.8000000000000005E-2</v>
      </c>
      <c r="E2796" t="s">
        <v>6</v>
      </c>
      <c r="F2796">
        <v>5.4689999999999996E-2</v>
      </c>
    </row>
    <row r="2797" spans="1:6" x14ac:dyDescent="0.3">
      <c r="A2797" t="s">
        <v>5</v>
      </c>
      <c r="B2797" s="1">
        <v>45774</v>
      </c>
      <c r="C2797">
        <v>13</v>
      </c>
      <c r="D2797">
        <v>7.6999999999999999E-2</v>
      </c>
      <c r="E2797" t="s">
        <v>6</v>
      </c>
      <c r="F2797">
        <v>5.4439999999999995E-2</v>
      </c>
    </row>
    <row r="2798" spans="1:6" x14ac:dyDescent="0.3">
      <c r="A2798" t="s">
        <v>5</v>
      </c>
      <c r="B2798" s="1">
        <v>45774</v>
      </c>
      <c r="C2798">
        <v>14</v>
      </c>
      <c r="D2798">
        <v>7.1999999999999995E-2</v>
      </c>
      <c r="E2798" t="s">
        <v>6</v>
      </c>
      <c r="F2798">
        <v>5.3619999999999994E-2</v>
      </c>
    </row>
    <row r="2799" spans="1:6" x14ac:dyDescent="0.3">
      <c r="A2799" t="s">
        <v>5</v>
      </c>
      <c r="B2799" s="1">
        <v>45774</v>
      </c>
      <c r="C2799">
        <v>15</v>
      </c>
      <c r="D2799">
        <v>7.0999999999999994E-2</v>
      </c>
      <c r="E2799" t="s">
        <v>6</v>
      </c>
      <c r="F2799">
        <v>5.391E-2</v>
      </c>
    </row>
    <row r="2800" spans="1:6" x14ac:dyDescent="0.3">
      <c r="A2800" t="s">
        <v>5</v>
      </c>
      <c r="B2800" s="1">
        <v>45774</v>
      </c>
      <c r="C2800">
        <v>16</v>
      </c>
      <c r="D2800">
        <v>7.5999999999999998E-2</v>
      </c>
      <c r="E2800" t="s">
        <v>6</v>
      </c>
      <c r="F2800">
        <v>5.4950000000000006E-2</v>
      </c>
    </row>
    <row r="2801" spans="1:6" x14ac:dyDescent="0.3">
      <c r="A2801" t="s">
        <v>5</v>
      </c>
      <c r="B2801" s="1">
        <v>45774</v>
      </c>
      <c r="C2801">
        <v>17</v>
      </c>
      <c r="D2801">
        <v>6.8000000000000005E-2</v>
      </c>
      <c r="E2801" t="s">
        <v>6</v>
      </c>
      <c r="F2801">
        <v>5.7090000000000002E-2</v>
      </c>
    </row>
    <row r="2802" spans="1:6" x14ac:dyDescent="0.3">
      <c r="A2802" t="s">
        <v>5</v>
      </c>
      <c r="B2802" s="1">
        <v>45774</v>
      </c>
      <c r="C2802">
        <v>18</v>
      </c>
      <c r="D2802">
        <v>0.08</v>
      </c>
      <c r="E2802" t="s">
        <v>6</v>
      </c>
      <c r="F2802">
        <v>5.9290000000000002E-2</v>
      </c>
    </row>
    <row r="2803" spans="1:6" x14ac:dyDescent="0.3">
      <c r="A2803" t="s">
        <v>5</v>
      </c>
      <c r="B2803" s="1">
        <v>45774</v>
      </c>
      <c r="C2803">
        <v>19</v>
      </c>
      <c r="D2803">
        <v>9.6000000000000002E-2</v>
      </c>
      <c r="E2803" t="s">
        <v>6</v>
      </c>
      <c r="F2803">
        <v>5.2240000000000002E-2</v>
      </c>
    </row>
    <row r="2804" spans="1:6" x14ac:dyDescent="0.3">
      <c r="A2804" t="s">
        <v>5</v>
      </c>
      <c r="B2804" s="1">
        <v>45774</v>
      </c>
      <c r="C2804">
        <v>20</v>
      </c>
      <c r="D2804">
        <v>0.6</v>
      </c>
      <c r="E2804" t="s">
        <v>6</v>
      </c>
      <c r="F2804">
        <v>5.8959999999999999E-2</v>
      </c>
    </row>
    <row r="2805" spans="1:6" x14ac:dyDescent="0.3">
      <c r="A2805" t="s">
        <v>5</v>
      </c>
      <c r="B2805" s="1">
        <v>45774</v>
      </c>
      <c r="C2805">
        <v>21</v>
      </c>
      <c r="D2805">
        <v>0.72099999999999997</v>
      </c>
      <c r="E2805" t="s">
        <v>6</v>
      </c>
      <c r="F2805">
        <v>9.3709999999999988E-2</v>
      </c>
    </row>
    <row r="2806" spans="1:6" x14ac:dyDescent="0.3">
      <c r="A2806" t="s">
        <v>5</v>
      </c>
      <c r="B2806" s="1">
        <v>45774</v>
      </c>
      <c r="C2806">
        <v>22</v>
      </c>
      <c r="D2806">
        <v>0.75700000000000001</v>
      </c>
      <c r="E2806" t="s">
        <v>6</v>
      </c>
      <c r="F2806">
        <v>0.16472000000000001</v>
      </c>
    </row>
    <row r="2807" spans="1:6" x14ac:dyDescent="0.3">
      <c r="A2807" t="s">
        <v>5</v>
      </c>
      <c r="B2807" s="1">
        <v>45774</v>
      </c>
      <c r="C2807">
        <v>23</v>
      </c>
      <c r="D2807">
        <v>8.1000000000000003E-2</v>
      </c>
      <c r="E2807" t="s">
        <v>6</v>
      </c>
      <c r="F2807">
        <v>0.14892</v>
      </c>
    </row>
    <row r="2808" spans="1:6" x14ac:dyDescent="0.3">
      <c r="A2808" t="s">
        <v>5</v>
      </c>
      <c r="B2808" s="1">
        <v>45774</v>
      </c>
      <c r="C2808">
        <v>24</v>
      </c>
      <c r="D2808">
        <v>0.20300000000000001</v>
      </c>
      <c r="E2808" t="s">
        <v>6</v>
      </c>
      <c r="F2808">
        <v>9.9569999999999992E-2</v>
      </c>
    </row>
    <row r="2809" spans="1:6" x14ac:dyDescent="0.3">
      <c r="A2809" t="s">
        <v>5</v>
      </c>
      <c r="B2809" s="1">
        <v>45775</v>
      </c>
      <c r="C2809">
        <v>1</v>
      </c>
      <c r="D2809">
        <v>0.16800000000000001</v>
      </c>
      <c r="E2809" t="s">
        <v>6</v>
      </c>
      <c r="F2809">
        <v>9.9089999999999998E-2</v>
      </c>
    </row>
    <row r="2810" spans="1:6" x14ac:dyDescent="0.3">
      <c r="A2810" t="s">
        <v>5</v>
      </c>
      <c r="B2810" s="1">
        <v>45775</v>
      </c>
      <c r="C2810">
        <v>2</v>
      </c>
      <c r="D2810">
        <v>8.7999999999999995E-2</v>
      </c>
      <c r="E2810" t="s">
        <v>6</v>
      </c>
      <c r="F2810">
        <v>9.2219999999999996E-2</v>
      </c>
    </row>
    <row r="2811" spans="1:6" x14ac:dyDescent="0.3">
      <c r="A2811" t="s">
        <v>5</v>
      </c>
      <c r="B2811" s="1">
        <v>45775</v>
      </c>
      <c r="C2811">
        <v>3</v>
      </c>
      <c r="D2811">
        <v>0.106</v>
      </c>
      <c r="E2811" t="s">
        <v>6</v>
      </c>
      <c r="F2811">
        <v>9.5500000000000002E-2</v>
      </c>
    </row>
    <row r="2812" spans="1:6" x14ac:dyDescent="0.3">
      <c r="A2812" t="s">
        <v>5</v>
      </c>
      <c r="B2812" s="1">
        <v>45775</v>
      </c>
      <c r="C2812">
        <v>4</v>
      </c>
      <c r="D2812">
        <v>0.08</v>
      </c>
      <c r="E2812" t="s">
        <v>6</v>
      </c>
      <c r="F2812">
        <v>9.6909999999999996E-2</v>
      </c>
    </row>
    <row r="2813" spans="1:6" x14ac:dyDescent="0.3">
      <c r="A2813" t="s">
        <v>5</v>
      </c>
      <c r="B2813" s="1">
        <v>45775</v>
      </c>
      <c r="C2813">
        <v>5</v>
      </c>
      <c r="D2813">
        <v>9.4E-2</v>
      </c>
      <c r="E2813" t="s">
        <v>6</v>
      </c>
      <c r="F2813">
        <v>9.6849999999999992E-2</v>
      </c>
    </row>
    <row r="2814" spans="1:6" x14ac:dyDescent="0.3">
      <c r="A2814" t="s">
        <v>5</v>
      </c>
      <c r="B2814" s="1">
        <v>45775</v>
      </c>
      <c r="C2814">
        <v>6</v>
      </c>
      <c r="D2814">
        <v>8.4000000000000005E-2</v>
      </c>
      <c r="E2814" t="s">
        <v>6</v>
      </c>
      <c r="F2814">
        <v>0.1018</v>
      </c>
    </row>
    <row r="2815" spans="1:6" x14ac:dyDescent="0.3">
      <c r="A2815" t="s">
        <v>5</v>
      </c>
      <c r="B2815" s="1">
        <v>45775</v>
      </c>
      <c r="C2815">
        <v>7</v>
      </c>
      <c r="D2815">
        <v>8.2000000000000003E-2</v>
      </c>
      <c r="E2815" t="s">
        <v>6</v>
      </c>
      <c r="F2815">
        <v>9.9319999999999992E-2</v>
      </c>
    </row>
    <row r="2816" spans="1:6" x14ac:dyDescent="0.3">
      <c r="A2816" t="s">
        <v>5</v>
      </c>
      <c r="B2816" s="1">
        <v>45775</v>
      </c>
      <c r="C2816">
        <v>8</v>
      </c>
      <c r="D2816">
        <v>0.16200000000000001</v>
      </c>
      <c r="E2816" t="s">
        <v>6</v>
      </c>
      <c r="F2816">
        <v>0.11595999999999999</v>
      </c>
    </row>
    <row r="2817" spans="1:6" x14ac:dyDescent="0.3">
      <c r="A2817" t="s">
        <v>5</v>
      </c>
      <c r="B2817" s="1">
        <v>45775</v>
      </c>
      <c r="C2817">
        <v>9</v>
      </c>
      <c r="D2817">
        <v>6.6000000000000003E-2</v>
      </c>
      <c r="E2817" t="s">
        <v>6</v>
      </c>
      <c r="F2817">
        <v>0.11123999999999999</v>
      </c>
    </row>
    <row r="2818" spans="1:6" x14ac:dyDescent="0.3">
      <c r="A2818" t="s">
        <v>5</v>
      </c>
      <c r="B2818" s="1">
        <v>45775</v>
      </c>
      <c r="C2818">
        <v>10</v>
      </c>
      <c r="D2818">
        <v>0.11799999999999999</v>
      </c>
      <c r="E2818" t="s">
        <v>6</v>
      </c>
      <c r="F2818">
        <v>7.5049999999999992E-2</v>
      </c>
    </row>
    <row r="2819" spans="1:6" x14ac:dyDescent="0.3">
      <c r="A2819" t="s">
        <v>5</v>
      </c>
      <c r="B2819" s="1">
        <v>45775</v>
      </c>
      <c r="C2819">
        <v>11</v>
      </c>
      <c r="D2819">
        <v>6.7000000000000004E-2</v>
      </c>
      <c r="E2819" t="s">
        <v>6</v>
      </c>
      <c r="F2819">
        <v>0.13582</v>
      </c>
    </row>
    <row r="2820" spans="1:6" x14ac:dyDescent="0.3">
      <c r="A2820" t="s">
        <v>5</v>
      </c>
      <c r="B2820" s="1">
        <v>45775</v>
      </c>
      <c r="C2820">
        <v>12</v>
      </c>
      <c r="D2820">
        <v>8.2000000000000003E-2</v>
      </c>
      <c r="E2820" t="s">
        <v>6</v>
      </c>
      <c r="F2820">
        <v>0.13586999999999999</v>
      </c>
    </row>
    <row r="2821" spans="1:6" x14ac:dyDescent="0.3">
      <c r="A2821" t="s">
        <v>5</v>
      </c>
      <c r="B2821" s="1">
        <v>45775</v>
      </c>
      <c r="C2821">
        <v>13</v>
      </c>
      <c r="D2821">
        <v>4.3999999999999997E-2</v>
      </c>
      <c r="E2821" t="s">
        <v>6</v>
      </c>
      <c r="F2821">
        <v>0.13475000000000001</v>
      </c>
    </row>
    <row r="2822" spans="1:6" x14ac:dyDescent="0.3">
      <c r="A2822" t="s">
        <v>5</v>
      </c>
      <c r="B2822" s="1">
        <v>45775</v>
      </c>
      <c r="C2822">
        <v>14</v>
      </c>
      <c r="D2822">
        <v>0</v>
      </c>
      <c r="E2822" t="s">
        <v>6</v>
      </c>
      <c r="F2822">
        <v>0.13034999999999999</v>
      </c>
    </row>
    <row r="2823" spans="1:6" x14ac:dyDescent="0.3">
      <c r="A2823" t="s">
        <v>5</v>
      </c>
      <c r="B2823" s="1">
        <v>45775</v>
      </c>
      <c r="C2823">
        <v>15</v>
      </c>
      <c r="D2823">
        <v>0</v>
      </c>
      <c r="E2823" t="s">
        <v>6</v>
      </c>
      <c r="F2823">
        <v>6.5379999999999994E-2</v>
      </c>
    </row>
    <row r="2824" spans="1:6" x14ac:dyDescent="0.3">
      <c r="A2824" t="s">
        <v>5</v>
      </c>
      <c r="B2824" s="1">
        <v>45775</v>
      </c>
      <c r="C2824">
        <v>16</v>
      </c>
      <c r="D2824">
        <v>0</v>
      </c>
      <c r="E2824" t="s">
        <v>6</v>
      </c>
      <c r="F2824">
        <v>6.7159999999999997E-2</v>
      </c>
    </row>
    <row r="2825" spans="1:6" x14ac:dyDescent="0.3">
      <c r="A2825" t="s">
        <v>5</v>
      </c>
      <c r="B2825" s="1">
        <v>45775</v>
      </c>
      <c r="C2825">
        <v>17</v>
      </c>
      <c r="D2825">
        <v>0</v>
      </c>
      <c r="E2825" t="s">
        <v>6</v>
      </c>
      <c r="F2825">
        <v>6.787E-2</v>
      </c>
    </row>
    <row r="2826" spans="1:6" x14ac:dyDescent="0.3">
      <c r="A2826" t="s">
        <v>5</v>
      </c>
      <c r="B2826" s="1">
        <v>45775</v>
      </c>
      <c r="C2826">
        <v>18</v>
      </c>
      <c r="D2826">
        <v>0</v>
      </c>
      <c r="E2826" t="s">
        <v>6</v>
      </c>
      <c r="F2826">
        <v>7.0279999999999995E-2</v>
      </c>
    </row>
    <row r="2827" spans="1:6" x14ac:dyDescent="0.3">
      <c r="A2827" t="s">
        <v>5</v>
      </c>
      <c r="B2827" s="1">
        <v>45775</v>
      </c>
      <c r="C2827">
        <v>19</v>
      </c>
      <c r="D2827">
        <v>0</v>
      </c>
      <c r="E2827" t="s">
        <v>6</v>
      </c>
      <c r="F2827">
        <v>0.13728000000000001</v>
      </c>
    </row>
    <row r="2828" spans="1:6" x14ac:dyDescent="0.3">
      <c r="A2828" t="s">
        <v>5</v>
      </c>
      <c r="B2828" s="1">
        <v>45775</v>
      </c>
      <c r="C2828">
        <v>20</v>
      </c>
      <c r="D2828">
        <v>0</v>
      </c>
      <c r="E2828" t="s">
        <v>6</v>
      </c>
      <c r="F2828">
        <v>0.14388000000000001</v>
      </c>
    </row>
    <row r="2829" spans="1:6" x14ac:dyDescent="0.3">
      <c r="A2829" t="s">
        <v>5</v>
      </c>
      <c r="B2829" s="1">
        <v>45775</v>
      </c>
      <c r="C2829">
        <v>21</v>
      </c>
      <c r="D2829">
        <v>0.129</v>
      </c>
      <c r="E2829" t="s">
        <v>6</v>
      </c>
      <c r="F2829">
        <v>0.18574000000000002</v>
      </c>
    </row>
    <row r="2830" spans="1:6" x14ac:dyDescent="0.3">
      <c r="A2830" t="s">
        <v>5</v>
      </c>
      <c r="B2830" s="1">
        <v>45775</v>
      </c>
      <c r="C2830">
        <v>22</v>
      </c>
      <c r="D2830">
        <v>0.58799999999999997</v>
      </c>
      <c r="E2830" t="s">
        <v>6</v>
      </c>
      <c r="F2830">
        <v>0.22941999999999999</v>
      </c>
    </row>
    <row r="2831" spans="1:6" x14ac:dyDescent="0.3">
      <c r="A2831" t="s">
        <v>5</v>
      </c>
      <c r="B2831" s="1">
        <v>45775</v>
      </c>
      <c r="C2831">
        <v>23</v>
      </c>
      <c r="D2831">
        <v>0.50600000000000001</v>
      </c>
      <c r="E2831" t="s">
        <v>6</v>
      </c>
      <c r="F2831">
        <v>0.14510000000000001</v>
      </c>
    </row>
    <row r="2832" spans="1:6" x14ac:dyDescent="0.3">
      <c r="A2832" t="s">
        <v>5</v>
      </c>
      <c r="B2832" s="1">
        <v>45775</v>
      </c>
      <c r="C2832">
        <v>24</v>
      </c>
      <c r="D2832">
        <v>0.34899999999999998</v>
      </c>
      <c r="E2832" t="s">
        <v>6</v>
      </c>
      <c r="F2832">
        <v>0.11612</v>
      </c>
    </row>
    <row r="2833" spans="1:6" x14ac:dyDescent="0.3">
      <c r="A2833" t="s">
        <v>5</v>
      </c>
      <c r="B2833" s="1">
        <v>45776</v>
      </c>
      <c r="C2833">
        <v>1</v>
      </c>
      <c r="D2833">
        <v>0.155</v>
      </c>
      <c r="E2833" t="s">
        <v>6</v>
      </c>
      <c r="F2833">
        <v>9.35E-2</v>
      </c>
    </row>
    <row r="2834" spans="1:6" x14ac:dyDescent="0.3">
      <c r="A2834" t="s">
        <v>5</v>
      </c>
      <c r="B2834" s="1">
        <v>45776</v>
      </c>
      <c r="C2834">
        <v>2</v>
      </c>
      <c r="D2834">
        <v>0.108</v>
      </c>
      <c r="E2834" t="s">
        <v>6</v>
      </c>
      <c r="F2834">
        <v>9.1739999999999988E-2</v>
      </c>
    </row>
    <row r="2835" spans="1:6" x14ac:dyDescent="0.3">
      <c r="A2835" t="s">
        <v>5</v>
      </c>
      <c r="B2835" s="1">
        <v>45776</v>
      </c>
      <c r="C2835">
        <v>3</v>
      </c>
      <c r="D2835">
        <v>7.0999999999999994E-2</v>
      </c>
      <c r="E2835" t="s">
        <v>6</v>
      </c>
      <c r="F2835">
        <v>9.4500000000000001E-2</v>
      </c>
    </row>
    <row r="2836" spans="1:6" x14ac:dyDescent="0.3">
      <c r="A2836" t="s">
        <v>5</v>
      </c>
      <c r="B2836" s="1">
        <v>45776</v>
      </c>
      <c r="C2836">
        <v>4</v>
      </c>
      <c r="D2836">
        <v>7.3999999999999996E-2</v>
      </c>
      <c r="E2836" t="s">
        <v>6</v>
      </c>
      <c r="F2836">
        <v>9.1219999999999996E-2</v>
      </c>
    </row>
    <row r="2837" spans="1:6" x14ac:dyDescent="0.3">
      <c r="A2837" t="s">
        <v>5</v>
      </c>
      <c r="B2837" s="1">
        <v>45776</v>
      </c>
      <c r="C2837">
        <v>5</v>
      </c>
      <c r="D2837">
        <v>6.5000000000000002E-2</v>
      </c>
      <c r="E2837" t="s">
        <v>6</v>
      </c>
      <c r="F2837">
        <v>9.104000000000001E-2</v>
      </c>
    </row>
    <row r="2838" spans="1:6" x14ac:dyDescent="0.3">
      <c r="A2838" t="s">
        <v>5</v>
      </c>
      <c r="B2838" s="1">
        <v>45776</v>
      </c>
      <c r="C2838">
        <v>6</v>
      </c>
      <c r="D2838">
        <v>7.0999999999999994E-2</v>
      </c>
      <c r="E2838" t="s">
        <v>6</v>
      </c>
      <c r="F2838">
        <v>8.9400000000000007E-2</v>
      </c>
    </row>
    <row r="2839" spans="1:6" x14ac:dyDescent="0.3">
      <c r="A2839" t="s">
        <v>5</v>
      </c>
      <c r="B2839" s="1">
        <v>45776</v>
      </c>
      <c r="C2839">
        <v>7</v>
      </c>
      <c r="D2839">
        <v>7.0000000000000007E-2</v>
      </c>
      <c r="E2839" t="s">
        <v>6</v>
      </c>
      <c r="F2839">
        <v>8.8800000000000004E-2</v>
      </c>
    </row>
    <row r="2840" spans="1:6" x14ac:dyDescent="0.3">
      <c r="A2840" t="s">
        <v>5</v>
      </c>
      <c r="B2840" s="1">
        <v>45776</v>
      </c>
      <c r="C2840">
        <v>8</v>
      </c>
      <c r="D2840">
        <v>0.13500000000000001</v>
      </c>
      <c r="E2840" t="s">
        <v>6</v>
      </c>
      <c r="F2840">
        <v>9.3670000000000003E-2</v>
      </c>
    </row>
    <row r="2841" spans="1:6" x14ac:dyDescent="0.3">
      <c r="A2841" t="s">
        <v>5</v>
      </c>
      <c r="B2841" s="1">
        <v>45776</v>
      </c>
      <c r="C2841">
        <v>9</v>
      </c>
      <c r="D2841">
        <v>0.104</v>
      </c>
      <c r="E2841" t="s">
        <v>6</v>
      </c>
      <c r="F2841">
        <v>0.11095999999999999</v>
      </c>
    </row>
    <row r="2842" spans="1:6" x14ac:dyDescent="0.3">
      <c r="A2842" t="s">
        <v>5</v>
      </c>
      <c r="B2842" s="1">
        <v>45776</v>
      </c>
      <c r="C2842">
        <v>10</v>
      </c>
      <c r="D2842">
        <v>9.8000000000000004E-2</v>
      </c>
      <c r="E2842" t="s">
        <v>6</v>
      </c>
      <c r="F2842">
        <v>0.10246</v>
      </c>
    </row>
    <row r="2843" spans="1:6" x14ac:dyDescent="0.3">
      <c r="A2843" t="s">
        <v>5</v>
      </c>
      <c r="B2843" s="1">
        <v>45776</v>
      </c>
      <c r="C2843">
        <v>11</v>
      </c>
      <c r="D2843">
        <v>0.06</v>
      </c>
      <c r="E2843" t="s">
        <v>6</v>
      </c>
      <c r="F2843">
        <v>0.16308</v>
      </c>
    </row>
    <row r="2844" spans="1:6" x14ac:dyDescent="0.3">
      <c r="A2844" t="s">
        <v>5</v>
      </c>
      <c r="B2844" s="1">
        <v>45776</v>
      </c>
      <c r="C2844">
        <v>12</v>
      </c>
      <c r="D2844">
        <v>6.8000000000000005E-2</v>
      </c>
      <c r="E2844" t="s">
        <v>6</v>
      </c>
      <c r="F2844">
        <v>0.15952000000000002</v>
      </c>
    </row>
    <row r="2845" spans="1:6" x14ac:dyDescent="0.3">
      <c r="A2845" t="s">
        <v>5</v>
      </c>
      <c r="B2845" s="1">
        <v>45776</v>
      </c>
      <c r="C2845">
        <v>13</v>
      </c>
      <c r="D2845">
        <v>0.18</v>
      </c>
      <c r="E2845" t="s">
        <v>6</v>
      </c>
      <c r="F2845">
        <v>0.15812999999999999</v>
      </c>
    </row>
    <row r="2846" spans="1:6" x14ac:dyDescent="0.3">
      <c r="A2846" t="s">
        <v>5</v>
      </c>
      <c r="B2846" s="1">
        <v>45776</v>
      </c>
      <c r="C2846">
        <v>14</v>
      </c>
      <c r="D2846">
        <v>0.41799999999999998</v>
      </c>
      <c r="E2846" t="s">
        <v>6</v>
      </c>
      <c r="F2846">
        <v>0.15408000000000002</v>
      </c>
    </row>
    <row r="2847" spans="1:6" x14ac:dyDescent="0.3">
      <c r="A2847" t="s">
        <v>5</v>
      </c>
      <c r="B2847" s="1">
        <v>45776</v>
      </c>
      <c r="C2847">
        <v>15</v>
      </c>
      <c r="D2847">
        <v>0.14299999999999999</v>
      </c>
      <c r="E2847" t="s">
        <v>6</v>
      </c>
      <c r="F2847">
        <v>9.079000000000001E-2</v>
      </c>
    </row>
    <row r="2848" spans="1:6" x14ac:dyDescent="0.3">
      <c r="A2848" t="s">
        <v>5</v>
      </c>
      <c r="B2848" s="1">
        <v>45776</v>
      </c>
      <c r="C2848">
        <v>16</v>
      </c>
      <c r="D2848">
        <v>0.111</v>
      </c>
      <c r="E2848" t="s">
        <v>6</v>
      </c>
      <c r="F2848">
        <v>9.2170000000000002E-2</v>
      </c>
    </row>
    <row r="2849" spans="1:6" x14ac:dyDescent="0.3">
      <c r="A2849" t="s">
        <v>5</v>
      </c>
      <c r="B2849" s="1">
        <v>45776</v>
      </c>
      <c r="C2849">
        <v>17</v>
      </c>
      <c r="D2849">
        <v>0.191</v>
      </c>
      <c r="E2849" t="s">
        <v>6</v>
      </c>
      <c r="F2849">
        <v>9.3400000000000011E-2</v>
      </c>
    </row>
    <row r="2850" spans="1:6" x14ac:dyDescent="0.3">
      <c r="A2850" t="s">
        <v>5</v>
      </c>
      <c r="B2850" s="1">
        <v>45776</v>
      </c>
      <c r="C2850">
        <v>18</v>
      </c>
      <c r="D2850">
        <v>0.66</v>
      </c>
      <c r="E2850" t="s">
        <v>6</v>
      </c>
      <c r="F2850">
        <v>9.5079999999999998E-2</v>
      </c>
    </row>
    <row r="2851" spans="1:6" x14ac:dyDescent="0.3">
      <c r="A2851" t="s">
        <v>5</v>
      </c>
      <c r="B2851" s="1">
        <v>45776</v>
      </c>
      <c r="C2851">
        <v>19</v>
      </c>
      <c r="D2851">
        <v>0.193</v>
      </c>
      <c r="E2851" t="s">
        <v>6</v>
      </c>
      <c r="F2851">
        <v>0.16435</v>
      </c>
    </row>
    <row r="2852" spans="1:6" x14ac:dyDescent="0.3">
      <c r="A2852" t="s">
        <v>5</v>
      </c>
      <c r="B2852" s="1">
        <v>45776</v>
      </c>
      <c r="C2852">
        <v>20</v>
      </c>
      <c r="D2852">
        <v>0.105</v>
      </c>
      <c r="E2852" t="s">
        <v>6</v>
      </c>
      <c r="F2852">
        <v>0.17227000000000001</v>
      </c>
    </row>
    <row r="2853" spans="1:6" x14ac:dyDescent="0.3">
      <c r="A2853" t="s">
        <v>5</v>
      </c>
      <c r="B2853" s="1">
        <v>45776</v>
      </c>
      <c r="C2853">
        <v>21</v>
      </c>
      <c r="D2853">
        <v>0.30399999999999999</v>
      </c>
      <c r="E2853" t="s">
        <v>6</v>
      </c>
      <c r="F2853">
        <v>0.18259999999999998</v>
      </c>
    </row>
    <row r="2854" spans="1:6" x14ac:dyDescent="0.3">
      <c r="A2854" t="s">
        <v>5</v>
      </c>
      <c r="B2854" s="1">
        <v>45776</v>
      </c>
      <c r="C2854">
        <v>22</v>
      </c>
      <c r="D2854">
        <v>0.73599999999999999</v>
      </c>
      <c r="E2854" t="s">
        <v>6</v>
      </c>
      <c r="F2854">
        <v>0.19861999999999999</v>
      </c>
    </row>
    <row r="2855" spans="1:6" x14ac:dyDescent="0.3">
      <c r="A2855" t="s">
        <v>5</v>
      </c>
      <c r="B2855" s="1">
        <v>45776</v>
      </c>
      <c r="C2855">
        <v>23</v>
      </c>
      <c r="D2855">
        <v>0.47399999999999998</v>
      </c>
      <c r="E2855" t="s">
        <v>6</v>
      </c>
      <c r="F2855">
        <v>0.14041999999999999</v>
      </c>
    </row>
    <row r="2856" spans="1:6" x14ac:dyDescent="0.3">
      <c r="A2856" t="s">
        <v>5</v>
      </c>
      <c r="B2856" s="1">
        <v>45776</v>
      </c>
      <c r="C2856">
        <v>24</v>
      </c>
      <c r="D2856">
        <v>0.82099999999999995</v>
      </c>
      <c r="E2856" t="s">
        <v>6</v>
      </c>
      <c r="F2856">
        <v>0.12592</v>
      </c>
    </row>
    <row r="2857" spans="1:6" x14ac:dyDescent="0.3">
      <c r="A2857" t="s">
        <v>5</v>
      </c>
      <c r="B2857" s="1">
        <v>45777</v>
      </c>
      <c r="C2857">
        <v>1</v>
      </c>
      <c r="D2857">
        <v>0.14099999999999999</v>
      </c>
      <c r="E2857" t="s">
        <v>6</v>
      </c>
      <c r="F2857">
        <v>0.10293000000000001</v>
      </c>
    </row>
    <row r="2858" spans="1:6" x14ac:dyDescent="0.3">
      <c r="A2858" t="s">
        <v>5</v>
      </c>
      <c r="B2858" s="1">
        <v>45777</v>
      </c>
      <c r="C2858">
        <v>2</v>
      </c>
      <c r="D2858">
        <v>0.09</v>
      </c>
      <c r="E2858" t="s">
        <v>6</v>
      </c>
      <c r="F2858">
        <v>8.6480000000000001E-2</v>
      </c>
    </row>
    <row r="2859" spans="1:6" x14ac:dyDescent="0.3">
      <c r="A2859" t="s">
        <v>5</v>
      </c>
      <c r="B2859" s="1">
        <v>45777</v>
      </c>
      <c r="C2859">
        <v>3</v>
      </c>
      <c r="D2859">
        <v>6.7000000000000004E-2</v>
      </c>
      <c r="E2859" t="s">
        <v>6</v>
      </c>
      <c r="F2859">
        <v>8.5750000000000007E-2</v>
      </c>
    </row>
    <row r="2860" spans="1:6" x14ac:dyDescent="0.3">
      <c r="A2860" t="s">
        <v>5</v>
      </c>
      <c r="B2860" s="1">
        <v>45777</v>
      </c>
      <c r="C2860">
        <v>4</v>
      </c>
      <c r="D2860">
        <v>7.3999999999999996E-2</v>
      </c>
      <c r="E2860" t="s">
        <v>6</v>
      </c>
      <c r="F2860">
        <v>8.2949999999999996E-2</v>
      </c>
    </row>
    <row r="2861" spans="1:6" x14ac:dyDescent="0.3">
      <c r="A2861" t="s">
        <v>5</v>
      </c>
      <c r="B2861" s="1">
        <v>45777</v>
      </c>
      <c r="C2861">
        <v>5</v>
      </c>
      <c r="D2861">
        <v>6.2E-2</v>
      </c>
      <c r="E2861" t="s">
        <v>6</v>
      </c>
      <c r="F2861">
        <v>8.4830000000000003E-2</v>
      </c>
    </row>
    <row r="2862" spans="1:6" x14ac:dyDescent="0.3">
      <c r="A2862" t="s">
        <v>5</v>
      </c>
      <c r="B2862" s="1">
        <v>45777</v>
      </c>
      <c r="C2862">
        <v>6</v>
      </c>
      <c r="D2862">
        <v>7.3999999999999996E-2</v>
      </c>
      <c r="E2862" t="s">
        <v>6</v>
      </c>
      <c r="F2862">
        <v>0.10532</v>
      </c>
    </row>
    <row r="2863" spans="1:6" x14ac:dyDescent="0.3">
      <c r="A2863" t="s">
        <v>5</v>
      </c>
      <c r="B2863" s="1">
        <v>45777</v>
      </c>
      <c r="C2863">
        <v>7</v>
      </c>
      <c r="D2863">
        <v>5.8999999999999997E-2</v>
      </c>
      <c r="E2863" t="s">
        <v>6</v>
      </c>
      <c r="F2863">
        <v>0.15616999999999998</v>
      </c>
    </row>
    <row r="2864" spans="1:6" x14ac:dyDescent="0.3">
      <c r="A2864" t="s">
        <v>5</v>
      </c>
      <c r="B2864" s="1">
        <v>45777</v>
      </c>
      <c r="C2864">
        <v>8</v>
      </c>
      <c r="D2864">
        <v>9.5000000000000001E-2</v>
      </c>
      <c r="E2864" t="s">
        <v>6</v>
      </c>
      <c r="F2864">
        <v>0.18195</v>
      </c>
    </row>
    <row r="2865" spans="1:6" x14ac:dyDescent="0.3">
      <c r="A2865" t="s">
        <v>5</v>
      </c>
      <c r="B2865" s="1">
        <v>45777</v>
      </c>
      <c r="C2865">
        <v>9</v>
      </c>
      <c r="D2865">
        <v>0.184</v>
      </c>
      <c r="E2865" t="s">
        <v>6</v>
      </c>
      <c r="F2865">
        <v>0.18694</v>
      </c>
    </row>
    <row r="2866" spans="1:6" x14ac:dyDescent="0.3">
      <c r="A2866" t="s">
        <v>5</v>
      </c>
      <c r="B2866" s="1">
        <v>45777</v>
      </c>
      <c r="C2866">
        <v>10</v>
      </c>
      <c r="D2866">
        <v>6.9000000000000006E-2</v>
      </c>
      <c r="E2866" t="s">
        <v>6</v>
      </c>
      <c r="F2866">
        <v>0.11662</v>
      </c>
    </row>
    <row r="2867" spans="1:6" x14ac:dyDescent="0.3">
      <c r="A2867" t="s">
        <v>5</v>
      </c>
      <c r="B2867" s="1">
        <v>45777</v>
      </c>
      <c r="C2867">
        <v>11</v>
      </c>
      <c r="D2867">
        <v>6.4000000000000001E-2</v>
      </c>
      <c r="E2867" t="s">
        <v>6</v>
      </c>
      <c r="F2867">
        <v>0.15841999999999998</v>
      </c>
    </row>
    <row r="2868" spans="1:6" x14ac:dyDescent="0.3">
      <c r="A2868" t="s">
        <v>5</v>
      </c>
      <c r="B2868" s="1">
        <v>45777</v>
      </c>
      <c r="C2868">
        <v>12</v>
      </c>
      <c r="D2868">
        <v>0.129</v>
      </c>
      <c r="E2868" t="s">
        <v>6</v>
      </c>
      <c r="F2868">
        <v>0.14902000000000001</v>
      </c>
    </row>
    <row r="2869" spans="1:6" x14ac:dyDescent="0.3">
      <c r="A2869" t="s">
        <v>5</v>
      </c>
      <c r="B2869" s="1">
        <v>45777</v>
      </c>
      <c r="C2869">
        <v>13</v>
      </c>
      <c r="D2869">
        <v>0.14599999999999999</v>
      </c>
      <c r="E2869" t="s">
        <v>6</v>
      </c>
      <c r="F2869">
        <v>0.14815</v>
      </c>
    </row>
    <row r="2870" spans="1:6" x14ac:dyDescent="0.3">
      <c r="A2870" t="s">
        <v>5</v>
      </c>
      <c r="B2870" s="1">
        <v>45777</v>
      </c>
      <c r="C2870">
        <v>14</v>
      </c>
      <c r="D2870">
        <v>0.14899999999999999</v>
      </c>
      <c r="E2870" t="s">
        <v>6</v>
      </c>
      <c r="F2870">
        <v>0.14496000000000001</v>
      </c>
    </row>
    <row r="2871" spans="1:6" x14ac:dyDescent="0.3">
      <c r="A2871" t="s">
        <v>5</v>
      </c>
      <c r="B2871" s="1">
        <v>45777</v>
      </c>
      <c r="C2871">
        <v>15</v>
      </c>
      <c r="D2871">
        <v>9.9000000000000005E-2</v>
      </c>
      <c r="E2871" t="s">
        <v>6</v>
      </c>
      <c r="F2871">
        <v>8.1369999999999998E-2</v>
      </c>
    </row>
    <row r="2872" spans="1:6" x14ac:dyDescent="0.3">
      <c r="A2872" t="s">
        <v>5</v>
      </c>
      <c r="B2872" s="1">
        <v>45777</v>
      </c>
      <c r="C2872">
        <v>16</v>
      </c>
      <c r="D2872">
        <v>6.7000000000000004E-2</v>
      </c>
      <c r="E2872" t="s">
        <v>6</v>
      </c>
      <c r="F2872">
        <v>8.2959999999999992E-2</v>
      </c>
    </row>
    <row r="2873" spans="1:6" x14ac:dyDescent="0.3">
      <c r="A2873" t="s">
        <v>5</v>
      </c>
      <c r="B2873" s="1">
        <v>45777</v>
      </c>
      <c r="C2873">
        <v>17</v>
      </c>
      <c r="D2873">
        <v>9.0999999999999998E-2</v>
      </c>
      <c r="E2873" t="s">
        <v>6</v>
      </c>
      <c r="F2873">
        <v>8.3769999999999997E-2</v>
      </c>
    </row>
    <row r="2874" spans="1:6" x14ac:dyDescent="0.3">
      <c r="A2874" t="s">
        <v>5</v>
      </c>
      <c r="B2874" s="1">
        <v>45777</v>
      </c>
      <c r="C2874">
        <v>18</v>
      </c>
      <c r="D2874">
        <v>9.9000000000000005E-2</v>
      </c>
      <c r="E2874" t="s">
        <v>6</v>
      </c>
      <c r="F2874">
        <v>8.4209999999999993E-2</v>
      </c>
    </row>
    <row r="2875" spans="1:6" x14ac:dyDescent="0.3">
      <c r="A2875" t="s">
        <v>5</v>
      </c>
      <c r="B2875" s="1">
        <v>45777</v>
      </c>
      <c r="C2875">
        <v>19</v>
      </c>
      <c r="D2875">
        <v>0.22</v>
      </c>
      <c r="E2875" t="s">
        <v>6</v>
      </c>
      <c r="F2875">
        <v>0.15368999999999999</v>
      </c>
    </row>
    <row r="2876" spans="1:6" x14ac:dyDescent="0.3">
      <c r="A2876" t="s">
        <v>5</v>
      </c>
      <c r="B2876" s="1">
        <v>45777</v>
      </c>
      <c r="C2876">
        <v>20</v>
      </c>
      <c r="D2876">
        <v>0.107</v>
      </c>
      <c r="E2876" t="s">
        <v>6</v>
      </c>
      <c r="F2876">
        <v>0.15486000000000003</v>
      </c>
    </row>
    <row r="2877" spans="1:6" x14ac:dyDescent="0.3">
      <c r="A2877" t="s">
        <v>5</v>
      </c>
      <c r="B2877" s="1">
        <v>45777</v>
      </c>
      <c r="C2877">
        <v>21</v>
      </c>
      <c r="D2877">
        <v>5.3999999999999999E-2</v>
      </c>
      <c r="E2877" t="s">
        <v>6</v>
      </c>
      <c r="F2877">
        <v>0.18353</v>
      </c>
    </row>
    <row r="2878" spans="1:6" x14ac:dyDescent="0.3">
      <c r="A2878" t="s">
        <v>5</v>
      </c>
      <c r="B2878" s="1">
        <v>45777</v>
      </c>
      <c r="C2878">
        <v>22</v>
      </c>
      <c r="D2878">
        <v>7.4999999999999997E-2</v>
      </c>
      <c r="E2878" t="s">
        <v>6</v>
      </c>
      <c r="F2878">
        <v>0.2581</v>
      </c>
    </row>
    <row r="2879" spans="1:6" x14ac:dyDescent="0.3">
      <c r="A2879" t="s">
        <v>5</v>
      </c>
      <c r="B2879" s="1">
        <v>45777</v>
      </c>
      <c r="C2879">
        <v>23</v>
      </c>
      <c r="D2879">
        <v>0.30199999999999999</v>
      </c>
      <c r="E2879" t="s">
        <v>6</v>
      </c>
      <c r="F2879">
        <v>0.18517</v>
      </c>
    </row>
    <row r="2880" spans="1:6" x14ac:dyDescent="0.3">
      <c r="A2880" t="s">
        <v>5</v>
      </c>
      <c r="B2880" s="1">
        <v>45777</v>
      </c>
      <c r="C2880">
        <v>24</v>
      </c>
      <c r="D2880">
        <v>0.28399999999999997</v>
      </c>
      <c r="E2880" t="s">
        <v>6</v>
      </c>
      <c r="F2880">
        <v>0.13655</v>
      </c>
    </row>
    <row r="2881" spans="1:6" x14ac:dyDescent="0.3">
      <c r="A2881" t="s">
        <v>5</v>
      </c>
      <c r="B2881" s="1">
        <v>45778</v>
      </c>
      <c r="C2881">
        <v>1</v>
      </c>
      <c r="D2881">
        <v>0.27600000000000002</v>
      </c>
      <c r="E2881" t="s">
        <v>6</v>
      </c>
      <c r="F2881">
        <v>0.11320000000000001</v>
      </c>
    </row>
    <row r="2882" spans="1:6" x14ac:dyDescent="0.3">
      <c r="A2882" t="s">
        <v>5</v>
      </c>
      <c r="B2882" s="1">
        <v>45778</v>
      </c>
      <c r="C2882">
        <v>2</v>
      </c>
      <c r="D2882">
        <v>0.47199999999999998</v>
      </c>
      <c r="E2882" t="s">
        <v>6</v>
      </c>
      <c r="F2882">
        <v>0.11072</v>
      </c>
    </row>
    <row r="2883" spans="1:6" x14ac:dyDescent="0.3">
      <c r="A2883" t="s">
        <v>5</v>
      </c>
      <c r="B2883" s="1">
        <v>45778</v>
      </c>
      <c r="C2883">
        <v>3</v>
      </c>
      <c r="D2883">
        <v>0.24</v>
      </c>
      <c r="E2883" t="s">
        <v>6</v>
      </c>
      <c r="F2883">
        <v>0.11409</v>
      </c>
    </row>
    <row r="2884" spans="1:6" x14ac:dyDescent="0.3">
      <c r="A2884" t="s">
        <v>5</v>
      </c>
      <c r="B2884" s="1">
        <v>45778</v>
      </c>
      <c r="C2884">
        <v>4</v>
      </c>
      <c r="D2884">
        <v>9.4E-2</v>
      </c>
      <c r="E2884" t="s">
        <v>6</v>
      </c>
      <c r="F2884">
        <v>0.11375</v>
      </c>
    </row>
    <row r="2885" spans="1:6" x14ac:dyDescent="0.3">
      <c r="A2885" t="s">
        <v>5</v>
      </c>
      <c r="B2885" s="1">
        <v>45778</v>
      </c>
      <c r="C2885">
        <v>5</v>
      </c>
      <c r="D2885">
        <v>6.4000000000000001E-2</v>
      </c>
      <c r="E2885" t="s">
        <v>6</v>
      </c>
      <c r="F2885">
        <v>0.1145</v>
      </c>
    </row>
    <row r="2886" spans="1:6" x14ac:dyDescent="0.3">
      <c r="A2886" t="s">
        <v>5</v>
      </c>
      <c r="B2886" s="1">
        <v>45778</v>
      </c>
      <c r="C2886">
        <v>6</v>
      </c>
      <c r="D2886">
        <v>8.2000000000000003E-2</v>
      </c>
      <c r="E2886" t="s">
        <v>6</v>
      </c>
      <c r="F2886">
        <v>0.11887</v>
      </c>
    </row>
    <row r="2887" spans="1:6" x14ac:dyDescent="0.3">
      <c r="A2887" t="s">
        <v>5</v>
      </c>
      <c r="B2887" s="1">
        <v>45778</v>
      </c>
      <c r="C2887">
        <v>7</v>
      </c>
      <c r="D2887">
        <v>6.3E-2</v>
      </c>
      <c r="E2887" t="s">
        <v>6</v>
      </c>
      <c r="F2887">
        <v>0.11812</v>
      </c>
    </row>
    <row r="2888" spans="1:6" x14ac:dyDescent="0.3">
      <c r="A2888" t="s">
        <v>5</v>
      </c>
      <c r="B2888" s="1">
        <v>45778</v>
      </c>
      <c r="C2888">
        <v>8</v>
      </c>
      <c r="D2888">
        <v>7.9000000000000001E-2</v>
      </c>
      <c r="E2888" t="s">
        <v>6</v>
      </c>
      <c r="F2888">
        <v>0.11308</v>
      </c>
    </row>
    <row r="2889" spans="1:6" x14ac:dyDescent="0.3">
      <c r="A2889" t="s">
        <v>5</v>
      </c>
      <c r="B2889" s="1">
        <v>45778</v>
      </c>
      <c r="C2889">
        <v>9</v>
      </c>
      <c r="D2889">
        <v>0.08</v>
      </c>
      <c r="E2889" t="s">
        <v>6</v>
      </c>
      <c r="F2889">
        <v>0.10771</v>
      </c>
    </row>
    <row r="2890" spans="1:6" x14ac:dyDescent="0.3">
      <c r="A2890" t="s">
        <v>5</v>
      </c>
      <c r="B2890" s="1">
        <v>45778</v>
      </c>
      <c r="C2890">
        <v>10</v>
      </c>
      <c r="D2890">
        <v>0.124</v>
      </c>
      <c r="E2890" t="s">
        <v>6</v>
      </c>
      <c r="F2890">
        <v>8.6190000000000003E-2</v>
      </c>
    </row>
    <row r="2891" spans="1:6" x14ac:dyDescent="0.3">
      <c r="A2891" t="s">
        <v>5</v>
      </c>
      <c r="B2891" s="1">
        <v>45778</v>
      </c>
      <c r="C2891">
        <v>11</v>
      </c>
      <c r="D2891">
        <v>6.0999999999999999E-2</v>
      </c>
      <c r="E2891" t="s">
        <v>6</v>
      </c>
      <c r="F2891">
        <v>7.937000000000001E-2</v>
      </c>
    </row>
    <row r="2892" spans="1:6" x14ac:dyDescent="0.3">
      <c r="A2892" t="s">
        <v>5</v>
      </c>
      <c r="B2892" s="1">
        <v>45778</v>
      </c>
      <c r="C2892">
        <v>12</v>
      </c>
      <c r="D2892">
        <v>7.6999999999999999E-2</v>
      </c>
      <c r="E2892" t="s">
        <v>6</v>
      </c>
      <c r="F2892">
        <v>7.4939999999999993E-2</v>
      </c>
    </row>
    <row r="2893" spans="1:6" x14ac:dyDescent="0.3">
      <c r="A2893" t="s">
        <v>5</v>
      </c>
      <c r="B2893" s="1">
        <v>45778</v>
      </c>
      <c r="C2893">
        <v>13</v>
      </c>
      <c r="D2893">
        <v>5.8000000000000003E-2</v>
      </c>
      <c r="E2893" t="s">
        <v>6</v>
      </c>
      <c r="F2893">
        <v>7.1690000000000004E-2</v>
      </c>
    </row>
    <row r="2894" spans="1:6" x14ac:dyDescent="0.3">
      <c r="A2894" t="s">
        <v>5</v>
      </c>
      <c r="B2894" s="1">
        <v>45778</v>
      </c>
      <c r="C2894">
        <v>14</v>
      </c>
      <c r="D2894">
        <v>7.3999999999999996E-2</v>
      </c>
      <c r="E2894" t="s">
        <v>6</v>
      </c>
      <c r="F2894">
        <v>6.9470000000000004E-2</v>
      </c>
    </row>
    <row r="2895" spans="1:6" x14ac:dyDescent="0.3">
      <c r="A2895" t="s">
        <v>5</v>
      </c>
      <c r="B2895" s="1">
        <v>45778</v>
      </c>
      <c r="C2895">
        <v>15</v>
      </c>
      <c r="D2895">
        <v>0.06</v>
      </c>
      <c r="E2895" t="s">
        <v>6</v>
      </c>
      <c r="F2895">
        <v>6.9970000000000004E-2</v>
      </c>
    </row>
    <row r="2896" spans="1:6" x14ac:dyDescent="0.3">
      <c r="A2896" t="s">
        <v>5</v>
      </c>
      <c r="B2896" s="1">
        <v>45778</v>
      </c>
      <c r="C2896">
        <v>16</v>
      </c>
      <c r="D2896">
        <v>7.0000000000000007E-2</v>
      </c>
      <c r="E2896" t="s">
        <v>6</v>
      </c>
      <c r="F2896">
        <v>7.238E-2</v>
      </c>
    </row>
    <row r="2897" spans="1:6" x14ac:dyDescent="0.3">
      <c r="A2897" t="s">
        <v>5</v>
      </c>
      <c r="B2897" s="1">
        <v>45778</v>
      </c>
      <c r="C2897">
        <v>17</v>
      </c>
      <c r="D2897">
        <v>6.4000000000000001E-2</v>
      </c>
      <c r="E2897" t="s">
        <v>6</v>
      </c>
      <c r="F2897">
        <v>7.8920000000000004E-2</v>
      </c>
    </row>
    <row r="2898" spans="1:6" x14ac:dyDescent="0.3">
      <c r="A2898" t="s">
        <v>5</v>
      </c>
      <c r="B2898" s="1">
        <v>45778</v>
      </c>
      <c r="C2898">
        <v>18</v>
      </c>
      <c r="D2898">
        <v>6.7000000000000004E-2</v>
      </c>
      <c r="E2898" t="s">
        <v>6</v>
      </c>
      <c r="F2898">
        <v>8.3330000000000001E-2</v>
      </c>
    </row>
    <row r="2899" spans="1:6" x14ac:dyDescent="0.3">
      <c r="A2899" t="s">
        <v>5</v>
      </c>
      <c r="B2899" s="1">
        <v>45778</v>
      </c>
      <c r="C2899">
        <v>19</v>
      </c>
      <c r="D2899">
        <v>0.221</v>
      </c>
      <c r="E2899" t="s">
        <v>6</v>
      </c>
      <c r="F2899">
        <v>8.4610000000000005E-2</v>
      </c>
    </row>
    <row r="2900" spans="1:6" x14ac:dyDescent="0.3">
      <c r="A2900" t="s">
        <v>5</v>
      </c>
      <c r="B2900" s="1">
        <v>45778</v>
      </c>
      <c r="C2900">
        <v>20</v>
      </c>
      <c r="D2900">
        <v>0.27800000000000002</v>
      </c>
      <c r="E2900" t="s">
        <v>6</v>
      </c>
      <c r="F2900">
        <v>8.3129999999999996E-2</v>
      </c>
    </row>
    <row r="2901" spans="1:6" x14ac:dyDescent="0.3">
      <c r="A2901" t="s">
        <v>5</v>
      </c>
      <c r="B2901" s="1">
        <v>45778</v>
      </c>
      <c r="C2901">
        <v>21</v>
      </c>
      <c r="D2901">
        <v>0.222</v>
      </c>
      <c r="E2901" t="s">
        <v>6</v>
      </c>
      <c r="F2901">
        <v>0.10836</v>
      </c>
    </row>
    <row r="2902" spans="1:6" x14ac:dyDescent="0.3">
      <c r="A2902" t="s">
        <v>5</v>
      </c>
      <c r="B2902" s="1">
        <v>45778</v>
      </c>
      <c r="C2902">
        <v>22</v>
      </c>
      <c r="D2902">
        <v>0.29199999999999998</v>
      </c>
      <c r="E2902" t="s">
        <v>6</v>
      </c>
      <c r="F2902">
        <v>0.12936</v>
      </c>
    </row>
    <row r="2903" spans="1:6" x14ac:dyDescent="0.3">
      <c r="A2903" t="s">
        <v>5</v>
      </c>
      <c r="B2903" s="1">
        <v>45778</v>
      </c>
      <c r="C2903">
        <v>23</v>
      </c>
      <c r="D2903">
        <v>0.439</v>
      </c>
      <c r="E2903" t="s">
        <v>6</v>
      </c>
      <c r="F2903">
        <v>0.10965000000000001</v>
      </c>
    </row>
    <row r="2904" spans="1:6" x14ac:dyDescent="0.3">
      <c r="A2904" t="s">
        <v>5</v>
      </c>
      <c r="B2904" s="1">
        <v>45778</v>
      </c>
      <c r="C2904">
        <v>24</v>
      </c>
      <c r="D2904">
        <v>0.42499999999999999</v>
      </c>
      <c r="E2904" t="s">
        <v>6</v>
      </c>
      <c r="F2904">
        <v>0.11275</v>
      </c>
    </row>
    <row r="2905" spans="1:6" x14ac:dyDescent="0.3">
      <c r="A2905" t="s">
        <v>5</v>
      </c>
      <c r="B2905" s="1">
        <v>45779</v>
      </c>
      <c r="C2905">
        <v>1</v>
      </c>
      <c r="D2905">
        <v>0.44700000000000001</v>
      </c>
      <c r="E2905" t="s">
        <v>6</v>
      </c>
      <c r="F2905">
        <v>0.10529999999999999</v>
      </c>
    </row>
    <row r="2906" spans="1:6" x14ac:dyDescent="0.3">
      <c r="A2906" t="s">
        <v>5</v>
      </c>
      <c r="B2906" s="1">
        <v>45779</v>
      </c>
      <c r="C2906">
        <v>2</v>
      </c>
      <c r="D2906">
        <v>0.34100000000000003</v>
      </c>
      <c r="E2906" t="s">
        <v>6</v>
      </c>
      <c r="F2906">
        <v>0.10156</v>
      </c>
    </row>
    <row r="2907" spans="1:6" x14ac:dyDescent="0.3">
      <c r="A2907" t="s">
        <v>5</v>
      </c>
      <c r="B2907" s="1">
        <v>45779</v>
      </c>
      <c r="C2907">
        <v>3</v>
      </c>
      <c r="D2907">
        <v>8.4000000000000005E-2</v>
      </c>
      <c r="E2907" t="s">
        <v>6</v>
      </c>
      <c r="F2907">
        <v>0.10226</v>
      </c>
    </row>
    <row r="2908" spans="1:6" x14ac:dyDescent="0.3">
      <c r="A2908" t="s">
        <v>5</v>
      </c>
      <c r="B2908" s="1">
        <v>45779</v>
      </c>
      <c r="C2908">
        <v>4</v>
      </c>
      <c r="D2908">
        <v>7.2999999999999995E-2</v>
      </c>
      <c r="E2908" t="s">
        <v>6</v>
      </c>
      <c r="F2908">
        <v>0.10341</v>
      </c>
    </row>
    <row r="2909" spans="1:6" x14ac:dyDescent="0.3">
      <c r="A2909" t="s">
        <v>5</v>
      </c>
      <c r="B2909" s="1">
        <v>45779</v>
      </c>
      <c r="C2909">
        <v>5</v>
      </c>
      <c r="D2909">
        <v>0.127</v>
      </c>
      <c r="E2909" t="s">
        <v>6</v>
      </c>
      <c r="F2909">
        <v>0.10374</v>
      </c>
    </row>
    <row r="2910" spans="1:6" x14ac:dyDescent="0.3">
      <c r="A2910" t="s">
        <v>5</v>
      </c>
      <c r="B2910" s="1">
        <v>45779</v>
      </c>
      <c r="C2910">
        <v>6</v>
      </c>
      <c r="D2910">
        <v>0.48899999999999999</v>
      </c>
      <c r="E2910" t="s">
        <v>6</v>
      </c>
      <c r="F2910">
        <v>0.10237</v>
      </c>
    </row>
    <row r="2911" spans="1:6" x14ac:dyDescent="0.3">
      <c r="A2911" t="s">
        <v>5</v>
      </c>
      <c r="B2911" s="1">
        <v>45779</v>
      </c>
      <c r="C2911">
        <v>7</v>
      </c>
      <c r="D2911">
        <v>0.69399999999999995</v>
      </c>
      <c r="E2911" t="s">
        <v>6</v>
      </c>
      <c r="F2911">
        <v>0.10463</v>
      </c>
    </row>
    <row r="2912" spans="1:6" x14ac:dyDescent="0.3">
      <c r="A2912" t="s">
        <v>5</v>
      </c>
      <c r="B2912" s="1">
        <v>45779</v>
      </c>
      <c r="C2912">
        <v>8</v>
      </c>
      <c r="D2912">
        <v>0.67600000000000005</v>
      </c>
      <c r="E2912" t="s">
        <v>6</v>
      </c>
      <c r="F2912">
        <v>9.7519999999999996E-2</v>
      </c>
    </row>
    <row r="2913" spans="1:6" x14ac:dyDescent="0.3">
      <c r="A2913" t="s">
        <v>5</v>
      </c>
      <c r="B2913" s="1">
        <v>45779</v>
      </c>
      <c r="C2913">
        <v>9</v>
      </c>
      <c r="D2913">
        <v>8.3000000000000004E-2</v>
      </c>
      <c r="E2913" t="s">
        <v>6</v>
      </c>
      <c r="F2913">
        <v>0.12397</v>
      </c>
    </row>
    <row r="2914" spans="1:6" x14ac:dyDescent="0.3">
      <c r="A2914" t="s">
        <v>5</v>
      </c>
      <c r="B2914" s="1">
        <v>45779</v>
      </c>
      <c r="C2914">
        <v>10</v>
      </c>
      <c r="D2914">
        <v>7.0999999999999994E-2</v>
      </c>
      <c r="E2914" t="s">
        <v>6</v>
      </c>
      <c r="F2914">
        <v>0.11917</v>
      </c>
    </row>
    <row r="2915" spans="1:6" x14ac:dyDescent="0.3">
      <c r="A2915" t="s">
        <v>5</v>
      </c>
      <c r="B2915" s="1">
        <v>45779</v>
      </c>
      <c r="C2915">
        <v>11</v>
      </c>
      <c r="D2915">
        <v>0.16900000000000001</v>
      </c>
      <c r="E2915" t="s">
        <v>6</v>
      </c>
      <c r="F2915">
        <v>0.17077000000000001</v>
      </c>
    </row>
    <row r="2916" spans="1:6" x14ac:dyDescent="0.3">
      <c r="A2916" t="s">
        <v>5</v>
      </c>
      <c r="B2916" s="1">
        <v>45779</v>
      </c>
      <c r="C2916">
        <v>12</v>
      </c>
      <c r="D2916">
        <v>8.1000000000000003E-2</v>
      </c>
      <c r="E2916" t="s">
        <v>6</v>
      </c>
      <c r="F2916">
        <v>0.16975000000000001</v>
      </c>
    </row>
    <row r="2917" spans="1:6" x14ac:dyDescent="0.3">
      <c r="A2917" t="s">
        <v>5</v>
      </c>
      <c r="B2917" s="1">
        <v>45779</v>
      </c>
      <c r="C2917">
        <v>13</v>
      </c>
      <c r="D2917">
        <v>7.0999999999999994E-2</v>
      </c>
      <c r="E2917" t="s">
        <v>6</v>
      </c>
      <c r="F2917">
        <v>0.16913</v>
      </c>
    </row>
    <row r="2918" spans="1:6" x14ac:dyDescent="0.3">
      <c r="A2918" t="s">
        <v>5</v>
      </c>
      <c r="B2918" s="1">
        <v>45779</v>
      </c>
      <c r="C2918">
        <v>14</v>
      </c>
      <c r="D2918">
        <v>7.4999999999999997E-2</v>
      </c>
      <c r="E2918" t="s">
        <v>6</v>
      </c>
      <c r="F2918">
        <v>0.16438</v>
      </c>
    </row>
    <row r="2919" spans="1:6" x14ac:dyDescent="0.3">
      <c r="A2919" t="s">
        <v>5</v>
      </c>
      <c r="B2919" s="1">
        <v>45779</v>
      </c>
      <c r="C2919">
        <v>15</v>
      </c>
      <c r="D2919">
        <v>6.0999999999999999E-2</v>
      </c>
      <c r="E2919" t="s">
        <v>6</v>
      </c>
      <c r="F2919">
        <v>0.10024</v>
      </c>
    </row>
    <row r="2920" spans="1:6" x14ac:dyDescent="0.3">
      <c r="A2920" t="s">
        <v>5</v>
      </c>
      <c r="B2920" s="1">
        <v>45779</v>
      </c>
      <c r="C2920">
        <v>16</v>
      </c>
      <c r="D2920">
        <v>7.6999999999999999E-2</v>
      </c>
      <c r="E2920" t="s">
        <v>6</v>
      </c>
      <c r="F2920">
        <v>0.10192</v>
      </c>
    </row>
    <row r="2921" spans="1:6" x14ac:dyDescent="0.3">
      <c r="A2921" t="s">
        <v>5</v>
      </c>
      <c r="B2921" s="1">
        <v>45779</v>
      </c>
      <c r="C2921">
        <v>17</v>
      </c>
      <c r="D2921">
        <v>5.6000000000000001E-2</v>
      </c>
      <c r="E2921" t="s">
        <v>6</v>
      </c>
      <c r="F2921">
        <v>0.10314</v>
      </c>
    </row>
    <row r="2922" spans="1:6" x14ac:dyDescent="0.3">
      <c r="A2922" t="s">
        <v>5</v>
      </c>
      <c r="B2922" s="1">
        <v>45779</v>
      </c>
      <c r="C2922">
        <v>18</v>
      </c>
      <c r="D2922">
        <v>7.5999999999999998E-2</v>
      </c>
      <c r="E2922" t="s">
        <v>6</v>
      </c>
      <c r="F2922">
        <v>0.10585</v>
      </c>
    </row>
    <row r="2923" spans="1:6" x14ac:dyDescent="0.3">
      <c r="A2923" t="s">
        <v>5</v>
      </c>
      <c r="B2923" s="1">
        <v>45779</v>
      </c>
      <c r="C2923">
        <v>19</v>
      </c>
      <c r="D2923">
        <v>6.6000000000000003E-2</v>
      </c>
      <c r="E2923" t="s">
        <v>6</v>
      </c>
      <c r="F2923">
        <v>0.17</v>
      </c>
    </row>
    <row r="2924" spans="1:6" x14ac:dyDescent="0.3">
      <c r="A2924" t="s">
        <v>5</v>
      </c>
      <c r="B2924" s="1">
        <v>45779</v>
      </c>
      <c r="C2924">
        <v>20</v>
      </c>
      <c r="D2924">
        <v>6.6000000000000003E-2</v>
      </c>
      <c r="E2924" t="s">
        <v>6</v>
      </c>
      <c r="F2924">
        <v>0.18384999999999999</v>
      </c>
    </row>
    <row r="2925" spans="1:6" x14ac:dyDescent="0.3">
      <c r="A2925" t="s">
        <v>5</v>
      </c>
      <c r="B2925" s="1">
        <v>45779</v>
      </c>
      <c r="C2925">
        <v>21</v>
      </c>
      <c r="D2925">
        <v>7.2999999999999995E-2</v>
      </c>
      <c r="E2925" t="s">
        <v>6</v>
      </c>
      <c r="F2925">
        <v>0.20138</v>
      </c>
    </row>
    <row r="2926" spans="1:6" x14ac:dyDescent="0.3">
      <c r="A2926" t="s">
        <v>5</v>
      </c>
      <c r="B2926" s="1">
        <v>45779</v>
      </c>
      <c r="C2926">
        <v>22</v>
      </c>
      <c r="D2926">
        <v>5.8000000000000003E-2</v>
      </c>
      <c r="E2926" t="s">
        <v>6</v>
      </c>
      <c r="F2926">
        <v>0.23208999999999999</v>
      </c>
    </row>
    <row r="2927" spans="1:6" x14ac:dyDescent="0.3">
      <c r="A2927" t="s">
        <v>5</v>
      </c>
      <c r="B2927" s="1">
        <v>45779</v>
      </c>
      <c r="C2927">
        <v>23</v>
      </c>
      <c r="D2927">
        <v>7.5999999999999998E-2</v>
      </c>
      <c r="E2927" t="s">
        <v>6</v>
      </c>
      <c r="F2927">
        <v>0.15569999999999998</v>
      </c>
    </row>
    <row r="2928" spans="1:6" x14ac:dyDescent="0.3">
      <c r="A2928" t="s">
        <v>5</v>
      </c>
      <c r="B2928" s="1">
        <v>45779</v>
      </c>
      <c r="C2928">
        <v>24</v>
      </c>
      <c r="D2928">
        <v>5.5E-2</v>
      </c>
      <c r="E2928" t="s">
        <v>6</v>
      </c>
      <c r="F2928">
        <v>0.14599000000000001</v>
      </c>
    </row>
    <row r="2929" spans="1:6" x14ac:dyDescent="0.3">
      <c r="A2929" t="s">
        <v>5</v>
      </c>
      <c r="B2929" s="1">
        <v>45780</v>
      </c>
      <c r="C2929">
        <v>1</v>
      </c>
      <c r="D2929">
        <v>7.4999999999999997E-2</v>
      </c>
      <c r="E2929" t="s">
        <v>6</v>
      </c>
      <c r="F2929">
        <v>0.11776</v>
      </c>
    </row>
    <row r="2930" spans="1:6" x14ac:dyDescent="0.3">
      <c r="A2930" t="s">
        <v>5</v>
      </c>
      <c r="B2930" s="1">
        <v>45780</v>
      </c>
      <c r="C2930">
        <v>2</v>
      </c>
      <c r="D2930">
        <v>6.4000000000000001E-2</v>
      </c>
      <c r="E2930" t="s">
        <v>6</v>
      </c>
      <c r="F2930">
        <v>0.11647</v>
      </c>
    </row>
    <row r="2931" spans="1:6" x14ac:dyDescent="0.3">
      <c r="A2931" t="s">
        <v>5</v>
      </c>
      <c r="B2931" s="1">
        <v>45780</v>
      </c>
      <c r="C2931">
        <v>3</v>
      </c>
      <c r="D2931">
        <v>6.7000000000000004E-2</v>
      </c>
      <c r="E2931" t="s">
        <v>6</v>
      </c>
      <c r="F2931">
        <v>0.11006999999999999</v>
      </c>
    </row>
    <row r="2932" spans="1:6" x14ac:dyDescent="0.3">
      <c r="A2932" t="s">
        <v>5</v>
      </c>
      <c r="B2932" s="1">
        <v>45780</v>
      </c>
      <c r="C2932">
        <v>4</v>
      </c>
      <c r="D2932">
        <v>7.1999999999999995E-2</v>
      </c>
      <c r="E2932" t="s">
        <v>6</v>
      </c>
      <c r="F2932">
        <v>0.10539</v>
      </c>
    </row>
    <row r="2933" spans="1:6" x14ac:dyDescent="0.3">
      <c r="A2933" t="s">
        <v>5</v>
      </c>
      <c r="B2933" s="1">
        <v>45780</v>
      </c>
      <c r="C2933">
        <v>5</v>
      </c>
      <c r="D2933">
        <v>0.06</v>
      </c>
      <c r="E2933" t="s">
        <v>6</v>
      </c>
      <c r="F2933">
        <v>0.10584</v>
      </c>
    </row>
    <row r="2934" spans="1:6" x14ac:dyDescent="0.3">
      <c r="A2934" t="s">
        <v>5</v>
      </c>
      <c r="B2934" s="1">
        <v>45780</v>
      </c>
      <c r="C2934">
        <v>6</v>
      </c>
      <c r="D2934">
        <v>7.4999999999999997E-2</v>
      </c>
      <c r="E2934" t="s">
        <v>6</v>
      </c>
      <c r="F2934">
        <v>0.10812999999999999</v>
      </c>
    </row>
    <row r="2935" spans="1:6" x14ac:dyDescent="0.3">
      <c r="A2935" t="s">
        <v>5</v>
      </c>
      <c r="B2935" s="1">
        <v>45780</v>
      </c>
      <c r="C2935">
        <v>7</v>
      </c>
      <c r="D2935">
        <v>5.5E-2</v>
      </c>
      <c r="E2935" t="s">
        <v>6</v>
      </c>
      <c r="F2935">
        <v>0.10773000000000001</v>
      </c>
    </row>
    <row r="2936" spans="1:6" x14ac:dyDescent="0.3">
      <c r="A2936" t="s">
        <v>5</v>
      </c>
      <c r="B2936" s="1">
        <v>45780</v>
      </c>
      <c r="C2936">
        <v>8</v>
      </c>
      <c r="D2936">
        <v>7.3999999999999996E-2</v>
      </c>
      <c r="E2936" t="s">
        <v>6</v>
      </c>
      <c r="F2936">
        <v>0.10323</v>
      </c>
    </row>
    <row r="2937" spans="1:6" x14ac:dyDescent="0.3">
      <c r="A2937" t="s">
        <v>5</v>
      </c>
      <c r="B2937" s="1">
        <v>45780</v>
      </c>
      <c r="C2937">
        <v>9</v>
      </c>
      <c r="D2937">
        <v>0.06</v>
      </c>
      <c r="E2937" t="s">
        <v>6</v>
      </c>
      <c r="F2937">
        <v>9.673000000000001E-2</v>
      </c>
    </row>
    <row r="2938" spans="1:6" x14ac:dyDescent="0.3">
      <c r="A2938" t="s">
        <v>5</v>
      </c>
      <c r="B2938" s="1">
        <v>45780</v>
      </c>
      <c r="C2938">
        <v>10</v>
      </c>
      <c r="D2938">
        <v>6.9000000000000006E-2</v>
      </c>
      <c r="E2938" t="s">
        <v>6</v>
      </c>
      <c r="F2938">
        <v>8.4290000000000004E-2</v>
      </c>
    </row>
    <row r="2939" spans="1:6" x14ac:dyDescent="0.3">
      <c r="A2939" t="s">
        <v>5</v>
      </c>
      <c r="B2939" s="1">
        <v>45780</v>
      </c>
      <c r="C2939">
        <v>11</v>
      </c>
      <c r="D2939">
        <v>6.8000000000000005E-2</v>
      </c>
      <c r="E2939" t="s">
        <v>6</v>
      </c>
      <c r="F2939">
        <v>7.1840000000000001E-2</v>
      </c>
    </row>
    <row r="2940" spans="1:6" x14ac:dyDescent="0.3">
      <c r="A2940" t="s">
        <v>5</v>
      </c>
      <c r="B2940" s="1">
        <v>45780</v>
      </c>
      <c r="C2940">
        <v>12</v>
      </c>
      <c r="D2940">
        <v>6.2E-2</v>
      </c>
      <c r="E2940" t="s">
        <v>6</v>
      </c>
      <c r="F2940">
        <v>6.9349999999999995E-2</v>
      </c>
    </row>
    <row r="2941" spans="1:6" x14ac:dyDescent="0.3">
      <c r="A2941" t="s">
        <v>5</v>
      </c>
      <c r="B2941" s="1">
        <v>45780</v>
      </c>
      <c r="C2941">
        <v>13</v>
      </c>
      <c r="D2941">
        <v>7.3999999999999996E-2</v>
      </c>
      <c r="E2941" t="s">
        <v>6</v>
      </c>
      <c r="F2941">
        <v>6.8709999999999993E-2</v>
      </c>
    </row>
    <row r="2942" spans="1:6" x14ac:dyDescent="0.3">
      <c r="A2942" t="s">
        <v>5</v>
      </c>
      <c r="B2942" s="1">
        <v>45780</v>
      </c>
      <c r="C2942">
        <v>14</v>
      </c>
      <c r="D2942">
        <v>5.5E-2</v>
      </c>
      <c r="E2942" t="s">
        <v>6</v>
      </c>
      <c r="F2942">
        <v>6.6670000000000007E-2</v>
      </c>
    </row>
    <row r="2943" spans="1:6" x14ac:dyDescent="0.3">
      <c r="A2943" t="s">
        <v>5</v>
      </c>
      <c r="B2943" s="1">
        <v>45780</v>
      </c>
      <c r="C2943">
        <v>15</v>
      </c>
      <c r="D2943">
        <v>7.5999999999999998E-2</v>
      </c>
      <c r="E2943" t="s">
        <v>6</v>
      </c>
      <c r="F2943">
        <v>6.7479999999999998E-2</v>
      </c>
    </row>
    <row r="2944" spans="1:6" x14ac:dyDescent="0.3">
      <c r="A2944" t="s">
        <v>5</v>
      </c>
      <c r="B2944" s="1">
        <v>45780</v>
      </c>
      <c r="C2944">
        <v>16</v>
      </c>
      <c r="D2944">
        <v>5.5E-2</v>
      </c>
      <c r="E2944" t="s">
        <v>6</v>
      </c>
      <c r="F2944">
        <v>6.9589999999999999E-2</v>
      </c>
    </row>
    <row r="2945" spans="1:6" x14ac:dyDescent="0.3">
      <c r="A2945" t="s">
        <v>5</v>
      </c>
      <c r="B2945" s="1">
        <v>45780</v>
      </c>
      <c r="C2945">
        <v>17</v>
      </c>
      <c r="D2945">
        <v>7.4999999999999997E-2</v>
      </c>
      <c r="E2945" t="s">
        <v>6</v>
      </c>
      <c r="F2945">
        <v>7.1739999999999998E-2</v>
      </c>
    </row>
    <row r="2946" spans="1:6" x14ac:dyDescent="0.3">
      <c r="A2946" t="s">
        <v>5</v>
      </c>
      <c r="B2946" s="1">
        <v>45780</v>
      </c>
      <c r="C2946">
        <v>18</v>
      </c>
      <c r="D2946">
        <v>6.0999999999999999E-2</v>
      </c>
      <c r="E2946" t="s">
        <v>6</v>
      </c>
      <c r="F2946">
        <v>7.4109999999999995E-2</v>
      </c>
    </row>
    <row r="2947" spans="1:6" x14ac:dyDescent="0.3">
      <c r="A2947" t="s">
        <v>5</v>
      </c>
      <c r="B2947" s="1">
        <v>45780</v>
      </c>
      <c r="C2947">
        <v>19</v>
      </c>
      <c r="D2947">
        <v>6.9000000000000006E-2</v>
      </c>
      <c r="E2947" t="s">
        <v>6</v>
      </c>
      <c r="F2947">
        <v>7.7620000000000008E-2</v>
      </c>
    </row>
    <row r="2948" spans="1:6" x14ac:dyDescent="0.3">
      <c r="A2948" t="s">
        <v>5</v>
      </c>
      <c r="B2948" s="1">
        <v>45780</v>
      </c>
      <c r="C2948">
        <v>20</v>
      </c>
      <c r="D2948">
        <v>6.7000000000000004E-2</v>
      </c>
      <c r="E2948" t="s">
        <v>6</v>
      </c>
      <c r="F2948">
        <v>9.5689999999999997E-2</v>
      </c>
    </row>
    <row r="2949" spans="1:6" x14ac:dyDescent="0.3">
      <c r="A2949" t="s">
        <v>5</v>
      </c>
      <c r="B2949" s="1">
        <v>45780</v>
      </c>
      <c r="C2949">
        <v>21</v>
      </c>
      <c r="D2949">
        <v>6.2E-2</v>
      </c>
      <c r="E2949" t="s">
        <v>6</v>
      </c>
      <c r="F2949">
        <v>0.10768999999999999</v>
      </c>
    </row>
    <row r="2950" spans="1:6" x14ac:dyDescent="0.3">
      <c r="A2950" t="s">
        <v>5</v>
      </c>
      <c r="B2950" s="1">
        <v>45780</v>
      </c>
      <c r="C2950">
        <v>22</v>
      </c>
      <c r="D2950">
        <v>7.3999999999999996E-2</v>
      </c>
      <c r="E2950" t="s">
        <v>6</v>
      </c>
      <c r="F2950">
        <v>0.13564999999999999</v>
      </c>
    </row>
    <row r="2951" spans="1:6" x14ac:dyDescent="0.3">
      <c r="A2951" t="s">
        <v>5</v>
      </c>
      <c r="B2951" s="1">
        <v>45780</v>
      </c>
      <c r="C2951">
        <v>23</v>
      </c>
      <c r="D2951">
        <v>5.6000000000000001E-2</v>
      </c>
      <c r="E2951" t="s">
        <v>6</v>
      </c>
      <c r="F2951">
        <v>0.13741</v>
      </c>
    </row>
    <row r="2952" spans="1:6" x14ac:dyDescent="0.3">
      <c r="A2952" t="s">
        <v>5</v>
      </c>
      <c r="B2952" s="1">
        <v>45780</v>
      </c>
      <c r="C2952">
        <v>24</v>
      </c>
      <c r="D2952">
        <v>7.4999999999999997E-2</v>
      </c>
      <c r="E2952" t="s">
        <v>6</v>
      </c>
      <c r="F2952">
        <v>0.12204000000000001</v>
      </c>
    </row>
    <row r="2953" spans="1:6" x14ac:dyDescent="0.3">
      <c r="A2953" t="s">
        <v>5</v>
      </c>
      <c r="B2953" s="1">
        <v>45781</v>
      </c>
      <c r="C2953">
        <v>1</v>
      </c>
      <c r="D2953">
        <v>5.5E-2</v>
      </c>
      <c r="E2953" t="s">
        <v>6</v>
      </c>
      <c r="F2953">
        <v>0.11854000000000001</v>
      </c>
    </row>
    <row r="2954" spans="1:6" x14ac:dyDescent="0.3">
      <c r="A2954" t="s">
        <v>5</v>
      </c>
      <c r="B2954" s="1">
        <v>45781</v>
      </c>
      <c r="C2954">
        <v>2</v>
      </c>
      <c r="D2954">
        <v>7.4999999999999997E-2</v>
      </c>
      <c r="E2954" t="s">
        <v>6</v>
      </c>
      <c r="F2954">
        <v>0.12168000000000001</v>
      </c>
    </row>
    <row r="2955" spans="1:6" x14ac:dyDescent="0.3">
      <c r="A2955" t="s">
        <v>5</v>
      </c>
      <c r="B2955" s="1">
        <v>45781</v>
      </c>
      <c r="C2955">
        <v>3</v>
      </c>
      <c r="D2955">
        <v>0.06</v>
      </c>
      <c r="E2955" t="s">
        <v>6</v>
      </c>
      <c r="F2955">
        <v>0.11695999999999999</v>
      </c>
    </row>
    <row r="2956" spans="1:6" x14ac:dyDescent="0.3">
      <c r="A2956" t="s">
        <v>5</v>
      </c>
      <c r="B2956" s="1">
        <v>45781</v>
      </c>
      <c r="C2956">
        <v>4</v>
      </c>
      <c r="D2956">
        <v>7.0999999999999994E-2</v>
      </c>
      <c r="E2956" t="s">
        <v>6</v>
      </c>
      <c r="F2956">
        <v>0.11595999999999999</v>
      </c>
    </row>
    <row r="2957" spans="1:6" x14ac:dyDescent="0.3">
      <c r="A2957" t="s">
        <v>5</v>
      </c>
      <c r="B2957" s="1">
        <v>45781</v>
      </c>
      <c r="C2957">
        <v>5</v>
      </c>
      <c r="D2957">
        <v>6.5000000000000002E-2</v>
      </c>
      <c r="E2957" t="s">
        <v>6</v>
      </c>
      <c r="F2957">
        <v>0.1143</v>
      </c>
    </row>
    <row r="2958" spans="1:6" x14ac:dyDescent="0.3">
      <c r="A2958" t="s">
        <v>5</v>
      </c>
      <c r="B2958" s="1">
        <v>45781</v>
      </c>
      <c r="C2958">
        <v>6</v>
      </c>
      <c r="D2958">
        <v>6.5000000000000002E-2</v>
      </c>
      <c r="E2958" t="s">
        <v>6</v>
      </c>
      <c r="F2958">
        <v>0.11417000000000001</v>
      </c>
    </row>
    <row r="2959" spans="1:6" x14ac:dyDescent="0.3">
      <c r="A2959" t="s">
        <v>5</v>
      </c>
      <c r="B2959" s="1">
        <v>45781</v>
      </c>
      <c r="C2959">
        <v>7</v>
      </c>
      <c r="D2959">
        <v>7.1999999999999995E-2</v>
      </c>
      <c r="E2959" t="s">
        <v>6</v>
      </c>
      <c r="F2959">
        <v>0.11047</v>
      </c>
    </row>
    <row r="2960" spans="1:6" x14ac:dyDescent="0.3">
      <c r="A2960" t="s">
        <v>5</v>
      </c>
      <c r="B2960" s="1">
        <v>45781</v>
      </c>
      <c r="C2960">
        <v>8</v>
      </c>
      <c r="D2960">
        <v>5.8999999999999997E-2</v>
      </c>
      <c r="E2960" t="s">
        <v>6</v>
      </c>
      <c r="F2960">
        <v>0.10396999999999999</v>
      </c>
    </row>
    <row r="2961" spans="1:6" x14ac:dyDescent="0.3">
      <c r="A2961" t="s">
        <v>5</v>
      </c>
      <c r="B2961" s="1">
        <v>45781</v>
      </c>
      <c r="C2961">
        <v>9</v>
      </c>
      <c r="D2961">
        <v>7.4999999999999997E-2</v>
      </c>
      <c r="E2961" t="s">
        <v>6</v>
      </c>
      <c r="F2961">
        <v>0.10009</v>
      </c>
    </row>
    <row r="2962" spans="1:6" x14ac:dyDescent="0.3">
      <c r="A2962" t="s">
        <v>5</v>
      </c>
      <c r="B2962" s="1">
        <v>45781</v>
      </c>
      <c r="C2962">
        <v>10</v>
      </c>
      <c r="D2962">
        <v>5.6000000000000001E-2</v>
      </c>
      <c r="E2962" t="s">
        <v>6</v>
      </c>
      <c r="F2962">
        <v>9.0219999999999995E-2</v>
      </c>
    </row>
    <row r="2963" spans="1:6" x14ac:dyDescent="0.3">
      <c r="A2963" t="s">
        <v>5</v>
      </c>
      <c r="B2963" s="1">
        <v>45781</v>
      </c>
      <c r="C2963">
        <v>11</v>
      </c>
      <c r="D2963">
        <v>7.3999999999999996E-2</v>
      </c>
      <c r="E2963" t="s">
        <v>6</v>
      </c>
      <c r="F2963">
        <v>8.0870000000000011E-2</v>
      </c>
    </row>
    <row r="2964" spans="1:6" x14ac:dyDescent="0.3">
      <c r="A2964" t="s">
        <v>5</v>
      </c>
      <c r="B2964" s="1">
        <v>45781</v>
      </c>
      <c r="C2964">
        <v>12</v>
      </c>
      <c r="D2964">
        <v>5.5E-2</v>
      </c>
      <c r="E2964" t="s">
        <v>6</v>
      </c>
      <c r="F2964">
        <v>7.7349999999999988E-2</v>
      </c>
    </row>
    <row r="2965" spans="1:6" x14ac:dyDescent="0.3">
      <c r="A2965" t="s">
        <v>5</v>
      </c>
      <c r="B2965" s="1">
        <v>45781</v>
      </c>
      <c r="C2965">
        <v>13</v>
      </c>
      <c r="D2965">
        <v>7.4999999999999997E-2</v>
      </c>
      <c r="E2965" t="s">
        <v>6</v>
      </c>
      <c r="F2965">
        <v>7.6840000000000006E-2</v>
      </c>
    </row>
    <row r="2966" spans="1:6" x14ac:dyDescent="0.3">
      <c r="A2966" t="s">
        <v>5</v>
      </c>
      <c r="B2966" s="1">
        <v>45781</v>
      </c>
      <c r="C2966">
        <v>14</v>
      </c>
      <c r="D2966">
        <v>5.7000000000000002E-2</v>
      </c>
      <c r="E2966" t="s">
        <v>6</v>
      </c>
      <c r="F2966">
        <v>7.526999999999999E-2</v>
      </c>
    </row>
    <row r="2967" spans="1:6" x14ac:dyDescent="0.3">
      <c r="A2967" t="s">
        <v>5</v>
      </c>
      <c r="B2967" s="1">
        <v>45781</v>
      </c>
      <c r="C2967">
        <v>15</v>
      </c>
      <c r="D2967">
        <v>7.3999999999999996E-2</v>
      </c>
      <c r="E2967" t="s">
        <v>6</v>
      </c>
      <c r="F2967">
        <v>7.2849999999999998E-2</v>
      </c>
    </row>
    <row r="2968" spans="1:6" x14ac:dyDescent="0.3">
      <c r="A2968" t="s">
        <v>5</v>
      </c>
      <c r="B2968" s="1">
        <v>45781</v>
      </c>
      <c r="C2968">
        <v>16</v>
      </c>
      <c r="D2968">
        <v>6.0999999999999999E-2</v>
      </c>
      <c r="E2968" t="s">
        <v>6</v>
      </c>
      <c r="F2968">
        <v>7.5549999999999992E-2</v>
      </c>
    </row>
    <row r="2969" spans="1:6" x14ac:dyDescent="0.3">
      <c r="A2969" t="s">
        <v>5</v>
      </c>
      <c r="B2969" s="1">
        <v>45781</v>
      </c>
      <c r="C2969">
        <v>17</v>
      </c>
      <c r="D2969">
        <v>7.0000000000000007E-2</v>
      </c>
      <c r="E2969" t="s">
        <v>6</v>
      </c>
      <c r="F2969">
        <v>7.6960000000000001E-2</v>
      </c>
    </row>
    <row r="2970" spans="1:6" x14ac:dyDescent="0.3">
      <c r="A2970" t="s">
        <v>5</v>
      </c>
      <c r="B2970" s="1">
        <v>45781</v>
      </c>
      <c r="C2970">
        <v>18</v>
      </c>
      <c r="D2970">
        <v>6.5000000000000002E-2</v>
      </c>
      <c r="E2970" t="s">
        <v>6</v>
      </c>
      <c r="F2970">
        <v>7.8310000000000005E-2</v>
      </c>
    </row>
    <row r="2971" spans="1:6" x14ac:dyDescent="0.3">
      <c r="A2971" t="s">
        <v>5</v>
      </c>
      <c r="B2971" s="1">
        <v>45781</v>
      </c>
      <c r="C2971">
        <v>19</v>
      </c>
      <c r="D2971">
        <v>6.5000000000000002E-2</v>
      </c>
      <c r="E2971" t="s">
        <v>6</v>
      </c>
      <c r="F2971">
        <v>7.8810000000000005E-2</v>
      </c>
    </row>
    <row r="2972" spans="1:6" x14ac:dyDescent="0.3">
      <c r="A2972" t="s">
        <v>5</v>
      </c>
      <c r="B2972" s="1">
        <v>45781</v>
      </c>
      <c r="C2972">
        <v>20</v>
      </c>
      <c r="D2972">
        <v>6.9000000000000006E-2</v>
      </c>
      <c r="E2972" t="s">
        <v>6</v>
      </c>
      <c r="F2972">
        <v>8.405E-2</v>
      </c>
    </row>
    <row r="2973" spans="1:6" x14ac:dyDescent="0.3">
      <c r="A2973" t="s">
        <v>5</v>
      </c>
      <c r="B2973" s="1">
        <v>45781</v>
      </c>
      <c r="C2973">
        <v>21</v>
      </c>
      <c r="D2973">
        <v>8.6999999999999994E-2</v>
      </c>
      <c r="E2973" t="s">
        <v>6</v>
      </c>
      <c r="F2973">
        <v>9.5989999999999992E-2</v>
      </c>
    </row>
    <row r="2974" spans="1:6" x14ac:dyDescent="0.3">
      <c r="A2974" t="s">
        <v>5</v>
      </c>
      <c r="B2974" s="1">
        <v>45781</v>
      </c>
      <c r="C2974">
        <v>22</v>
      </c>
      <c r="D2974">
        <v>0.30099999999999999</v>
      </c>
      <c r="E2974" t="s">
        <v>6</v>
      </c>
      <c r="F2974">
        <v>0.10929000000000001</v>
      </c>
    </row>
    <row r="2975" spans="1:6" x14ac:dyDescent="0.3">
      <c r="A2975" t="s">
        <v>5</v>
      </c>
      <c r="B2975" s="1">
        <v>45781</v>
      </c>
      <c r="C2975">
        <v>23</v>
      </c>
      <c r="D2975">
        <v>0.26700000000000002</v>
      </c>
      <c r="E2975" t="s">
        <v>6</v>
      </c>
      <c r="F2975">
        <v>0.10782</v>
      </c>
    </row>
    <row r="2976" spans="1:6" x14ac:dyDescent="0.3">
      <c r="A2976" t="s">
        <v>5</v>
      </c>
      <c r="B2976" s="1">
        <v>45781</v>
      </c>
      <c r="C2976">
        <v>24</v>
      </c>
      <c r="D2976">
        <v>0.25700000000000001</v>
      </c>
      <c r="E2976" t="s">
        <v>6</v>
      </c>
      <c r="F2976">
        <v>9.8830000000000001E-2</v>
      </c>
    </row>
    <row r="2977" spans="1:6" x14ac:dyDescent="0.3">
      <c r="A2977" t="s">
        <v>5</v>
      </c>
      <c r="B2977" s="1">
        <v>45782</v>
      </c>
      <c r="C2977">
        <v>1</v>
      </c>
      <c r="D2977">
        <v>0.66800000000000004</v>
      </c>
      <c r="E2977" t="s">
        <v>6</v>
      </c>
      <c r="F2977">
        <v>0.11892</v>
      </c>
    </row>
    <row r="2978" spans="1:6" x14ac:dyDescent="0.3">
      <c r="A2978" t="s">
        <v>5</v>
      </c>
      <c r="B2978" s="1">
        <v>45782</v>
      </c>
      <c r="C2978">
        <v>2</v>
      </c>
      <c r="D2978">
        <v>0.128</v>
      </c>
      <c r="E2978" t="s">
        <v>6</v>
      </c>
      <c r="F2978">
        <v>0.11524</v>
      </c>
    </row>
    <row r="2979" spans="1:6" x14ac:dyDescent="0.3">
      <c r="A2979" t="s">
        <v>5</v>
      </c>
      <c r="B2979" s="1">
        <v>45782</v>
      </c>
      <c r="C2979">
        <v>3</v>
      </c>
      <c r="D2979">
        <v>8.5000000000000006E-2</v>
      </c>
      <c r="E2979" t="s">
        <v>6</v>
      </c>
      <c r="F2979">
        <v>0.11384</v>
      </c>
    </row>
    <row r="2980" spans="1:6" x14ac:dyDescent="0.3">
      <c r="A2980" t="s">
        <v>5</v>
      </c>
      <c r="B2980" s="1">
        <v>45782</v>
      </c>
      <c r="C2980">
        <v>4</v>
      </c>
      <c r="D2980">
        <v>7.0000000000000007E-2</v>
      </c>
      <c r="E2980" t="s">
        <v>6</v>
      </c>
      <c r="F2980">
        <v>0.11153</v>
      </c>
    </row>
    <row r="2981" spans="1:6" x14ac:dyDescent="0.3">
      <c r="A2981" t="s">
        <v>5</v>
      </c>
      <c r="B2981" s="1">
        <v>45782</v>
      </c>
      <c r="C2981">
        <v>5</v>
      </c>
      <c r="D2981">
        <v>8.2000000000000003E-2</v>
      </c>
      <c r="E2981" t="s">
        <v>6</v>
      </c>
      <c r="F2981">
        <v>0.10915000000000001</v>
      </c>
    </row>
    <row r="2982" spans="1:6" x14ac:dyDescent="0.3">
      <c r="A2982" t="s">
        <v>5</v>
      </c>
      <c r="B2982" s="1">
        <v>45782</v>
      </c>
      <c r="C2982">
        <v>6</v>
      </c>
      <c r="D2982">
        <v>6.7000000000000004E-2</v>
      </c>
      <c r="E2982" t="s">
        <v>6</v>
      </c>
      <c r="F2982">
        <v>0.11145000000000001</v>
      </c>
    </row>
    <row r="2983" spans="1:6" x14ac:dyDescent="0.3">
      <c r="A2983" t="s">
        <v>5</v>
      </c>
      <c r="B2983" s="1">
        <v>45782</v>
      </c>
      <c r="C2983">
        <v>7</v>
      </c>
      <c r="D2983">
        <v>7.8E-2</v>
      </c>
      <c r="E2983" t="s">
        <v>6</v>
      </c>
      <c r="F2983">
        <v>0.11554</v>
      </c>
    </row>
    <row r="2984" spans="1:6" x14ac:dyDescent="0.3">
      <c r="A2984" t="s">
        <v>5</v>
      </c>
      <c r="B2984" s="1">
        <v>45782</v>
      </c>
      <c r="C2984">
        <v>8</v>
      </c>
      <c r="D2984">
        <v>0.1</v>
      </c>
      <c r="E2984" t="s">
        <v>6</v>
      </c>
      <c r="F2984">
        <v>0.11641</v>
      </c>
    </row>
    <row r="2985" spans="1:6" x14ac:dyDescent="0.3">
      <c r="A2985" t="s">
        <v>5</v>
      </c>
      <c r="B2985" s="1">
        <v>45782</v>
      </c>
      <c r="C2985">
        <v>9</v>
      </c>
      <c r="D2985">
        <v>5.3999999999999999E-2</v>
      </c>
      <c r="E2985" t="s">
        <v>6</v>
      </c>
      <c r="F2985">
        <v>0.13438999999999998</v>
      </c>
    </row>
    <row r="2986" spans="1:6" x14ac:dyDescent="0.3">
      <c r="A2986" t="s">
        <v>5</v>
      </c>
      <c r="B2986" s="1">
        <v>45782</v>
      </c>
      <c r="C2986">
        <v>10</v>
      </c>
      <c r="D2986">
        <v>8.8999999999999996E-2</v>
      </c>
      <c r="E2986" t="s">
        <v>6</v>
      </c>
      <c r="F2986">
        <v>0.11194</v>
      </c>
    </row>
    <row r="2987" spans="1:6" x14ac:dyDescent="0.3">
      <c r="A2987" t="s">
        <v>5</v>
      </c>
      <c r="B2987" s="1">
        <v>45782</v>
      </c>
      <c r="C2987">
        <v>11</v>
      </c>
      <c r="D2987">
        <v>6.8000000000000005E-2</v>
      </c>
      <c r="E2987" t="s">
        <v>6</v>
      </c>
      <c r="F2987">
        <v>0.15928</v>
      </c>
    </row>
    <row r="2988" spans="1:6" x14ac:dyDescent="0.3">
      <c r="A2988" t="s">
        <v>5</v>
      </c>
      <c r="B2988" s="1">
        <v>45782</v>
      </c>
      <c r="C2988">
        <v>12</v>
      </c>
      <c r="D2988">
        <v>6.3E-2</v>
      </c>
      <c r="E2988" t="s">
        <v>6</v>
      </c>
      <c r="F2988">
        <v>0.15802000000000002</v>
      </c>
    </row>
    <row r="2989" spans="1:6" x14ac:dyDescent="0.3">
      <c r="A2989" t="s">
        <v>5</v>
      </c>
      <c r="B2989" s="1">
        <v>45782</v>
      </c>
      <c r="C2989">
        <v>13</v>
      </c>
      <c r="D2989">
        <v>0.189</v>
      </c>
      <c r="E2989" t="s">
        <v>6</v>
      </c>
      <c r="F2989">
        <v>0.15709000000000001</v>
      </c>
    </row>
    <row r="2990" spans="1:6" x14ac:dyDescent="0.3">
      <c r="A2990" t="s">
        <v>5</v>
      </c>
      <c r="B2990" s="1">
        <v>45782</v>
      </c>
      <c r="C2990">
        <v>14</v>
      </c>
      <c r="D2990">
        <v>0.215</v>
      </c>
      <c r="E2990" t="s">
        <v>6</v>
      </c>
      <c r="F2990">
        <v>0.15374000000000002</v>
      </c>
    </row>
    <row r="2991" spans="1:6" x14ac:dyDescent="0.3">
      <c r="A2991" t="s">
        <v>5</v>
      </c>
      <c r="B2991" s="1">
        <v>45782</v>
      </c>
      <c r="C2991">
        <v>15</v>
      </c>
      <c r="D2991">
        <v>0.27800000000000002</v>
      </c>
      <c r="E2991" t="s">
        <v>6</v>
      </c>
      <c r="F2991">
        <v>8.8669999999999999E-2</v>
      </c>
    </row>
    <row r="2992" spans="1:6" x14ac:dyDescent="0.3">
      <c r="A2992" t="s">
        <v>5</v>
      </c>
      <c r="B2992" s="1">
        <v>45782</v>
      </c>
      <c r="C2992">
        <v>16</v>
      </c>
      <c r="D2992">
        <v>0.126</v>
      </c>
      <c r="E2992" t="s">
        <v>6</v>
      </c>
      <c r="F2992">
        <v>9.0569999999999998E-2</v>
      </c>
    </row>
    <row r="2993" spans="1:6" x14ac:dyDescent="0.3">
      <c r="A2993" t="s">
        <v>5</v>
      </c>
      <c r="B2993" s="1">
        <v>45782</v>
      </c>
      <c r="C2993">
        <v>17</v>
      </c>
      <c r="D2993">
        <v>0.72299999999999998</v>
      </c>
      <c r="E2993" t="s">
        <v>6</v>
      </c>
      <c r="F2993">
        <v>9.1420000000000001E-2</v>
      </c>
    </row>
    <row r="2994" spans="1:6" x14ac:dyDescent="0.3">
      <c r="A2994" t="s">
        <v>5</v>
      </c>
      <c r="B2994" s="1">
        <v>45782</v>
      </c>
      <c r="C2994">
        <v>18</v>
      </c>
      <c r="D2994">
        <v>1.0569999999999999</v>
      </c>
      <c r="E2994" t="s">
        <v>6</v>
      </c>
      <c r="F2994">
        <v>9.1499999999999998E-2</v>
      </c>
    </row>
    <row r="2995" spans="1:6" x14ac:dyDescent="0.3">
      <c r="A2995" t="s">
        <v>5</v>
      </c>
      <c r="B2995" s="1">
        <v>45782</v>
      </c>
      <c r="C2995">
        <v>19</v>
      </c>
      <c r="D2995">
        <v>0.84299999999999997</v>
      </c>
      <c r="E2995" t="s">
        <v>6</v>
      </c>
      <c r="F2995">
        <v>0.16152</v>
      </c>
    </row>
    <row r="2996" spans="1:6" x14ac:dyDescent="0.3">
      <c r="A2996" t="s">
        <v>5</v>
      </c>
      <c r="B2996" s="1">
        <v>45782</v>
      </c>
      <c r="C2996">
        <v>20</v>
      </c>
      <c r="D2996">
        <v>0.71199999999999997</v>
      </c>
      <c r="E2996" t="s">
        <v>6</v>
      </c>
      <c r="F2996">
        <v>0.16290000000000002</v>
      </c>
    </row>
    <row r="2997" spans="1:6" x14ac:dyDescent="0.3">
      <c r="A2997" t="s">
        <v>5</v>
      </c>
      <c r="B2997" s="1">
        <v>45782</v>
      </c>
      <c r="C2997">
        <v>21</v>
      </c>
      <c r="D2997">
        <v>0.61499999999999999</v>
      </c>
      <c r="E2997" t="s">
        <v>6</v>
      </c>
      <c r="F2997">
        <v>0.16946</v>
      </c>
    </row>
    <row r="2998" spans="1:6" x14ac:dyDescent="0.3">
      <c r="A2998" t="s">
        <v>5</v>
      </c>
      <c r="B2998" s="1">
        <v>45782</v>
      </c>
      <c r="C2998">
        <v>22</v>
      </c>
      <c r="D2998">
        <v>0.48899999999999999</v>
      </c>
      <c r="E2998" t="s">
        <v>6</v>
      </c>
      <c r="F2998">
        <v>0.18630000000000002</v>
      </c>
    </row>
    <row r="2999" spans="1:6" x14ac:dyDescent="0.3">
      <c r="A2999" t="s">
        <v>5</v>
      </c>
      <c r="B2999" s="1">
        <v>45782</v>
      </c>
      <c r="C2999">
        <v>23</v>
      </c>
      <c r="D2999">
        <v>1.093</v>
      </c>
      <c r="E2999" t="s">
        <v>6</v>
      </c>
      <c r="F2999">
        <v>0.11528000000000001</v>
      </c>
    </row>
    <row r="3000" spans="1:6" x14ac:dyDescent="0.3">
      <c r="A3000" t="s">
        <v>5</v>
      </c>
      <c r="B3000" s="1">
        <v>45782</v>
      </c>
      <c r="C3000">
        <v>24</v>
      </c>
      <c r="D3000">
        <v>0.41499999999999998</v>
      </c>
      <c r="E3000" t="s">
        <v>6</v>
      </c>
      <c r="F3000">
        <v>0.11151000000000001</v>
      </c>
    </row>
    <row r="3001" spans="1:6" x14ac:dyDescent="0.3">
      <c r="A3001" t="s">
        <v>5</v>
      </c>
      <c r="B3001" s="1">
        <v>45783</v>
      </c>
      <c r="C3001">
        <v>1</v>
      </c>
      <c r="D3001">
        <v>0.19400000000000001</v>
      </c>
      <c r="E3001" t="s">
        <v>6</v>
      </c>
      <c r="F3001">
        <v>8.5129999999999997E-2</v>
      </c>
    </row>
    <row r="3002" spans="1:6" x14ac:dyDescent="0.3">
      <c r="A3002" t="s">
        <v>5</v>
      </c>
      <c r="B3002" s="1">
        <v>45783</v>
      </c>
      <c r="C3002">
        <v>2</v>
      </c>
      <c r="D3002">
        <v>0.16</v>
      </c>
      <c r="E3002" t="s">
        <v>6</v>
      </c>
      <c r="F3002">
        <v>8.2780000000000006E-2</v>
      </c>
    </row>
    <row r="3003" spans="1:6" x14ac:dyDescent="0.3">
      <c r="A3003" t="s">
        <v>5</v>
      </c>
      <c r="B3003" s="1">
        <v>45783</v>
      </c>
      <c r="C3003">
        <v>3</v>
      </c>
      <c r="D3003">
        <v>0.16700000000000001</v>
      </c>
      <c r="E3003" t="s">
        <v>6</v>
      </c>
      <c r="F3003">
        <v>8.4129999999999996E-2</v>
      </c>
    </row>
    <row r="3004" spans="1:6" x14ac:dyDescent="0.3">
      <c r="A3004" t="s">
        <v>5</v>
      </c>
      <c r="B3004" s="1">
        <v>45783</v>
      </c>
      <c r="C3004">
        <v>4</v>
      </c>
      <c r="D3004">
        <v>0.15</v>
      </c>
      <c r="E3004" t="s">
        <v>6</v>
      </c>
      <c r="F3004">
        <v>8.097E-2</v>
      </c>
    </row>
    <row r="3005" spans="1:6" x14ac:dyDescent="0.3">
      <c r="A3005" t="s">
        <v>5</v>
      </c>
      <c r="B3005" s="1">
        <v>45783</v>
      </c>
      <c r="C3005">
        <v>5</v>
      </c>
      <c r="D3005">
        <v>0.159</v>
      </c>
      <c r="E3005" t="s">
        <v>6</v>
      </c>
      <c r="F3005">
        <v>8.1619999999999998E-2</v>
      </c>
    </row>
    <row r="3006" spans="1:6" x14ac:dyDescent="0.3">
      <c r="A3006" t="s">
        <v>5</v>
      </c>
      <c r="B3006" s="1">
        <v>45783</v>
      </c>
      <c r="C3006">
        <v>6</v>
      </c>
      <c r="D3006">
        <v>0.155</v>
      </c>
      <c r="E3006" t="s">
        <v>6</v>
      </c>
      <c r="F3006">
        <v>8.1310000000000007E-2</v>
      </c>
    </row>
    <row r="3007" spans="1:6" x14ac:dyDescent="0.3">
      <c r="A3007" t="s">
        <v>5</v>
      </c>
      <c r="B3007" s="1">
        <v>45783</v>
      </c>
      <c r="C3007">
        <v>7</v>
      </c>
      <c r="D3007">
        <v>0.17399999999999999</v>
      </c>
      <c r="E3007" t="s">
        <v>6</v>
      </c>
      <c r="F3007">
        <v>9.4159999999999994E-2</v>
      </c>
    </row>
    <row r="3008" spans="1:6" x14ac:dyDescent="0.3">
      <c r="A3008" t="s">
        <v>5</v>
      </c>
      <c r="B3008" s="1">
        <v>45783</v>
      </c>
      <c r="C3008">
        <v>8</v>
      </c>
      <c r="D3008">
        <v>0.23899999999999999</v>
      </c>
      <c r="E3008" t="s">
        <v>6</v>
      </c>
      <c r="F3008">
        <v>0.10120999999999999</v>
      </c>
    </row>
    <row r="3009" spans="1:6" x14ac:dyDescent="0.3">
      <c r="A3009" t="s">
        <v>5</v>
      </c>
      <c r="B3009" s="1">
        <v>45783</v>
      </c>
      <c r="C3009">
        <v>9</v>
      </c>
      <c r="D3009">
        <v>0.183</v>
      </c>
      <c r="E3009" t="s">
        <v>6</v>
      </c>
      <c r="F3009">
        <v>0.11128</v>
      </c>
    </row>
    <row r="3010" spans="1:6" x14ac:dyDescent="0.3">
      <c r="A3010" t="s">
        <v>5</v>
      </c>
      <c r="B3010" s="1">
        <v>45783</v>
      </c>
      <c r="C3010">
        <v>10</v>
      </c>
      <c r="D3010">
        <v>0.20300000000000001</v>
      </c>
      <c r="E3010" t="s">
        <v>6</v>
      </c>
      <c r="F3010">
        <v>9.0620000000000006E-2</v>
      </c>
    </row>
    <row r="3011" spans="1:6" x14ac:dyDescent="0.3">
      <c r="A3011" t="s">
        <v>5</v>
      </c>
      <c r="B3011" s="1">
        <v>45783</v>
      </c>
      <c r="C3011">
        <v>11</v>
      </c>
      <c r="D3011">
        <v>0.13300000000000001</v>
      </c>
      <c r="E3011" t="s">
        <v>6</v>
      </c>
      <c r="F3011">
        <v>0.15212999999999999</v>
      </c>
    </row>
    <row r="3012" spans="1:6" x14ac:dyDescent="0.3">
      <c r="A3012" t="s">
        <v>5</v>
      </c>
      <c r="B3012" s="1">
        <v>45783</v>
      </c>
      <c r="C3012">
        <v>12</v>
      </c>
      <c r="D3012">
        <v>0.20200000000000001</v>
      </c>
      <c r="E3012" t="s">
        <v>6</v>
      </c>
      <c r="F3012">
        <v>0.14834</v>
      </c>
    </row>
    <row r="3013" spans="1:6" x14ac:dyDescent="0.3">
      <c r="A3013" t="s">
        <v>5</v>
      </c>
      <c r="B3013" s="1">
        <v>45783</v>
      </c>
      <c r="C3013">
        <v>13</v>
      </c>
      <c r="D3013">
        <v>0.13</v>
      </c>
      <c r="E3013" t="s">
        <v>6</v>
      </c>
      <c r="F3013">
        <v>0.14861000000000002</v>
      </c>
    </row>
    <row r="3014" spans="1:6" x14ac:dyDescent="0.3">
      <c r="A3014" t="s">
        <v>5</v>
      </c>
      <c r="B3014" s="1">
        <v>45783</v>
      </c>
      <c r="C3014">
        <v>14</v>
      </c>
      <c r="D3014">
        <v>0.24199999999999999</v>
      </c>
      <c r="E3014" t="s">
        <v>6</v>
      </c>
      <c r="F3014">
        <v>0.14474000000000001</v>
      </c>
    </row>
    <row r="3015" spans="1:6" x14ac:dyDescent="0.3">
      <c r="A3015" t="s">
        <v>5</v>
      </c>
      <c r="B3015" s="1">
        <v>45783</v>
      </c>
      <c r="C3015">
        <v>15</v>
      </c>
      <c r="D3015">
        <v>0.22600000000000001</v>
      </c>
      <c r="E3015" t="s">
        <v>6</v>
      </c>
      <c r="F3015">
        <v>8.2629999999999995E-2</v>
      </c>
    </row>
    <row r="3016" spans="1:6" x14ac:dyDescent="0.3">
      <c r="A3016" t="s">
        <v>5</v>
      </c>
      <c r="B3016" s="1">
        <v>45783</v>
      </c>
      <c r="C3016">
        <v>16</v>
      </c>
      <c r="D3016">
        <v>0.153</v>
      </c>
      <c r="E3016" t="s">
        <v>6</v>
      </c>
      <c r="F3016">
        <v>8.3839999999999998E-2</v>
      </c>
    </row>
    <row r="3017" spans="1:6" x14ac:dyDescent="0.3">
      <c r="A3017" t="s">
        <v>5</v>
      </c>
      <c r="B3017" s="1">
        <v>45783</v>
      </c>
      <c r="C3017">
        <v>17</v>
      </c>
      <c r="D3017">
        <v>0.20200000000000001</v>
      </c>
      <c r="E3017" t="s">
        <v>6</v>
      </c>
      <c r="F3017">
        <v>8.4940000000000002E-2</v>
      </c>
    </row>
    <row r="3018" spans="1:6" x14ac:dyDescent="0.3">
      <c r="A3018" t="s">
        <v>5</v>
      </c>
      <c r="B3018" s="1">
        <v>45783</v>
      </c>
      <c r="C3018">
        <v>18</v>
      </c>
      <c r="D3018">
        <v>0.35099999999999998</v>
      </c>
      <c r="E3018" t="s">
        <v>6</v>
      </c>
      <c r="F3018">
        <v>8.4959999999999994E-2</v>
      </c>
    </row>
    <row r="3019" spans="1:6" x14ac:dyDescent="0.3">
      <c r="A3019" t="s">
        <v>5</v>
      </c>
      <c r="B3019" s="1">
        <v>45783</v>
      </c>
      <c r="C3019">
        <v>19</v>
      </c>
      <c r="D3019">
        <v>0.72699999999999998</v>
      </c>
      <c r="E3019" t="s">
        <v>6</v>
      </c>
      <c r="F3019">
        <v>0.15368000000000001</v>
      </c>
    </row>
    <row r="3020" spans="1:6" x14ac:dyDescent="0.3">
      <c r="A3020" t="s">
        <v>5</v>
      </c>
      <c r="B3020" s="1">
        <v>45783</v>
      </c>
      <c r="C3020">
        <v>20</v>
      </c>
      <c r="D3020">
        <v>0.45500000000000002</v>
      </c>
      <c r="E3020" t="s">
        <v>6</v>
      </c>
      <c r="F3020">
        <v>0.15772999999999998</v>
      </c>
    </row>
    <row r="3021" spans="1:6" x14ac:dyDescent="0.3">
      <c r="A3021" t="s">
        <v>5</v>
      </c>
      <c r="B3021" s="1">
        <v>45783</v>
      </c>
      <c r="C3021">
        <v>21</v>
      </c>
      <c r="D3021">
        <v>0.34799999999999998</v>
      </c>
      <c r="E3021" t="s">
        <v>6</v>
      </c>
      <c r="F3021">
        <v>0.20069000000000001</v>
      </c>
    </row>
    <row r="3022" spans="1:6" x14ac:dyDescent="0.3">
      <c r="A3022" t="s">
        <v>5</v>
      </c>
      <c r="B3022" s="1">
        <v>45783</v>
      </c>
      <c r="C3022">
        <v>22</v>
      </c>
      <c r="D3022">
        <v>0.21299999999999999</v>
      </c>
      <c r="E3022" t="s">
        <v>6</v>
      </c>
      <c r="F3022">
        <v>0.22086</v>
      </c>
    </row>
    <row r="3023" spans="1:6" x14ac:dyDescent="0.3">
      <c r="A3023" t="s">
        <v>5</v>
      </c>
      <c r="B3023" s="1">
        <v>45783</v>
      </c>
      <c r="C3023">
        <v>23</v>
      </c>
      <c r="D3023">
        <v>0.13700000000000001</v>
      </c>
      <c r="E3023" t="s">
        <v>6</v>
      </c>
      <c r="F3023">
        <v>0.14357</v>
      </c>
    </row>
    <row r="3024" spans="1:6" x14ac:dyDescent="0.3">
      <c r="A3024" t="s">
        <v>5</v>
      </c>
      <c r="B3024" s="1">
        <v>45783</v>
      </c>
      <c r="C3024">
        <v>24</v>
      </c>
      <c r="D3024">
        <v>0.16200000000000001</v>
      </c>
      <c r="E3024" t="s">
        <v>6</v>
      </c>
      <c r="F3024">
        <v>0.12866999999999998</v>
      </c>
    </row>
    <row r="3025" spans="1:6" x14ac:dyDescent="0.3">
      <c r="A3025" t="s">
        <v>5</v>
      </c>
      <c r="B3025" s="1">
        <v>45784</v>
      </c>
      <c r="C3025">
        <v>1</v>
      </c>
      <c r="D3025">
        <v>0.40600000000000003</v>
      </c>
      <c r="E3025" t="s">
        <v>6</v>
      </c>
      <c r="F3025">
        <v>7.8969999999999999E-2</v>
      </c>
    </row>
    <row r="3026" spans="1:6" x14ac:dyDescent="0.3">
      <c r="A3026" t="s">
        <v>5</v>
      </c>
      <c r="B3026" s="1">
        <v>45784</v>
      </c>
      <c r="C3026">
        <v>2</v>
      </c>
      <c r="D3026">
        <v>0.182</v>
      </c>
      <c r="E3026" t="s">
        <v>6</v>
      </c>
      <c r="F3026">
        <v>7.6620000000000008E-2</v>
      </c>
    </row>
    <row r="3027" spans="1:6" x14ac:dyDescent="0.3">
      <c r="A3027" t="s">
        <v>5</v>
      </c>
      <c r="B3027" s="1">
        <v>45784</v>
      </c>
      <c r="C3027">
        <v>3</v>
      </c>
      <c r="D3027">
        <v>0.13900000000000001</v>
      </c>
      <c r="E3027" t="s">
        <v>6</v>
      </c>
      <c r="F3027">
        <v>7.712999999999999E-2</v>
      </c>
    </row>
    <row r="3028" spans="1:6" x14ac:dyDescent="0.3">
      <c r="A3028" t="s">
        <v>5</v>
      </c>
      <c r="B3028" s="1">
        <v>45784</v>
      </c>
      <c r="C3028">
        <v>4</v>
      </c>
      <c r="D3028">
        <v>0.14099999999999999</v>
      </c>
      <c r="E3028" t="s">
        <v>6</v>
      </c>
      <c r="F3028">
        <v>7.3329999999999992E-2</v>
      </c>
    </row>
    <row r="3029" spans="1:6" x14ac:dyDescent="0.3">
      <c r="A3029" t="s">
        <v>5</v>
      </c>
      <c r="B3029" s="1">
        <v>45784</v>
      </c>
      <c r="C3029">
        <v>5</v>
      </c>
      <c r="D3029">
        <v>0.14599999999999999</v>
      </c>
      <c r="E3029" t="s">
        <v>6</v>
      </c>
      <c r="F3029">
        <v>7.8120000000000009E-2</v>
      </c>
    </row>
    <row r="3030" spans="1:6" x14ac:dyDescent="0.3">
      <c r="A3030" t="s">
        <v>5</v>
      </c>
      <c r="B3030" s="1">
        <v>45784</v>
      </c>
      <c r="C3030">
        <v>6</v>
      </c>
      <c r="D3030">
        <v>0.13200000000000001</v>
      </c>
      <c r="E3030" t="s">
        <v>6</v>
      </c>
      <c r="F3030">
        <v>8.3720000000000003E-2</v>
      </c>
    </row>
    <row r="3031" spans="1:6" x14ac:dyDescent="0.3">
      <c r="A3031" t="s">
        <v>5</v>
      </c>
      <c r="B3031" s="1">
        <v>45784</v>
      </c>
      <c r="C3031">
        <v>7</v>
      </c>
      <c r="D3031">
        <v>0.14799999999999999</v>
      </c>
      <c r="E3031" t="s">
        <v>6</v>
      </c>
      <c r="F3031">
        <v>0.1016</v>
      </c>
    </row>
    <row r="3032" spans="1:6" x14ac:dyDescent="0.3">
      <c r="A3032" t="s">
        <v>5</v>
      </c>
      <c r="B3032" s="1">
        <v>45784</v>
      </c>
      <c r="C3032">
        <v>8</v>
      </c>
      <c r="D3032">
        <v>0.14499999999999999</v>
      </c>
      <c r="E3032" t="s">
        <v>6</v>
      </c>
      <c r="F3032">
        <v>0.11287</v>
      </c>
    </row>
    <row r="3033" spans="1:6" x14ac:dyDescent="0.3">
      <c r="A3033" t="s">
        <v>5</v>
      </c>
      <c r="B3033" s="1">
        <v>45784</v>
      </c>
      <c r="C3033">
        <v>9</v>
      </c>
      <c r="D3033">
        <v>1.119</v>
      </c>
      <c r="E3033" t="s">
        <v>6</v>
      </c>
      <c r="F3033">
        <v>0.12946000000000002</v>
      </c>
    </row>
    <row r="3034" spans="1:6" x14ac:dyDescent="0.3">
      <c r="A3034" t="s">
        <v>5</v>
      </c>
      <c r="B3034" s="1">
        <v>45784</v>
      </c>
      <c r="C3034">
        <v>10</v>
      </c>
      <c r="D3034">
        <v>0.224</v>
      </c>
      <c r="E3034" t="s">
        <v>6</v>
      </c>
      <c r="F3034">
        <v>9.4640000000000002E-2</v>
      </c>
    </row>
    <row r="3035" spans="1:6" x14ac:dyDescent="0.3">
      <c r="A3035" t="s">
        <v>5</v>
      </c>
      <c r="B3035" s="1">
        <v>45784</v>
      </c>
      <c r="C3035">
        <v>11</v>
      </c>
      <c r="D3035">
        <v>0.78</v>
      </c>
      <c r="E3035" t="s">
        <v>6</v>
      </c>
      <c r="F3035">
        <v>0.14536000000000002</v>
      </c>
    </row>
    <row r="3036" spans="1:6" x14ac:dyDescent="0.3">
      <c r="A3036" t="s">
        <v>5</v>
      </c>
      <c r="B3036" s="1">
        <v>45784</v>
      </c>
      <c r="C3036">
        <v>12</v>
      </c>
      <c r="D3036">
        <v>0.157</v>
      </c>
      <c r="E3036" t="s">
        <v>6</v>
      </c>
      <c r="F3036">
        <v>0.14552999999999999</v>
      </c>
    </row>
    <row r="3037" spans="1:6" x14ac:dyDescent="0.3">
      <c r="A3037" t="s">
        <v>5</v>
      </c>
      <c r="B3037" s="1">
        <v>45784</v>
      </c>
      <c r="C3037">
        <v>13</v>
      </c>
      <c r="D3037">
        <v>0.13</v>
      </c>
      <c r="E3037" t="s">
        <v>6</v>
      </c>
      <c r="F3037">
        <v>0.14563999999999999</v>
      </c>
    </row>
    <row r="3038" spans="1:6" x14ac:dyDescent="0.3">
      <c r="A3038" t="s">
        <v>5</v>
      </c>
      <c r="B3038" s="1">
        <v>45784</v>
      </c>
      <c r="C3038">
        <v>14</v>
      </c>
      <c r="D3038">
        <v>0.22600000000000001</v>
      </c>
      <c r="E3038" t="s">
        <v>6</v>
      </c>
      <c r="F3038">
        <v>0.14274999999999999</v>
      </c>
    </row>
    <row r="3039" spans="1:6" x14ac:dyDescent="0.3">
      <c r="A3039" t="s">
        <v>5</v>
      </c>
      <c r="B3039" s="1">
        <v>45784</v>
      </c>
      <c r="C3039">
        <v>15</v>
      </c>
      <c r="D3039">
        <v>0.215</v>
      </c>
      <c r="E3039" t="s">
        <v>6</v>
      </c>
      <c r="F3039">
        <v>7.8739999999999991E-2</v>
      </c>
    </row>
    <row r="3040" spans="1:6" x14ac:dyDescent="0.3">
      <c r="A3040" t="s">
        <v>5</v>
      </c>
      <c r="B3040" s="1">
        <v>45784</v>
      </c>
      <c r="C3040">
        <v>16</v>
      </c>
      <c r="D3040">
        <v>0.182</v>
      </c>
      <c r="E3040" t="s">
        <v>6</v>
      </c>
      <c r="F3040">
        <v>7.909999999999999E-2</v>
      </c>
    </row>
    <row r="3041" spans="1:6" x14ac:dyDescent="0.3">
      <c r="A3041" t="s">
        <v>5</v>
      </c>
      <c r="B3041" s="1">
        <v>45784</v>
      </c>
      <c r="C3041">
        <v>17</v>
      </c>
      <c r="D3041">
        <v>0.373</v>
      </c>
      <c r="E3041" t="s">
        <v>6</v>
      </c>
      <c r="F3041">
        <v>7.9890000000000003E-2</v>
      </c>
    </row>
    <row r="3042" spans="1:6" x14ac:dyDescent="0.3">
      <c r="A3042" t="s">
        <v>5</v>
      </c>
      <c r="B3042" s="1">
        <v>45784</v>
      </c>
      <c r="C3042">
        <v>18</v>
      </c>
      <c r="D3042">
        <v>0.27</v>
      </c>
      <c r="E3042" t="s">
        <v>6</v>
      </c>
      <c r="F3042">
        <v>8.0489999999999992E-2</v>
      </c>
    </row>
    <row r="3043" spans="1:6" x14ac:dyDescent="0.3">
      <c r="A3043" t="s">
        <v>5</v>
      </c>
      <c r="B3043" s="1">
        <v>45784</v>
      </c>
      <c r="C3043">
        <v>19</v>
      </c>
      <c r="D3043">
        <v>0.41899999999999998</v>
      </c>
      <c r="E3043" t="s">
        <v>6</v>
      </c>
      <c r="F3043">
        <v>0.15284</v>
      </c>
    </row>
    <row r="3044" spans="1:6" x14ac:dyDescent="0.3">
      <c r="A3044" t="s">
        <v>5</v>
      </c>
      <c r="B3044" s="1">
        <v>45784</v>
      </c>
      <c r="C3044">
        <v>20</v>
      </c>
      <c r="D3044">
        <v>0.435</v>
      </c>
      <c r="E3044" t="s">
        <v>6</v>
      </c>
      <c r="F3044">
        <v>0.19228000000000001</v>
      </c>
    </row>
    <row r="3045" spans="1:6" x14ac:dyDescent="0.3">
      <c r="A3045" t="s">
        <v>5</v>
      </c>
      <c r="B3045" s="1">
        <v>45784</v>
      </c>
      <c r="C3045">
        <v>21</v>
      </c>
      <c r="D3045">
        <v>0.30599999999999999</v>
      </c>
      <c r="E3045" t="s">
        <v>6</v>
      </c>
      <c r="F3045">
        <v>0.20536000000000001</v>
      </c>
    </row>
    <row r="3046" spans="1:6" x14ac:dyDescent="0.3">
      <c r="A3046" t="s">
        <v>5</v>
      </c>
      <c r="B3046" s="1">
        <v>45784</v>
      </c>
      <c r="C3046">
        <v>22</v>
      </c>
      <c r="D3046">
        <v>0.43</v>
      </c>
      <c r="E3046" t="s">
        <v>6</v>
      </c>
      <c r="F3046">
        <v>0.23349</v>
      </c>
    </row>
    <row r="3047" spans="1:6" x14ac:dyDescent="0.3">
      <c r="A3047" t="s">
        <v>5</v>
      </c>
      <c r="B3047" s="1">
        <v>45784</v>
      </c>
      <c r="C3047">
        <v>23</v>
      </c>
      <c r="D3047">
        <v>0.68100000000000005</v>
      </c>
      <c r="E3047" t="s">
        <v>6</v>
      </c>
      <c r="F3047">
        <v>0.14773</v>
      </c>
    </row>
    <row r="3048" spans="1:6" x14ac:dyDescent="0.3">
      <c r="A3048" t="s">
        <v>5</v>
      </c>
      <c r="B3048" s="1">
        <v>45784</v>
      </c>
      <c r="C3048">
        <v>24</v>
      </c>
      <c r="D3048">
        <v>0.40300000000000002</v>
      </c>
      <c r="E3048" t="s">
        <v>6</v>
      </c>
      <c r="F3048">
        <v>0.1275</v>
      </c>
    </row>
    <row r="3049" spans="1:6" x14ac:dyDescent="0.3">
      <c r="A3049" t="s">
        <v>5</v>
      </c>
      <c r="B3049" s="1">
        <v>45785</v>
      </c>
      <c r="C3049">
        <v>1</v>
      </c>
      <c r="D3049">
        <v>0.57799999999999996</v>
      </c>
      <c r="E3049" t="s">
        <v>6</v>
      </c>
      <c r="F3049">
        <v>8.4919999999999995E-2</v>
      </c>
    </row>
    <row r="3050" spans="1:6" x14ac:dyDescent="0.3">
      <c r="A3050" t="s">
        <v>5</v>
      </c>
      <c r="B3050" s="1">
        <v>45785</v>
      </c>
      <c r="C3050">
        <v>2</v>
      </c>
      <c r="D3050">
        <v>0.21199999999999999</v>
      </c>
      <c r="E3050" t="s">
        <v>6</v>
      </c>
      <c r="F3050">
        <v>8.6050000000000001E-2</v>
      </c>
    </row>
    <row r="3051" spans="1:6" x14ac:dyDescent="0.3">
      <c r="A3051" t="s">
        <v>5</v>
      </c>
      <c r="B3051" s="1">
        <v>45785</v>
      </c>
      <c r="C3051">
        <v>3</v>
      </c>
      <c r="D3051">
        <v>0.14199999999999999</v>
      </c>
      <c r="E3051" t="s">
        <v>6</v>
      </c>
      <c r="F3051">
        <v>8.7059999999999998E-2</v>
      </c>
    </row>
    <row r="3052" spans="1:6" x14ac:dyDescent="0.3">
      <c r="A3052" t="s">
        <v>5</v>
      </c>
      <c r="B3052" s="1">
        <v>45785</v>
      </c>
      <c r="C3052">
        <v>4</v>
      </c>
      <c r="D3052">
        <v>0.154</v>
      </c>
      <c r="E3052" t="s">
        <v>6</v>
      </c>
      <c r="F3052">
        <v>7.0870000000000002E-2</v>
      </c>
    </row>
    <row r="3053" spans="1:6" x14ac:dyDescent="0.3">
      <c r="A3053" t="s">
        <v>5</v>
      </c>
      <c r="B3053" s="1">
        <v>45785</v>
      </c>
      <c r="C3053">
        <v>5</v>
      </c>
      <c r="D3053">
        <v>0.13100000000000001</v>
      </c>
      <c r="E3053" t="s">
        <v>6</v>
      </c>
      <c r="F3053">
        <v>7.4340000000000003E-2</v>
      </c>
    </row>
    <row r="3054" spans="1:6" x14ac:dyDescent="0.3">
      <c r="A3054" t="s">
        <v>5</v>
      </c>
      <c r="B3054" s="1">
        <v>45785</v>
      </c>
      <c r="C3054">
        <v>6</v>
      </c>
      <c r="D3054">
        <v>0.151</v>
      </c>
      <c r="E3054" t="s">
        <v>6</v>
      </c>
      <c r="F3054">
        <v>8.1950000000000009E-2</v>
      </c>
    </row>
    <row r="3055" spans="1:6" x14ac:dyDescent="0.3">
      <c r="A3055" t="s">
        <v>5</v>
      </c>
      <c r="B3055" s="1">
        <v>45785</v>
      </c>
      <c r="C3055">
        <v>7</v>
      </c>
      <c r="D3055">
        <v>0.13700000000000001</v>
      </c>
      <c r="E3055" t="s">
        <v>6</v>
      </c>
      <c r="F3055">
        <v>9.6769999999999995E-2</v>
      </c>
    </row>
    <row r="3056" spans="1:6" x14ac:dyDescent="0.3">
      <c r="A3056" t="s">
        <v>5</v>
      </c>
      <c r="B3056" s="1">
        <v>45785</v>
      </c>
      <c r="C3056">
        <v>8</v>
      </c>
      <c r="D3056">
        <v>0.17899999999999999</v>
      </c>
      <c r="E3056" t="s">
        <v>6</v>
      </c>
      <c r="F3056">
        <v>0.10539</v>
      </c>
    </row>
    <row r="3057" spans="1:6" x14ac:dyDescent="0.3">
      <c r="A3057" t="s">
        <v>5</v>
      </c>
      <c r="B3057" s="1">
        <v>45785</v>
      </c>
      <c r="C3057">
        <v>9</v>
      </c>
      <c r="D3057">
        <v>0.14699999999999999</v>
      </c>
      <c r="E3057" t="s">
        <v>6</v>
      </c>
      <c r="F3057">
        <v>0.12373000000000001</v>
      </c>
    </row>
    <row r="3058" spans="1:6" x14ac:dyDescent="0.3">
      <c r="A3058" t="s">
        <v>5</v>
      </c>
      <c r="B3058" s="1">
        <v>45785</v>
      </c>
      <c r="C3058">
        <v>10</v>
      </c>
      <c r="D3058">
        <v>0.159</v>
      </c>
      <c r="E3058" t="s">
        <v>6</v>
      </c>
      <c r="F3058">
        <v>8.7209999999999996E-2</v>
      </c>
    </row>
    <row r="3059" spans="1:6" x14ac:dyDescent="0.3">
      <c r="A3059" t="s">
        <v>5</v>
      </c>
      <c r="B3059" s="1">
        <v>45785</v>
      </c>
      <c r="C3059">
        <v>11</v>
      </c>
      <c r="D3059">
        <v>0.154</v>
      </c>
      <c r="E3059" t="s">
        <v>6</v>
      </c>
      <c r="F3059">
        <v>0.14477999999999999</v>
      </c>
    </row>
    <row r="3060" spans="1:6" x14ac:dyDescent="0.3">
      <c r="A3060" t="s">
        <v>5</v>
      </c>
      <c r="B3060" s="1">
        <v>45785</v>
      </c>
      <c r="C3060">
        <v>12</v>
      </c>
      <c r="D3060">
        <v>0.129</v>
      </c>
      <c r="E3060" t="s">
        <v>6</v>
      </c>
      <c r="F3060">
        <v>0.14427000000000001</v>
      </c>
    </row>
    <row r="3061" spans="1:6" x14ac:dyDescent="0.3">
      <c r="A3061" t="s">
        <v>5</v>
      </c>
      <c r="B3061" s="1">
        <v>45785</v>
      </c>
      <c r="C3061">
        <v>13</v>
      </c>
      <c r="D3061">
        <v>0.191</v>
      </c>
      <c r="E3061" t="s">
        <v>6</v>
      </c>
      <c r="F3061">
        <v>0.14411000000000002</v>
      </c>
    </row>
    <row r="3062" spans="1:6" x14ac:dyDescent="0.3">
      <c r="A3062" t="s">
        <v>5</v>
      </c>
      <c r="B3062" s="1">
        <v>45785</v>
      </c>
      <c r="C3062">
        <v>14</v>
      </c>
      <c r="D3062">
        <v>0.13200000000000001</v>
      </c>
      <c r="E3062" t="s">
        <v>6</v>
      </c>
      <c r="F3062">
        <v>0.14177999999999999</v>
      </c>
    </row>
    <row r="3063" spans="1:6" x14ac:dyDescent="0.3">
      <c r="A3063" t="s">
        <v>5</v>
      </c>
      <c r="B3063" s="1">
        <v>45785</v>
      </c>
      <c r="C3063">
        <v>15</v>
      </c>
      <c r="D3063">
        <v>0.17899999999999999</v>
      </c>
      <c r="E3063" t="s">
        <v>6</v>
      </c>
      <c r="F3063">
        <v>7.7189999999999995E-2</v>
      </c>
    </row>
    <row r="3064" spans="1:6" x14ac:dyDescent="0.3">
      <c r="A3064" t="s">
        <v>5</v>
      </c>
      <c r="B3064" s="1">
        <v>45785</v>
      </c>
      <c r="C3064">
        <v>16</v>
      </c>
      <c r="D3064">
        <v>0.81699999999999995</v>
      </c>
      <c r="E3064" t="s">
        <v>6</v>
      </c>
      <c r="F3064">
        <v>7.8159999999999993E-2</v>
      </c>
    </row>
    <row r="3065" spans="1:6" x14ac:dyDescent="0.3">
      <c r="A3065" t="s">
        <v>5</v>
      </c>
      <c r="B3065" s="1">
        <v>45785</v>
      </c>
      <c r="C3065">
        <v>17</v>
      </c>
      <c r="D3065">
        <v>0.54800000000000004</v>
      </c>
      <c r="E3065" t="s">
        <v>6</v>
      </c>
      <c r="F3065">
        <v>7.9040000000000013E-2</v>
      </c>
    </row>
    <row r="3066" spans="1:6" x14ac:dyDescent="0.3">
      <c r="A3066" t="s">
        <v>5</v>
      </c>
      <c r="B3066" s="1">
        <v>45785</v>
      </c>
      <c r="C3066">
        <v>18</v>
      </c>
      <c r="D3066">
        <v>1.3220000000000001</v>
      </c>
      <c r="E3066" t="s">
        <v>6</v>
      </c>
      <c r="F3066">
        <v>7.9530000000000003E-2</v>
      </c>
    </row>
    <row r="3067" spans="1:6" x14ac:dyDescent="0.3">
      <c r="A3067" t="s">
        <v>5</v>
      </c>
      <c r="B3067" s="1">
        <v>45785</v>
      </c>
      <c r="C3067">
        <v>19</v>
      </c>
      <c r="D3067">
        <v>0.45600000000000002</v>
      </c>
      <c r="E3067" t="s">
        <v>6</v>
      </c>
      <c r="F3067">
        <v>0.14776</v>
      </c>
    </row>
    <row r="3068" spans="1:6" x14ac:dyDescent="0.3">
      <c r="A3068" t="s">
        <v>5</v>
      </c>
      <c r="B3068" s="1">
        <v>45785</v>
      </c>
      <c r="C3068">
        <v>20</v>
      </c>
      <c r="D3068">
        <v>0.34799999999999998</v>
      </c>
      <c r="E3068" t="s">
        <v>6</v>
      </c>
      <c r="F3068">
        <v>0.16808000000000001</v>
      </c>
    </row>
    <row r="3069" spans="1:6" x14ac:dyDescent="0.3">
      <c r="A3069" t="s">
        <v>5</v>
      </c>
      <c r="B3069" s="1">
        <v>45785</v>
      </c>
      <c r="C3069">
        <v>21</v>
      </c>
      <c r="D3069">
        <v>0.52800000000000002</v>
      </c>
      <c r="E3069" t="s">
        <v>6</v>
      </c>
      <c r="F3069">
        <v>0.18603</v>
      </c>
    </row>
    <row r="3070" spans="1:6" x14ac:dyDescent="0.3">
      <c r="A3070" t="s">
        <v>5</v>
      </c>
      <c r="B3070" s="1">
        <v>45785</v>
      </c>
      <c r="C3070">
        <v>22</v>
      </c>
      <c r="D3070">
        <v>1.9239999999999999</v>
      </c>
      <c r="E3070" t="s">
        <v>6</v>
      </c>
      <c r="F3070">
        <v>0.23341000000000001</v>
      </c>
    </row>
    <row r="3071" spans="1:6" x14ac:dyDescent="0.3">
      <c r="A3071" t="s">
        <v>5</v>
      </c>
      <c r="B3071" s="1">
        <v>45785</v>
      </c>
      <c r="C3071">
        <v>23</v>
      </c>
      <c r="D3071">
        <v>0.67600000000000005</v>
      </c>
      <c r="E3071" t="s">
        <v>6</v>
      </c>
      <c r="F3071">
        <v>0.13955999999999999</v>
      </c>
    </row>
    <row r="3072" spans="1:6" x14ac:dyDescent="0.3">
      <c r="A3072" t="s">
        <v>5</v>
      </c>
      <c r="B3072" s="1">
        <v>45785</v>
      </c>
      <c r="C3072">
        <v>24</v>
      </c>
      <c r="D3072">
        <v>0.443</v>
      </c>
      <c r="E3072" t="s">
        <v>6</v>
      </c>
      <c r="F3072">
        <v>0.11864</v>
      </c>
    </row>
    <row r="3073" spans="1:6" x14ac:dyDescent="0.3">
      <c r="A3073" t="s">
        <v>5</v>
      </c>
      <c r="B3073" s="1">
        <v>45786</v>
      </c>
      <c r="C3073">
        <v>1</v>
      </c>
      <c r="D3073">
        <v>0.41099999999999998</v>
      </c>
      <c r="E3073" t="s">
        <v>6</v>
      </c>
      <c r="F3073">
        <v>9.3219999999999997E-2</v>
      </c>
    </row>
    <row r="3074" spans="1:6" x14ac:dyDescent="0.3">
      <c r="A3074" t="s">
        <v>5</v>
      </c>
      <c r="B3074" s="1">
        <v>45786</v>
      </c>
      <c r="C3074">
        <v>2</v>
      </c>
      <c r="D3074">
        <v>0.16900000000000001</v>
      </c>
      <c r="E3074" t="s">
        <v>6</v>
      </c>
      <c r="F3074">
        <v>8.6260000000000003E-2</v>
      </c>
    </row>
    <row r="3075" spans="1:6" x14ac:dyDescent="0.3">
      <c r="A3075" t="s">
        <v>5</v>
      </c>
      <c r="B3075" s="1">
        <v>45786</v>
      </c>
      <c r="C3075">
        <v>3</v>
      </c>
      <c r="D3075">
        <v>8.6999999999999994E-2</v>
      </c>
      <c r="E3075" t="s">
        <v>6</v>
      </c>
      <c r="F3075">
        <v>8.9130000000000001E-2</v>
      </c>
    </row>
    <row r="3076" spans="1:6" x14ac:dyDescent="0.3">
      <c r="A3076" t="s">
        <v>5</v>
      </c>
      <c r="B3076" s="1">
        <v>45786</v>
      </c>
      <c r="C3076">
        <v>4</v>
      </c>
      <c r="D3076">
        <v>9.9000000000000005E-2</v>
      </c>
      <c r="E3076" t="s">
        <v>6</v>
      </c>
      <c r="F3076">
        <v>8.3060000000000009E-2</v>
      </c>
    </row>
    <row r="3077" spans="1:6" x14ac:dyDescent="0.3">
      <c r="A3077" t="s">
        <v>5</v>
      </c>
      <c r="B3077" s="1">
        <v>45786</v>
      </c>
      <c r="C3077">
        <v>5</v>
      </c>
      <c r="D3077">
        <v>8.5000000000000006E-2</v>
      </c>
      <c r="E3077" t="s">
        <v>6</v>
      </c>
      <c r="F3077">
        <v>8.1040000000000001E-2</v>
      </c>
    </row>
    <row r="3078" spans="1:6" x14ac:dyDescent="0.3">
      <c r="A3078" t="s">
        <v>5</v>
      </c>
      <c r="B3078" s="1">
        <v>45786</v>
      </c>
      <c r="C3078">
        <v>6</v>
      </c>
      <c r="D3078">
        <v>0.19700000000000001</v>
      </c>
      <c r="E3078" t="s">
        <v>6</v>
      </c>
      <c r="F3078">
        <v>8.2720000000000002E-2</v>
      </c>
    </row>
    <row r="3079" spans="1:6" x14ac:dyDescent="0.3">
      <c r="A3079" t="s">
        <v>5</v>
      </c>
      <c r="B3079" s="1">
        <v>45786</v>
      </c>
      <c r="C3079">
        <v>7</v>
      </c>
      <c r="D3079">
        <v>0.113</v>
      </c>
      <c r="E3079" t="s">
        <v>6</v>
      </c>
      <c r="F3079">
        <v>9.9610000000000004E-2</v>
      </c>
    </row>
    <row r="3080" spans="1:6" x14ac:dyDescent="0.3">
      <c r="A3080" t="s">
        <v>5</v>
      </c>
      <c r="B3080" s="1">
        <v>45786</v>
      </c>
      <c r="C3080">
        <v>8</v>
      </c>
      <c r="D3080">
        <v>0.10100000000000001</v>
      </c>
      <c r="E3080" t="s">
        <v>6</v>
      </c>
      <c r="F3080">
        <v>0.10194</v>
      </c>
    </row>
    <row r="3081" spans="1:6" x14ac:dyDescent="0.3">
      <c r="A3081" t="s">
        <v>5</v>
      </c>
      <c r="B3081" s="1">
        <v>45786</v>
      </c>
      <c r="C3081">
        <v>9</v>
      </c>
      <c r="D3081">
        <v>0.128</v>
      </c>
      <c r="E3081" t="s">
        <v>6</v>
      </c>
      <c r="F3081">
        <v>0.11672</v>
      </c>
    </row>
    <row r="3082" spans="1:6" x14ac:dyDescent="0.3">
      <c r="A3082" t="s">
        <v>5</v>
      </c>
      <c r="B3082" s="1">
        <v>45786</v>
      </c>
      <c r="C3082">
        <v>10</v>
      </c>
      <c r="D3082">
        <v>0.80800000000000005</v>
      </c>
      <c r="E3082" t="s">
        <v>6</v>
      </c>
      <c r="F3082">
        <v>9.3920000000000003E-2</v>
      </c>
    </row>
    <row r="3083" spans="1:6" x14ac:dyDescent="0.3">
      <c r="A3083" t="s">
        <v>5</v>
      </c>
      <c r="B3083" s="1">
        <v>45786</v>
      </c>
      <c r="C3083">
        <v>11</v>
      </c>
      <c r="D3083">
        <v>0.28599999999999998</v>
      </c>
      <c r="E3083" t="s">
        <v>6</v>
      </c>
      <c r="F3083">
        <v>0.15225999999999998</v>
      </c>
    </row>
    <row r="3084" spans="1:6" x14ac:dyDescent="0.3">
      <c r="A3084" t="s">
        <v>5</v>
      </c>
      <c r="B3084" s="1">
        <v>45786</v>
      </c>
      <c r="C3084">
        <v>12</v>
      </c>
      <c r="D3084">
        <v>8.7999999999999995E-2</v>
      </c>
      <c r="E3084" t="s">
        <v>6</v>
      </c>
      <c r="F3084">
        <v>0.14409</v>
      </c>
    </row>
    <row r="3085" spans="1:6" x14ac:dyDescent="0.3">
      <c r="A3085" t="s">
        <v>5</v>
      </c>
      <c r="B3085" s="1">
        <v>45786</v>
      </c>
      <c r="C3085">
        <v>13</v>
      </c>
      <c r="D3085">
        <v>8.3000000000000004E-2</v>
      </c>
      <c r="E3085" t="s">
        <v>6</v>
      </c>
      <c r="F3085">
        <v>0.14379</v>
      </c>
    </row>
    <row r="3086" spans="1:6" x14ac:dyDescent="0.3">
      <c r="A3086" t="s">
        <v>5</v>
      </c>
      <c r="B3086" s="1">
        <v>45786</v>
      </c>
      <c r="C3086">
        <v>14</v>
      </c>
      <c r="D3086">
        <v>0.10100000000000001</v>
      </c>
      <c r="E3086" t="s">
        <v>6</v>
      </c>
      <c r="F3086">
        <v>0.14080000000000001</v>
      </c>
    </row>
    <row r="3087" spans="1:6" x14ac:dyDescent="0.3">
      <c r="A3087" t="s">
        <v>5</v>
      </c>
      <c r="B3087" s="1">
        <v>45786</v>
      </c>
      <c r="C3087">
        <v>15</v>
      </c>
      <c r="D3087">
        <v>0.21099999999999999</v>
      </c>
      <c r="E3087" t="s">
        <v>6</v>
      </c>
      <c r="F3087">
        <v>7.7189999999999995E-2</v>
      </c>
    </row>
    <row r="3088" spans="1:6" x14ac:dyDescent="0.3">
      <c r="A3088" t="s">
        <v>5</v>
      </c>
      <c r="B3088" s="1">
        <v>45786</v>
      </c>
      <c r="C3088">
        <v>16</v>
      </c>
      <c r="D3088">
        <v>0.151</v>
      </c>
      <c r="E3088" t="s">
        <v>6</v>
      </c>
      <c r="F3088">
        <v>7.801000000000001E-2</v>
      </c>
    </row>
    <row r="3089" spans="1:6" x14ac:dyDescent="0.3">
      <c r="A3089" t="s">
        <v>5</v>
      </c>
      <c r="B3089" s="1">
        <v>45786</v>
      </c>
      <c r="C3089">
        <v>17</v>
      </c>
      <c r="D3089">
        <v>0.17499999999999999</v>
      </c>
      <c r="E3089" t="s">
        <v>6</v>
      </c>
      <c r="F3089">
        <v>7.8879999999999992E-2</v>
      </c>
    </row>
    <row r="3090" spans="1:6" x14ac:dyDescent="0.3">
      <c r="A3090" t="s">
        <v>5</v>
      </c>
      <c r="B3090" s="1">
        <v>45786</v>
      </c>
      <c r="C3090">
        <v>18</v>
      </c>
      <c r="D3090">
        <v>0.24199999999999999</v>
      </c>
      <c r="E3090" t="s">
        <v>6</v>
      </c>
      <c r="F3090">
        <v>7.8790000000000013E-2</v>
      </c>
    </row>
    <row r="3091" spans="1:6" x14ac:dyDescent="0.3">
      <c r="A3091" t="s">
        <v>5</v>
      </c>
      <c r="B3091" s="1">
        <v>45786</v>
      </c>
      <c r="C3091">
        <v>19</v>
      </c>
      <c r="D3091">
        <v>0.43</v>
      </c>
      <c r="E3091" t="s">
        <v>6</v>
      </c>
      <c r="F3091">
        <v>0.15477000000000002</v>
      </c>
    </row>
    <row r="3092" spans="1:6" x14ac:dyDescent="0.3">
      <c r="A3092" t="s">
        <v>5</v>
      </c>
      <c r="B3092" s="1">
        <v>45786</v>
      </c>
      <c r="C3092">
        <v>20</v>
      </c>
      <c r="D3092">
        <v>0.13200000000000001</v>
      </c>
      <c r="E3092" t="s">
        <v>6</v>
      </c>
      <c r="F3092">
        <v>0.16565000000000002</v>
      </c>
    </row>
    <row r="3093" spans="1:6" x14ac:dyDescent="0.3">
      <c r="A3093" t="s">
        <v>5</v>
      </c>
      <c r="B3093" s="1">
        <v>45786</v>
      </c>
      <c r="C3093">
        <v>21</v>
      </c>
      <c r="D3093">
        <v>9.1999999999999998E-2</v>
      </c>
      <c r="E3093" t="s">
        <v>6</v>
      </c>
      <c r="F3093">
        <v>0.19475999999999999</v>
      </c>
    </row>
    <row r="3094" spans="1:6" x14ac:dyDescent="0.3">
      <c r="A3094" t="s">
        <v>5</v>
      </c>
      <c r="B3094" s="1">
        <v>45786</v>
      </c>
      <c r="C3094">
        <v>22</v>
      </c>
      <c r="D3094">
        <v>8.3000000000000004E-2</v>
      </c>
      <c r="E3094" t="s">
        <v>6</v>
      </c>
      <c r="F3094">
        <v>0.2344</v>
      </c>
    </row>
    <row r="3095" spans="1:6" x14ac:dyDescent="0.3">
      <c r="A3095" t="s">
        <v>5</v>
      </c>
      <c r="B3095" s="1">
        <v>45786</v>
      </c>
      <c r="C3095">
        <v>23</v>
      </c>
      <c r="D3095">
        <v>0.16200000000000001</v>
      </c>
      <c r="E3095" t="s">
        <v>6</v>
      </c>
      <c r="F3095">
        <v>0.14877000000000001</v>
      </c>
    </row>
    <row r="3096" spans="1:6" x14ac:dyDescent="0.3">
      <c r="A3096" t="s">
        <v>5</v>
      </c>
      <c r="B3096" s="1">
        <v>45786</v>
      </c>
      <c r="C3096">
        <v>24</v>
      </c>
      <c r="D3096">
        <v>6.8000000000000005E-2</v>
      </c>
      <c r="E3096" t="s">
        <v>6</v>
      </c>
      <c r="F3096">
        <v>0.13153000000000001</v>
      </c>
    </row>
    <row r="3097" spans="1:6" x14ac:dyDescent="0.3">
      <c r="A3097" t="s">
        <v>5</v>
      </c>
      <c r="B3097" s="1">
        <v>45787</v>
      </c>
      <c r="C3097">
        <v>1</v>
      </c>
      <c r="D3097">
        <v>8.8999999999999996E-2</v>
      </c>
      <c r="E3097" t="s">
        <v>6</v>
      </c>
      <c r="F3097">
        <v>0.10493999999999999</v>
      </c>
    </row>
    <row r="3098" spans="1:6" x14ac:dyDescent="0.3">
      <c r="A3098" t="s">
        <v>5</v>
      </c>
      <c r="B3098" s="1">
        <v>45787</v>
      </c>
      <c r="C3098">
        <v>2</v>
      </c>
      <c r="D3098">
        <v>7.6999999999999999E-2</v>
      </c>
      <c r="E3098" t="s">
        <v>6</v>
      </c>
      <c r="F3098">
        <v>9.4060000000000005E-2</v>
      </c>
    </row>
    <row r="3099" spans="1:6" x14ac:dyDescent="0.3">
      <c r="A3099" t="s">
        <v>5</v>
      </c>
      <c r="B3099" s="1">
        <v>45787</v>
      </c>
      <c r="C3099">
        <v>3</v>
      </c>
      <c r="D3099">
        <v>0.14299999999999999</v>
      </c>
      <c r="E3099" t="s">
        <v>6</v>
      </c>
      <c r="F3099">
        <v>9.4329999999999997E-2</v>
      </c>
    </row>
    <row r="3100" spans="1:6" x14ac:dyDescent="0.3">
      <c r="A3100" t="s">
        <v>5</v>
      </c>
      <c r="B3100" s="1">
        <v>45787</v>
      </c>
      <c r="C3100">
        <v>4</v>
      </c>
      <c r="D3100">
        <v>8.5999999999999993E-2</v>
      </c>
      <c r="E3100" t="s">
        <v>6</v>
      </c>
      <c r="F3100">
        <v>9.3049999999999994E-2</v>
      </c>
    </row>
    <row r="3101" spans="1:6" x14ac:dyDescent="0.3">
      <c r="A3101" t="s">
        <v>5</v>
      </c>
      <c r="B3101" s="1">
        <v>45787</v>
      </c>
      <c r="C3101">
        <v>5</v>
      </c>
      <c r="D3101">
        <v>7.0999999999999994E-2</v>
      </c>
      <c r="E3101" t="s">
        <v>6</v>
      </c>
      <c r="F3101">
        <v>9.0120000000000006E-2</v>
      </c>
    </row>
    <row r="3102" spans="1:6" x14ac:dyDescent="0.3">
      <c r="A3102" t="s">
        <v>5</v>
      </c>
      <c r="B3102" s="1">
        <v>45787</v>
      </c>
      <c r="C3102">
        <v>6</v>
      </c>
      <c r="D3102">
        <v>9.4E-2</v>
      </c>
      <c r="E3102" t="s">
        <v>6</v>
      </c>
      <c r="F3102">
        <v>9.2840000000000006E-2</v>
      </c>
    </row>
    <row r="3103" spans="1:6" x14ac:dyDescent="0.3">
      <c r="A3103" t="s">
        <v>5</v>
      </c>
      <c r="B3103" s="1">
        <v>45787</v>
      </c>
      <c r="C3103">
        <v>7</v>
      </c>
      <c r="D3103">
        <v>7.9000000000000001E-2</v>
      </c>
      <c r="E3103" t="s">
        <v>6</v>
      </c>
      <c r="F3103">
        <v>9.3659999999999993E-2</v>
      </c>
    </row>
    <row r="3104" spans="1:6" x14ac:dyDescent="0.3">
      <c r="A3104" t="s">
        <v>5</v>
      </c>
      <c r="B3104" s="1">
        <v>45787</v>
      </c>
      <c r="C3104">
        <v>8</v>
      </c>
      <c r="D3104">
        <v>8.3000000000000004E-2</v>
      </c>
      <c r="E3104" t="s">
        <v>6</v>
      </c>
      <c r="F3104">
        <v>9.2540000000000011E-2</v>
      </c>
    </row>
    <row r="3105" spans="1:6" x14ac:dyDescent="0.3">
      <c r="A3105" t="s">
        <v>5</v>
      </c>
      <c r="B3105" s="1">
        <v>45787</v>
      </c>
      <c r="C3105">
        <v>9</v>
      </c>
      <c r="D3105">
        <v>0.08</v>
      </c>
      <c r="E3105" t="s">
        <v>6</v>
      </c>
      <c r="F3105">
        <v>8.2709999999999992E-2</v>
      </c>
    </row>
    <row r="3106" spans="1:6" x14ac:dyDescent="0.3">
      <c r="A3106" t="s">
        <v>5</v>
      </c>
      <c r="B3106" s="1">
        <v>45787</v>
      </c>
      <c r="C3106">
        <v>10</v>
      </c>
      <c r="D3106">
        <v>7.6999999999999999E-2</v>
      </c>
      <c r="E3106" t="s">
        <v>6</v>
      </c>
      <c r="F3106">
        <v>6.9379999999999997E-2</v>
      </c>
    </row>
    <row r="3107" spans="1:6" x14ac:dyDescent="0.3">
      <c r="A3107" t="s">
        <v>5</v>
      </c>
      <c r="B3107" s="1">
        <v>45787</v>
      </c>
      <c r="C3107">
        <v>11</v>
      </c>
      <c r="D3107">
        <v>8.4000000000000005E-2</v>
      </c>
      <c r="E3107" t="s">
        <v>6</v>
      </c>
      <c r="F3107">
        <v>6.4659999999999995E-2</v>
      </c>
    </row>
    <row r="3108" spans="1:6" x14ac:dyDescent="0.3">
      <c r="A3108" t="s">
        <v>5</v>
      </c>
      <c r="B3108" s="1">
        <v>45787</v>
      </c>
      <c r="C3108">
        <v>12</v>
      </c>
      <c r="D3108">
        <v>6.5000000000000002E-2</v>
      </c>
      <c r="E3108" t="s">
        <v>6</v>
      </c>
      <c r="F3108">
        <v>6.1030000000000001E-2</v>
      </c>
    </row>
    <row r="3109" spans="1:6" x14ac:dyDescent="0.3">
      <c r="A3109" t="s">
        <v>5</v>
      </c>
      <c r="B3109" s="1">
        <v>45787</v>
      </c>
      <c r="C3109">
        <v>13</v>
      </c>
      <c r="D3109">
        <v>0.21299999999999999</v>
      </c>
      <c r="E3109" t="s">
        <v>6</v>
      </c>
      <c r="F3109">
        <v>5.9709999999999999E-2</v>
      </c>
    </row>
    <row r="3110" spans="1:6" x14ac:dyDescent="0.3">
      <c r="A3110" t="s">
        <v>5</v>
      </c>
      <c r="B3110" s="1">
        <v>45787</v>
      </c>
      <c r="C3110">
        <v>14</v>
      </c>
      <c r="D3110">
        <v>0.11799999999999999</v>
      </c>
      <c r="E3110" t="s">
        <v>6</v>
      </c>
      <c r="F3110">
        <v>5.8479999999999997E-2</v>
      </c>
    </row>
    <row r="3111" spans="1:6" x14ac:dyDescent="0.3">
      <c r="A3111" t="s">
        <v>5</v>
      </c>
      <c r="B3111" s="1">
        <v>45787</v>
      </c>
      <c r="C3111">
        <v>15</v>
      </c>
      <c r="D3111">
        <v>7.9000000000000001E-2</v>
      </c>
      <c r="E3111" t="s">
        <v>6</v>
      </c>
      <c r="F3111">
        <v>5.7630000000000001E-2</v>
      </c>
    </row>
    <row r="3112" spans="1:6" x14ac:dyDescent="0.3">
      <c r="A3112" t="s">
        <v>5</v>
      </c>
      <c r="B3112" s="1">
        <v>45787</v>
      </c>
      <c r="C3112">
        <v>16</v>
      </c>
      <c r="D3112">
        <v>7.6999999999999999E-2</v>
      </c>
      <c r="E3112" t="s">
        <v>6</v>
      </c>
      <c r="F3112">
        <v>5.6840000000000002E-2</v>
      </c>
    </row>
    <row r="3113" spans="1:6" x14ac:dyDescent="0.3">
      <c r="A3113" t="s">
        <v>5</v>
      </c>
      <c r="B3113" s="1">
        <v>45787</v>
      </c>
      <c r="C3113">
        <v>17</v>
      </c>
      <c r="D3113">
        <v>7.1999999999999995E-2</v>
      </c>
      <c r="E3113" t="s">
        <v>6</v>
      </c>
      <c r="F3113">
        <v>6.2600000000000003E-2</v>
      </c>
    </row>
    <row r="3114" spans="1:6" x14ac:dyDescent="0.3">
      <c r="A3114" t="s">
        <v>5</v>
      </c>
      <c r="B3114" s="1">
        <v>45787</v>
      </c>
      <c r="C3114">
        <v>18</v>
      </c>
      <c r="D3114">
        <v>8.2000000000000003E-2</v>
      </c>
      <c r="E3114" t="s">
        <v>6</v>
      </c>
      <c r="F3114">
        <v>6.7569999999999991E-2</v>
      </c>
    </row>
    <row r="3115" spans="1:6" x14ac:dyDescent="0.3">
      <c r="A3115" t="s">
        <v>5</v>
      </c>
      <c r="B3115" s="1">
        <v>45787</v>
      </c>
      <c r="C3115">
        <v>19</v>
      </c>
      <c r="D3115">
        <v>6.4000000000000001E-2</v>
      </c>
      <c r="E3115" t="s">
        <v>6</v>
      </c>
      <c r="F3115">
        <v>6.9500000000000006E-2</v>
      </c>
    </row>
    <row r="3116" spans="1:6" x14ac:dyDescent="0.3">
      <c r="A3116" t="s">
        <v>5</v>
      </c>
      <c r="B3116" s="1">
        <v>45787</v>
      </c>
      <c r="C3116">
        <v>20</v>
      </c>
      <c r="D3116">
        <v>8.3000000000000004E-2</v>
      </c>
      <c r="E3116" t="s">
        <v>6</v>
      </c>
      <c r="F3116">
        <v>6.7339999999999997E-2</v>
      </c>
    </row>
    <row r="3117" spans="1:6" x14ac:dyDescent="0.3">
      <c r="A3117" t="s">
        <v>5</v>
      </c>
      <c r="B3117" s="1">
        <v>45787</v>
      </c>
      <c r="C3117">
        <v>21</v>
      </c>
      <c r="D3117">
        <v>6.5000000000000002E-2</v>
      </c>
      <c r="E3117" t="s">
        <v>6</v>
      </c>
      <c r="F3117">
        <v>9.1209999999999999E-2</v>
      </c>
    </row>
    <row r="3118" spans="1:6" x14ac:dyDescent="0.3">
      <c r="A3118" t="s">
        <v>5</v>
      </c>
      <c r="B3118" s="1">
        <v>45787</v>
      </c>
      <c r="C3118">
        <v>22</v>
      </c>
      <c r="D3118">
        <v>8.2000000000000003E-2</v>
      </c>
      <c r="E3118" t="s">
        <v>6</v>
      </c>
      <c r="F3118">
        <v>0.10518000000000001</v>
      </c>
    </row>
    <row r="3119" spans="1:6" x14ac:dyDescent="0.3">
      <c r="A3119" t="s">
        <v>5</v>
      </c>
      <c r="B3119" s="1">
        <v>45787</v>
      </c>
      <c r="C3119">
        <v>23</v>
      </c>
      <c r="D3119">
        <v>7.2999999999999995E-2</v>
      </c>
      <c r="E3119" t="s">
        <v>6</v>
      </c>
      <c r="F3119">
        <v>0.10064000000000001</v>
      </c>
    </row>
    <row r="3120" spans="1:6" x14ac:dyDescent="0.3">
      <c r="A3120" t="s">
        <v>5</v>
      </c>
      <c r="B3120" s="1">
        <v>45787</v>
      </c>
      <c r="C3120">
        <v>24</v>
      </c>
      <c r="D3120">
        <v>7.2999999999999995E-2</v>
      </c>
      <c r="E3120" t="s">
        <v>6</v>
      </c>
      <c r="F3120">
        <v>9.4379999999999992E-2</v>
      </c>
    </row>
    <row r="3121" spans="1:6" x14ac:dyDescent="0.3">
      <c r="A3121" t="s">
        <v>5</v>
      </c>
      <c r="B3121" s="1">
        <v>45788</v>
      </c>
      <c r="C3121">
        <v>1</v>
      </c>
      <c r="D3121">
        <v>8.1000000000000003E-2</v>
      </c>
      <c r="E3121" t="s">
        <v>6</v>
      </c>
      <c r="F3121">
        <v>9.2200000000000004E-2</v>
      </c>
    </row>
    <row r="3122" spans="1:6" x14ac:dyDescent="0.3">
      <c r="A3122" t="s">
        <v>5</v>
      </c>
      <c r="B3122" s="1">
        <v>45788</v>
      </c>
      <c r="C3122">
        <v>2</v>
      </c>
      <c r="D3122">
        <v>6.6000000000000003E-2</v>
      </c>
      <c r="E3122" t="s">
        <v>6</v>
      </c>
      <c r="F3122">
        <v>9.3099999999999988E-2</v>
      </c>
    </row>
    <row r="3123" spans="1:6" x14ac:dyDescent="0.3">
      <c r="A3123" t="s">
        <v>5</v>
      </c>
      <c r="B3123" s="1">
        <v>45788</v>
      </c>
      <c r="C3123">
        <v>3</v>
      </c>
      <c r="D3123">
        <v>8.3000000000000004E-2</v>
      </c>
      <c r="E3123" t="s">
        <v>6</v>
      </c>
      <c r="F3123">
        <v>9.6909999999999996E-2</v>
      </c>
    </row>
    <row r="3124" spans="1:6" x14ac:dyDescent="0.3">
      <c r="A3124" t="s">
        <v>5</v>
      </c>
      <c r="B3124" s="1">
        <v>45788</v>
      </c>
      <c r="C3124">
        <v>4</v>
      </c>
      <c r="D3124">
        <v>6.3E-2</v>
      </c>
      <c r="E3124" t="s">
        <v>6</v>
      </c>
      <c r="F3124">
        <v>9.5000000000000001E-2</v>
      </c>
    </row>
    <row r="3125" spans="1:6" x14ac:dyDescent="0.3">
      <c r="A3125" t="s">
        <v>5</v>
      </c>
      <c r="B3125" s="1">
        <v>45788</v>
      </c>
      <c r="C3125">
        <v>5</v>
      </c>
      <c r="D3125">
        <v>8.3000000000000004E-2</v>
      </c>
      <c r="E3125" t="s">
        <v>6</v>
      </c>
      <c r="F3125">
        <v>9.5560000000000006E-2</v>
      </c>
    </row>
    <row r="3126" spans="1:6" x14ac:dyDescent="0.3">
      <c r="A3126" t="s">
        <v>5</v>
      </c>
      <c r="B3126" s="1">
        <v>45788</v>
      </c>
      <c r="C3126">
        <v>6</v>
      </c>
      <c r="D3126">
        <v>6.7000000000000004E-2</v>
      </c>
      <c r="E3126" t="s">
        <v>6</v>
      </c>
      <c r="F3126">
        <v>9.6099999999999991E-2</v>
      </c>
    </row>
    <row r="3127" spans="1:6" x14ac:dyDescent="0.3">
      <c r="A3127" t="s">
        <v>5</v>
      </c>
      <c r="B3127" s="1">
        <v>45788</v>
      </c>
      <c r="C3127">
        <v>7</v>
      </c>
      <c r="D3127">
        <v>7.9000000000000001E-2</v>
      </c>
      <c r="E3127" t="s">
        <v>6</v>
      </c>
      <c r="F3127">
        <v>9.708E-2</v>
      </c>
    </row>
    <row r="3128" spans="1:6" x14ac:dyDescent="0.3">
      <c r="A3128" t="s">
        <v>5</v>
      </c>
      <c r="B3128" s="1">
        <v>45788</v>
      </c>
      <c r="C3128">
        <v>8</v>
      </c>
      <c r="D3128">
        <v>7.2999999999999995E-2</v>
      </c>
      <c r="E3128" t="s">
        <v>6</v>
      </c>
      <c r="F3128">
        <v>0.10187</v>
      </c>
    </row>
    <row r="3129" spans="1:6" x14ac:dyDescent="0.3">
      <c r="A3129" t="s">
        <v>5</v>
      </c>
      <c r="B3129" s="1">
        <v>45788</v>
      </c>
      <c r="C3129">
        <v>9</v>
      </c>
      <c r="D3129">
        <v>7.3999999999999996E-2</v>
      </c>
      <c r="E3129" t="s">
        <v>6</v>
      </c>
      <c r="F3129">
        <v>9.1079999999999994E-2</v>
      </c>
    </row>
    <row r="3130" spans="1:6" x14ac:dyDescent="0.3">
      <c r="A3130" t="s">
        <v>5</v>
      </c>
      <c r="B3130" s="1">
        <v>45788</v>
      </c>
      <c r="C3130">
        <v>10</v>
      </c>
      <c r="D3130">
        <v>7.8E-2</v>
      </c>
      <c r="E3130" t="s">
        <v>6</v>
      </c>
      <c r="F3130">
        <v>7.7519999999999992E-2</v>
      </c>
    </row>
    <row r="3131" spans="1:6" x14ac:dyDescent="0.3">
      <c r="A3131" t="s">
        <v>5</v>
      </c>
      <c r="B3131" s="1">
        <v>45788</v>
      </c>
      <c r="C3131">
        <v>11</v>
      </c>
      <c r="D3131">
        <v>6.7000000000000004E-2</v>
      </c>
      <c r="E3131" t="s">
        <v>6</v>
      </c>
      <c r="F3131">
        <v>6.6009999999999999E-2</v>
      </c>
    </row>
    <row r="3132" spans="1:6" x14ac:dyDescent="0.3">
      <c r="A3132" t="s">
        <v>5</v>
      </c>
      <c r="B3132" s="1">
        <v>45788</v>
      </c>
      <c r="C3132">
        <v>12</v>
      </c>
      <c r="D3132">
        <v>8.3000000000000004E-2</v>
      </c>
      <c r="E3132" t="s">
        <v>6</v>
      </c>
      <c r="F3132">
        <v>6.4399999999999999E-2</v>
      </c>
    </row>
    <row r="3133" spans="1:6" x14ac:dyDescent="0.3">
      <c r="A3133" t="s">
        <v>5</v>
      </c>
      <c r="B3133" s="1">
        <v>45788</v>
      </c>
      <c r="C3133">
        <v>13</v>
      </c>
      <c r="D3133">
        <v>6.3E-2</v>
      </c>
      <c r="E3133" t="s">
        <v>6</v>
      </c>
      <c r="F3133">
        <v>6.5810000000000007E-2</v>
      </c>
    </row>
    <row r="3134" spans="1:6" x14ac:dyDescent="0.3">
      <c r="A3134" t="s">
        <v>5</v>
      </c>
      <c r="B3134" s="1">
        <v>45788</v>
      </c>
      <c r="C3134">
        <v>14</v>
      </c>
      <c r="D3134">
        <v>8.3000000000000004E-2</v>
      </c>
      <c r="E3134" t="s">
        <v>6</v>
      </c>
      <c r="F3134">
        <v>6.3109999999999999E-2</v>
      </c>
    </row>
    <row r="3135" spans="1:6" x14ac:dyDescent="0.3">
      <c r="A3135" t="s">
        <v>5</v>
      </c>
      <c r="B3135" s="1">
        <v>45788</v>
      </c>
      <c r="C3135">
        <v>15</v>
      </c>
      <c r="D3135">
        <v>6.3E-2</v>
      </c>
      <c r="E3135" t="s">
        <v>6</v>
      </c>
      <c r="F3135">
        <v>6.3369999999999996E-2</v>
      </c>
    </row>
    <row r="3136" spans="1:6" x14ac:dyDescent="0.3">
      <c r="A3136" t="s">
        <v>5</v>
      </c>
      <c r="B3136" s="1">
        <v>45788</v>
      </c>
      <c r="C3136">
        <v>16</v>
      </c>
      <c r="D3136">
        <v>8.3000000000000004E-2</v>
      </c>
      <c r="E3136" t="s">
        <v>6</v>
      </c>
      <c r="F3136">
        <v>6.4189999999999997E-2</v>
      </c>
    </row>
    <row r="3137" spans="1:6" x14ac:dyDescent="0.3">
      <c r="A3137" t="s">
        <v>5</v>
      </c>
      <c r="B3137" s="1">
        <v>45788</v>
      </c>
      <c r="C3137">
        <v>17</v>
      </c>
      <c r="D3137">
        <v>7.0000000000000007E-2</v>
      </c>
      <c r="E3137" t="s">
        <v>6</v>
      </c>
      <c r="F3137">
        <v>6.6729999999999998E-2</v>
      </c>
    </row>
    <row r="3138" spans="1:6" x14ac:dyDescent="0.3">
      <c r="A3138" t="s">
        <v>5</v>
      </c>
      <c r="B3138" s="1">
        <v>45788</v>
      </c>
      <c r="C3138">
        <v>18</v>
      </c>
      <c r="D3138">
        <v>7.5999999999999998E-2</v>
      </c>
      <c r="E3138" t="s">
        <v>6</v>
      </c>
      <c r="F3138">
        <v>7.8790000000000013E-2</v>
      </c>
    </row>
    <row r="3139" spans="1:6" x14ac:dyDescent="0.3">
      <c r="A3139" t="s">
        <v>5</v>
      </c>
      <c r="B3139" s="1">
        <v>45788</v>
      </c>
      <c r="C3139">
        <v>19</v>
      </c>
      <c r="D3139">
        <v>7.5999999999999998E-2</v>
      </c>
      <c r="E3139" t="s">
        <v>6</v>
      </c>
      <c r="F3139">
        <v>8.2489999999999994E-2</v>
      </c>
    </row>
    <row r="3140" spans="1:6" x14ac:dyDescent="0.3">
      <c r="A3140" t="s">
        <v>5</v>
      </c>
      <c r="B3140" s="1">
        <v>45788</v>
      </c>
      <c r="C3140">
        <v>20</v>
      </c>
      <c r="D3140">
        <v>7.4999999999999997E-2</v>
      </c>
      <c r="E3140" t="s">
        <v>6</v>
      </c>
      <c r="F3140">
        <v>8.3809999999999996E-2</v>
      </c>
    </row>
    <row r="3141" spans="1:6" x14ac:dyDescent="0.3">
      <c r="A3141" t="s">
        <v>5</v>
      </c>
      <c r="B3141" s="1">
        <v>45788</v>
      </c>
      <c r="C3141">
        <v>21</v>
      </c>
      <c r="D3141">
        <v>0.104</v>
      </c>
      <c r="E3141" t="s">
        <v>6</v>
      </c>
      <c r="F3141">
        <v>8.6050000000000001E-2</v>
      </c>
    </row>
    <row r="3142" spans="1:6" x14ac:dyDescent="0.3">
      <c r="A3142" t="s">
        <v>5</v>
      </c>
      <c r="B3142" s="1">
        <v>45788</v>
      </c>
      <c r="C3142">
        <v>22</v>
      </c>
      <c r="D3142">
        <v>0.27500000000000002</v>
      </c>
      <c r="E3142" t="s">
        <v>6</v>
      </c>
      <c r="F3142">
        <v>0.10729999999999999</v>
      </c>
    </row>
    <row r="3143" spans="1:6" x14ac:dyDescent="0.3">
      <c r="A3143" t="s">
        <v>5</v>
      </c>
      <c r="B3143" s="1">
        <v>45788</v>
      </c>
      <c r="C3143">
        <v>23</v>
      </c>
      <c r="D3143">
        <v>0.26200000000000001</v>
      </c>
      <c r="E3143" t="s">
        <v>6</v>
      </c>
      <c r="F3143">
        <v>0.10589</v>
      </c>
    </row>
    <row r="3144" spans="1:6" x14ac:dyDescent="0.3">
      <c r="A3144" t="s">
        <v>5</v>
      </c>
      <c r="B3144" s="1">
        <v>45788</v>
      </c>
      <c r="C3144">
        <v>24</v>
      </c>
      <c r="D3144">
        <v>8.7999999999999995E-2</v>
      </c>
      <c r="E3144" t="s">
        <v>6</v>
      </c>
      <c r="F3144">
        <v>0.10353</v>
      </c>
    </row>
    <row r="3145" spans="1:6" x14ac:dyDescent="0.3">
      <c r="A3145" t="s">
        <v>5</v>
      </c>
      <c r="B3145" s="1">
        <v>45789</v>
      </c>
      <c r="C3145">
        <v>1</v>
      </c>
      <c r="D3145">
        <v>9.7000000000000003E-2</v>
      </c>
      <c r="E3145" t="s">
        <v>6</v>
      </c>
      <c r="F3145">
        <v>9.06E-2</v>
      </c>
    </row>
    <row r="3146" spans="1:6" x14ac:dyDescent="0.3">
      <c r="A3146" t="s">
        <v>5</v>
      </c>
      <c r="B3146" s="1">
        <v>45789</v>
      </c>
      <c r="C3146">
        <v>2</v>
      </c>
      <c r="D3146">
        <v>7.9000000000000001E-2</v>
      </c>
      <c r="E3146" t="s">
        <v>6</v>
      </c>
      <c r="F3146">
        <v>9.257E-2</v>
      </c>
    </row>
    <row r="3147" spans="1:6" x14ac:dyDescent="0.3">
      <c r="A3147" t="s">
        <v>5</v>
      </c>
      <c r="B3147" s="1">
        <v>45789</v>
      </c>
      <c r="C3147">
        <v>3</v>
      </c>
      <c r="D3147">
        <v>8.6999999999999994E-2</v>
      </c>
      <c r="E3147" t="s">
        <v>6</v>
      </c>
      <c r="F3147">
        <v>9.7450000000000009E-2</v>
      </c>
    </row>
    <row r="3148" spans="1:6" x14ac:dyDescent="0.3">
      <c r="A3148" t="s">
        <v>5</v>
      </c>
      <c r="B3148" s="1">
        <v>45789</v>
      </c>
      <c r="C3148">
        <v>4</v>
      </c>
      <c r="D3148">
        <v>6.7000000000000004E-2</v>
      </c>
      <c r="E3148" t="s">
        <v>6</v>
      </c>
      <c r="F3148">
        <v>9.570999999999999E-2</v>
      </c>
    </row>
    <row r="3149" spans="1:6" x14ac:dyDescent="0.3">
      <c r="A3149" t="s">
        <v>5</v>
      </c>
      <c r="B3149" s="1">
        <v>45789</v>
      </c>
      <c r="C3149">
        <v>5</v>
      </c>
      <c r="D3149">
        <v>0.08</v>
      </c>
      <c r="E3149" t="s">
        <v>6</v>
      </c>
      <c r="F3149">
        <v>9.3930000000000013E-2</v>
      </c>
    </row>
    <row r="3150" spans="1:6" x14ac:dyDescent="0.3">
      <c r="A3150" t="s">
        <v>5</v>
      </c>
      <c r="B3150" s="1">
        <v>45789</v>
      </c>
      <c r="C3150">
        <v>6</v>
      </c>
      <c r="D3150">
        <v>8.5999999999999993E-2</v>
      </c>
      <c r="E3150" t="s">
        <v>6</v>
      </c>
      <c r="F3150">
        <v>9.373999999999999E-2</v>
      </c>
    </row>
    <row r="3151" spans="1:6" x14ac:dyDescent="0.3">
      <c r="A3151" t="s">
        <v>5</v>
      </c>
      <c r="B3151" s="1">
        <v>45789</v>
      </c>
      <c r="C3151">
        <v>7</v>
      </c>
      <c r="D3151">
        <v>7.2999999999999995E-2</v>
      </c>
      <c r="E3151" t="s">
        <v>6</v>
      </c>
      <c r="F3151">
        <v>9.7299999999999998E-2</v>
      </c>
    </row>
    <row r="3152" spans="1:6" x14ac:dyDescent="0.3">
      <c r="A3152" t="s">
        <v>5</v>
      </c>
      <c r="B3152" s="1">
        <v>45789</v>
      </c>
      <c r="C3152">
        <v>8</v>
      </c>
      <c r="D3152">
        <v>0.10299999999999999</v>
      </c>
      <c r="E3152" t="s">
        <v>6</v>
      </c>
      <c r="F3152">
        <v>0.10340000000000001</v>
      </c>
    </row>
    <row r="3153" spans="1:6" x14ac:dyDescent="0.3">
      <c r="A3153" t="s">
        <v>5</v>
      </c>
      <c r="B3153" s="1">
        <v>45789</v>
      </c>
      <c r="C3153">
        <v>9</v>
      </c>
      <c r="D3153">
        <v>5.8999999999999997E-2</v>
      </c>
      <c r="E3153" t="s">
        <v>6</v>
      </c>
      <c r="F3153">
        <v>0.11064</v>
      </c>
    </row>
    <row r="3154" spans="1:6" x14ac:dyDescent="0.3">
      <c r="A3154" t="s">
        <v>5</v>
      </c>
      <c r="B3154" s="1">
        <v>45789</v>
      </c>
      <c r="C3154">
        <v>10</v>
      </c>
      <c r="D3154">
        <v>0.13600000000000001</v>
      </c>
      <c r="E3154" t="s">
        <v>6</v>
      </c>
      <c r="F3154">
        <v>8.9439999999999992E-2</v>
      </c>
    </row>
    <row r="3155" spans="1:6" x14ac:dyDescent="0.3">
      <c r="A3155" t="s">
        <v>5</v>
      </c>
      <c r="B3155" s="1">
        <v>45789</v>
      </c>
      <c r="C3155">
        <v>11</v>
      </c>
      <c r="D3155">
        <v>0.08</v>
      </c>
      <c r="E3155" t="s">
        <v>6</v>
      </c>
      <c r="F3155">
        <v>0.14704</v>
      </c>
    </row>
    <row r="3156" spans="1:6" x14ac:dyDescent="0.3">
      <c r="A3156" t="s">
        <v>5</v>
      </c>
      <c r="B3156" s="1">
        <v>45789</v>
      </c>
      <c r="C3156">
        <v>12</v>
      </c>
      <c r="D3156">
        <v>7.9000000000000001E-2</v>
      </c>
      <c r="E3156" t="s">
        <v>6</v>
      </c>
      <c r="F3156">
        <v>0.14527000000000001</v>
      </c>
    </row>
    <row r="3157" spans="1:6" x14ac:dyDescent="0.3">
      <c r="A3157" t="s">
        <v>5</v>
      </c>
      <c r="B3157" s="1">
        <v>45789</v>
      </c>
      <c r="C3157">
        <v>13</v>
      </c>
      <c r="D3157">
        <v>7.1999999999999995E-2</v>
      </c>
      <c r="E3157" t="s">
        <v>6</v>
      </c>
      <c r="F3157">
        <v>0.1444</v>
      </c>
    </row>
    <row r="3158" spans="1:6" x14ac:dyDescent="0.3">
      <c r="A3158" t="s">
        <v>5</v>
      </c>
      <c r="B3158" s="1">
        <v>45789</v>
      </c>
      <c r="C3158">
        <v>14</v>
      </c>
      <c r="D3158">
        <v>6.9000000000000006E-2</v>
      </c>
      <c r="E3158" t="s">
        <v>6</v>
      </c>
      <c r="F3158">
        <v>0.14151</v>
      </c>
    </row>
    <row r="3159" spans="1:6" x14ac:dyDescent="0.3">
      <c r="A3159" t="s">
        <v>5</v>
      </c>
      <c r="B3159" s="1">
        <v>45789</v>
      </c>
      <c r="C3159">
        <v>15</v>
      </c>
      <c r="D3159">
        <v>0.14799999999999999</v>
      </c>
      <c r="E3159" t="s">
        <v>6</v>
      </c>
      <c r="F3159">
        <v>7.7420000000000003E-2</v>
      </c>
    </row>
    <row r="3160" spans="1:6" x14ac:dyDescent="0.3">
      <c r="A3160" t="s">
        <v>5</v>
      </c>
      <c r="B3160" s="1">
        <v>45789</v>
      </c>
      <c r="C3160">
        <v>16</v>
      </c>
      <c r="D3160">
        <v>0.92100000000000004</v>
      </c>
      <c r="E3160" t="s">
        <v>6</v>
      </c>
      <c r="F3160">
        <v>7.8400000000000011E-2</v>
      </c>
    </row>
    <row r="3161" spans="1:6" x14ac:dyDescent="0.3">
      <c r="A3161" t="s">
        <v>5</v>
      </c>
      <c r="B3161" s="1">
        <v>45789</v>
      </c>
      <c r="C3161">
        <v>17</v>
      </c>
      <c r="D3161">
        <v>0.67600000000000005</v>
      </c>
      <c r="E3161" t="s">
        <v>6</v>
      </c>
      <c r="F3161">
        <v>7.9239999999999991E-2</v>
      </c>
    </row>
    <row r="3162" spans="1:6" x14ac:dyDescent="0.3">
      <c r="A3162" t="s">
        <v>5</v>
      </c>
      <c r="B3162" s="1">
        <v>45789</v>
      </c>
      <c r="C3162">
        <v>18</v>
      </c>
      <c r="D3162">
        <v>0.22700000000000001</v>
      </c>
      <c r="E3162" t="s">
        <v>6</v>
      </c>
      <c r="F3162">
        <v>8.133E-2</v>
      </c>
    </row>
    <row r="3163" spans="1:6" x14ac:dyDescent="0.3">
      <c r="A3163" t="s">
        <v>5</v>
      </c>
      <c r="B3163" s="1">
        <v>45789</v>
      </c>
      <c r="C3163">
        <v>19</v>
      </c>
      <c r="D3163">
        <v>0.30299999999999999</v>
      </c>
      <c r="E3163" t="s">
        <v>6</v>
      </c>
      <c r="F3163">
        <v>0.14898</v>
      </c>
    </row>
    <row r="3164" spans="1:6" x14ac:dyDescent="0.3">
      <c r="A3164" t="s">
        <v>5</v>
      </c>
      <c r="B3164" s="1">
        <v>45789</v>
      </c>
      <c r="C3164">
        <v>20</v>
      </c>
      <c r="D3164">
        <v>0.216</v>
      </c>
      <c r="E3164" t="s">
        <v>6</v>
      </c>
      <c r="F3164">
        <v>0.16096000000000002</v>
      </c>
    </row>
    <row r="3165" spans="1:6" x14ac:dyDescent="0.3">
      <c r="A3165" t="s">
        <v>5</v>
      </c>
      <c r="B3165" s="1">
        <v>45789</v>
      </c>
      <c r="C3165">
        <v>21</v>
      </c>
      <c r="D3165">
        <v>0.29299999999999998</v>
      </c>
      <c r="E3165" t="s">
        <v>6</v>
      </c>
      <c r="F3165">
        <v>0.21409999999999998</v>
      </c>
    </row>
    <row r="3166" spans="1:6" x14ac:dyDescent="0.3">
      <c r="A3166" t="s">
        <v>5</v>
      </c>
      <c r="B3166" s="1">
        <v>45789</v>
      </c>
      <c r="C3166">
        <v>22</v>
      </c>
      <c r="D3166">
        <v>0.40100000000000002</v>
      </c>
      <c r="E3166" t="s">
        <v>6</v>
      </c>
      <c r="F3166">
        <v>0.27682999999999996</v>
      </c>
    </row>
    <row r="3167" spans="1:6" x14ac:dyDescent="0.3">
      <c r="A3167" t="s">
        <v>5</v>
      </c>
      <c r="B3167" s="1">
        <v>45789</v>
      </c>
      <c r="C3167">
        <v>23</v>
      </c>
      <c r="D3167">
        <v>0.99299999999999999</v>
      </c>
      <c r="E3167" t="s">
        <v>6</v>
      </c>
      <c r="F3167">
        <v>0.19635</v>
      </c>
    </row>
    <row r="3168" spans="1:6" x14ac:dyDescent="0.3">
      <c r="A3168" t="s">
        <v>5</v>
      </c>
      <c r="B3168" s="1">
        <v>45789</v>
      </c>
      <c r="C3168">
        <v>24</v>
      </c>
      <c r="D3168">
        <v>0.248</v>
      </c>
      <c r="E3168" t="s">
        <v>6</v>
      </c>
      <c r="F3168">
        <v>0.16197</v>
      </c>
    </row>
    <row r="3169" spans="1:6" x14ac:dyDescent="0.3">
      <c r="A3169" t="s">
        <v>5</v>
      </c>
      <c r="B3169" s="1">
        <v>45790</v>
      </c>
      <c r="C3169">
        <v>1</v>
      </c>
      <c r="D3169">
        <v>0.11700000000000001</v>
      </c>
      <c r="E3169" t="s">
        <v>6</v>
      </c>
      <c r="F3169">
        <v>0.13083</v>
      </c>
    </row>
    <row r="3170" spans="1:6" x14ac:dyDescent="0.3">
      <c r="A3170" t="s">
        <v>5</v>
      </c>
      <c r="B3170" s="1">
        <v>45790</v>
      </c>
      <c r="C3170">
        <v>2</v>
      </c>
      <c r="D3170">
        <v>0.109</v>
      </c>
      <c r="E3170" t="s">
        <v>6</v>
      </c>
      <c r="F3170">
        <v>0.11148000000000001</v>
      </c>
    </row>
    <row r="3171" spans="1:6" x14ac:dyDescent="0.3">
      <c r="A3171" t="s">
        <v>5</v>
      </c>
      <c r="B3171" s="1">
        <v>45790</v>
      </c>
      <c r="C3171">
        <v>3</v>
      </c>
      <c r="D3171">
        <v>0.10199999999999999</v>
      </c>
      <c r="E3171" t="s">
        <v>6</v>
      </c>
      <c r="F3171">
        <v>0.10642</v>
      </c>
    </row>
    <row r="3172" spans="1:6" x14ac:dyDescent="0.3">
      <c r="A3172" t="s">
        <v>5</v>
      </c>
      <c r="B3172" s="1">
        <v>45790</v>
      </c>
      <c r="C3172">
        <v>4</v>
      </c>
      <c r="D3172">
        <v>9.9000000000000005E-2</v>
      </c>
      <c r="E3172" t="s">
        <v>6</v>
      </c>
      <c r="F3172">
        <v>0.10118000000000001</v>
      </c>
    </row>
    <row r="3173" spans="1:6" x14ac:dyDescent="0.3">
      <c r="A3173" t="s">
        <v>5</v>
      </c>
      <c r="B3173" s="1">
        <v>45790</v>
      </c>
      <c r="C3173">
        <v>5</v>
      </c>
      <c r="D3173">
        <v>8.4000000000000005E-2</v>
      </c>
      <c r="E3173" t="s">
        <v>6</v>
      </c>
      <c r="F3173">
        <v>0.1022</v>
      </c>
    </row>
    <row r="3174" spans="1:6" x14ac:dyDescent="0.3">
      <c r="A3174" t="s">
        <v>5</v>
      </c>
      <c r="B3174" s="1">
        <v>45790</v>
      </c>
      <c r="C3174">
        <v>6</v>
      </c>
      <c r="D3174">
        <v>0.108</v>
      </c>
      <c r="E3174" t="s">
        <v>6</v>
      </c>
      <c r="F3174">
        <v>0.10401000000000001</v>
      </c>
    </row>
    <row r="3175" spans="1:6" x14ac:dyDescent="0.3">
      <c r="A3175" t="s">
        <v>5</v>
      </c>
      <c r="B3175" s="1">
        <v>45790</v>
      </c>
      <c r="C3175">
        <v>7</v>
      </c>
      <c r="D3175">
        <v>0.154</v>
      </c>
      <c r="E3175" t="s">
        <v>6</v>
      </c>
      <c r="F3175">
        <v>0.13187000000000001</v>
      </c>
    </row>
    <row r="3176" spans="1:6" x14ac:dyDescent="0.3">
      <c r="A3176" t="s">
        <v>5</v>
      </c>
      <c r="B3176" s="1">
        <v>45790</v>
      </c>
      <c r="C3176">
        <v>8</v>
      </c>
      <c r="D3176">
        <v>0.14499999999999999</v>
      </c>
      <c r="E3176" t="s">
        <v>6</v>
      </c>
      <c r="F3176">
        <v>0.16155</v>
      </c>
    </row>
    <row r="3177" spans="1:6" x14ac:dyDescent="0.3">
      <c r="A3177" t="s">
        <v>5</v>
      </c>
      <c r="B3177" s="1">
        <v>45790</v>
      </c>
      <c r="C3177">
        <v>9</v>
      </c>
      <c r="D3177">
        <v>9.1999999999999998E-2</v>
      </c>
      <c r="E3177" t="s">
        <v>6</v>
      </c>
      <c r="F3177">
        <v>0.14599999999999999</v>
      </c>
    </row>
    <row r="3178" spans="1:6" x14ac:dyDescent="0.3">
      <c r="A3178" t="s">
        <v>5</v>
      </c>
      <c r="B3178" s="1">
        <v>45790</v>
      </c>
      <c r="C3178">
        <v>10</v>
      </c>
      <c r="D3178">
        <v>7.0999999999999994E-2</v>
      </c>
      <c r="E3178" t="s">
        <v>6</v>
      </c>
      <c r="F3178">
        <v>9.734000000000001E-2</v>
      </c>
    </row>
    <row r="3179" spans="1:6" x14ac:dyDescent="0.3">
      <c r="A3179" t="s">
        <v>5</v>
      </c>
      <c r="B3179" s="1">
        <v>45790</v>
      </c>
      <c r="C3179">
        <v>11</v>
      </c>
      <c r="D3179">
        <v>0.151</v>
      </c>
      <c r="E3179" t="s">
        <v>6</v>
      </c>
      <c r="F3179">
        <v>0.13675000000000001</v>
      </c>
    </row>
    <row r="3180" spans="1:6" x14ac:dyDescent="0.3">
      <c r="A3180" t="s">
        <v>5</v>
      </c>
      <c r="B3180" s="1">
        <v>45790</v>
      </c>
      <c r="C3180">
        <v>12</v>
      </c>
      <c r="D3180">
        <v>8.4000000000000005E-2</v>
      </c>
      <c r="E3180" t="s">
        <v>6</v>
      </c>
      <c r="F3180">
        <v>0.13522999999999999</v>
      </c>
    </row>
    <row r="3181" spans="1:6" x14ac:dyDescent="0.3">
      <c r="A3181" t="s">
        <v>5</v>
      </c>
      <c r="B3181" s="1">
        <v>45790</v>
      </c>
      <c r="C3181">
        <v>13</v>
      </c>
      <c r="D3181">
        <v>8.5999999999999993E-2</v>
      </c>
      <c r="E3181" t="s">
        <v>6</v>
      </c>
      <c r="F3181">
        <v>0.13521</v>
      </c>
    </row>
    <row r="3182" spans="1:6" x14ac:dyDescent="0.3">
      <c r="A3182" t="s">
        <v>5</v>
      </c>
      <c r="B3182" s="1">
        <v>45790</v>
      </c>
      <c r="C3182">
        <v>14</v>
      </c>
      <c r="D3182">
        <v>0.14899999999999999</v>
      </c>
      <c r="E3182" t="s">
        <v>6</v>
      </c>
      <c r="F3182">
        <v>0.13038999999999998</v>
      </c>
    </row>
    <row r="3183" spans="1:6" x14ac:dyDescent="0.3">
      <c r="A3183" t="s">
        <v>5</v>
      </c>
      <c r="B3183" s="1">
        <v>45790</v>
      </c>
      <c r="C3183">
        <v>15</v>
      </c>
      <c r="D3183">
        <v>0.215</v>
      </c>
      <c r="E3183" t="s">
        <v>6</v>
      </c>
      <c r="F3183">
        <v>6.6659999999999997E-2</v>
      </c>
    </row>
    <row r="3184" spans="1:6" x14ac:dyDescent="0.3">
      <c r="A3184" t="s">
        <v>5</v>
      </c>
      <c r="B3184" s="1">
        <v>45790</v>
      </c>
      <c r="C3184">
        <v>16</v>
      </c>
      <c r="D3184">
        <v>0.125</v>
      </c>
      <c r="E3184" t="s">
        <v>6</v>
      </c>
      <c r="F3184">
        <v>6.9489999999999996E-2</v>
      </c>
    </row>
    <row r="3185" spans="1:6" x14ac:dyDescent="0.3">
      <c r="A3185" t="s">
        <v>5</v>
      </c>
      <c r="B3185" s="1">
        <v>45790</v>
      </c>
      <c r="C3185">
        <v>17</v>
      </c>
      <c r="D3185">
        <v>0.107</v>
      </c>
      <c r="E3185" t="s">
        <v>6</v>
      </c>
      <c r="F3185">
        <v>6.9709999999999994E-2</v>
      </c>
    </row>
    <row r="3186" spans="1:6" x14ac:dyDescent="0.3">
      <c r="A3186" t="s">
        <v>5</v>
      </c>
      <c r="B3186" s="1">
        <v>45790</v>
      </c>
      <c r="C3186">
        <v>18</v>
      </c>
      <c r="D3186">
        <v>0.14899999999999999</v>
      </c>
      <c r="E3186" t="s">
        <v>6</v>
      </c>
      <c r="F3186">
        <v>7.077E-2</v>
      </c>
    </row>
    <row r="3187" spans="1:6" x14ac:dyDescent="0.3">
      <c r="A3187" t="s">
        <v>5</v>
      </c>
      <c r="B3187" s="1">
        <v>45790</v>
      </c>
      <c r="C3187">
        <v>19</v>
      </c>
      <c r="D3187">
        <v>0.107</v>
      </c>
      <c r="E3187" t="s">
        <v>6</v>
      </c>
      <c r="F3187">
        <v>0.16524</v>
      </c>
    </row>
    <row r="3188" spans="1:6" x14ac:dyDescent="0.3">
      <c r="A3188" t="s">
        <v>5</v>
      </c>
      <c r="B3188" s="1">
        <v>45790</v>
      </c>
      <c r="C3188">
        <v>20</v>
      </c>
      <c r="D3188">
        <v>9.0999999999999998E-2</v>
      </c>
      <c r="E3188" t="s">
        <v>6</v>
      </c>
      <c r="F3188">
        <v>0.17480999999999999</v>
      </c>
    </row>
    <row r="3189" spans="1:6" x14ac:dyDescent="0.3">
      <c r="A3189" t="s">
        <v>5</v>
      </c>
      <c r="B3189" s="1">
        <v>45790</v>
      </c>
      <c r="C3189">
        <v>21</v>
      </c>
      <c r="D3189">
        <v>0.77</v>
      </c>
      <c r="E3189" t="s">
        <v>6</v>
      </c>
      <c r="F3189">
        <v>0.23813999999999999</v>
      </c>
    </row>
    <row r="3190" spans="1:6" x14ac:dyDescent="0.3">
      <c r="A3190" t="s">
        <v>5</v>
      </c>
      <c r="B3190" s="1">
        <v>45790</v>
      </c>
      <c r="C3190">
        <v>22</v>
      </c>
      <c r="D3190">
        <v>0.93</v>
      </c>
      <c r="E3190" t="s">
        <v>6</v>
      </c>
      <c r="F3190">
        <v>0.27338999999999997</v>
      </c>
    </row>
    <row r="3191" spans="1:6" x14ac:dyDescent="0.3">
      <c r="A3191" t="s">
        <v>5</v>
      </c>
      <c r="B3191" s="1">
        <v>45790</v>
      </c>
      <c r="C3191">
        <v>23</v>
      </c>
      <c r="D3191">
        <v>1.109</v>
      </c>
      <c r="E3191" t="s">
        <v>6</v>
      </c>
      <c r="F3191">
        <v>0.19424</v>
      </c>
    </row>
    <row r="3192" spans="1:6" x14ac:dyDescent="0.3">
      <c r="A3192" t="s">
        <v>5</v>
      </c>
      <c r="B3192" s="1">
        <v>45790</v>
      </c>
      <c r="C3192">
        <v>24</v>
      </c>
      <c r="D3192">
        <v>0.32400000000000001</v>
      </c>
      <c r="E3192" t="s">
        <v>6</v>
      </c>
      <c r="F3192">
        <v>0.1565</v>
      </c>
    </row>
    <row r="3193" spans="1:6" x14ac:dyDescent="0.3">
      <c r="A3193" t="s">
        <v>5</v>
      </c>
      <c r="B3193" s="1">
        <v>45791</v>
      </c>
      <c r="C3193">
        <v>1</v>
      </c>
      <c r="D3193">
        <v>0.14699999999999999</v>
      </c>
      <c r="E3193" t="s">
        <v>6</v>
      </c>
      <c r="F3193">
        <v>0.13233</v>
      </c>
    </row>
    <row r="3194" spans="1:6" x14ac:dyDescent="0.3">
      <c r="A3194" t="s">
        <v>5</v>
      </c>
      <c r="B3194" s="1">
        <v>45791</v>
      </c>
      <c r="C3194">
        <v>2</v>
      </c>
      <c r="D3194">
        <v>0.13400000000000001</v>
      </c>
      <c r="E3194" t="s">
        <v>6</v>
      </c>
      <c r="F3194">
        <v>0.11602</v>
      </c>
    </row>
    <row r="3195" spans="1:6" x14ac:dyDescent="0.3">
      <c r="A3195" t="s">
        <v>5</v>
      </c>
      <c r="B3195" s="1">
        <v>45791</v>
      </c>
      <c r="C3195">
        <v>3</v>
      </c>
      <c r="D3195">
        <v>9.5000000000000001E-2</v>
      </c>
      <c r="E3195" t="s">
        <v>6</v>
      </c>
      <c r="F3195">
        <v>0.11394</v>
      </c>
    </row>
    <row r="3196" spans="1:6" x14ac:dyDescent="0.3">
      <c r="A3196" t="s">
        <v>5</v>
      </c>
      <c r="B3196" s="1">
        <v>45791</v>
      </c>
      <c r="C3196">
        <v>4</v>
      </c>
      <c r="D3196">
        <v>7.9000000000000001E-2</v>
      </c>
      <c r="E3196" t="s">
        <v>6</v>
      </c>
      <c r="F3196">
        <v>0.10773999999999999</v>
      </c>
    </row>
    <row r="3197" spans="1:6" x14ac:dyDescent="0.3">
      <c r="A3197" t="s">
        <v>5</v>
      </c>
      <c r="B3197" s="1">
        <v>45791</v>
      </c>
      <c r="C3197">
        <v>5</v>
      </c>
      <c r="D3197">
        <v>0.08</v>
      </c>
      <c r="E3197" t="s">
        <v>6</v>
      </c>
      <c r="F3197">
        <v>0.10636</v>
      </c>
    </row>
    <row r="3198" spans="1:6" x14ac:dyDescent="0.3">
      <c r="A3198" t="s">
        <v>5</v>
      </c>
      <c r="B3198" s="1">
        <v>45791</v>
      </c>
      <c r="C3198">
        <v>6</v>
      </c>
      <c r="D3198">
        <v>8.2000000000000003E-2</v>
      </c>
      <c r="E3198" t="s">
        <v>6</v>
      </c>
      <c r="F3198">
        <v>0.10912000000000001</v>
      </c>
    </row>
    <row r="3199" spans="1:6" x14ac:dyDescent="0.3">
      <c r="A3199" t="s">
        <v>5</v>
      </c>
      <c r="B3199" s="1">
        <v>45791</v>
      </c>
      <c r="C3199">
        <v>7</v>
      </c>
      <c r="D3199">
        <v>8.1000000000000003E-2</v>
      </c>
      <c r="E3199" t="s">
        <v>6</v>
      </c>
      <c r="F3199">
        <v>0.11939</v>
      </c>
    </row>
    <row r="3200" spans="1:6" x14ac:dyDescent="0.3">
      <c r="A3200" t="s">
        <v>5</v>
      </c>
      <c r="B3200" s="1">
        <v>45791</v>
      </c>
      <c r="C3200">
        <v>8</v>
      </c>
      <c r="D3200">
        <v>0.14199999999999999</v>
      </c>
      <c r="E3200" t="s">
        <v>6</v>
      </c>
      <c r="F3200">
        <v>0.14948</v>
      </c>
    </row>
    <row r="3201" spans="1:6" x14ac:dyDescent="0.3">
      <c r="A3201" t="s">
        <v>5</v>
      </c>
      <c r="B3201" s="1">
        <v>45791</v>
      </c>
      <c r="C3201">
        <v>9</v>
      </c>
      <c r="D3201">
        <v>0.09</v>
      </c>
      <c r="E3201" t="s">
        <v>6</v>
      </c>
      <c r="F3201">
        <v>0.14013</v>
      </c>
    </row>
    <row r="3202" spans="1:6" x14ac:dyDescent="0.3">
      <c r="A3202" t="s">
        <v>5</v>
      </c>
      <c r="B3202" s="1">
        <v>45791</v>
      </c>
      <c r="C3202">
        <v>10</v>
      </c>
      <c r="D3202">
        <v>0.115</v>
      </c>
      <c r="E3202" t="s">
        <v>6</v>
      </c>
      <c r="F3202">
        <v>0.11638</v>
      </c>
    </row>
    <row r="3203" spans="1:6" x14ac:dyDescent="0.3">
      <c r="A3203" t="s">
        <v>5</v>
      </c>
      <c r="B3203" s="1">
        <v>45791</v>
      </c>
      <c r="C3203">
        <v>11</v>
      </c>
      <c r="D3203">
        <v>0.114</v>
      </c>
      <c r="E3203" t="s">
        <v>6</v>
      </c>
      <c r="F3203">
        <v>0.13938</v>
      </c>
    </row>
    <row r="3204" spans="1:6" x14ac:dyDescent="0.3">
      <c r="A3204" t="s">
        <v>5</v>
      </c>
      <c r="B3204" s="1">
        <v>45791</v>
      </c>
      <c r="C3204">
        <v>12</v>
      </c>
      <c r="D3204">
        <v>8.5999999999999993E-2</v>
      </c>
      <c r="E3204" t="s">
        <v>6</v>
      </c>
      <c r="F3204">
        <v>0.13930000000000001</v>
      </c>
    </row>
    <row r="3205" spans="1:6" x14ac:dyDescent="0.3">
      <c r="A3205" t="s">
        <v>5</v>
      </c>
      <c r="B3205" s="1">
        <v>45791</v>
      </c>
      <c r="C3205">
        <v>13</v>
      </c>
      <c r="D3205">
        <v>0.08</v>
      </c>
      <c r="E3205" t="s">
        <v>6</v>
      </c>
      <c r="F3205">
        <v>0.13858000000000001</v>
      </c>
    </row>
    <row r="3206" spans="1:6" x14ac:dyDescent="0.3">
      <c r="A3206" t="s">
        <v>5</v>
      </c>
      <c r="B3206" s="1">
        <v>45791</v>
      </c>
      <c r="C3206">
        <v>14</v>
      </c>
      <c r="D3206">
        <v>0.16600000000000001</v>
      </c>
      <c r="E3206" t="s">
        <v>6</v>
      </c>
      <c r="F3206">
        <v>0.13288999999999998</v>
      </c>
    </row>
    <row r="3207" spans="1:6" x14ac:dyDescent="0.3">
      <c r="A3207" t="s">
        <v>5</v>
      </c>
      <c r="B3207" s="1">
        <v>45791</v>
      </c>
      <c r="C3207">
        <v>15</v>
      </c>
      <c r="D3207">
        <v>8.7999999999999995E-2</v>
      </c>
      <c r="E3207" t="s">
        <v>6</v>
      </c>
      <c r="F3207">
        <v>6.9870000000000002E-2</v>
      </c>
    </row>
    <row r="3208" spans="1:6" x14ac:dyDescent="0.3">
      <c r="A3208" t="s">
        <v>5</v>
      </c>
      <c r="B3208" s="1">
        <v>45791</v>
      </c>
      <c r="C3208">
        <v>16</v>
      </c>
      <c r="D3208">
        <v>8.1000000000000003E-2</v>
      </c>
      <c r="E3208" t="s">
        <v>6</v>
      </c>
      <c r="F3208">
        <v>7.2459999999999997E-2</v>
      </c>
    </row>
    <row r="3209" spans="1:6" x14ac:dyDescent="0.3">
      <c r="A3209" t="s">
        <v>5</v>
      </c>
      <c r="B3209" s="1">
        <v>45791</v>
      </c>
      <c r="C3209">
        <v>17</v>
      </c>
      <c r="D3209">
        <v>0.1</v>
      </c>
      <c r="E3209" t="s">
        <v>6</v>
      </c>
      <c r="F3209">
        <v>7.2930000000000009E-2</v>
      </c>
    </row>
    <row r="3210" spans="1:6" x14ac:dyDescent="0.3">
      <c r="A3210" t="s">
        <v>5</v>
      </c>
      <c r="B3210" s="1">
        <v>45791</v>
      </c>
      <c r="C3210">
        <v>18</v>
      </c>
      <c r="D3210">
        <v>9.6000000000000002E-2</v>
      </c>
      <c r="E3210" t="s">
        <v>6</v>
      </c>
      <c r="F3210">
        <v>7.4329999999999993E-2</v>
      </c>
    </row>
    <row r="3211" spans="1:6" x14ac:dyDescent="0.3">
      <c r="A3211" t="s">
        <v>5</v>
      </c>
      <c r="B3211" s="1">
        <v>45791</v>
      </c>
      <c r="C3211">
        <v>19</v>
      </c>
      <c r="D3211">
        <v>0.16500000000000001</v>
      </c>
      <c r="E3211" t="s">
        <v>6</v>
      </c>
      <c r="F3211">
        <v>0.14388999999999999</v>
      </c>
    </row>
    <row r="3212" spans="1:6" x14ac:dyDescent="0.3">
      <c r="A3212" t="s">
        <v>5</v>
      </c>
      <c r="B3212" s="1">
        <v>45791</v>
      </c>
      <c r="C3212">
        <v>20</v>
      </c>
      <c r="D3212">
        <v>0.24199999999999999</v>
      </c>
      <c r="E3212" t="s">
        <v>6</v>
      </c>
      <c r="F3212">
        <v>0.17487</v>
      </c>
    </row>
    <row r="3213" spans="1:6" x14ac:dyDescent="0.3">
      <c r="A3213" t="s">
        <v>5</v>
      </c>
      <c r="B3213" s="1">
        <v>45791</v>
      </c>
      <c r="C3213">
        <v>21</v>
      </c>
      <c r="D3213">
        <v>0.25900000000000001</v>
      </c>
      <c r="E3213" t="s">
        <v>6</v>
      </c>
      <c r="F3213">
        <v>0.19525999999999999</v>
      </c>
    </row>
    <row r="3214" spans="1:6" x14ac:dyDescent="0.3">
      <c r="A3214" t="s">
        <v>5</v>
      </c>
      <c r="B3214" s="1">
        <v>45791</v>
      </c>
      <c r="C3214">
        <v>22</v>
      </c>
      <c r="D3214">
        <v>0.42299999999999999</v>
      </c>
      <c r="E3214" t="s">
        <v>6</v>
      </c>
      <c r="F3214">
        <v>0.21001</v>
      </c>
    </row>
    <row r="3215" spans="1:6" x14ac:dyDescent="0.3">
      <c r="A3215" t="s">
        <v>5</v>
      </c>
      <c r="B3215" s="1">
        <v>45791</v>
      </c>
      <c r="C3215">
        <v>23</v>
      </c>
      <c r="D3215">
        <v>0.93</v>
      </c>
      <c r="E3215" t="s">
        <v>6</v>
      </c>
      <c r="F3215">
        <v>0.14510000000000001</v>
      </c>
    </row>
    <row r="3216" spans="1:6" x14ac:dyDescent="0.3">
      <c r="A3216" t="s">
        <v>5</v>
      </c>
      <c r="B3216" s="1">
        <v>45791</v>
      </c>
      <c r="C3216">
        <v>24</v>
      </c>
      <c r="D3216">
        <v>0.70799999999999996</v>
      </c>
      <c r="E3216" t="s">
        <v>6</v>
      </c>
      <c r="F3216">
        <v>0.12543000000000001</v>
      </c>
    </row>
    <row r="3217" spans="1:6" x14ac:dyDescent="0.3">
      <c r="A3217" t="s">
        <v>5</v>
      </c>
      <c r="B3217" s="1">
        <v>45792</v>
      </c>
      <c r="C3217">
        <v>1</v>
      </c>
      <c r="D3217">
        <v>0.75700000000000001</v>
      </c>
      <c r="E3217" t="s">
        <v>6</v>
      </c>
      <c r="F3217">
        <v>0.11289</v>
      </c>
    </row>
    <row r="3218" spans="1:6" x14ac:dyDescent="0.3">
      <c r="A3218" t="s">
        <v>5</v>
      </c>
      <c r="B3218" s="1">
        <v>45792</v>
      </c>
      <c r="C3218">
        <v>2</v>
      </c>
      <c r="D3218">
        <v>0.11700000000000001</v>
      </c>
      <c r="E3218" t="s">
        <v>6</v>
      </c>
      <c r="F3218">
        <v>0.1018</v>
      </c>
    </row>
    <row r="3219" spans="1:6" x14ac:dyDescent="0.3">
      <c r="A3219" t="s">
        <v>5</v>
      </c>
      <c r="B3219" s="1">
        <v>45792</v>
      </c>
      <c r="C3219">
        <v>3</v>
      </c>
      <c r="D3219">
        <v>8.1000000000000003E-2</v>
      </c>
      <c r="E3219" t="s">
        <v>6</v>
      </c>
      <c r="F3219">
        <v>0.10269</v>
      </c>
    </row>
    <row r="3220" spans="1:6" x14ac:dyDescent="0.3">
      <c r="A3220" t="s">
        <v>5</v>
      </c>
      <c r="B3220" s="1">
        <v>45792</v>
      </c>
      <c r="C3220">
        <v>4</v>
      </c>
      <c r="D3220">
        <v>9.0999999999999998E-2</v>
      </c>
      <c r="E3220" t="s">
        <v>6</v>
      </c>
      <c r="F3220">
        <v>9.264E-2</v>
      </c>
    </row>
    <row r="3221" spans="1:6" x14ac:dyDescent="0.3">
      <c r="A3221" t="s">
        <v>5</v>
      </c>
      <c r="B3221" s="1">
        <v>45792</v>
      </c>
      <c r="C3221">
        <v>5</v>
      </c>
      <c r="D3221">
        <v>7.6999999999999999E-2</v>
      </c>
      <c r="E3221" t="s">
        <v>6</v>
      </c>
      <c r="F3221">
        <v>9.2269999999999991E-2</v>
      </c>
    </row>
    <row r="3222" spans="1:6" x14ac:dyDescent="0.3">
      <c r="A3222" t="s">
        <v>5</v>
      </c>
      <c r="B3222" s="1">
        <v>45792</v>
      </c>
      <c r="C3222">
        <v>6</v>
      </c>
      <c r="D3222">
        <v>8.2000000000000003E-2</v>
      </c>
      <c r="E3222" t="s">
        <v>6</v>
      </c>
      <c r="F3222">
        <v>9.6620000000000011E-2</v>
      </c>
    </row>
    <row r="3223" spans="1:6" x14ac:dyDescent="0.3">
      <c r="A3223" t="s">
        <v>5</v>
      </c>
      <c r="B3223" s="1">
        <v>45792</v>
      </c>
      <c r="C3223">
        <v>7</v>
      </c>
      <c r="D3223">
        <v>7.6999999999999999E-2</v>
      </c>
      <c r="E3223" t="s">
        <v>6</v>
      </c>
      <c r="F3223">
        <v>9.9459999999999993E-2</v>
      </c>
    </row>
    <row r="3224" spans="1:6" x14ac:dyDescent="0.3">
      <c r="A3224" t="s">
        <v>5</v>
      </c>
      <c r="B3224" s="1">
        <v>45792</v>
      </c>
      <c r="C3224">
        <v>8</v>
      </c>
      <c r="D3224">
        <v>0.10299999999999999</v>
      </c>
      <c r="E3224" t="s">
        <v>6</v>
      </c>
      <c r="F3224">
        <v>0.10434</v>
      </c>
    </row>
    <row r="3225" spans="1:6" x14ac:dyDescent="0.3">
      <c r="A3225" t="s">
        <v>5</v>
      </c>
      <c r="B3225" s="1">
        <v>45792</v>
      </c>
      <c r="C3225">
        <v>9</v>
      </c>
      <c r="D3225">
        <v>0.26800000000000002</v>
      </c>
      <c r="E3225" t="s">
        <v>6</v>
      </c>
      <c r="F3225">
        <v>0.12795000000000001</v>
      </c>
    </row>
    <row r="3226" spans="1:6" x14ac:dyDescent="0.3">
      <c r="A3226" t="s">
        <v>5</v>
      </c>
      <c r="B3226" s="1">
        <v>45792</v>
      </c>
      <c r="C3226">
        <v>10</v>
      </c>
      <c r="D3226">
        <v>0.56599999999999995</v>
      </c>
      <c r="E3226" t="s">
        <v>6</v>
      </c>
      <c r="F3226">
        <v>9.0950000000000003E-2</v>
      </c>
    </row>
    <row r="3227" spans="1:6" x14ac:dyDescent="0.3">
      <c r="A3227" t="s">
        <v>5</v>
      </c>
      <c r="B3227" s="1">
        <v>45792</v>
      </c>
      <c r="C3227">
        <v>11</v>
      </c>
      <c r="D3227">
        <v>0.249</v>
      </c>
      <c r="E3227" t="s">
        <v>6</v>
      </c>
      <c r="F3227">
        <v>0.15112999999999999</v>
      </c>
    </row>
    <row r="3228" spans="1:6" x14ac:dyDescent="0.3">
      <c r="A3228" t="s">
        <v>5</v>
      </c>
      <c r="B3228" s="1">
        <v>45792</v>
      </c>
      <c r="C3228">
        <v>12</v>
      </c>
      <c r="D3228">
        <v>0.246</v>
      </c>
      <c r="E3228" t="s">
        <v>6</v>
      </c>
      <c r="F3228">
        <v>0.15049999999999999</v>
      </c>
    </row>
    <row r="3229" spans="1:6" x14ac:dyDescent="0.3">
      <c r="A3229" t="s">
        <v>5</v>
      </c>
      <c r="B3229" s="1">
        <v>45792</v>
      </c>
      <c r="C3229">
        <v>13</v>
      </c>
      <c r="D3229">
        <v>0.26200000000000001</v>
      </c>
      <c r="E3229" t="s">
        <v>6</v>
      </c>
      <c r="F3229">
        <v>0.14909</v>
      </c>
    </row>
    <row r="3230" spans="1:6" x14ac:dyDescent="0.3">
      <c r="A3230" t="s">
        <v>5</v>
      </c>
      <c r="B3230" s="1">
        <v>45792</v>
      </c>
      <c r="C3230">
        <v>14</v>
      </c>
      <c r="D3230">
        <v>0.43099999999999999</v>
      </c>
      <c r="E3230" t="s">
        <v>6</v>
      </c>
      <c r="F3230">
        <v>0.14612</v>
      </c>
    </row>
    <row r="3231" spans="1:6" x14ac:dyDescent="0.3">
      <c r="A3231" t="s">
        <v>5</v>
      </c>
      <c r="B3231" s="1">
        <v>45792</v>
      </c>
      <c r="C3231">
        <v>15</v>
      </c>
      <c r="D3231">
        <v>0.23400000000000001</v>
      </c>
      <c r="E3231" t="s">
        <v>6</v>
      </c>
      <c r="F3231">
        <v>8.1069999999999989E-2</v>
      </c>
    </row>
    <row r="3232" spans="1:6" x14ac:dyDescent="0.3">
      <c r="A3232" t="s">
        <v>5</v>
      </c>
      <c r="B3232" s="1">
        <v>45792</v>
      </c>
      <c r="C3232">
        <v>16</v>
      </c>
      <c r="D3232">
        <v>0.122</v>
      </c>
      <c r="E3232" t="s">
        <v>6</v>
      </c>
      <c r="F3232">
        <v>8.098000000000001E-2</v>
      </c>
    </row>
    <row r="3233" spans="1:6" x14ac:dyDescent="0.3">
      <c r="A3233" t="s">
        <v>5</v>
      </c>
      <c r="B3233" s="1">
        <v>45792</v>
      </c>
      <c r="C3233">
        <v>17</v>
      </c>
      <c r="D3233">
        <v>0.14699999999999999</v>
      </c>
      <c r="E3233" t="s">
        <v>6</v>
      </c>
      <c r="F3233">
        <v>8.1599999999999992E-2</v>
      </c>
    </row>
    <row r="3234" spans="1:6" x14ac:dyDescent="0.3">
      <c r="A3234" t="s">
        <v>5</v>
      </c>
      <c r="B3234" s="1">
        <v>45792</v>
      </c>
      <c r="C3234">
        <v>18</v>
      </c>
      <c r="D3234">
        <v>9.9000000000000005E-2</v>
      </c>
      <c r="E3234" t="s">
        <v>6</v>
      </c>
      <c r="F3234">
        <v>8.3470000000000003E-2</v>
      </c>
    </row>
    <row r="3235" spans="1:6" x14ac:dyDescent="0.3">
      <c r="A3235" t="s">
        <v>5</v>
      </c>
      <c r="B3235" s="1">
        <v>45792</v>
      </c>
      <c r="C3235">
        <v>19</v>
      </c>
      <c r="D3235">
        <v>0.189</v>
      </c>
      <c r="E3235" t="s">
        <v>6</v>
      </c>
      <c r="F3235">
        <v>0.15555000000000002</v>
      </c>
    </row>
    <row r="3236" spans="1:6" x14ac:dyDescent="0.3">
      <c r="A3236" t="s">
        <v>5</v>
      </c>
      <c r="B3236" s="1">
        <v>45792</v>
      </c>
      <c r="C3236">
        <v>20</v>
      </c>
      <c r="D3236">
        <v>0.16200000000000001</v>
      </c>
      <c r="E3236" t="s">
        <v>6</v>
      </c>
      <c r="F3236">
        <v>0.15671000000000002</v>
      </c>
    </row>
    <row r="3237" spans="1:6" x14ac:dyDescent="0.3">
      <c r="A3237" t="s">
        <v>5</v>
      </c>
      <c r="B3237" s="1">
        <v>45792</v>
      </c>
      <c r="C3237">
        <v>21</v>
      </c>
      <c r="D3237">
        <v>0.105</v>
      </c>
      <c r="E3237" t="s">
        <v>6</v>
      </c>
      <c r="F3237">
        <v>0.17727000000000001</v>
      </c>
    </row>
    <row r="3238" spans="1:6" x14ac:dyDescent="0.3">
      <c r="A3238" t="s">
        <v>5</v>
      </c>
      <c r="B3238" s="1">
        <v>45792</v>
      </c>
      <c r="C3238">
        <v>22</v>
      </c>
      <c r="D3238">
        <v>0.13300000000000001</v>
      </c>
      <c r="E3238" t="s">
        <v>6</v>
      </c>
      <c r="F3238">
        <v>0.18803</v>
      </c>
    </row>
    <row r="3239" spans="1:6" x14ac:dyDescent="0.3">
      <c r="A3239" t="s">
        <v>5</v>
      </c>
      <c r="B3239" s="1">
        <v>45792</v>
      </c>
      <c r="C3239">
        <v>23</v>
      </c>
      <c r="D3239">
        <v>8.5999999999999993E-2</v>
      </c>
      <c r="E3239" t="s">
        <v>6</v>
      </c>
      <c r="F3239">
        <v>0.12181</v>
      </c>
    </row>
    <row r="3240" spans="1:6" x14ac:dyDescent="0.3">
      <c r="A3240" t="s">
        <v>5</v>
      </c>
      <c r="B3240" s="1">
        <v>45792</v>
      </c>
      <c r="C3240">
        <v>24</v>
      </c>
      <c r="D3240">
        <v>7.4999999999999997E-2</v>
      </c>
      <c r="E3240" t="s">
        <v>6</v>
      </c>
      <c r="F3240">
        <v>0.11373999999999999</v>
      </c>
    </row>
    <row r="3241" spans="1:6" x14ac:dyDescent="0.3">
      <c r="A3241" t="s">
        <v>5</v>
      </c>
      <c r="B3241" s="1">
        <v>45793</v>
      </c>
      <c r="C3241">
        <v>1</v>
      </c>
      <c r="D3241">
        <v>0.13</v>
      </c>
      <c r="E3241" t="s">
        <v>6</v>
      </c>
      <c r="F3241">
        <v>8.7300000000000003E-2</v>
      </c>
    </row>
    <row r="3242" spans="1:6" x14ac:dyDescent="0.3">
      <c r="A3242" t="s">
        <v>5</v>
      </c>
      <c r="B3242" s="1">
        <v>45793</v>
      </c>
      <c r="C3242">
        <v>2</v>
      </c>
      <c r="D3242">
        <v>9.6000000000000002E-2</v>
      </c>
      <c r="E3242" t="s">
        <v>6</v>
      </c>
      <c r="F3242">
        <v>8.9549999999999991E-2</v>
      </c>
    </row>
    <row r="3243" spans="1:6" x14ac:dyDescent="0.3">
      <c r="A3243" t="s">
        <v>5</v>
      </c>
      <c r="B3243" s="1">
        <v>45793</v>
      </c>
      <c r="C3243">
        <v>3</v>
      </c>
      <c r="D3243">
        <v>8.3000000000000004E-2</v>
      </c>
      <c r="E3243" t="s">
        <v>6</v>
      </c>
      <c r="F3243">
        <v>9.2030000000000001E-2</v>
      </c>
    </row>
    <row r="3244" spans="1:6" x14ac:dyDescent="0.3">
      <c r="A3244" t="s">
        <v>5</v>
      </c>
      <c r="B3244" s="1">
        <v>45793</v>
      </c>
      <c r="C3244">
        <v>4</v>
      </c>
      <c r="D3244">
        <v>9.8000000000000004E-2</v>
      </c>
      <c r="E3244" t="s">
        <v>6</v>
      </c>
      <c r="F3244">
        <v>8.7469999999999992E-2</v>
      </c>
    </row>
    <row r="3245" spans="1:6" x14ac:dyDescent="0.3">
      <c r="A3245" t="s">
        <v>5</v>
      </c>
      <c r="B3245" s="1">
        <v>45793</v>
      </c>
      <c r="C3245">
        <v>5</v>
      </c>
      <c r="D3245">
        <v>7.4999999999999997E-2</v>
      </c>
      <c r="E3245" t="s">
        <v>6</v>
      </c>
      <c r="F3245">
        <v>8.7639999999999996E-2</v>
      </c>
    </row>
    <row r="3246" spans="1:6" x14ac:dyDescent="0.3">
      <c r="A3246" t="s">
        <v>5</v>
      </c>
      <c r="B3246" s="1">
        <v>45793</v>
      </c>
      <c r="C3246">
        <v>6</v>
      </c>
      <c r="D3246">
        <v>8.5999999999999993E-2</v>
      </c>
      <c r="E3246" t="s">
        <v>6</v>
      </c>
      <c r="F3246">
        <v>8.7359999999999993E-2</v>
      </c>
    </row>
    <row r="3247" spans="1:6" x14ac:dyDescent="0.3">
      <c r="A3247" t="s">
        <v>5</v>
      </c>
      <c r="B3247" s="1">
        <v>45793</v>
      </c>
      <c r="C3247">
        <v>7</v>
      </c>
      <c r="D3247">
        <v>8.6999999999999994E-2</v>
      </c>
      <c r="E3247" t="s">
        <v>6</v>
      </c>
      <c r="F3247">
        <v>8.7300000000000003E-2</v>
      </c>
    </row>
    <row r="3248" spans="1:6" x14ac:dyDescent="0.3">
      <c r="A3248" t="s">
        <v>5</v>
      </c>
      <c r="B3248" s="1">
        <v>45793</v>
      </c>
      <c r="C3248">
        <v>8</v>
      </c>
      <c r="D3248">
        <v>8.2000000000000003E-2</v>
      </c>
      <c r="E3248" t="s">
        <v>6</v>
      </c>
      <c r="F3248">
        <v>8.2099999999999992E-2</v>
      </c>
    </row>
    <row r="3249" spans="1:6" x14ac:dyDescent="0.3">
      <c r="A3249" t="s">
        <v>5</v>
      </c>
      <c r="B3249" s="1">
        <v>45793</v>
      </c>
      <c r="C3249">
        <v>9</v>
      </c>
      <c r="D3249">
        <v>0.14000000000000001</v>
      </c>
      <c r="E3249" t="s">
        <v>6</v>
      </c>
      <c r="F3249">
        <v>9.5890000000000003E-2</v>
      </c>
    </row>
    <row r="3250" spans="1:6" x14ac:dyDescent="0.3">
      <c r="A3250" t="s">
        <v>5</v>
      </c>
      <c r="B3250" s="1">
        <v>45793</v>
      </c>
      <c r="C3250">
        <v>10</v>
      </c>
      <c r="D3250">
        <v>0.14099999999999999</v>
      </c>
      <c r="E3250" t="s">
        <v>6</v>
      </c>
      <c r="F3250">
        <v>9.1499999999999998E-2</v>
      </c>
    </row>
    <row r="3251" spans="1:6" x14ac:dyDescent="0.3">
      <c r="A3251" t="s">
        <v>5</v>
      </c>
      <c r="B3251" s="1">
        <v>45793</v>
      </c>
      <c r="C3251">
        <v>11</v>
      </c>
      <c r="D3251">
        <v>6.8000000000000005E-2</v>
      </c>
      <c r="E3251" t="s">
        <v>6</v>
      </c>
      <c r="F3251">
        <v>0.15221000000000001</v>
      </c>
    </row>
    <row r="3252" spans="1:6" x14ac:dyDescent="0.3">
      <c r="A3252" t="s">
        <v>5</v>
      </c>
      <c r="B3252" s="1">
        <v>45793</v>
      </c>
      <c r="C3252">
        <v>12</v>
      </c>
      <c r="D3252">
        <v>0.123</v>
      </c>
      <c r="E3252" t="s">
        <v>6</v>
      </c>
      <c r="F3252">
        <v>0.1517</v>
      </c>
    </row>
    <row r="3253" spans="1:6" x14ac:dyDescent="0.3">
      <c r="A3253" t="s">
        <v>5</v>
      </c>
      <c r="B3253" s="1">
        <v>45793</v>
      </c>
      <c r="C3253">
        <v>13</v>
      </c>
      <c r="D3253">
        <v>0.14799999999999999</v>
      </c>
      <c r="E3253" t="s">
        <v>6</v>
      </c>
      <c r="F3253">
        <v>0.14946999999999999</v>
      </c>
    </row>
    <row r="3254" spans="1:6" x14ac:dyDescent="0.3">
      <c r="A3254" t="s">
        <v>5</v>
      </c>
      <c r="B3254" s="1">
        <v>45793</v>
      </c>
      <c r="C3254">
        <v>14</v>
      </c>
      <c r="D3254">
        <v>8.6999999999999994E-2</v>
      </c>
      <c r="E3254" t="s">
        <v>6</v>
      </c>
      <c r="F3254">
        <v>0.14658000000000002</v>
      </c>
    </row>
    <row r="3255" spans="1:6" x14ac:dyDescent="0.3">
      <c r="A3255" t="s">
        <v>5</v>
      </c>
      <c r="B3255" s="1">
        <v>45793</v>
      </c>
      <c r="C3255">
        <v>15</v>
      </c>
      <c r="D3255">
        <v>0.20799999999999999</v>
      </c>
      <c r="E3255" t="s">
        <v>6</v>
      </c>
      <c r="F3255">
        <v>8.1720000000000001E-2</v>
      </c>
    </row>
    <row r="3256" spans="1:6" x14ac:dyDescent="0.3">
      <c r="A3256" t="s">
        <v>5</v>
      </c>
      <c r="B3256" s="1">
        <v>45793</v>
      </c>
      <c r="C3256">
        <v>16</v>
      </c>
      <c r="D3256">
        <v>0.10199999999999999</v>
      </c>
      <c r="E3256" t="s">
        <v>6</v>
      </c>
      <c r="F3256">
        <v>8.181999999999999E-2</v>
      </c>
    </row>
    <row r="3257" spans="1:6" x14ac:dyDescent="0.3">
      <c r="A3257" t="s">
        <v>5</v>
      </c>
      <c r="B3257" s="1">
        <v>45793</v>
      </c>
      <c r="C3257">
        <v>17</v>
      </c>
      <c r="D3257">
        <v>0.11</v>
      </c>
      <c r="E3257" t="s">
        <v>6</v>
      </c>
      <c r="F3257">
        <v>8.2860000000000003E-2</v>
      </c>
    </row>
    <row r="3258" spans="1:6" x14ac:dyDescent="0.3">
      <c r="A3258" t="s">
        <v>5</v>
      </c>
      <c r="B3258" s="1">
        <v>45793</v>
      </c>
      <c r="C3258">
        <v>18</v>
      </c>
      <c r="D3258">
        <v>0.14399999999999999</v>
      </c>
      <c r="E3258" t="s">
        <v>6</v>
      </c>
      <c r="F3258">
        <v>8.7910000000000002E-2</v>
      </c>
    </row>
    <row r="3259" spans="1:6" x14ac:dyDescent="0.3">
      <c r="A3259" t="s">
        <v>5</v>
      </c>
      <c r="B3259" s="1">
        <v>45793</v>
      </c>
      <c r="C3259">
        <v>19</v>
      </c>
      <c r="D3259">
        <v>0.21299999999999999</v>
      </c>
      <c r="E3259" t="s">
        <v>6</v>
      </c>
      <c r="F3259">
        <v>0.15872999999999998</v>
      </c>
    </row>
    <row r="3260" spans="1:6" x14ac:dyDescent="0.3">
      <c r="A3260" t="s">
        <v>5</v>
      </c>
      <c r="B3260" s="1">
        <v>45793</v>
      </c>
      <c r="C3260">
        <v>20</v>
      </c>
      <c r="D3260">
        <v>0.36299999999999999</v>
      </c>
      <c r="E3260" t="s">
        <v>6</v>
      </c>
      <c r="F3260">
        <v>0.16247</v>
      </c>
    </row>
    <row r="3261" spans="1:6" x14ac:dyDescent="0.3">
      <c r="A3261" t="s">
        <v>5</v>
      </c>
      <c r="B3261" s="1">
        <v>45793</v>
      </c>
      <c r="C3261">
        <v>21</v>
      </c>
      <c r="D3261">
        <v>0.434</v>
      </c>
      <c r="E3261" t="s">
        <v>6</v>
      </c>
      <c r="F3261">
        <v>0.18572</v>
      </c>
    </row>
    <row r="3262" spans="1:6" x14ac:dyDescent="0.3">
      <c r="A3262" t="s">
        <v>5</v>
      </c>
      <c r="B3262" s="1">
        <v>45793</v>
      </c>
      <c r="C3262">
        <v>22</v>
      </c>
      <c r="D3262">
        <v>0.34200000000000003</v>
      </c>
      <c r="E3262" t="s">
        <v>6</v>
      </c>
      <c r="F3262">
        <v>0.19603999999999999</v>
      </c>
    </row>
    <row r="3263" spans="1:6" x14ac:dyDescent="0.3">
      <c r="A3263" t="s">
        <v>5</v>
      </c>
      <c r="B3263" s="1">
        <v>45793</v>
      </c>
      <c r="C3263">
        <v>23</v>
      </c>
      <c r="D3263">
        <v>0.32</v>
      </c>
      <c r="E3263" t="s">
        <v>6</v>
      </c>
      <c r="F3263">
        <v>0.14119000000000001</v>
      </c>
    </row>
    <row r="3264" spans="1:6" x14ac:dyDescent="0.3">
      <c r="A3264" t="s">
        <v>5</v>
      </c>
      <c r="B3264" s="1">
        <v>45793</v>
      </c>
      <c r="C3264">
        <v>24</v>
      </c>
      <c r="D3264">
        <v>9.1999999999999998E-2</v>
      </c>
      <c r="E3264" t="s">
        <v>6</v>
      </c>
      <c r="F3264">
        <v>0.13729</v>
      </c>
    </row>
    <row r="3265" spans="1:6" x14ac:dyDescent="0.3">
      <c r="A3265" t="s">
        <v>5</v>
      </c>
      <c r="B3265" s="1">
        <v>45794</v>
      </c>
      <c r="C3265">
        <v>1</v>
      </c>
      <c r="D3265">
        <v>7.6999999999999999E-2</v>
      </c>
      <c r="E3265" t="s">
        <v>6</v>
      </c>
      <c r="F3265">
        <v>0.10052999999999999</v>
      </c>
    </row>
    <row r="3266" spans="1:6" x14ac:dyDescent="0.3">
      <c r="A3266" t="s">
        <v>5</v>
      </c>
      <c r="B3266" s="1">
        <v>45794</v>
      </c>
      <c r="C3266">
        <v>2</v>
      </c>
      <c r="D3266">
        <v>9.7000000000000003E-2</v>
      </c>
      <c r="E3266" t="s">
        <v>6</v>
      </c>
      <c r="F3266">
        <v>9.579E-2</v>
      </c>
    </row>
    <row r="3267" spans="1:6" x14ac:dyDescent="0.3">
      <c r="A3267" t="s">
        <v>5</v>
      </c>
      <c r="B3267" s="1">
        <v>45794</v>
      </c>
      <c r="C3267">
        <v>3</v>
      </c>
      <c r="D3267">
        <v>7.1999999999999995E-2</v>
      </c>
      <c r="E3267" t="s">
        <v>6</v>
      </c>
      <c r="F3267">
        <v>9.7310000000000008E-2</v>
      </c>
    </row>
    <row r="3268" spans="1:6" x14ac:dyDescent="0.3">
      <c r="A3268" t="s">
        <v>5</v>
      </c>
      <c r="B3268" s="1">
        <v>45794</v>
      </c>
      <c r="C3268">
        <v>4</v>
      </c>
      <c r="D3268">
        <v>7.9000000000000001E-2</v>
      </c>
      <c r="E3268" t="s">
        <v>6</v>
      </c>
      <c r="F3268">
        <v>9.6849999999999992E-2</v>
      </c>
    </row>
    <row r="3269" spans="1:6" x14ac:dyDescent="0.3">
      <c r="A3269" t="s">
        <v>5</v>
      </c>
      <c r="B3269" s="1">
        <v>45794</v>
      </c>
      <c r="C3269">
        <v>5</v>
      </c>
      <c r="D3269">
        <v>8.5000000000000006E-2</v>
      </c>
      <c r="E3269" t="s">
        <v>6</v>
      </c>
      <c r="F3269">
        <v>9.6680000000000002E-2</v>
      </c>
    </row>
    <row r="3270" spans="1:6" x14ac:dyDescent="0.3">
      <c r="A3270" t="s">
        <v>5</v>
      </c>
      <c r="B3270" s="1">
        <v>45794</v>
      </c>
      <c r="C3270">
        <v>6</v>
      </c>
      <c r="D3270">
        <v>6.8000000000000005E-2</v>
      </c>
      <c r="E3270" t="s">
        <v>6</v>
      </c>
      <c r="F3270">
        <v>0.105</v>
      </c>
    </row>
    <row r="3271" spans="1:6" x14ac:dyDescent="0.3">
      <c r="A3271" t="s">
        <v>5</v>
      </c>
      <c r="B3271" s="1">
        <v>45794</v>
      </c>
      <c r="C3271">
        <v>7</v>
      </c>
      <c r="D3271">
        <v>0.09</v>
      </c>
      <c r="E3271" t="s">
        <v>6</v>
      </c>
      <c r="F3271">
        <v>0.10843999999999999</v>
      </c>
    </row>
    <row r="3272" spans="1:6" x14ac:dyDescent="0.3">
      <c r="A3272" t="s">
        <v>5</v>
      </c>
      <c r="B3272" s="1">
        <v>45794</v>
      </c>
      <c r="C3272">
        <v>8</v>
      </c>
      <c r="D3272">
        <v>6.8000000000000005E-2</v>
      </c>
      <c r="E3272" t="s">
        <v>6</v>
      </c>
      <c r="F3272">
        <v>0.10357999999999999</v>
      </c>
    </row>
    <row r="3273" spans="1:6" x14ac:dyDescent="0.3">
      <c r="A3273" t="s">
        <v>5</v>
      </c>
      <c r="B3273" s="1">
        <v>45794</v>
      </c>
      <c r="C3273">
        <v>9</v>
      </c>
      <c r="D3273">
        <v>8.5000000000000006E-2</v>
      </c>
      <c r="E3273" t="s">
        <v>6</v>
      </c>
      <c r="F3273">
        <v>8.1860000000000002E-2</v>
      </c>
    </row>
    <row r="3274" spans="1:6" x14ac:dyDescent="0.3">
      <c r="A3274" t="s">
        <v>5</v>
      </c>
      <c r="B3274" s="1">
        <v>45794</v>
      </c>
      <c r="C3274">
        <v>10</v>
      </c>
      <c r="D3274">
        <v>0.111</v>
      </c>
      <c r="E3274" t="s">
        <v>6</v>
      </c>
      <c r="F3274">
        <v>7.0470000000000005E-2</v>
      </c>
    </row>
    <row r="3275" spans="1:6" x14ac:dyDescent="0.3">
      <c r="A3275" t="s">
        <v>5</v>
      </c>
      <c r="B3275" s="1">
        <v>45794</v>
      </c>
      <c r="C3275">
        <v>11</v>
      </c>
      <c r="D3275">
        <v>6.6000000000000003E-2</v>
      </c>
      <c r="E3275" t="s">
        <v>6</v>
      </c>
      <c r="F3275">
        <v>6.6810000000000008E-2</v>
      </c>
    </row>
    <row r="3276" spans="1:6" x14ac:dyDescent="0.3">
      <c r="A3276" t="s">
        <v>5</v>
      </c>
      <c r="B3276" s="1">
        <v>45794</v>
      </c>
      <c r="C3276">
        <v>12</v>
      </c>
      <c r="D3276">
        <v>8.5999999999999993E-2</v>
      </c>
      <c r="E3276" t="s">
        <v>6</v>
      </c>
      <c r="F3276">
        <v>6.4180000000000001E-2</v>
      </c>
    </row>
    <row r="3277" spans="1:6" x14ac:dyDescent="0.3">
      <c r="A3277" t="s">
        <v>5</v>
      </c>
      <c r="B3277" s="1">
        <v>45794</v>
      </c>
      <c r="C3277">
        <v>13</v>
      </c>
      <c r="D3277">
        <v>7.0000000000000007E-2</v>
      </c>
      <c r="E3277" t="s">
        <v>6</v>
      </c>
      <c r="F3277">
        <v>6.0810000000000003E-2</v>
      </c>
    </row>
    <row r="3278" spans="1:6" x14ac:dyDescent="0.3">
      <c r="A3278" t="s">
        <v>5</v>
      </c>
      <c r="B3278" s="1">
        <v>45794</v>
      </c>
      <c r="C3278">
        <v>14</v>
      </c>
      <c r="D3278">
        <v>7.0999999999999994E-2</v>
      </c>
      <c r="E3278" t="s">
        <v>6</v>
      </c>
      <c r="F3278">
        <v>5.9580000000000001E-2</v>
      </c>
    </row>
    <row r="3279" spans="1:6" x14ac:dyDescent="0.3">
      <c r="A3279" t="s">
        <v>5</v>
      </c>
      <c r="B3279" s="1">
        <v>45794</v>
      </c>
      <c r="C3279">
        <v>15</v>
      </c>
      <c r="D3279">
        <v>0.107</v>
      </c>
      <c r="E3279" t="s">
        <v>6</v>
      </c>
      <c r="F3279">
        <v>5.9130000000000002E-2</v>
      </c>
    </row>
    <row r="3280" spans="1:6" x14ac:dyDescent="0.3">
      <c r="A3280" t="s">
        <v>5</v>
      </c>
      <c r="B3280" s="1">
        <v>45794</v>
      </c>
      <c r="C3280">
        <v>16</v>
      </c>
      <c r="D3280">
        <v>1.17</v>
      </c>
      <c r="E3280" t="s">
        <v>6</v>
      </c>
      <c r="F3280">
        <v>6.232E-2</v>
      </c>
    </row>
    <row r="3281" spans="1:6" x14ac:dyDescent="0.3">
      <c r="A3281" t="s">
        <v>5</v>
      </c>
      <c r="B3281" s="1">
        <v>45794</v>
      </c>
      <c r="C3281">
        <v>17</v>
      </c>
      <c r="D3281">
        <v>0.76800000000000002</v>
      </c>
      <c r="E3281" t="s">
        <v>6</v>
      </c>
      <c r="F3281">
        <v>6.447E-2</v>
      </c>
    </row>
    <row r="3282" spans="1:6" x14ac:dyDescent="0.3">
      <c r="A3282" t="s">
        <v>5</v>
      </c>
      <c r="B3282" s="1">
        <v>45794</v>
      </c>
      <c r="C3282">
        <v>18</v>
      </c>
      <c r="D3282">
        <v>0.81799999999999995</v>
      </c>
      <c r="E3282" t="s">
        <v>6</v>
      </c>
      <c r="F3282">
        <v>6.9199999999999998E-2</v>
      </c>
    </row>
    <row r="3283" spans="1:6" x14ac:dyDescent="0.3">
      <c r="A3283" t="s">
        <v>5</v>
      </c>
      <c r="B3283" s="1">
        <v>45794</v>
      </c>
      <c r="C3283">
        <v>19</v>
      </c>
      <c r="D3283">
        <v>0.20499999999999999</v>
      </c>
      <c r="E3283" t="s">
        <v>6</v>
      </c>
      <c r="F3283">
        <v>7.306E-2</v>
      </c>
    </row>
    <row r="3284" spans="1:6" x14ac:dyDescent="0.3">
      <c r="A3284" t="s">
        <v>5</v>
      </c>
      <c r="B3284" s="1">
        <v>45794</v>
      </c>
      <c r="C3284">
        <v>20</v>
      </c>
      <c r="D3284">
        <v>0.19900000000000001</v>
      </c>
      <c r="E3284" t="s">
        <v>6</v>
      </c>
      <c r="F3284">
        <v>7.9310000000000005E-2</v>
      </c>
    </row>
    <row r="3285" spans="1:6" x14ac:dyDescent="0.3">
      <c r="A3285" t="s">
        <v>5</v>
      </c>
      <c r="B3285" s="1">
        <v>45794</v>
      </c>
      <c r="C3285">
        <v>21</v>
      </c>
      <c r="D3285">
        <v>0.13100000000000001</v>
      </c>
      <c r="E3285" t="s">
        <v>6</v>
      </c>
      <c r="F3285">
        <v>0.10626999999999999</v>
      </c>
    </row>
    <row r="3286" spans="1:6" x14ac:dyDescent="0.3">
      <c r="A3286" t="s">
        <v>5</v>
      </c>
      <c r="B3286" s="1">
        <v>45794</v>
      </c>
      <c r="C3286">
        <v>22</v>
      </c>
      <c r="D3286">
        <v>0.26900000000000002</v>
      </c>
      <c r="E3286" t="s">
        <v>6</v>
      </c>
      <c r="F3286">
        <v>0.12515000000000001</v>
      </c>
    </row>
    <row r="3287" spans="1:6" x14ac:dyDescent="0.3">
      <c r="A3287" t="s">
        <v>5</v>
      </c>
      <c r="B3287" s="1">
        <v>45794</v>
      </c>
      <c r="C3287">
        <v>23</v>
      </c>
      <c r="D3287">
        <v>0.317</v>
      </c>
      <c r="E3287" t="s">
        <v>6</v>
      </c>
      <c r="F3287">
        <v>0.13083</v>
      </c>
    </row>
    <row r="3288" spans="1:6" x14ac:dyDescent="0.3">
      <c r="A3288" t="s">
        <v>5</v>
      </c>
      <c r="B3288" s="1">
        <v>45794</v>
      </c>
      <c r="C3288">
        <v>24</v>
      </c>
      <c r="D3288">
        <v>0.219</v>
      </c>
      <c r="E3288" t="s">
        <v>6</v>
      </c>
      <c r="F3288">
        <v>0.1133</v>
      </c>
    </row>
    <row r="3289" spans="1:6" x14ac:dyDescent="0.3">
      <c r="A3289" t="s">
        <v>5</v>
      </c>
      <c r="B3289" s="1">
        <v>45795</v>
      </c>
      <c r="C3289">
        <v>1</v>
      </c>
      <c r="D3289">
        <v>0.14699999999999999</v>
      </c>
      <c r="E3289" t="s">
        <v>6</v>
      </c>
      <c r="F3289">
        <v>0.1211</v>
      </c>
    </row>
    <row r="3290" spans="1:6" x14ac:dyDescent="0.3">
      <c r="A3290" t="s">
        <v>5</v>
      </c>
      <c r="B3290" s="1">
        <v>45795</v>
      </c>
      <c r="C3290">
        <v>2</v>
      </c>
      <c r="D3290">
        <v>0.105</v>
      </c>
      <c r="E3290" t="s">
        <v>6</v>
      </c>
      <c r="F3290">
        <v>0.11155</v>
      </c>
    </row>
    <row r="3291" spans="1:6" x14ac:dyDescent="0.3">
      <c r="A3291" t="s">
        <v>5</v>
      </c>
      <c r="B3291" s="1">
        <v>45795</v>
      </c>
      <c r="C3291">
        <v>3</v>
      </c>
      <c r="D3291">
        <v>7.3999999999999996E-2</v>
      </c>
      <c r="E3291" t="s">
        <v>6</v>
      </c>
      <c r="F3291">
        <v>0.10740000000000001</v>
      </c>
    </row>
    <row r="3292" spans="1:6" x14ac:dyDescent="0.3">
      <c r="A3292" t="s">
        <v>5</v>
      </c>
      <c r="B3292" s="1">
        <v>45795</v>
      </c>
      <c r="C3292">
        <v>4</v>
      </c>
      <c r="D3292">
        <v>9.1999999999999998E-2</v>
      </c>
      <c r="E3292" t="s">
        <v>6</v>
      </c>
      <c r="F3292">
        <v>0.10978</v>
      </c>
    </row>
    <row r="3293" spans="1:6" x14ac:dyDescent="0.3">
      <c r="A3293" t="s">
        <v>5</v>
      </c>
      <c r="B3293" s="1">
        <v>45795</v>
      </c>
      <c r="C3293">
        <v>5</v>
      </c>
      <c r="D3293">
        <v>7.0999999999999994E-2</v>
      </c>
      <c r="E3293" t="s">
        <v>6</v>
      </c>
      <c r="F3293">
        <v>0.10883</v>
      </c>
    </row>
    <row r="3294" spans="1:6" x14ac:dyDescent="0.3">
      <c r="A3294" t="s">
        <v>5</v>
      </c>
      <c r="B3294" s="1">
        <v>45795</v>
      </c>
      <c r="C3294">
        <v>6</v>
      </c>
      <c r="D3294">
        <v>8.2000000000000003E-2</v>
      </c>
      <c r="E3294" t="s">
        <v>6</v>
      </c>
      <c r="F3294">
        <v>0.11015000000000001</v>
      </c>
    </row>
    <row r="3295" spans="1:6" x14ac:dyDescent="0.3">
      <c r="A3295" t="s">
        <v>5</v>
      </c>
      <c r="B3295" s="1">
        <v>45795</v>
      </c>
      <c r="C3295">
        <v>7</v>
      </c>
      <c r="D3295">
        <v>7.3999999999999996E-2</v>
      </c>
      <c r="E3295" t="s">
        <v>6</v>
      </c>
      <c r="F3295">
        <v>0.10475</v>
      </c>
    </row>
    <row r="3296" spans="1:6" x14ac:dyDescent="0.3">
      <c r="A3296" t="s">
        <v>5</v>
      </c>
      <c r="B3296" s="1">
        <v>45795</v>
      </c>
      <c r="C3296">
        <v>8</v>
      </c>
      <c r="D3296">
        <v>7.5999999999999998E-2</v>
      </c>
      <c r="E3296" t="s">
        <v>6</v>
      </c>
      <c r="F3296">
        <v>0.10100000000000001</v>
      </c>
    </row>
    <row r="3297" spans="1:6" x14ac:dyDescent="0.3">
      <c r="A3297" t="s">
        <v>5</v>
      </c>
      <c r="B3297" s="1">
        <v>45795</v>
      </c>
      <c r="C3297">
        <v>9</v>
      </c>
      <c r="D3297">
        <v>7.9000000000000001E-2</v>
      </c>
      <c r="E3297" t="s">
        <v>6</v>
      </c>
      <c r="F3297">
        <v>8.3280000000000007E-2</v>
      </c>
    </row>
    <row r="3298" spans="1:6" x14ac:dyDescent="0.3">
      <c r="A3298" t="s">
        <v>5</v>
      </c>
      <c r="B3298" s="1">
        <v>45795</v>
      </c>
      <c r="C3298">
        <v>10</v>
      </c>
      <c r="D3298">
        <v>9.1999999999999998E-2</v>
      </c>
      <c r="E3298" t="s">
        <v>6</v>
      </c>
      <c r="F3298">
        <v>7.6200000000000004E-2</v>
      </c>
    </row>
    <row r="3299" spans="1:6" x14ac:dyDescent="0.3">
      <c r="A3299" t="s">
        <v>5</v>
      </c>
      <c r="B3299" s="1">
        <v>45795</v>
      </c>
      <c r="C3299">
        <v>11</v>
      </c>
      <c r="D3299">
        <v>0.112</v>
      </c>
      <c r="E3299" t="s">
        <v>6</v>
      </c>
      <c r="F3299">
        <v>7.1340000000000001E-2</v>
      </c>
    </row>
    <row r="3300" spans="1:6" x14ac:dyDescent="0.3">
      <c r="A3300" t="s">
        <v>5</v>
      </c>
      <c r="B3300" s="1">
        <v>45795</v>
      </c>
      <c r="C3300">
        <v>12</v>
      </c>
      <c r="D3300">
        <v>0.20100000000000001</v>
      </c>
      <c r="E3300" t="s">
        <v>6</v>
      </c>
      <c r="F3300">
        <v>6.9860000000000005E-2</v>
      </c>
    </row>
    <row r="3301" spans="1:6" x14ac:dyDescent="0.3">
      <c r="A3301" t="s">
        <v>5</v>
      </c>
      <c r="B3301" s="1">
        <v>45795</v>
      </c>
      <c r="C3301">
        <v>13</v>
      </c>
      <c r="D3301">
        <v>0.20399999999999999</v>
      </c>
      <c r="E3301" t="s">
        <v>6</v>
      </c>
      <c r="F3301">
        <v>6.7549999999999999E-2</v>
      </c>
    </row>
    <row r="3302" spans="1:6" x14ac:dyDescent="0.3">
      <c r="A3302" t="s">
        <v>5</v>
      </c>
      <c r="B3302" s="1">
        <v>45795</v>
      </c>
      <c r="C3302">
        <v>14</v>
      </c>
      <c r="D3302">
        <v>0.122</v>
      </c>
      <c r="E3302" t="s">
        <v>6</v>
      </c>
      <c r="F3302">
        <v>6.7629999999999996E-2</v>
      </c>
    </row>
    <row r="3303" spans="1:6" x14ac:dyDescent="0.3">
      <c r="A3303" t="s">
        <v>5</v>
      </c>
      <c r="B3303" s="1">
        <v>45795</v>
      </c>
      <c r="C3303">
        <v>15</v>
      </c>
      <c r="D3303">
        <v>0.158</v>
      </c>
      <c r="E3303" t="s">
        <v>6</v>
      </c>
      <c r="F3303">
        <v>6.3960000000000003E-2</v>
      </c>
    </row>
    <row r="3304" spans="1:6" x14ac:dyDescent="0.3">
      <c r="A3304" t="s">
        <v>5</v>
      </c>
      <c r="B3304" s="1">
        <v>45795</v>
      </c>
      <c r="C3304">
        <v>16</v>
      </c>
      <c r="D3304">
        <v>0.23899999999999999</v>
      </c>
      <c r="E3304" t="s">
        <v>6</v>
      </c>
      <c r="F3304">
        <v>6.7290000000000003E-2</v>
      </c>
    </row>
    <row r="3305" spans="1:6" x14ac:dyDescent="0.3">
      <c r="A3305" t="s">
        <v>5</v>
      </c>
      <c r="B3305" s="1">
        <v>45795</v>
      </c>
      <c r="C3305">
        <v>17</v>
      </c>
      <c r="D3305">
        <v>0.22600000000000001</v>
      </c>
      <c r="E3305" t="s">
        <v>6</v>
      </c>
      <c r="F3305">
        <v>7.0470000000000005E-2</v>
      </c>
    </row>
    <row r="3306" spans="1:6" x14ac:dyDescent="0.3">
      <c r="A3306" t="s">
        <v>5</v>
      </c>
      <c r="B3306" s="1">
        <v>45795</v>
      </c>
      <c r="C3306">
        <v>18</v>
      </c>
      <c r="D3306">
        <v>0.27900000000000003</v>
      </c>
      <c r="E3306" t="s">
        <v>6</v>
      </c>
      <c r="F3306">
        <v>7.4109999999999995E-2</v>
      </c>
    </row>
    <row r="3307" spans="1:6" x14ac:dyDescent="0.3">
      <c r="A3307" t="s">
        <v>5</v>
      </c>
      <c r="B3307" s="1">
        <v>45795</v>
      </c>
      <c r="C3307">
        <v>19</v>
      </c>
      <c r="D3307">
        <v>0.20300000000000001</v>
      </c>
      <c r="E3307" t="s">
        <v>6</v>
      </c>
      <c r="F3307">
        <v>8.1019999999999995E-2</v>
      </c>
    </row>
    <row r="3308" spans="1:6" x14ac:dyDescent="0.3">
      <c r="A3308" t="s">
        <v>5</v>
      </c>
      <c r="B3308" s="1">
        <v>45795</v>
      </c>
      <c r="C3308">
        <v>20</v>
      </c>
      <c r="D3308">
        <v>6.9000000000000006E-2</v>
      </c>
      <c r="E3308" t="s">
        <v>6</v>
      </c>
      <c r="F3308">
        <v>8.2869999999999999E-2</v>
      </c>
    </row>
    <row r="3309" spans="1:6" x14ac:dyDescent="0.3">
      <c r="A3309" t="s">
        <v>5</v>
      </c>
      <c r="B3309" s="1">
        <v>45795</v>
      </c>
      <c r="C3309">
        <v>21</v>
      </c>
      <c r="D3309">
        <v>0.5</v>
      </c>
      <c r="E3309" t="s">
        <v>6</v>
      </c>
      <c r="F3309">
        <v>8.9189999999999992E-2</v>
      </c>
    </row>
    <row r="3310" spans="1:6" x14ac:dyDescent="0.3">
      <c r="A3310" t="s">
        <v>5</v>
      </c>
      <c r="B3310" s="1">
        <v>45795</v>
      </c>
      <c r="C3310">
        <v>22</v>
      </c>
      <c r="D3310">
        <v>0.90700000000000003</v>
      </c>
      <c r="E3310" t="s">
        <v>6</v>
      </c>
      <c r="F3310">
        <v>0.11067</v>
      </c>
    </row>
    <row r="3311" spans="1:6" x14ac:dyDescent="0.3">
      <c r="A3311" t="s">
        <v>5</v>
      </c>
      <c r="B3311" s="1">
        <v>45795</v>
      </c>
      <c r="C3311">
        <v>23</v>
      </c>
      <c r="D3311">
        <v>0.48499999999999999</v>
      </c>
      <c r="E3311" t="s">
        <v>6</v>
      </c>
      <c r="F3311">
        <v>0.11126000000000001</v>
      </c>
    </row>
    <row r="3312" spans="1:6" x14ac:dyDescent="0.3">
      <c r="A3312" t="s">
        <v>5</v>
      </c>
      <c r="B3312" s="1">
        <v>45795</v>
      </c>
      <c r="C3312">
        <v>24</v>
      </c>
      <c r="D3312">
        <v>0.106</v>
      </c>
      <c r="E3312" t="s">
        <v>6</v>
      </c>
      <c r="F3312">
        <v>0.10682999999999999</v>
      </c>
    </row>
    <row r="3313" spans="1:6" x14ac:dyDescent="0.3">
      <c r="A3313" t="s">
        <v>5</v>
      </c>
      <c r="B3313" s="1">
        <v>45796</v>
      </c>
      <c r="C3313">
        <v>1</v>
      </c>
      <c r="D3313">
        <v>8.3000000000000004E-2</v>
      </c>
      <c r="E3313" t="s">
        <v>6</v>
      </c>
      <c r="F3313">
        <v>0.10435999999999999</v>
      </c>
    </row>
    <row r="3314" spans="1:6" x14ac:dyDescent="0.3">
      <c r="A3314" t="s">
        <v>5</v>
      </c>
      <c r="B3314" s="1">
        <v>45796</v>
      </c>
      <c r="C3314">
        <v>2</v>
      </c>
      <c r="D3314">
        <v>7.0999999999999994E-2</v>
      </c>
      <c r="E3314" t="s">
        <v>6</v>
      </c>
      <c r="F3314">
        <v>0.10438</v>
      </c>
    </row>
    <row r="3315" spans="1:6" x14ac:dyDescent="0.3">
      <c r="A3315" t="s">
        <v>5</v>
      </c>
      <c r="B3315" s="1">
        <v>45796</v>
      </c>
      <c r="C3315">
        <v>3</v>
      </c>
      <c r="D3315">
        <v>9.7000000000000003E-2</v>
      </c>
      <c r="E3315" t="s">
        <v>6</v>
      </c>
      <c r="F3315">
        <v>0.10027</v>
      </c>
    </row>
    <row r="3316" spans="1:6" x14ac:dyDescent="0.3">
      <c r="A3316" t="s">
        <v>5</v>
      </c>
      <c r="B3316" s="1">
        <v>45796</v>
      </c>
      <c r="C3316">
        <v>4</v>
      </c>
      <c r="D3316">
        <v>7.0999999999999994E-2</v>
      </c>
      <c r="E3316" t="s">
        <v>6</v>
      </c>
      <c r="F3316">
        <v>0.10192</v>
      </c>
    </row>
    <row r="3317" spans="1:6" x14ac:dyDescent="0.3">
      <c r="A3317" t="s">
        <v>5</v>
      </c>
      <c r="B3317" s="1">
        <v>45796</v>
      </c>
      <c r="C3317">
        <v>5</v>
      </c>
      <c r="D3317">
        <v>7.3999999999999996E-2</v>
      </c>
      <c r="E3317" t="s">
        <v>6</v>
      </c>
      <c r="F3317">
        <v>9.8560000000000009E-2</v>
      </c>
    </row>
    <row r="3318" spans="1:6" x14ac:dyDescent="0.3">
      <c r="A3318" t="s">
        <v>5</v>
      </c>
      <c r="B3318" s="1">
        <v>45796</v>
      </c>
      <c r="C3318">
        <v>6</v>
      </c>
      <c r="D3318">
        <v>8.5999999999999993E-2</v>
      </c>
      <c r="E3318" t="s">
        <v>6</v>
      </c>
      <c r="F3318">
        <v>0.10578</v>
      </c>
    </row>
    <row r="3319" spans="1:6" x14ac:dyDescent="0.3">
      <c r="A3319" t="s">
        <v>5</v>
      </c>
      <c r="B3319" s="1">
        <v>45796</v>
      </c>
      <c r="C3319">
        <v>7</v>
      </c>
      <c r="D3319">
        <v>6.8000000000000005E-2</v>
      </c>
      <c r="E3319" t="s">
        <v>6</v>
      </c>
      <c r="F3319">
        <v>0.10729000000000001</v>
      </c>
    </row>
    <row r="3320" spans="1:6" x14ac:dyDescent="0.3">
      <c r="A3320" t="s">
        <v>5</v>
      </c>
      <c r="B3320" s="1">
        <v>45796</v>
      </c>
      <c r="C3320">
        <v>8</v>
      </c>
      <c r="D3320">
        <v>0.10299999999999999</v>
      </c>
      <c r="E3320" t="s">
        <v>6</v>
      </c>
      <c r="F3320">
        <v>0.11695999999999999</v>
      </c>
    </row>
    <row r="3321" spans="1:6" x14ac:dyDescent="0.3">
      <c r="A3321" t="s">
        <v>5</v>
      </c>
      <c r="B3321" s="1">
        <v>45796</v>
      </c>
      <c r="C3321">
        <v>9</v>
      </c>
      <c r="D3321">
        <v>0.124</v>
      </c>
      <c r="E3321" t="s">
        <v>6</v>
      </c>
      <c r="F3321">
        <v>0.12067</v>
      </c>
    </row>
    <row r="3322" spans="1:6" x14ac:dyDescent="0.3">
      <c r="A3322" t="s">
        <v>5</v>
      </c>
      <c r="B3322" s="1">
        <v>45796</v>
      </c>
      <c r="C3322">
        <v>10</v>
      </c>
      <c r="D3322">
        <v>0.14299999999999999</v>
      </c>
      <c r="E3322" t="s">
        <v>6</v>
      </c>
      <c r="F3322">
        <v>9.7629999999999995E-2</v>
      </c>
    </row>
    <row r="3323" spans="1:6" x14ac:dyDescent="0.3">
      <c r="A3323" t="s">
        <v>5</v>
      </c>
      <c r="B3323" s="1">
        <v>45796</v>
      </c>
      <c r="C3323">
        <v>11</v>
      </c>
      <c r="D3323">
        <v>8.5000000000000006E-2</v>
      </c>
      <c r="E3323" t="s">
        <v>6</v>
      </c>
      <c r="F3323">
        <v>0.15822</v>
      </c>
    </row>
    <row r="3324" spans="1:6" x14ac:dyDescent="0.3">
      <c r="A3324" t="s">
        <v>5</v>
      </c>
      <c r="B3324" s="1">
        <v>45796</v>
      </c>
      <c r="C3324">
        <v>12</v>
      </c>
      <c r="D3324">
        <v>6.8000000000000005E-2</v>
      </c>
      <c r="E3324" t="s">
        <v>6</v>
      </c>
      <c r="F3324">
        <v>0.15800999999999998</v>
      </c>
    </row>
    <row r="3325" spans="1:6" x14ac:dyDescent="0.3">
      <c r="A3325" t="s">
        <v>5</v>
      </c>
      <c r="B3325" s="1">
        <v>45796</v>
      </c>
      <c r="C3325">
        <v>13</v>
      </c>
      <c r="D3325">
        <v>9.2999999999999999E-2</v>
      </c>
      <c r="E3325" t="s">
        <v>6</v>
      </c>
      <c r="F3325">
        <v>0.15746000000000002</v>
      </c>
    </row>
    <row r="3326" spans="1:6" x14ac:dyDescent="0.3">
      <c r="A3326" t="s">
        <v>5</v>
      </c>
      <c r="B3326" s="1">
        <v>45796</v>
      </c>
      <c r="C3326">
        <v>14</v>
      </c>
      <c r="D3326">
        <v>0.14000000000000001</v>
      </c>
      <c r="E3326" t="s">
        <v>6</v>
      </c>
      <c r="F3326">
        <v>0.15415999999999999</v>
      </c>
    </row>
    <row r="3327" spans="1:6" x14ac:dyDescent="0.3">
      <c r="A3327" t="s">
        <v>5</v>
      </c>
      <c r="B3327" s="1">
        <v>45796</v>
      </c>
      <c r="C3327">
        <v>15</v>
      </c>
      <c r="D3327">
        <v>0.13</v>
      </c>
      <c r="E3327" t="s">
        <v>6</v>
      </c>
      <c r="F3327">
        <v>9.0279999999999999E-2</v>
      </c>
    </row>
    <row r="3328" spans="1:6" x14ac:dyDescent="0.3">
      <c r="A3328" t="s">
        <v>5</v>
      </c>
      <c r="B3328" s="1">
        <v>45796</v>
      </c>
      <c r="C3328">
        <v>16</v>
      </c>
      <c r="D3328">
        <v>0.127</v>
      </c>
      <c r="E3328" t="s">
        <v>6</v>
      </c>
      <c r="F3328">
        <v>9.0999999999999998E-2</v>
      </c>
    </row>
    <row r="3329" spans="1:6" x14ac:dyDescent="0.3">
      <c r="A3329" t="s">
        <v>5</v>
      </c>
      <c r="B3329" s="1">
        <v>45796</v>
      </c>
      <c r="C3329">
        <v>17</v>
      </c>
      <c r="D3329">
        <v>0.09</v>
      </c>
      <c r="E3329" t="s">
        <v>6</v>
      </c>
      <c r="F3329">
        <v>9.1219999999999996E-2</v>
      </c>
    </row>
    <row r="3330" spans="1:6" x14ac:dyDescent="0.3">
      <c r="A3330" t="s">
        <v>5</v>
      </c>
      <c r="B3330" s="1">
        <v>45796</v>
      </c>
      <c r="C3330">
        <v>18</v>
      </c>
      <c r="D3330">
        <v>0.114</v>
      </c>
      <c r="E3330" t="s">
        <v>6</v>
      </c>
      <c r="F3330">
        <v>9.2120000000000007E-2</v>
      </c>
    </row>
    <row r="3331" spans="1:6" x14ac:dyDescent="0.3">
      <c r="A3331" t="s">
        <v>5</v>
      </c>
      <c r="B3331" s="1">
        <v>45796</v>
      </c>
      <c r="C3331">
        <v>19</v>
      </c>
      <c r="D3331">
        <v>0.753</v>
      </c>
      <c r="E3331" t="s">
        <v>6</v>
      </c>
      <c r="F3331">
        <v>0.16027000000000002</v>
      </c>
    </row>
    <row r="3332" spans="1:6" x14ac:dyDescent="0.3">
      <c r="A3332" t="s">
        <v>5</v>
      </c>
      <c r="B3332" s="1">
        <v>45796</v>
      </c>
      <c r="C3332">
        <v>20</v>
      </c>
      <c r="D3332">
        <v>0.42</v>
      </c>
      <c r="E3332" t="s">
        <v>6</v>
      </c>
      <c r="F3332">
        <v>0.16072999999999998</v>
      </c>
    </row>
    <row r="3333" spans="1:6" x14ac:dyDescent="0.3">
      <c r="A3333" t="s">
        <v>5</v>
      </c>
      <c r="B3333" s="1">
        <v>45796</v>
      </c>
      <c r="C3333">
        <v>21</v>
      </c>
      <c r="D3333">
        <v>0.34799999999999998</v>
      </c>
      <c r="E3333" t="s">
        <v>6</v>
      </c>
      <c r="F3333">
        <v>0.18381999999999998</v>
      </c>
    </row>
    <row r="3334" spans="1:6" x14ac:dyDescent="0.3">
      <c r="A3334" t="s">
        <v>5</v>
      </c>
      <c r="B3334" s="1">
        <v>45796</v>
      </c>
      <c r="C3334">
        <v>22</v>
      </c>
      <c r="D3334">
        <v>0.51300000000000001</v>
      </c>
      <c r="E3334" t="s">
        <v>6</v>
      </c>
      <c r="F3334">
        <v>0.19308</v>
      </c>
    </row>
    <row r="3335" spans="1:6" x14ac:dyDescent="0.3">
      <c r="A3335" t="s">
        <v>5</v>
      </c>
      <c r="B3335" s="1">
        <v>45796</v>
      </c>
      <c r="C3335">
        <v>23</v>
      </c>
      <c r="D3335">
        <v>0.73799999999999999</v>
      </c>
      <c r="E3335" t="s">
        <v>6</v>
      </c>
      <c r="F3335">
        <v>0.13083</v>
      </c>
    </row>
    <row r="3336" spans="1:6" x14ac:dyDescent="0.3">
      <c r="A3336" t="s">
        <v>5</v>
      </c>
      <c r="B3336" s="1">
        <v>45796</v>
      </c>
      <c r="C3336">
        <v>24</v>
      </c>
      <c r="D3336">
        <v>0.73199999999999998</v>
      </c>
      <c r="E3336" t="s">
        <v>6</v>
      </c>
      <c r="F3336">
        <v>0.12684999999999999</v>
      </c>
    </row>
    <row r="3337" spans="1:6" x14ac:dyDescent="0.3">
      <c r="A3337" t="s">
        <v>5</v>
      </c>
      <c r="B3337" s="1">
        <v>45797</v>
      </c>
      <c r="C3337">
        <v>1</v>
      </c>
      <c r="D3337">
        <v>0.94899999999999995</v>
      </c>
      <c r="E3337" t="s">
        <v>6</v>
      </c>
      <c r="F3337">
        <v>0.10086000000000001</v>
      </c>
    </row>
    <row r="3338" spans="1:6" x14ac:dyDescent="0.3">
      <c r="A3338" t="s">
        <v>5</v>
      </c>
      <c r="B3338" s="1">
        <v>45797</v>
      </c>
      <c r="C3338">
        <v>2</v>
      </c>
      <c r="D3338">
        <v>0.73699999999999999</v>
      </c>
      <c r="E3338" t="s">
        <v>6</v>
      </c>
      <c r="F3338">
        <v>9.9959999999999993E-2</v>
      </c>
    </row>
    <row r="3339" spans="1:6" x14ac:dyDescent="0.3">
      <c r="A3339" t="s">
        <v>5</v>
      </c>
      <c r="B3339" s="1">
        <v>45797</v>
      </c>
      <c r="C3339">
        <v>3</v>
      </c>
      <c r="D3339">
        <v>0.161</v>
      </c>
      <c r="E3339" t="s">
        <v>6</v>
      </c>
      <c r="F3339">
        <v>9.844E-2</v>
      </c>
    </row>
    <row r="3340" spans="1:6" x14ac:dyDescent="0.3">
      <c r="A3340" t="s">
        <v>5</v>
      </c>
      <c r="B3340" s="1">
        <v>45797</v>
      </c>
      <c r="C3340">
        <v>4</v>
      </c>
      <c r="D3340">
        <v>0.105</v>
      </c>
      <c r="E3340" t="s">
        <v>6</v>
      </c>
      <c r="F3340">
        <v>8.8290000000000007E-2</v>
      </c>
    </row>
    <row r="3341" spans="1:6" x14ac:dyDescent="0.3">
      <c r="A3341" t="s">
        <v>5</v>
      </c>
      <c r="B3341" s="1">
        <v>45797</v>
      </c>
      <c r="C3341">
        <v>5</v>
      </c>
      <c r="D3341">
        <v>9.0999999999999998E-2</v>
      </c>
      <c r="E3341" t="s">
        <v>6</v>
      </c>
      <c r="F3341">
        <v>8.7829999999999991E-2</v>
      </c>
    </row>
    <row r="3342" spans="1:6" x14ac:dyDescent="0.3">
      <c r="A3342" t="s">
        <v>5</v>
      </c>
      <c r="B3342" s="1">
        <v>45797</v>
      </c>
      <c r="C3342">
        <v>6</v>
      </c>
      <c r="D3342">
        <v>0.09</v>
      </c>
      <c r="E3342" t="s">
        <v>6</v>
      </c>
      <c r="F3342">
        <v>9.8790000000000003E-2</v>
      </c>
    </row>
    <row r="3343" spans="1:6" x14ac:dyDescent="0.3">
      <c r="A3343" t="s">
        <v>5</v>
      </c>
      <c r="B3343" s="1">
        <v>45797</v>
      </c>
      <c r="C3343">
        <v>7</v>
      </c>
      <c r="D3343">
        <v>0.109</v>
      </c>
      <c r="E3343" t="s">
        <v>6</v>
      </c>
      <c r="F3343">
        <v>0.1041</v>
      </c>
    </row>
    <row r="3344" spans="1:6" x14ac:dyDescent="0.3">
      <c r="A3344" t="s">
        <v>5</v>
      </c>
      <c r="B3344" s="1">
        <v>45797</v>
      </c>
      <c r="C3344">
        <v>8</v>
      </c>
      <c r="D3344">
        <v>0.151</v>
      </c>
      <c r="E3344" t="s">
        <v>6</v>
      </c>
      <c r="F3344">
        <v>0.10754000000000001</v>
      </c>
    </row>
    <row r="3345" spans="1:6" x14ac:dyDescent="0.3">
      <c r="A3345" t="s">
        <v>5</v>
      </c>
      <c r="B3345" s="1">
        <v>45797</v>
      </c>
      <c r="C3345">
        <v>9</v>
      </c>
      <c r="D3345">
        <v>9.2999999999999999E-2</v>
      </c>
      <c r="E3345" t="s">
        <v>6</v>
      </c>
      <c r="F3345">
        <v>0.11819</v>
      </c>
    </row>
    <row r="3346" spans="1:6" x14ac:dyDescent="0.3">
      <c r="A3346" t="s">
        <v>5</v>
      </c>
      <c r="B3346" s="1">
        <v>45797</v>
      </c>
      <c r="C3346">
        <v>10</v>
      </c>
      <c r="D3346">
        <v>0.16500000000000001</v>
      </c>
      <c r="E3346" t="s">
        <v>6</v>
      </c>
      <c r="F3346">
        <v>9.1689999999999994E-2</v>
      </c>
    </row>
    <row r="3347" spans="1:6" x14ac:dyDescent="0.3">
      <c r="A3347" t="s">
        <v>5</v>
      </c>
      <c r="B3347" s="1">
        <v>45797</v>
      </c>
      <c r="C3347">
        <v>11</v>
      </c>
      <c r="D3347">
        <v>0.185</v>
      </c>
      <c r="E3347" t="s">
        <v>6</v>
      </c>
      <c r="F3347">
        <v>0.15730000000000002</v>
      </c>
    </row>
    <row r="3348" spans="1:6" x14ac:dyDescent="0.3">
      <c r="A3348" t="s">
        <v>5</v>
      </c>
      <c r="B3348" s="1">
        <v>45797</v>
      </c>
      <c r="C3348">
        <v>12</v>
      </c>
      <c r="D3348">
        <v>0.193</v>
      </c>
      <c r="E3348" t="s">
        <v>6</v>
      </c>
      <c r="F3348">
        <v>0.15640999999999999</v>
      </c>
    </row>
    <row r="3349" spans="1:6" x14ac:dyDescent="0.3">
      <c r="A3349" t="s">
        <v>5</v>
      </c>
      <c r="B3349" s="1">
        <v>45797</v>
      </c>
      <c r="C3349">
        <v>13</v>
      </c>
      <c r="D3349">
        <v>0.38800000000000001</v>
      </c>
      <c r="E3349" t="s">
        <v>6</v>
      </c>
      <c r="F3349">
        <v>0.15586000000000003</v>
      </c>
    </row>
    <row r="3350" spans="1:6" x14ac:dyDescent="0.3">
      <c r="A3350" t="s">
        <v>5</v>
      </c>
      <c r="B3350" s="1">
        <v>45797</v>
      </c>
      <c r="C3350">
        <v>14</v>
      </c>
      <c r="D3350">
        <v>0.34699999999999998</v>
      </c>
      <c r="E3350" t="s">
        <v>6</v>
      </c>
      <c r="F3350">
        <v>0.15268999999999999</v>
      </c>
    </row>
    <row r="3351" spans="1:6" x14ac:dyDescent="0.3">
      <c r="A3351" t="s">
        <v>5</v>
      </c>
      <c r="B3351" s="1">
        <v>45797</v>
      </c>
      <c r="C3351">
        <v>15</v>
      </c>
      <c r="D3351">
        <v>0.16300000000000001</v>
      </c>
      <c r="E3351" t="s">
        <v>6</v>
      </c>
      <c r="F3351">
        <v>8.8650000000000007E-2</v>
      </c>
    </row>
    <row r="3352" spans="1:6" x14ac:dyDescent="0.3">
      <c r="A3352" t="s">
        <v>5</v>
      </c>
      <c r="B3352" s="1">
        <v>45797</v>
      </c>
      <c r="C3352">
        <v>16</v>
      </c>
      <c r="D3352">
        <v>0.155</v>
      </c>
      <c r="E3352" t="s">
        <v>6</v>
      </c>
      <c r="F3352">
        <v>8.8239999999999999E-2</v>
      </c>
    </row>
    <row r="3353" spans="1:6" x14ac:dyDescent="0.3">
      <c r="A3353" t="s">
        <v>5</v>
      </c>
      <c r="B3353" s="1">
        <v>45797</v>
      </c>
      <c r="C3353">
        <v>17</v>
      </c>
      <c r="D3353">
        <v>0.184</v>
      </c>
      <c r="E3353" t="s">
        <v>6</v>
      </c>
      <c r="F3353">
        <v>8.9249999999999996E-2</v>
      </c>
    </row>
    <row r="3354" spans="1:6" x14ac:dyDescent="0.3">
      <c r="A3354" t="s">
        <v>5</v>
      </c>
      <c r="B3354" s="1">
        <v>45797</v>
      </c>
      <c r="C3354">
        <v>18</v>
      </c>
      <c r="D3354">
        <v>0.13800000000000001</v>
      </c>
      <c r="E3354" t="s">
        <v>6</v>
      </c>
      <c r="F3354">
        <v>9.1139999999999999E-2</v>
      </c>
    </row>
    <row r="3355" spans="1:6" x14ac:dyDescent="0.3">
      <c r="A3355" t="s">
        <v>5</v>
      </c>
      <c r="B3355" s="1">
        <v>45797</v>
      </c>
      <c r="C3355">
        <v>19</v>
      </c>
      <c r="D3355">
        <v>0.20499999999999999</v>
      </c>
      <c r="E3355" t="s">
        <v>6</v>
      </c>
      <c r="F3355">
        <v>0.15797999999999998</v>
      </c>
    </row>
    <row r="3356" spans="1:6" x14ac:dyDescent="0.3">
      <c r="A3356" t="s">
        <v>5</v>
      </c>
      <c r="B3356" s="1">
        <v>45797</v>
      </c>
      <c r="C3356">
        <v>20</v>
      </c>
      <c r="D3356">
        <v>0.36899999999999999</v>
      </c>
      <c r="E3356" t="s">
        <v>6</v>
      </c>
      <c r="F3356">
        <v>0.16191999999999998</v>
      </c>
    </row>
    <row r="3357" spans="1:6" x14ac:dyDescent="0.3">
      <c r="A3357" t="s">
        <v>5</v>
      </c>
      <c r="B3357" s="1">
        <v>45797</v>
      </c>
      <c r="C3357">
        <v>21</v>
      </c>
      <c r="D3357">
        <v>0.24</v>
      </c>
      <c r="E3357" t="s">
        <v>6</v>
      </c>
      <c r="F3357">
        <v>0.19428999999999999</v>
      </c>
    </row>
    <row r="3358" spans="1:6" x14ac:dyDescent="0.3">
      <c r="A3358" t="s">
        <v>5</v>
      </c>
      <c r="B3358" s="1">
        <v>45797</v>
      </c>
      <c r="C3358">
        <v>22</v>
      </c>
      <c r="D3358">
        <v>0.26700000000000002</v>
      </c>
      <c r="E3358" t="s">
        <v>6</v>
      </c>
      <c r="F3358">
        <v>0.21102000000000001</v>
      </c>
    </row>
    <row r="3359" spans="1:6" x14ac:dyDescent="0.3">
      <c r="A3359" t="s">
        <v>5</v>
      </c>
      <c r="B3359" s="1">
        <v>45797</v>
      </c>
      <c r="C3359">
        <v>23</v>
      </c>
      <c r="D3359">
        <v>0.375</v>
      </c>
      <c r="E3359" t="s">
        <v>6</v>
      </c>
      <c r="F3359">
        <v>0.14940999999999999</v>
      </c>
    </row>
    <row r="3360" spans="1:6" x14ac:dyDescent="0.3">
      <c r="A3360" t="s">
        <v>5</v>
      </c>
      <c r="B3360" s="1">
        <v>45797</v>
      </c>
      <c r="C3360">
        <v>24</v>
      </c>
      <c r="D3360">
        <v>0.221</v>
      </c>
      <c r="E3360" t="s">
        <v>6</v>
      </c>
      <c r="F3360">
        <v>0.13272</v>
      </c>
    </row>
    <row r="3361" spans="1:6" x14ac:dyDescent="0.3">
      <c r="A3361" t="s">
        <v>5</v>
      </c>
      <c r="B3361" s="1">
        <v>45798</v>
      </c>
      <c r="C3361">
        <v>1</v>
      </c>
      <c r="D3361">
        <v>0.127</v>
      </c>
      <c r="E3361" t="s">
        <v>6</v>
      </c>
      <c r="F3361">
        <v>0.10778</v>
      </c>
    </row>
    <row r="3362" spans="1:6" x14ac:dyDescent="0.3">
      <c r="A3362" t="s">
        <v>5</v>
      </c>
      <c r="B3362" s="1">
        <v>45798</v>
      </c>
      <c r="C3362">
        <v>2</v>
      </c>
      <c r="D3362">
        <v>0.08</v>
      </c>
      <c r="E3362" t="s">
        <v>6</v>
      </c>
      <c r="F3362">
        <v>0.10504000000000001</v>
      </c>
    </row>
    <row r="3363" spans="1:6" x14ac:dyDescent="0.3">
      <c r="A3363" t="s">
        <v>5</v>
      </c>
      <c r="B3363" s="1">
        <v>45798</v>
      </c>
      <c r="C3363">
        <v>3</v>
      </c>
      <c r="D3363">
        <v>0.1</v>
      </c>
      <c r="E3363" t="s">
        <v>6</v>
      </c>
      <c r="F3363">
        <v>0.10525</v>
      </c>
    </row>
    <row r="3364" spans="1:6" x14ac:dyDescent="0.3">
      <c r="A3364" t="s">
        <v>5</v>
      </c>
      <c r="B3364" s="1">
        <v>45798</v>
      </c>
      <c r="C3364">
        <v>4</v>
      </c>
      <c r="D3364">
        <v>7.2999999999999995E-2</v>
      </c>
      <c r="E3364" t="s">
        <v>6</v>
      </c>
      <c r="F3364">
        <v>9.6860000000000002E-2</v>
      </c>
    </row>
    <row r="3365" spans="1:6" x14ac:dyDescent="0.3">
      <c r="A3365" t="s">
        <v>5</v>
      </c>
      <c r="B3365" s="1">
        <v>45798</v>
      </c>
      <c r="C3365">
        <v>5</v>
      </c>
      <c r="D3365">
        <v>9.9000000000000005E-2</v>
      </c>
      <c r="E3365" t="s">
        <v>6</v>
      </c>
      <c r="F3365">
        <v>0.10088</v>
      </c>
    </row>
    <row r="3366" spans="1:6" x14ac:dyDescent="0.3">
      <c r="A3366" t="s">
        <v>5</v>
      </c>
      <c r="B3366" s="1">
        <v>45798</v>
      </c>
      <c r="C3366">
        <v>6</v>
      </c>
      <c r="D3366">
        <v>7.1999999999999995E-2</v>
      </c>
      <c r="E3366" t="s">
        <v>6</v>
      </c>
      <c r="F3366">
        <v>0.10333000000000001</v>
      </c>
    </row>
    <row r="3367" spans="1:6" x14ac:dyDescent="0.3">
      <c r="A3367" t="s">
        <v>5</v>
      </c>
      <c r="B3367" s="1">
        <v>45798</v>
      </c>
      <c r="C3367">
        <v>7</v>
      </c>
      <c r="D3367">
        <v>9.8000000000000004E-2</v>
      </c>
      <c r="E3367" t="s">
        <v>6</v>
      </c>
      <c r="F3367">
        <v>0.10674</v>
      </c>
    </row>
    <row r="3368" spans="1:6" x14ac:dyDescent="0.3">
      <c r="A3368" t="s">
        <v>5</v>
      </c>
      <c r="B3368" s="1">
        <v>45798</v>
      </c>
      <c r="C3368">
        <v>8</v>
      </c>
      <c r="D3368">
        <v>0.17599999999999999</v>
      </c>
      <c r="E3368" t="s">
        <v>6</v>
      </c>
      <c r="F3368">
        <v>0.12565999999999999</v>
      </c>
    </row>
    <row r="3369" spans="1:6" x14ac:dyDescent="0.3">
      <c r="A3369" t="s">
        <v>5</v>
      </c>
      <c r="B3369" s="1">
        <v>45798</v>
      </c>
      <c r="C3369">
        <v>9</v>
      </c>
      <c r="D3369">
        <v>0.127</v>
      </c>
      <c r="E3369" t="s">
        <v>6</v>
      </c>
      <c r="F3369">
        <v>0.12551999999999999</v>
      </c>
    </row>
    <row r="3370" spans="1:6" x14ac:dyDescent="0.3">
      <c r="A3370" t="s">
        <v>5</v>
      </c>
      <c r="B3370" s="1">
        <v>45798</v>
      </c>
      <c r="C3370">
        <v>10</v>
      </c>
      <c r="D3370">
        <v>7.0000000000000007E-2</v>
      </c>
      <c r="E3370" t="s">
        <v>6</v>
      </c>
      <c r="F3370">
        <v>9.9659999999999999E-2</v>
      </c>
    </row>
    <row r="3371" spans="1:6" x14ac:dyDescent="0.3">
      <c r="A3371" t="s">
        <v>5</v>
      </c>
      <c r="B3371" s="1">
        <v>45798</v>
      </c>
      <c r="C3371">
        <v>11</v>
      </c>
      <c r="D3371">
        <v>0.112</v>
      </c>
      <c r="E3371" t="s">
        <v>6</v>
      </c>
      <c r="F3371">
        <v>0.15471000000000001</v>
      </c>
    </row>
    <row r="3372" spans="1:6" x14ac:dyDescent="0.3">
      <c r="A3372" t="s">
        <v>5</v>
      </c>
      <c r="B3372" s="1">
        <v>45798</v>
      </c>
      <c r="C3372">
        <v>12</v>
      </c>
      <c r="D3372">
        <v>0.123</v>
      </c>
      <c r="E3372" t="s">
        <v>6</v>
      </c>
      <c r="F3372">
        <v>0.15446000000000001</v>
      </c>
    </row>
    <row r="3373" spans="1:6" x14ac:dyDescent="0.3">
      <c r="A3373" t="s">
        <v>5</v>
      </c>
      <c r="B3373" s="1">
        <v>45798</v>
      </c>
      <c r="C3373">
        <v>13</v>
      </c>
      <c r="D3373">
        <v>9.6000000000000002E-2</v>
      </c>
      <c r="E3373" t="s">
        <v>6</v>
      </c>
      <c r="F3373">
        <v>0.15430000000000002</v>
      </c>
    </row>
    <row r="3374" spans="1:6" x14ac:dyDescent="0.3">
      <c r="A3374" t="s">
        <v>5</v>
      </c>
      <c r="B3374" s="1">
        <v>45798</v>
      </c>
      <c r="C3374">
        <v>14</v>
      </c>
      <c r="D3374">
        <v>0.27200000000000002</v>
      </c>
      <c r="E3374" t="s">
        <v>6</v>
      </c>
      <c r="F3374">
        <v>0.15117</v>
      </c>
    </row>
    <row r="3375" spans="1:6" x14ac:dyDescent="0.3">
      <c r="A3375" t="s">
        <v>5</v>
      </c>
      <c r="B3375" s="1">
        <v>45798</v>
      </c>
      <c r="C3375">
        <v>15</v>
      </c>
      <c r="D3375">
        <v>0.23</v>
      </c>
      <c r="E3375" t="s">
        <v>6</v>
      </c>
      <c r="F3375">
        <v>8.7169999999999997E-2</v>
      </c>
    </row>
    <row r="3376" spans="1:6" x14ac:dyDescent="0.3">
      <c r="A3376" t="s">
        <v>5</v>
      </c>
      <c r="B3376" s="1">
        <v>45798</v>
      </c>
      <c r="C3376">
        <v>16</v>
      </c>
      <c r="D3376">
        <v>0.25</v>
      </c>
      <c r="E3376" t="s">
        <v>6</v>
      </c>
      <c r="F3376">
        <v>8.831E-2</v>
      </c>
    </row>
    <row r="3377" spans="1:6" x14ac:dyDescent="0.3">
      <c r="A3377" t="s">
        <v>5</v>
      </c>
      <c r="B3377" s="1">
        <v>45798</v>
      </c>
      <c r="C3377">
        <v>17</v>
      </c>
      <c r="D3377">
        <v>9.7000000000000003E-2</v>
      </c>
      <c r="E3377" t="s">
        <v>6</v>
      </c>
      <c r="F3377">
        <v>8.856E-2</v>
      </c>
    </row>
    <row r="3378" spans="1:6" x14ac:dyDescent="0.3">
      <c r="A3378" t="s">
        <v>5</v>
      </c>
      <c r="B3378" s="1">
        <v>45798</v>
      </c>
      <c r="C3378">
        <v>18</v>
      </c>
      <c r="D3378">
        <v>0.218</v>
      </c>
      <c r="E3378" t="s">
        <v>6</v>
      </c>
      <c r="F3378">
        <v>8.9560000000000001E-2</v>
      </c>
    </row>
    <row r="3379" spans="1:6" x14ac:dyDescent="0.3">
      <c r="A3379" t="s">
        <v>5</v>
      </c>
      <c r="B3379" s="1">
        <v>45798</v>
      </c>
      <c r="C3379">
        <v>19</v>
      </c>
      <c r="D3379">
        <v>0.21199999999999999</v>
      </c>
      <c r="E3379" t="s">
        <v>6</v>
      </c>
      <c r="F3379">
        <v>0.15684000000000001</v>
      </c>
    </row>
    <row r="3380" spans="1:6" x14ac:dyDescent="0.3">
      <c r="A3380" t="s">
        <v>5</v>
      </c>
      <c r="B3380" s="1">
        <v>45798</v>
      </c>
      <c r="C3380">
        <v>20</v>
      </c>
      <c r="D3380">
        <v>0.24299999999999999</v>
      </c>
      <c r="E3380" t="s">
        <v>6</v>
      </c>
      <c r="F3380">
        <v>0.16233</v>
      </c>
    </row>
    <row r="3381" spans="1:6" x14ac:dyDescent="0.3">
      <c r="A3381" t="s">
        <v>5</v>
      </c>
      <c r="B3381" s="1">
        <v>45798</v>
      </c>
      <c r="C3381">
        <v>21</v>
      </c>
      <c r="D3381">
        <v>1.8260000000000001</v>
      </c>
      <c r="E3381" t="s">
        <v>6</v>
      </c>
      <c r="F3381">
        <v>0.19240000000000002</v>
      </c>
    </row>
    <row r="3382" spans="1:6" x14ac:dyDescent="0.3">
      <c r="A3382" t="s">
        <v>5</v>
      </c>
      <c r="B3382" s="1">
        <v>45798</v>
      </c>
      <c r="C3382">
        <v>22</v>
      </c>
      <c r="D3382">
        <v>0.80100000000000005</v>
      </c>
      <c r="E3382" t="s">
        <v>6</v>
      </c>
      <c r="F3382">
        <v>0.22196000000000002</v>
      </c>
    </row>
    <row r="3383" spans="1:6" x14ac:dyDescent="0.3">
      <c r="A3383" t="s">
        <v>5</v>
      </c>
      <c r="B3383" s="1">
        <v>45798</v>
      </c>
      <c r="C3383">
        <v>23</v>
      </c>
      <c r="D3383">
        <v>0.52</v>
      </c>
      <c r="E3383" t="s">
        <v>6</v>
      </c>
      <c r="F3383">
        <v>0.13131000000000001</v>
      </c>
    </row>
    <row r="3384" spans="1:6" x14ac:dyDescent="0.3">
      <c r="A3384" t="s">
        <v>5</v>
      </c>
      <c r="B3384" s="1">
        <v>45798</v>
      </c>
      <c r="C3384">
        <v>24</v>
      </c>
      <c r="D3384">
        <v>0.315</v>
      </c>
      <c r="E3384" t="s">
        <v>6</v>
      </c>
      <c r="F3384">
        <v>0.11896</v>
      </c>
    </row>
    <row r="3385" spans="1:6" x14ac:dyDescent="0.3">
      <c r="A3385" t="s">
        <v>5</v>
      </c>
      <c r="B3385" s="1">
        <v>45799</v>
      </c>
      <c r="C3385">
        <v>1</v>
      </c>
      <c r="D3385">
        <v>0.27900000000000003</v>
      </c>
      <c r="E3385" t="s">
        <v>6</v>
      </c>
      <c r="F3385">
        <v>9.4439999999999996E-2</v>
      </c>
    </row>
    <row r="3386" spans="1:6" x14ac:dyDescent="0.3">
      <c r="A3386" t="s">
        <v>5</v>
      </c>
      <c r="B3386" s="1">
        <v>45799</v>
      </c>
      <c r="C3386">
        <v>2</v>
      </c>
      <c r="D3386">
        <v>0.123</v>
      </c>
      <c r="E3386" t="s">
        <v>6</v>
      </c>
      <c r="F3386">
        <v>9.5620000000000011E-2</v>
      </c>
    </row>
    <row r="3387" spans="1:6" x14ac:dyDescent="0.3">
      <c r="A3387" t="s">
        <v>5</v>
      </c>
      <c r="B3387" s="1">
        <v>45799</v>
      </c>
      <c r="C3387">
        <v>3</v>
      </c>
      <c r="D3387">
        <v>0.13300000000000001</v>
      </c>
      <c r="E3387" t="s">
        <v>6</v>
      </c>
      <c r="F3387">
        <v>9.2909999999999993E-2</v>
      </c>
    </row>
    <row r="3388" spans="1:6" x14ac:dyDescent="0.3">
      <c r="A3388" t="s">
        <v>5</v>
      </c>
      <c r="B3388" s="1">
        <v>45799</v>
      </c>
      <c r="C3388">
        <v>4</v>
      </c>
      <c r="D3388">
        <v>8.3000000000000004E-2</v>
      </c>
      <c r="E3388" t="s">
        <v>6</v>
      </c>
      <c r="F3388">
        <v>8.7999999999999995E-2</v>
      </c>
    </row>
    <row r="3389" spans="1:6" x14ac:dyDescent="0.3">
      <c r="A3389" t="s">
        <v>5</v>
      </c>
      <c r="B3389" s="1">
        <v>45799</v>
      </c>
      <c r="C3389">
        <v>5</v>
      </c>
      <c r="D3389">
        <v>0.105</v>
      </c>
      <c r="E3389" t="s">
        <v>6</v>
      </c>
      <c r="F3389">
        <v>8.8090000000000002E-2</v>
      </c>
    </row>
    <row r="3390" spans="1:6" x14ac:dyDescent="0.3">
      <c r="A3390" t="s">
        <v>5</v>
      </c>
      <c r="B3390" s="1">
        <v>45799</v>
      </c>
      <c r="C3390">
        <v>6</v>
      </c>
      <c r="D3390">
        <v>7.6999999999999999E-2</v>
      </c>
      <c r="E3390" t="s">
        <v>6</v>
      </c>
      <c r="F3390">
        <v>8.6540000000000006E-2</v>
      </c>
    </row>
    <row r="3391" spans="1:6" x14ac:dyDescent="0.3">
      <c r="A3391" t="s">
        <v>5</v>
      </c>
      <c r="B3391" s="1">
        <v>45799</v>
      </c>
      <c r="C3391">
        <v>7</v>
      </c>
      <c r="D3391">
        <v>9.8000000000000004E-2</v>
      </c>
      <c r="E3391" t="s">
        <v>6</v>
      </c>
      <c r="F3391">
        <v>8.5669999999999996E-2</v>
      </c>
    </row>
    <row r="3392" spans="1:6" x14ac:dyDescent="0.3">
      <c r="A3392" t="s">
        <v>5</v>
      </c>
      <c r="B3392" s="1">
        <v>45799</v>
      </c>
      <c r="C3392">
        <v>8</v>
      </c>
      <c r="D3392">
        <v>0.09</v>
      </c>
      <c r="E3392" t="s">
        <v>6</v>
      </c>
      <c r="F3392">
        <v>8.8459999999999997E-2</v>
      </c>
    </row>
    <row r="3393" spans="1:6" x14ac:dyDescent="0.3">
      <c r="A3393" t="s">
        <v>5</v>
      </c>
      <c r="B3393" s="1">
        <v>45799</v>
      </c>
      <c r="C3393">
        <v>9</v>
      </c>
      <c r="D3393">
        <v>0.11</v>
      </c>
      <c r="E3393" t="s">
        <v>6</v>
      </c>
      <c r="F3393">
        <v>0.10256</v>
      </c>
    </row>
    <row r="3394" spans="1:6" x14ac:dyDescent="0.3">
      <c r="A3394" t="s">
        <v>5</v>
      </c>
      <c r="B3394" s="1">
        <v>45799</v>
      </c>
      <c r="C3394">
        <v>10</v>
      </c>
      <c r="D3394">
        <v>0.10199999999999999</v>
      </c>
      <c r="E3394" t="s">
        <v>6</v>
      </c>
      <c r="F3394">
        <v>9.887E-2</v>
      </c>
    </row>
    <row r="3395" spans="1:6" x14ac:dyDescent="0.3">
      <c r="A3395" t="s">
        <v>5</v>
      </c>
      <c r="B3395" s="1">
        <v>45799</v>
      </c>
      <c r="C3395">
        <v>11</v>
      </c>
      <c r="D3395">
        <v>0.17</v>
      </c>
      <c r="E3395" t="s">
        <v>6</v>
      </c>
      <c r="F3395">
        <v>0.16372999999999999</v>
      </c>
    </row>
    <row r="3396" spans="1:6" x14ac:dyDescent="0.3">
      <c r="A3396" t="s">
        <v>5</v>
      </c>
      <c r="B3396" s="1">
        <v>45799</v>
      </c>
      <c r="C3396">
        <v>12</v>
      </c>
      <c r="D3396">
        <v>0.189</v>
      </c>
      <c r="E3396" t="s">
        <v>6</v>
      </c>
      <c r="F3396">
        <v>0.1608</v>
      </c>
    </row>
    <row r="3397" spans="1:6" x14ac:dyDescent="0.3">
      <c r="A3397" t="s">
        <v>5</v>
      </c>
      <c r="B3397" s="1">
        <v>45799</v>
      </c>
      <c r="C3397">
        <v>13</v>
      </c>
      <c r="D3397">
        <v>0.161</v>
      </c>
      <c r="E3397" t="s">
        <v>6</v>
      </c>
      <c r="F3397">
        <v>0.15987999999999999</v>
      </c>
    </row>
    <row r="3398" spans="1:6" x14ac:dyDescent="0.3">
      <c r="A3398" t="s">
        <v>5</v>
      </c>
      <c r="B3398" s="1">
        <v>45799</v>
      </c>
      <c r="C3398">
        <v>14</v>
      </c>
      <c r="D3398">
        <v>0.13700000000000001</v>
      </c>
      <c r="E3398" t="s">
        <v>6</v>
      </c>
      <c r="F3398">
        <v>0.15681999999999999</v>
      </c>
    </row>
    <row r="3399" spans="1:6" x14ac:dyDescent="0.3">
      <c r="A3399" t="s">
        <v>5</v>
      </c>
      <c r="B3399" s="1">
        <v>45799</v>
      </c>
      <c r="C3399">
        <v>15</v>
      </c>
      <c r="D3399">
        <v>0.23100000000000001</v>
      </c>
      <c r="E3399" t="s">
        <v>6</v>
      </c>
      <c r="F3399">
        <v>9.3060000000000004E-2</v>
      </c>
    </row>
    <row r="3400" spans="1:6" x14ac:dyDescent="0.3">
      <c r="A3400" t="s">
        <v>5</v>
      </c>
      <c r="B3400" s="1">
        <v>45799</v>
      </c>
      <c r="C3400">
        <v>16</v>
      </c>
      <c r="D3400">
        <v>1.161</v>
      </c>
      <c r="E3400" t="s">
        <v>6</v>
      </c>
      <c r="F3400">
        <v>9.4040000000000012E-2</v>
      </c>
    </row>
    <row r="3401" spans="1:6" x14ac:dyDescent="0.3">
      <c r="A3401" t="s">
        <v>5</v>
      </c>
      <c r="B3401" s="1">
        <v>45799</v>
      </c>
      <c r="C3401">
        <v>17</v>
      </c>
      <c r="D3401">
        <v>0.69199999999999995</v>
      </c>
      <c r="E3401" t="s">
        <v>6</v>
      </c>
      <c r="F3401">
        <v>9.4900000000000012E-2</v>
      </c>
    </row>
    <row r="3402" spans="1:6" x14ac:dyDescent="0.3">
      <c r="A3402" t="s">
        <v>5</v>
      </c>
      <c r="B3402" s="1">
        <v>45799</v>
      </c>
      <c r="C3402">
        <v>18</v>
      </c>
      <c r="D3402">
        <v>0.439</v>
      </c>
      <c r="E3402" t="s">
        <v>6</v>
      </c>
      <c r="F3402">
        <v>9.5069999999999988E-2</v>
      </c>
    </row>
    <row r="3403" spans="1:6" x14ac:dyDescent="0.3">
      <c r="A3403" t="s">
        <v>5</v>
      </c>
      <c r="B3403" s="1">
        <v>45799</v>
      </c>
      <c r="C3403">
        <v>19</v>
      </c>
      <c r="D3403">
        <v>0.22800000000000001</v>
      </c>
      <c r="E3403" t="s">
        <v>6</v>
      </c>
      <c r="F3403">
        <v>0.16381000000000001</v>
      </c>
    </row>
    <row r="3404" spans="1:6" x14ac:dyDescent="0.3">
      <c r="A3404" t="s">
        <v>5</v>
      </c>
      <c r="B3404" s="1">
        <v>45799</v>
      </c>
      <c r="C3404">
        <v>20</v>
      </c>
      <c r="D3404">
        <v>0.16300000000000001</v>
      </c>
      <c r="E3404" t="s">
        <v>6</v>
      </c>
      <c r="F3404">
        <v>0.16652</v>
      </c>
    </row>
    <row r="3405" spans="1:6" x14ac:dyDescent="0.3">
      <c r="A3405" t="s">
        <v>5</v>
      </c>
      <c r="B3405" s="1">
        <v>45799</v>
      </c>
      <c r="C3405">
        <v>21</v>
      </c>
      <c r="D3405">
        <v>0.21</v>
      </c>
      <c r="E3405" t="s">
        <v>6</v>
      </c>
      <c r="F3405">
        <v>0.16894999999999999</v>
      </c>
    </row>
    <row r="3406" spans="1:6" x14ac:dyDescent="0.3">
      <c r="A3406" t="s">
        <v>5</v>
      </c>
      <c r="B3406" s="1">
        <v>45799</v>
      </c>
      <c r="C3406">
        <v>22</v>
      </c>
      <c r="D3406">
        <v>0.30599999999999999</v>
      </c>
      <c r="E3406" t="s">
        <v>6</v>
      </c>
      <c r="F3406">
        <v>0.18643999999999999</v>
      </c>
    </row>
    <row r="3407" spans="1:6" x14ac:dyDescent="0.3">
      <c r="A3407" t="s">
        <v>5</v>
      </c>
      <c r="B3407" s="1">
        <v>45799</v>
      </c>
      <c r="C3407">
        <v>23</v>
      </c>
      <c r="D3407">
        <v>0.55900000000000005</v>
      </c>
      <c r="E3407" t="s">
        <v>6</v>
      </c>
      <c r="F3407">
        <v>0.11233</v>
      </c>
    </row>
    <row r="3408" spans="1:6" x14ac:dyDescent="0.3">
      <c r="A3408" t="s">
        <v>5</v>
      </c>
      <c r="B3408" s="1">
        <v>45799</v>
      </c>
      <c r="C3408">
        <v>24</v>
      </c>
      <c r="D3408">
        <v>0.40799999999999997</v>
      </c>
      <c r="E3408" t="s">
        <v>6</v>
      </c>
      <c r="F3408">
        <v>0.10685</v>
      </c>
    </row>
    <row r="3409" spans="1:6" x14ac:dyDescent="0.3">
      <c r="A3409" t="s">
        <v>5</v>
      </c>
      <c r="B3409" s="1">
        <v>45800</v>
      </c>
      <c r="C3409">
        <v>1</v>
      </c>
      <c r="D3409">
        <v>0.35199999999999998</v>
      </c>
      <c r="E3409" t="s">
        <v>6</v>
      </c>
      <c r="F3409">
        <v>8.7440000000000004E-2</v>
      </c>
    </row>
    <row r="3410" spans="1:6" x14ac:dyDescent="0.3">
      <c r="A3410" t="s">
        <v>5</v>
      </c>
      <c r="B3410" s="1">
        <v>45800</v>
      </c>
      <c r="C3410">
        <v>2</v>
      </c>
      <c r="D3410">
        <v>0.30599999999999999</v>
      </c>
      <c r="E3410" t="s">
        <v>6</v>
      </c>
      <c r="F3410">
        <v>8.8430000000000009E-2</v>
      </c>
    </row>
    <row r="3411" spans="1:6" x14ac:dyDescent="0.3">
      <c r="A3411" t="s">
        <v>5</v>
      </c>
      <c r="B3411" s="1">
        <v>45800</v>
      </c>
      <c r="C3411">
        <v>3</v>
      </c>
      <c r="D3411">
        <v>0.16500000000000001</v>
      </c>
      <c r="E3411" t="s">
        <v>6</v>
      </c>
      <c r="F3411">
        <v>9.1739999999999988E-2</v>
      </c>
    </row>
    <row r="3412" spans="1:6" x14ac:dyDescent="0.3">
      <c r="A3412" t="s">
        <v>5</v>
      </c>
      <c r="B3412" s="1">
        <v>45800</v>
      </c>
      <c r="C3412">
        <v>4</v>
      </c>
      <c r="D3412">
        <v>0.17499999999999999</v>
      </c>
      <c r="E3412" t="s">
        <v>6</v>
      </c>
      <c r="F3412">
        <v>8.5419999999999996E-2</v>
      </c>
    </row>
    <row r="3413" spans="1:6" x14ac:dyDescent="0.3">
      <c r="A3413" t="s">
        <v>5</v>
      </c>
      <c r="B3413" s="1">
        <v>45800</v>
      </c>
      <c r="C3413">
        <v>5</v>
      </c>
      <c r="D3413">
        <v>0.14499999999999999</v>
      </c>
      <c r="E3413" t="s">
        <v>6</v>
      </c>
      <c r="F3413">
        <v>8.6110000000000006E-2</v>
      </c>
    </row>
    <row r="3414" spans="1:6" x14ac:dyDescent="0.3">
      <c r="A3414" t="s">
        <v>5</v>
      </c>
      <c r="B3414" s="1">
        <v>45800</v>
      </c>
      <c r="C3414">
        <v>6</v>
      </c>
      <c r="D3414">
        <v>0.17</v>
      </c>
      <c r="E3414" t="s">
        <v>6</v>
      </c>
      <c r="F3414">
        <v>8.4680000000000005E-2</v>
      </c>
    </row>
    <row r="3415" spans="1:6" x14ac:dyDescent="0.3">
      <c r="A3415" t="s">
        <v>5</v>
      </c>
      <c r="B3415" s="1">
        <v>45800</v>
      </c>
      <c r="C3415">
        <v>7</v>
      </c>
      <c r="D3415">
        <v>0.156</v>
      </c>
      <c r="E3415" t="s">
        <v>6</v>
      </c>
      <c r="F3415">
        <v>8.5300000000000001E-2</v>
      </c>
    </row>
    <row r="3416" spans="1:6" x14ac:dyDescent="0.3">
      <c r="A3416" t="s">
        <v>5</v>
      </c>
      <c r="B3416" s="1">
        <v>45800</v>
      </c>
      <c r="C3416">
        <v>8</v>
      </c>
      <c r="D3416">
        <v>0.23300000000000001</v>
      </c>
      <c r="E3416" t="s">
        <v>6</v>
      </c>
      <c r="F3416">
        <v>8.7779999999999997E-2</v>
      </c>
    </row>
    <row r="3417" spans="1:6" x14ac:dyDescent="0.3">
      <c r="A3417" t="s">
        <v>5</v>
      </c>
      <c r="B3417" s="1">
        <v>45800</v>
      </c>
      <c r="C3417">
        <v>9</v>
      </c>
      <c r="D3417">
        <v>0.159</v>
      </c>
      <c r="E3417" t="s">
        <v>6</v>
      </c>
      <c r="F3417">
        <v>0.10399</v>
      </c>
    </row>
    <row r="3418" spans="1:6" x14ac:dyDescent="0.3">
      <c r="A3418" t="s">
        <v>5</v>
      </c>
      <c r="B3418" s="1">
        <v>45800</v>
      </c>
      <c r="C3418">
        <v>10</v>
      </c>
      <c r="D3418">
        <v>0.104</v>
      </c>
      <c r="E3418" t="s">
        <v>6</v>
      </c>
      <c r="F3418">
        <v>9.8909999999999998E-2</v>
      </c>
    </row>
    <row r="3419" spans="1:6" x14ac:dyDescent="0.3">
      <c r="A3419" t="s">
        <v>5</v>
      </c>
      <c r="B3419" s="1">
        <v>45800</v>
      </c>
      <c r="C3419">
        <v>11</v>
      </c>
      <c r="D3419">
        <v>0.14000000000000001</v>
      </c>
      <c r="E3419" t="s">
        <v>6</v>
      </c>
      <c r="F3419">
        <v>0.16263999999999998</v>
      </c>
    </row>
    <row r="3420" spans="1:6" x14ac:dyDescent="0.3">
      <c r="A3420" t="s">
        <v>5</v>
      </c>
      <c r="B3420" s="1">
        <v>45800</v>
      </c>
      <c r="C3420">
        <v>12</v>
      </c>
      <c r="D3420">
        <v>7.3999999999999996E-2</v>
      </c>
      <c r="E3420" t="s">
        <v>6</v>
      </c>
      <c r="F3420">
        <v>0.16215000000000002</v>
      </c>
    </row>
    <row r="3421" spans="1:6" x14ac:dyDescent="0.3">
      <c r="A3421" t="s">
        <v>5</v>
      </c>
      <c r="B3421" s="1">
        <v>45800</v>
      </c>
      <c r="C3421">
        <v>13</v>
      </c>
      <c r="D3421">
        <v>8.6999999999999994E-2</v>
      </c>
      <c r="E3421" t="s">
        <v>6</v>
      </c>
      <c r="F3421">
        <v>0.16183</v>
      </c>
    </row>
    <row r="3422" spans="1:6" x14ac:dyDescent="0.3">
      <c r="A3422" t="s">
        <v>5</v>
      </c>
      <c r="B3422" s="1">
        <v>45800</v>
      </c>
      <c r="C3422">
        <v>14</v>
      </c>
      <c r="D3422">
        <v>8.5999999999999993E-2</v>
      </c>
      <c r="E3422" t="s">
        <v>6</v>
      </c>
      <c r="F3422">
        <v>0.15930000000000002</v>
      </c>
    </row>
    <row r="3423" spans="1:6" x14ac:dyDescent="0.3">
      <c r="A3423" t="s">
        <v>5</v>
      </c>
      <c r="B3423" s="1">
        <v>45800</v>
      </c>
      <c r="C3423">
        <v>15</v>
      </c>
      <c r="D3423">
        <v>0.64200000000000002</v>
      </c>
      <c r="E3423" t="s">
        <v>6</v>
      </c>
      <c r="F3423">
        <v>9.5209999999999989E-2</v>
      </c>
    </row>
    <row r="3424" spans="1:6" x14ac:dyDescent="0.3">
      <c r="A3424" t="s">
        <v>5</v>
      </c>
      <c r="B3424" s="1">
        <v>45800</v>
      </c>
      <c r="C3424">
        <v>16</v>
      </c>
      <c r="D3424">
        <v>0.57799999999999996</v>
      </c>
      <c r="E3424" t="s">
        <v>6</v>
      </c>
      <c r="F3424">
        <v>9.4829999999999998E-2</v>
      </c>
    </row>
    <row r="3425" spans="1:6" x14ac:dyDescent="0.3">
      <c r="A3425" t="s">
        <v>5</v>
      </c>
      <c r="B3425" s="1">
        <v>45800</v>
      </c>
      <c r="C3425">
        <v>17</v>
      </c>
      <c r="D3425">
        <v>0.14099999999999999</v>
      </c>
      <c r="E3425" t="s">
        <v>6</v>
      </c>
      <c r="F3425">
        <v>9.623000000000001E-2</v>
      </c>
    </row>
    <row r="3426" spans="1:6" x14ac:dyDescent="0.3">
      <c r="A3426" t="s">
        <v>5</v>
      </c>
      <c r="B3426" s="1">
        <v>45800</v>
      </c>
      <c r="C3426">
        <v>18</v>
      </c>
      <c r="D3426">
        <v>0.11600000000000001</v>
      </c>
      <c r="E3426" t="s">
        <v>6</v>
      </c>
      <c r="F3426">
        <v>9.6549999999999997E-2</v>
      </c>
    </row>
    <row r="3427" spans="1:6" x14ac:dyDescent="0.3">
      <c r="A3427" t="s">
        <v>5</v>
      </c>
      <c r="B3427" s="1">
        <v>45800</v>
      </c>
      <c r="C3427">
        <v>19</v>
      </c>
      <c r="D3427">
        <v>7.6999999999999999E-2</v>
      </c>
      <c r="E3427" t="s">
        <v>6</v>
      </c>
      <c r="F3427">
        <v>0.16372</v>
      </c>
    </row>
    <row r="3428" spans="1:6" x14ac:dyDescent="0.3">
      <c r="A3428" t="s">
        <v>5</v>
      </c>
      <c r="B3428" s="1">
        <v>45800</v>
      </c>
      <c r="C3428">
        <v>20</v>
      </c>
      <c r="D3428">
        <v>6.9000000000000006E-2</v>
      </c>
      <c r="E3428" t="s">
        <v>6</v>
      </c>
      <c r="F3428">
        <v>0.16469999999999999</v>
      </c>
    </row>
    <row r="3429" spans="1:6" x14ac:dyDescent="0.3">
      <c r="A3429" t="s">
        <v>5</v>
      </c>
      <c r="B3429" s="1">
        <v>45800</v>
      </c>
      <c r="C3429">
        <v>21</v>
      </c>
      <c r="D3429">
        <v>8.7999999999999995E-2</v>
      </c>
      <c r="E3429" t="s">
        <v>6</v>
      </c>
      <c r="F3429">
        <v>0.17104</v>
      </c>
    </row>
    <row r="3430" spans="1:6" x14ac:dyDescent="0.3">
      <c r="A3430" t="s">
        <v>5</v>
      </c>
      <c r="B3430" s="1">
        <v>45800</v>
      </c>
      <c r="C3430">
        <v>22</v>
      </c>
      <c r="D3430">
        <v>0.08</v>
      </c>
      <c r="E3430" t="s">
        <v>6</v>
      </c>
      <c r="F3430">
        <v>0.19306000000000001</v>
      </c>
    </row>
    <row r="3431" spans="1:6" x14ac:dyDescent="0.3">
      <c r="A3431" t="s">
        <v>5</v>
      </c>
      <c r="B3431" s="1">
        <v>45800</v>
      </c>
      <c r="C3431">
        <v>23</v>
      </c>
      <c r="D3431">
        <v>8.1000000000000003E-2</v>
      </c>
      <c r="E3431" t="s">
        <v>6</v>
      </c>
      <c r="F3431">
        <v>0.11685</v>
      </c>
    </row>
    <row r="3432" spans="1:6" x14ac:dyDescent="0.3">
      <c r="A3432" t="s">
        <v>5</v>
      </c>
      <c r="B3432" s="1">
        <v>45800</v>
      </c>
      <c r="C3432">
        <v>24</v>
      </c>
      <c r="D3432">
        <v>8.5000000000000006E-2</v>
      </c>
      <c r="E3432" t="s">
        <v>6</v>
      </c>
      <c r="F3432">
        <v>0.11359999999999999</v>
      </c>
    </row>
    <row r="3433" spans="1:6" x14ac:dyDescent="0.3">
      <c r="A3433" t="s">
        <v>5</v>
      </c>
      <c r="B3433" s="1">
        <v>45801</v>
      </c>
      <c r="C3433">
        <v>1</v>
      </c>
      <c r="D3433">
        <v>6.5000000000000002E-2</v>
      </c>
      <c r="E3433" t="s">
        <v>6</v>
      </c>
      <c r="F3433">
        <v>9.1189999999999993E-2</v>
      </c>
    </row>
    <row r="3434" spans="1:6" x14ac:dyDescent="0.3">
      <c r="A3434" t="s">
        <v>5</v>
      </c>
      <c r="B3434" s="1">
        <v>45801</v>
      </c>
      <c r="C3434">
        <v>2</v>
      </c>
      <c r="D3434">
        <v>8.1000000000000003E-2</v>
      </c>
      <c r="E3434" t="s">
        <v>6</v>
      </c>
      <c r="F3434">
        <v>9.1689999999999994E-2</v>
      </c>
    </row>
    <row r="3435" spans="1:6" x14ac:dyDescent="0.3">
      <c r="A3435" t="s">
        <v>5</v>
      </c>
      <c r="B3435" s="1">
        <v>45801</v>
      </c>
      <c r="C3435">
        <v>3</v>
      </c>
      <c r="D3435">
        <v>8.5999999999999993E-2</v>
      </c>
      <c r="E3435" t="s">
        <v>6</v>
      </c>
      <c r="F3435">
        <v>9.2719999999999997E-2</v>
      </c>
    </row>
    <row r="3436" spans="1:6" x14ac:dyDescent="0.3">
      <c r="A3436" t="s">
        <v>5</v>
      </c>
      <c r="B3436" s="1">
        <v>45801</v>
      </c>
      <c r="C3436">
        <v>4</v>
      </c>
      <c r="D3436">
        <v>7.1999999999999995E-2</v>
      </c>
      <c r="E3436" t="s">
        <v>6</v>
      </c>
      <c r="F3436">
        <v>8.9540000000000008E-2</v>
      </c>
    </row>
    <row r="3437" spans="1:6" x14ac:dyDescent="0.3">
      <c r="A3437" t="s">
        <v>5</v>
      </c>
      <c r="B3437" s="1">
        <v>45801</v>
      </c>
      <c r="C3437">
        <v>5</v>
      </c>
      <c r="D3437">
        <v>8.6999999999999994E-2</v>
      </c>
      <c r="E3437" t="s">
        <v>6</v>
      </c>
      <c r="F3437">
        <v>8.931E-2</v>
      </c>
    </row>
    <row r="3438" spans="1:6" x14ac:dyDescent="0.3">
      <c r="A3438" t="s">
        <v>5</v>
      </c>
      <c r="B3438" s="1">
        <v>45801</v>
      </c>
      <c r="C3438">
        <v>6</v>
      </c>
      <c r="D3438">
        <v>7.5999999999999998E-2</v>
      </c>
      <c r="E3438" t="s">
        <v>6</v>
      </c>
      <c r="F3438">
        <v>9.017E-2</v>
      </c>
    </row>
    <row r="3439" spans="1:6" x14ac:dyDescent="0.3">
      <c r="A3439" t="s">
        <v>5</v>
      </c>
      <c r="B3439" s="1">
        <v>45801</v>
      </c>
      <c r="C3439">
        <v>7</v>
      </c>
      <c r="D3439">
        <v>6.8000000000000005E-2</v>
      </c>
      <c r="E3439" t="s">
        <v>6</v>
      </c>
      <c r="F3439">
        <v>9.289E-2</v>
      </c>
    </row>
    <row r="3440" spans="1:6" x14ac:dyDescent="0.3">
      <c r="A3440" t="s">
        <v>5</v>
      </c>
      <c r="B3440" s="1">
        <v>45801</v>
      </c>
      <c r="C3440">
        <v>8</v>
      </c>
      <c r="D3440">
        <v>8.5999999999999993E-2</v>
      </c>
      <c r="E3440" t="s">
        <v>6</v>
      </c>
      <c r="F3440">
        <v>8.5550000000000001E-2</v>
      </c>
    </row>
    <row r="3441" spans="1:6" x14ac:dyDescent="0.3">
      <c r="A3441" t="s">
        <v>5</v>
      </c>
      <c r="B3441" s="1">
        <v>45801</v>
      </c>
      <c r="C3441">
        <v>9</v>
      </c>
      <c r="D3441">
        <v>0.08</v>
      </c>
      <c r="E3441" t="s">
        <v>6</v>
      </c>
      <c r="F3441">
        <v>7.8810000000000005E-2</v>
      </c>
    </row>
    <row r="3442" spans="1:6" x14ac:dyDescent="0.3">
      <c r="A3442" t="s">
        <v>5</v>
      </c>
      <c r="B3442" s="1">
        <v>45801</v>
      </c>
      <c r="C3442">
        <v>10</v>
      </c>
      <c r="D3442">
        <v>7.8E-2</v>
      </c>
      <c r="E3442" t="s">
        <v>6</v>
      </c>
      <c r="F3442">
        <v>7.2410000000000002E-2</v>
      </c>
    </row>
    <row r="3443" spans="1:6" x14ac:dyDescent="0.3">
      <c r="A3443" t="s">
        <v>5</v>
      </c>
      <c r="B3443" s="1">
        <v>45801</v>
      </c>
      <c r="C3443">
        <v>11</v>
      </c>
      <c r="D3443">
        <v>8.5999999999999993E-2</v>
      </c>
      <c r="E3443" t="s">
        <v>6</v>
      </c>
      <c r="F3443">
        <v>6.726E-2</v>
      </c>
    </row>
    <row r="3444" spans="1:6" x14ac:dyDescent="0.3">
      <c r="A3444" t="s">
        <v>5</v>
      </c>
      <c r="B3444" s="1">
        <v>45801</v>
      </c>
      <c r="C3444">
        <v>12</v>
      </c>
      <c r="D3444">
        <v>6.4000000000000001E-2</v>
      </c>
      <c r="E3444" t="s">
        <v>6</v>
      </c>
      <c r="F3444">
        <v>6.5930000000000002E-2</v>
      </c>
    </row>
    <row r="3445" spans="1:6" x14ac:dyDescent="0.3">
      <c r="A3445" t="s">
        <v>5</v>
      </c>
      <c r="B3445" s="1">
        <v>45801</v>
      </c>
      <c r="C3445">
        <v>13</v>
      </c>
      <c r="D3445">
        <v>7.9000000000000001E-2</v>
      </c>
      <c r="E3445" t="s">
        <v>6</v>
      </c>
      <c r="F3445">
        <v>6.6709999999999992E-2</v>
      </c>
    </row>
    <row r="3446" spans="1:6" x14ac:dyDescent="0.3">
      <c r="A3446" t="s">
        <v>5</v>
      </c>
      <c r="B3446" s="1">
        <v>45801</v>
      </c>
      <c r="C3446">
        <v>14</v>
      </c>
      <c r="D3446">
        <v>8.5999999999999993E-2</v>
      </c>
      <c r="E3446" t="s">
        <v>6</v>
      </c>
      <c r="F3446">
        <v>6.615E-2</v>
      </c>
    </row>
    <row r="3447" spans="1:6" x14ac:dyDescent="0.3">
      <c r="A3447" t="s">
        <v>5</v>
      </c>
      <c r="B3447" s="1">
        <v>45801</v>
      </c>
      <c r="C3447">
        <v>15</v>
      </c>
      <c r="D3447">
        <v>7.1999999999999995E-2</v>
      </c>
      <c r="E3447" t="s">
        <v>6</v>
      </c>
      <c r="F3447">
        <v>6.6849999999999993E-2</v>
      </c>
    </row>
    <row r="3448" spans="1:6" x14ac:dyDescent="0.3">
      <c r="A3448" t="s">
        <v>5</v>
      </c>
      <c r="B3448" s="1">
        <v>45801</v>
      </c>
      <c r="C3448">
        <v>16</v>
      </c>
      <c r="D3448">
        <v>8.5999999999999993E-2</v>
      </c>
      <c r="E3448" t="s">
        <v>6</v>
      </c>
      <c r="F3448">
        <v>6.7099999999999993E-2</v>
      </c>
    </row>
    <row r="3449" spans="1:6" x14ac:dyDescent="0.3">
      <c r="A3449" t="s">
        <v>5</v>
      </c>
      <c r="B3449" s="1">
        <v>45801</v>
      </c>
      <c r="C3449">
        <v>17</v>
      </c>
      <c r="D3449">
        <v>7.2999999999999995E-2</v>
      </c>
      <c r="E3449" t="s">
        <v>6</v>
      </c>
      <c r="F3449">
        <v>6.7379999999999995E-2</v>
      </c>
    </row>
    <row r="3450" spans="1:6" x14ac:dyDescent="0.3">
      <c r="A3450" t="s">
        <v>5</v>
      </c>
      <c r="B3450" s="1">
        <v>45801</v>
      </c>
      <c r="C3450">
        <v>18</v>
      </c>
      <c r="D3450">
        <v>7.0999999999999994E-2</v>
      </c>
      <c r="E3450" t="s">
        <v>6</v>
      </c>
      <c r="F3450">
        <v>7.0709999999999995E-2</v>
      </c>
    </row>
    <row r="3451" spans="1:6" x14ac:dyDescent="0.3">
      <c r="A3451" t="s">
        <v>5</v>
      </c>
      <c r="B3451" s="1">
        <v>45801</v>
      </c>
      <c r="C3451">
        <v>19</v>
      </c>
      <c r="D3451">
        <v>8.5000000000000006E-2</v>
      </c>
      <c r="E3451" t="s">
        <v>6</v>
      </c>
      <c r="F3451">
        <v>7.109E-2</v>
      </c>
    </row>
    <row r="3452" spans="1:6" x14ac:dyDescent="0.3">
      <c r="A3452" t="s">
        <v>5</v>
      </c>
      <c r="B3452" s="1">
        <v>45801</v>
      </c>
      <c r="C3452">
        <v>20</v>
      </c>
      <c r="D3452">
        <v>7.6999999999999999E-2</v>
      </c>
      <c r="E3452" t="s">
        <v>6</v>
      </c>
      <c r="F3452">
        <v>7.3859999999999995E-2</v>
      </c>
    </row>
    <row r="3453" spans="1:6" x14ac:dyDescent="0.3">
      <c r="A3453" t="s">
        <v>5</v>
      </c>
      <c r="B3453" s="1">
        <v>45801</v>
      </c>
      <c r="C3453">
        <v>21</v>
      </c>
      <c r="D3453">
        <v>8.6999999999999994E-2</v>
      </c>
      <c r="E3453" t="s">
        <v>6</v>
      </c>
      <c r="F3453">
        <v>9.3189999999999995E-2</v>
      </c>
    </row>
    <row r="3454" spans="1:6" x14ac:dyDescent="0.3">
      <c r="A3454" t="s">
        <v>5</v>
      </c>
      <c r="B3454" s="1">
        <v>45801</v>
      </c>
      <c r="C3454">
        <v>22</v>
      </c>
      <c r="D3454">
        <v>0.29099999999999998</v>
      </c>
      <c r="E3454" t="s">
        <v>6</v>
      </c>
      <c r="F3454">
        <v>0.10759000000000001</v>
      </c>
    </row>
    <row r="3455" spans="1:6" x14ac:dyDescent="0.3">
      <c r="A3455" t="s">
        <v>5</v>
      </c>
      <c r="B3455" s="1">
        <v>45801</v>
      </c>
      <c r="C3455">
        <v>23</v>
      </c>
      <c r="D3455">
        <v>0.81499999999999995</v>
      </c>
      <c r="E3455" t="s">
        <v>6</v>
      </c>
      <c r="F3455">
        <v>0.12528</v>
      </c>
    </row>
    <row r="3456" spans="1:6" x14ac:dyDescent="0.3">
      <c r="A3456" t="s">
        <v>5</v>
      </c>
      <c r="B3456" s="1">
        <v>45801</v>
      </c>
      <c r="C3456">
        <v>24</v>
      </c>
      <c r="D3456">
        <v>0.30199999999999999</v>
      </c>
      <c r="E3456" t="s">
        <v>6</v>
      </c>
      <c r="F3456">
        <v>0.10814</v>
      </c>
    </row>
    <row r="3457" spans="1:6" x14ac:dyDescent="0.3">
      <c r="A3457" t="s">
        <v>5</v>
      </c>
      <c r="B3457" s="1">
        <v>45802</v>
      </c>
      <c r="C3457">
        <v>1</v>
      </c>
      <c r="D3457">
        <v>7.1999999999999995E-2</v>
      </c>
      <c r="E3457" t="s">
        <v>6</v>
      </c>
      <c r="F3457">
        <v>0.11059999999999999</v>
      </c>
    </row>
    <row r="3458" spans="1:6" x14ac:dyDescent="0.3">
      <c r="A3458" t="s">
        <v>5</v>
      </c>
      <c r="B3458" s="1">
        <v>45802</v>
      </c>
      <c r="C3458">
        <v>2</v>
      </c>
      <c r="D3458">
        <v>9.5000000000000001E-2</v>
      </c>
      <c r="E3458" t="s">
        <v>6</v>
      </c>
      <c r="F3458">
        <v>0.10584</v>
      </c>
    </row>
    <row r="3459" spans="1:6" x14ac:dyDescent="0.3">
      <c r="A3459" t="s">
        <v>5</v>
      </c>
      <c r="B3459" s="1">
        <v>45802</v>
      </c>
      <c r="C3459">
        <v>3</v>
      </c>
      <c r="D3459">
        <v>7.5999999999999998E-2</v>
      </c>
      <c r="E3459" t="s">
        <v>6</v>
      </c>
      <c r="F3459">
        <v>0.10729999999999999</v>
      </c>
    </row>
    <row r="3460" spans="1:6" x14ac:dyDescent="0.3">
      <c r="A3460" t="s">
        <v>5</v>
      </c>
      <c r="B3460" s="1">
        <v>45802</v>
      </c>
      <c r="C3460">
        <v>4</v>
      </c>
      <c r="D3460">
        <v>8.5000000000000006E-2</v>
      </c>
      <c r="E3460" t="s">
        <v>6</v>
      </c>
      <c r="F3460">
        <v>0.10753</v>
      </c>
    </row>
    <row r="3461" spans="1:6" x14ac:dyDescent="0.3">
      <c r="A3461" t="s">
        <v>5</v>
      </c>
      <c r="B3461" s="1">
        <v>45802</v>
      </c>
      <c r="C3461">
        <v>5</v>
      </c>
      <c r="D3461">
        <v>8.6999999999999994E-2</v>
      </c>
      <c r="E3461" t="s">
        <v>6</v>
      </c>
      <c r="F3461">
        <v>0.10790000000000001</v>
      </c>
    </row>
    <row r="3462" spans="1:6" x14ac:dyDescent="0.3">
      <c r="A3462" t="s">
        <v>5</v>
      </c>
      <c r="B3462" s="1">
        <v>45802</v>
      </c>
      <c r="C3462">
        <v>6</v>
      </c>
      <c r="D3462">
        <v>9.7000000000000003E-2</v>
      </c>
      <c r="E3462" t="s">
        <v>6</v>
      </c>
      <c r="F3462">
        <v>0.10889</v>
      </c>
    </row>
    <row r="3463" spans="1:6" x14ac:dyDescent="0.3">
      <c r="A3463" t="s">
        <v>5</v>
      </c>
      <c r="B3463" s="1">
        <v>45802</v>
      </c>
      <c r="C3463">
        <v>7</v>
      </c>
      <c r="D3463">
        <v>9.0999999999999998E-2</v>
      </c>
      <c r="E3463" t="s">
        <v>6</v>
      </c>
      <c r="F3463">
        <v>0.10548</v>
      </c>
    </row>
    <row r="3464" spans="1:6" x14ac:dyDescent="0.3">
      <c r="A3464" t="s">
        <v>5</v>
      </c>
      <c r="B3464" s="1">
        <v>45802</v>
      </c>
      <c r="C3464">
        <v>8</v>
      </c>
      <c r="D3464">
        <v>7.2999999999999995E-2</v>
      </c>
      <c r="E3464" t="s">
        <v>6</v>
      </c>
      <c r="F3464">
        <v>0.10165</v>
      </c>
    </row>
    <row r="3465" spans="1:6" x14ac:dyDescent="0.3">
      <c r="A3465" t="s">
        <v>5</v>
      </c>
      <c r="B3465" s="1">
        <v>45802</v>
      </c>
      <c r="C3465">
        <v>9</v>
      </c>
      <c r="D3465">
        <v>8.4000000000000005E-2</v>
      </c>
      <c r="E3465" t="s">
        <v>6</v>
      </c>
      <c r="F3465">
        <v>8.4750000000000006E-2</v>
      </c>
    </row>
    <row r="3466" spans="1:6" x14ac:dyDescent="0.3">
      <c r="A3466" t="s">
        <v>5</v>
      </c>
      <c r="B3466" s="1">
        <v>45802</v>
      </c>
      <c r="C3466">
        <v>10</v>
      </c>
      <c r="D3466">
        <v>8.3000000000000004E-2</v>
      </c>
      <c r="E3466" t="s">
        <v>6</v>
      </c>
      <c r="F3466">
        <v>7.6939999999999995E-2</v>
      </c>
    </row>
    <row r="3467" spans="1:6" x14ac:dyDescent="0.3">
      <c r="A3467" t="s">
        <v>5</v>
      </c>
      <c r="B3467" s="1">
        <v>45802</v>
      </c>
      <c r="C3467">
        <v>11</v>
      </c>
      <c r="D3467">
        <v>7.1999999999999995E-2</v>
      </c>
      <c r="E3467" t="s">
        <v>6</v>
      </c>
      <c r="F3467">
        <v>7.5469999999999995E-2</v>
      </c>
    </row>
    <row r="3468" spans="1:6" x14ac:dyDescent="0.3">
      <c r="A3468" t="s">
        <v>5</v>
      </c>
      <c r="B3468" s="1">
        <v>45802</v>
      </c>
      <c r="C3468">
        <v>12</v>
      </c>
      <c r="D3468">
        <v>8.8999999999999996E-2</v>
      </c>
      <c r="E3468" t="s">
        <v>6</v>
      </c>
      <c r="F3468">
        <v>7.3840000000000003E-2</v>
      </c>
    </row>
    <row r="3469" spans="1:6" x14ac:dyDescent="0.3">
      <c r="A3469" t="s">
        <v>5</v>
      </c>
      <c r="B3469" s="1">
        <v>45802</v>
      </c>
      <c r="C3469">
        <v>13</v>
      </c>
      <c r="D3469">
        <v>6.8000000000000005E-2</v>
      </c>
      <c r="E3469" t="s">
        <v>6</v>
      </c>
      <c r="F3469">
        <v>7.2719999999999993E-2</v>
      </c>
    </row>
    <row r="3470" spans="1:6" x14ac:dyDescent="0.3">
      <c r="A3470" t="s">
        <v>5</v>
      </c>
      <c r="B3470" s="1">
        <v>45802</v>
      </c>
      <c r="C3470">
        <v>14</v>
      </c>
      <c r="D3470">
        <v>0.153</v>
      </c>
      <c r="E3470" t="s">
        <v>6</v>
      </c>
      <c r="F3470">
        <v>6.6030000000000005E-2</v>
      </c>
    </row>
    <row r="3471" spans="1:6" x14ac:dyDescent="0.3">
      <c r="A3471" t="s">
        <v>5</v>
      </c>
      <c r="B3471" s="1">
        <v>45802</v>
      </c>
      <c r="C3471">
        <v>15</v>
      </c>
      <c r="D3471">
        <v>7.8E-2</v>
      </c>
      <c r="E3471" t="s">
        <v>6</v>
      </c>
      <c r="F3471">
        <v>6.608E-2</v>
      </c>
    </row>
    <row r="3472" spans="1:6" x14ac:dyDescent="0.3">
      <c r="A3472" t="s">
        <v>5</v>
      </c>
      <c r="B3472" s="1">
        <v>45802</v>
      </c>
      <c r="C3472">
        <v>16</v>
      </c>
      <c r="D3472">
        <v>0.09</v>
      </c>
      <c r="E3472" t="s">
        <v>6</v>
      </c>
      <c r="F3472">
        <v>6.9519999999999998E-2</v>
      </c>
    </row>
    <row r="3473" spans="1:6" x14ac:dyDescent="0.3">
      <c r="A3473" t="s">
        <v>5</v>
      </c>
      <c r="B3473" s="1">
        <v>45802</v>
      </c>
      <c r="C3473">
        <v>17</v>
      </c>
      <c r="D3473">
        <v>0.124</v>
      </c>
      <c r="E3473" t="s">
        <v>6</v>
      </c>
      <c r="F3473">
        <v>7.5760000000000008E-2</v>
      </c>
    </row>
    <row r="3474" spans="1:6" x14ac:dyDescent="0.3">
      <c r="A3474" t="s">
        <v>5</v>
      </c>
      <c r="B3474" s="1">
        <v>45802</v>
      </c>
      <c r="C3474">
        <v>18</v>
      </c>
      <c r="D3474">
        <v>0.10199999999999999</v>
      </c>
      <c r="E3474" t="s">
        <v>6</v>
      </c>
      <c r="F3474">
        <v>7.8180000000000013E-2</v>
      </c>
    </row>
    <row r="3475" spans="1:6" x14ac:dyDescent="0.3">
      <c r="A3475" t="s">
        <v>5</v>
      </c>
      <c r="B3475" s="1">
        <v>45802</v>
      </c>
      <c r="C3475">
        <v>19</v>
      </c>
      <c r="D3475">
        <v>0.1</v>
      </c>
      <c r="E3475" t="s">
        <v>6</v>
      </c>
      <c r="F3475">
        <v>7.937000000000001E-2</v>
      </c>
    </row>
    <row r="3476" spans="1:6" x14ac:dyDescent="0.3">
      <c r="A3476" t="s">
        <v>5</v>
      </c>
      <c r="B3476" s="1">
        <v>45802</v>
      </c>
      <c r="C3476">
        <v>20</v>
      </c>
      <c r="D3476">
        <v>0.13200000000000001</v>
      </c>
      <c r="E3476" t="s">
        <v>6</v>
      </c>
      <c r="F3476">
        <v>8.0099999999999991E-2</v>
      </c>
    </row>
    <row r="3477" spans="1:6" x14ac:dyDescent="0.3">
      <c r="A3477" t="s">
        <v>5</v>
      </c>
      <c r="B3477" s="1">
        <v>45802</v>
      </c>
      <c r="C3477">
        <v>21</v>
      </c>
      <c r="D3477">
        <v>9.5000000000000001E-2</v>
      </c>
      <c r="E3477" t="s">
        <v>6</v>
      </c>
      <c r="F3477">
        <v>9.622E-2</v>
      </c>
    </row>
    <row r="3478" spans="1:6" x14ac:dyDescent="0.3">
      <c r="A3478" t="s">
        <v>5</v>
      </c>
      <c r="B3478" s="1">
        <v>45802</v>
      </c>
      <c r="C3478">
        <v>22</v>
      </c>
      <c r="D3478">
        <v>0.78600000000000003</v>
      </c>
      <c r="E3478" t="s">
        <v>6</v>
      </c>
      <c r="F3478">
        <v>0.10042</v>
      </c>
    </row>
    <row r="3479" spans="1:6" x14ac:dyDescent="0.3">
      <c r="A3479" t="s">
        <v>5</v>
      </c>
      <c r="B3479" s="1">
        <v>45802</v>
      </c>
      <c r="C3479">
        <v>23</v>
      </c>
      <c r="D3479">
        <v>1.0409999999999999</v>
      </c>
      <c r="E3479" t="s">
        <v>6</v>
      </c>
      <c r="F3479">
        <v>0.1055</v>
      </c>
    </row>
    <row r="3480" spans="1:6" x14ac:dyDescent="0.3">
      <c r="A3480" t="s">
        <v>5</v>
      </c>
      <c r="B3480" s="1">
        <v>45802</v>
      </c>
      <c r="C3480">
        <v>24</v>
      </c>
      <c r="D3480">
        <v>0.38700000000000001</v>
      </c>
      <c r="E3480" t="s">
        <v>6</v>
      </c>
      <c r="F3480">
        <v>9.2180000000000012E-2</v>
      </c>
    </row>
    <row r="3481" spans="1:6" x14ac:dyDescent="0.3">
      <c r="A3481" t="s">
        <v>5</v>
      </c>
      <c r="B3481" s="1">
        <v>45803</v>
      </c>
      <c r="C3481">
        <v>1</v>
      </c>
      <c r="D3481">
        <v>0.14399999999999999</v>
      </c>
      <c r="E3481" t="s">
        <v>6</v>
      </c>
      <c r="F3481">
        <v>0.10403</v>
      </c>
    </row>
    <row r="3482" spans="1:6" x14ac:dyDescent="0.3">
      <c r="A3482" t="s">
        <v>5</v>
      </c>
      <c r="B3482" s="1">
        <v>45803</v>
      </c>
      <c r="C3482">
        <v>2</v>
      </c>
      <c r="D3482">
        <v>0.11700000000000001</v>
      </c>
      <c r="E3482" t="s">
        <v>6</v>
      </c>
      <c r="F3482">
        <v>9.8129999999999995E-2</v>
      </c>
    </row>
    <row r="3483" spans="1:6" x14ac:dyDescent="0.3">
      <c r="A3483" t="s">
        <v>5</v>
      </c>
      <c r="B3483" s="1">
        <v>45803</v>
      </c>
      <c r="C3483">
        <v>3</v>
      </c>
      <c r="D3483">
        <v>9.9000000000000005E-2</v>
      </c>
      <c r="E3483" t="s">
        <v>6</v>
      </c>
      <c r="F3483">
        <v>9.8209999999999992E-2</v>
      </c>
    </row>
    <row r="3484" spans="1:6" x14ac:dyDescent="0.3">
      <c r="A3484" t="s">
        <v>5</v>
      </c>
      <c r="B3484" s="1">
        <v>45803</v>
      </c>
      <c r="C3484">
        <v>4</v>
      </c>
      <c r="D3484">
        <v>9.0999999999999998E-2</v>
      </c>
      <c r="E3484" t="s">
        <v>6</v>
      </c>
      <c r="F3484">
        <v>9.7060000000000007E-2</v>
      </c>
    </row>
    <row r="3485" spans="1:6" x14ac:dyDescent="0.3">
      <c r="A3485" t="s">
        <v>5</v>
      </c>
      <c r="B3485" s="1">
        <v>45803</v>
      </c>
      <c r="C3485">
        <v>5</v>
      </c>
      <c r="D3485">
        <v>0.10199999999999999</v>
      </c>
      <c r="E3485" t="s">
        <v>6</v>
      </c>
      <c r="F3485">
        <v>9.8959999999999992E-2</v>
      </c>
    </row>
    <row r="3486" spans="1:6" x14ac:dyDescent="0.3">
      <c r="A3486" t="s">
        <v>5</v>
      </c>
      <c r="B3486" s="1">
        <v>45803</v>
      </c>
      <c r="C3486">
        <v>6</v>
      </c>
      <c r="D3486">
        <v>8.7999999999999995E-2</v>
      </c>
      <c r="E3486" t="s">
        <v>6</v>
      </c>
      <c r="F3486">
        <v>0.10095999999999999</v>
      </c>
    </row>
    <row r="3487" spans="1:6" x14ac:dyDescent="0.3">
      <c r="A3487" t="s">
        <v>5</v>
      </c>
      <c r="B3487" s="1">
        <v>45803</v>
      </c>
      <c r="C3487">
        <v>7</v>
      </c>
      <c r="D3487">
        <v>0.09</v>
      </c>
      <c r="E3487" t="s">
        <v>6</v>
      </c>
      <c r="F3487">
        <v>0.10437</v>
      </c>
    </row>
    <row r="3488" spans="1:6" x14ac:dyDescent="0.3">
      <c r="A3488" t="s">
        <v>5</v>
      </c>
      <c r="B3488" s="1">
        <v>45803</v>
      </c>
      <c r="C3488">
        <v>8</v>
      </c>
      <c r="D3488">
        <v>0.13800000000000001</v>
      </c>
      <c r="E3488" t="s">
        <v>6</v>
      </c>
      <c r="F3488">
        <v>0.10693000000000001</v>
      </c>
    </row>
    <row r="3489" spans="1:6" x14ac:dyDescent="0.3">
      <c r="A3489" t="s">
        <v>5</v>
      </c>
      <c r="B3489" s="1">
        <v>45803</v>
      </c>
      <c r="C3489">
        <v>9</v>
      </c>
      <c r="D3489">
        <v>6.7000000000000004E-2</v>
      </c>
      <c r="E3489" t="s">
        <v>6</v>
      </c>
      <c r="F3489">
        <v>0.11912</v>
      </c>
    </row>
    <row r="3490" spans="1:6" x14ac:dyDescent="0.3">
      <c r="A3490" t="s">
        <v>5</v>
      </c>
      <c r="B3490" s="1">
        <v>45803</v>
      </c>
      <c r="C3490">
        <v>10</v>
      </c>
      <c r="D3490">
        <v>8.4000000000000005E-2</v>
      </c>
      <c r="E3490" t="s">
        <v>6</v>
      </c>
      <c r="F3490">
        <v>8.965999999999999E-2</v>
      </c>
    </row>
    <row r="3491" spans="1:6" x14ac:dyDescent="0.3">
      <c r="A3491" t="s">
        <v>5</v>
      </c>
      <c r="B3491" s="1">
        <v>45803</v>
      </c>
      <c r="C3491">
        <v>11</v>
      </c>
      <c r="D3491">
        <v>8.6999999999999994E-2</v>
      </c>
      <c r="E3491" t="s">
        <v>6</v>
      </c>
      <c r="F3491">
        <v>0.15428</v>
      </c>
    </row>
    <row r="3492" spans="1:6" x14ac:dyDescent="0.3">
      <c r="A3492" t="s">
        <v>5</v>
      </c>
      <c r="B3492" s="1">
        <v>45803</v>
      </c>
      <c r="C3492">
        <v>12</v>
      </c>
      <c r="D3492">
        <v>7.3999999999999996E-2</v>
      </c>
      <c r="E3492" t="s">
        <v>6</v>
      </c>
      <c r="F3492">
        <v>0.15455000000000002</v>
      </c>
    </row>
    <row r="3493" spans="1:6" x14ac:dyDescent="0.3">
      <c r="A3493" t="s">
        <v>5</v>
      </c>
      <c r="B3493" s="1">
        <v>45803</v>
      </c>
      <c r="C3493">
        <v>13</v>
      </c>
      <c r="D3493">
        <v>0.20300000000000001</v>
      </c>
      <c r="E3493" t="s">
        <v>6</v>
      </c>
      <c r="F3493">
        <v>0.15437000000000001</v>
      </c>
    </row>
    <row r="3494" spans="1:6" x14ac:dyDescent="0.3">
      <c r="A3494" t="s">
        <v>5</v>
      </c>
      <c r="B3494" s="1">
        <v>45803</v>
      </c>
      <c r="C3494">
        <v>14</v>
      </c>
      <c r="D3494">
        <v>0.192</v>
      </c>
      <c r="E3494" t="s">
        <v>6</v>
      </c>
      <c r="F3494">
        <v>0.15139</v>
      </c>
    </row>
    <row r="3495" spans="1:6" x14ac:dyDescent="0.3">
      <c r="A3495" t="s">
        <v>5</v>
      </c>
      <c r="B3495" s="1">
        <v>45803</v>
      </c>
      <c r="C3495">
        <v>15</v>
      </c>
      <c r="D3495">
        <v>8.2000000000000003E-2</v>
      </c>
      <c r="E3495" t="s">
        <v>6</v>
      </c>
      <c r="F3495">
        <v>8.8059999999999999E-2</v>
      </c>
    </row>
    <row r="3496" spans="1:6" x14ac:dyDescent="0.3">
      <c r="A3496" t="s">
        <v>5</v>
      </c>
      <c r="B3496" s="1">
        <v>45803</v>
      </c>
      <c r="C3496">
        <v>16</v>
      </c>
      <c r="D3496">
        <v>0.1</v>
      </c>
      <c r="E3496" t="s">
        <v>6</v>
      </c>
      <c r="F3496">
        <v>8.8569999999999996E-2</v>
      </c>
    </row>
    <row r="3497" spans="1:6" x14ac:dyDescent="0.3">
      <c r="A3497" t="s">
        <v>5</v>
      </c>
      <c r="B3497" s="1">
        <v>45803</v>
      </c>
      <c r="C3497">
        <v>17</v>
      </c>
      <c r="D3497">
        <v>7.8E-2</v>
      </c>
      <c r="E3497" t="s">
        <v>6</v>
      </c>
      <c r="F3497">
        <v>8.931E-2</v>
      </c>
    </row>
    <row r="3498" spans="1:6" x14ac:dyDescent="0.3">
      <c r="A3498" t="s">
        <v>5</v>
      </c>
      <c r="B3498" s="1">
        <v>45803</v>
      </c>
      <c r="C3498">
        <v>18</v>
      </c>
      <c r="D3498">
        <v>9.1999999999999998E-2</v>
      </c>
      <c r="E3498" t="s">
        <v>6</v>
      </c>
      <c r="F3498">
        <v>8.9439999999999992E-2</v>
      </c>
    </row>
    <row r="3499" spans="1:6" x14ac:dyDescent="0.3">
      <c r="A3499" t="s">
        <v>5</v>
      </c>
      <c r="B3499" s="1">
        <v>45803</v>
      </c>
      <c r="C3499">
        <v>19</v>
      </c>
      <c r="D3499">
        <v>0.14399999999999999</v>
      </c>
      <c r="E3499" t="s">
        <v>6</v>
      </c>
      <c r="F3499">
        <v>0.16084999999999999</v>
      </c>
    </row>
    <row r="3500" spans="1:6" x14ac:dyDescent="0.3">
      <c r="A3500" t="s">
        <v>5</v>
      </c>
      <c r="B3500" s="1">
        <v>45803</v>
      </c>
      <c r="C3500">
        <v>20</v>
      </c>
      <c r="D3500">
        <v>0.39300000000000002</v>
      </c>
      <c r="E3500" t="s">
        <v>6</v>
      </c>
      <c r="F3500">
        <v>0.16385</v>
      </c>
    </row>
    <row r="3501" spans="1:6" x14ac:dyDescent="0.3">
      <c r="A3501" t="s">
        <v>5</v>
      </c>
      <c r="B3501" s="1">
        <v>45803</v>
      </c>
      <c r="C3501">
        <v>21</v>
      </c>
      <c r="D3501">
        <v>0.90100000000000002</v>
      </c>
      <c r="E3501" t="s">
        <v>6</v>
      </c>
      <c r="F3501">
        <v>0.1925</v>
      </c>
    </row>
    <row r="3502" spans="1:6" x14ac:dyDescent="0.3">
      <c r="A3502" t="s">
        <v>5</v>
      </c>
      <c r="B3502" s="1">
        <v>45803</v>
      </c>
      <c r="C3502">
        <v>22</v>
      </c>
      <c r="D3502">
        <v>0.82</v>
      </c>
      <c r="E3502" t="s">
        <v>6</v>
      </c>
      <c r="F3502">
        <v>0.23179</v>
      </c>
    </row>
    <row r="3503" spans="1:6" x14ac:dyDescent="0.3">
      <c r="A3503" t="s">
        <v>5</v>
      </c>
      <c r="B3503" s="1">
        <v>45803</v>
      </c>
      <c r="C3503">
        <v>23</v>
      </c>
      <c r="D3503">
        <v>0.69299999999999995</v>
      </c>
      <c r="E3503" t="s">
        <v>6</v>
      </c>
      <c r="F3503">
        <v>0.15315999999999999</v>
      </c>
    </row>
    <row r="3504" spans="1:6" x14ac:dyDescent="0.3">
      <c r="A3504" t="s">
        <v>5</v>
      </c>
      <c r="B3504" s="1">
        <v>45803</v>
      </c>
      <c r="C3504">
        <v>24</v>
      </c>
      <c r="D3504">
        <v>0.95599999999999996</v>
      </c>
      <c r="E3504" t="s">
        <v>6</v>
      </c>
      <c r="F3504">
        <v>0.12831000000000001</v>
      </c>
    </row>
    <row r="3505" spans="1:6" x14ac:dyDescent="0.3">
      <c r="A3505" t="s">
        <v>5</v>
      </c>
      <c r="B3505" s="1">
        <v>45804</v>
      </c>
      <c r="C3505">
        <v>1</v>
      </c>
      <c r="D3505">
        <v>0.311</v>
      </c>
      <c r="E3505" t="s">
        <v>6</v>
      </c>
      <c r="F3505">
        <v>9.8420000000000007E-2</v>
      </c>
    </row>
    <row r="3506" spans="1:6" x14ac:dyDescent="0.3">
      <c r="A3506" t="s">
        <v>5</v>
      </c>
      <c r="B3506" s="1">
        <v>45804</v>
      </c>
      <c r="C3506">
        <v>2</v>
      </c>
      <c r="D3506">
        <v>0.20399999999999999</v>
      </c>
      <c r="E3506" t="s">
        <v>6</v>
      </c>
      <c r="F3506">
        <v>9.665E-2</v>
      </c>
    </row>
    <row r="3507" spans="1:6" x14ac:dyDescent="0.3">
      <c r="A3507" t="s">
        <v>5</v>
      </c>
      <c r="B3507" s="1">
        <v>45804</v>
      </c>
      <c r="C3507">
        <v>3</v>
      </c>
      <c r="D3507">
        <v>0.16300000000000001</v>
      </c>
      <c r="E3507" t="s">
        <v>6</v>
      </c>
      <c r="F3507">
        <v>8.9779999999999999E-2</v>
      </c>
    </row>
    <row r="3508" spans="1:6" x14ac:dyDescent="0.3">
      <c r="A3508" t="s">
        <v>5</v>
      </c>
      <c r="B3508" s="1">
        <v>45804</v>
      </c>
      <c r="C3508">
        <v>4</v>
      </c>
      <c r="D3508">
        <v>0.184</v>
      </c>
      <c r="E3508" t="s">
        <v>6</v>
      </c>
      <c r="F3508">
        <v>8.3830000000000002E-2</v>
      </c>
    </row>
    <row r="3509" spans="1:6" x14ac:dyDescent="0.3">
      <c r="A3509" t="s">
        <v>5</v>
      </c>
      <c r="B3509" s="1">
        <v>45804</v>
      </c>
      <c r="C3509">
        <v>5</v>
      </c>
      <c r="D3509">
        <v>0.152</v>
      </c>
      <c r="E3509" t="s">
        <v>6</v>
      </c>
      <c r="F3509">
        <v>8.5440000000000002E-2</v>
      </c>
    </row>
    <row r="3510" spans="1:6" x14ac:dyDescent="0.3">
      <c r="A3510" t="s">
        <v>5</v>
      </c>
      <c r="B3510" s="1">
        <v>45804</v>
      </c>
      <c r="C3510">
        <v>6</v>
      </c>
      <c r="D3510">
        <v>0.17599999999999999</v>
      </c>
      <c r="E3510" t="s">
        <v>6</v>
      </c>
      <c r="F3510">
        <v>8.931E-2</v>
      </c>
    </row>
    <row r="3511" spans="1:6" x14ac:dyDescent="0.3">
      <c r="A3511" t="s">
        <v>5</v>
      </c>
      <c r="B3511" s="1">
        <v>45804</v>
      </c>
      <c r="C3511">
        <v>7</v>
      </c>
      <c r="D3511">
        <v>0.153</v>
      </c>
      <c r="E3511" t="s">
        <v>6</v>
      </c>
      <c r="F3511">
        <v>9.7259999999999999E-2</v>
      </c>
    </row>
    <row r="3512" spans="1:6" x14ac:dyDescent="0.3">
      <c r="A3512" t="s">
        <v>5</v>
      </c>
      <c r="B3512" s="1">
        <v>45804</v>
      </c>
      <c r="C3512">
        <v>8</v>
      </c>
      <c r="D3512">
        <v>0.154</v>
      </c>
      <c r="E3512" t="s">
        <v>6</v>
      </c>
      <c r="F3512">
        <v>9.6010000000000012E-2</v>
      </c>
    </row>
    <row r="3513" spans="1:6" x14ac:dyDescent="0.3">
      <c r="A3513" t="s">
        <v>5</v>
      </c>
      <c r="B3513" s="1">
        <v>45804</v>
      </c>
      <c r="C3513">
        <v>9</v>
      </c>
      <c r="D3513">
        <v>0.106</v>
      </c>
      <c r="E3513" t="s">
        <v>6</v>
      </c>
      <c r="F3513">
        <v>0.11874999999999999</v>
      </c>
    </row>
    <row r="3514" spans="1:6" x14ac:dyDescent="0.3">
      <c r="A3514" t="s">
        <v>5</v>
      </c>
      <c r="B3514" s="1">
        <v>45804</v>
      </c>
      <c r="C3514">
        <v>10</v>
      </c>
      <c r="D3514">
        <v>9.8000000000000004E-2</v>
      </c>
      <c r="E3514" t="s">
        <v>6</v>
      </c>
      <c r="F3514">
        <v>0.10104</v>
      </c>
    </row>
    <row r="3515" spans="1:6" x14ac:dyDescent="0.3">
      <c r="A3515" t="s">
        <v>5</v>
      </c>
      <c r="B3515" s="1">
        <v>45804</v>
      </c>
      <c r="C3515">
        <v>11</v>
      </c>
      <c r="D3515">
        <v>7.9000000000000001E-2</v>
      </c>
      <c r="E3515" t="s">
        <v>6</v>
      </c>
      <c r="F3515">
        <v>0.14734</v>
      </c>
    </row>
    <row r="3516" spans="1:6" x14ac:dyDescent="0.3">
      <c r="A3516" t="s">
        <v>5</v>
      </c>
      <c r="B3516" s="1">
        <v>45804</v>
      </c>
      <c r="C3516">
        <v>12</v>
      </c>
      <c r="D3516">
        <v>8.4000000000000005E-2</v>
      </c>
      <c r="E3516" t="s">
        <v>6</v>
      </c>
      <c r="F3516">
        <v>0.14743000000000001</v>
      </c>
    </row>
    <row r="3517" spans="1:6" x14ac:dyDescent="0.3">
      <c r="A3517" t="s">
        <v>5</v>
      </c>
      <c r="B3517" s="1">
        <v>45804</v>
      </c>
      <c r="C3517">
        <v>13</v>
      </c>
      <c r="D3517">
        <v>0.16600000000000001</v>
      </c>
      <c r="E3517" t="s">
        <v>6</v>
      </c>
      <c r="F3517">
        <v>0.14734999999999998</v>
      </c>
    </row>
    <row r="3518" spans="1:6" x14ac:dyDescent="0.3">
      <c r="A3518" t="s">
        <v>5</v>
      </c>
      <c r="B3518" s="1">
        <v>45804</v>
      </c>
      <c r="C3518">
        <v>14</v>
      </c>
      <c r="D3518">
        <v>0.111</v>
      </c>
      <c r="E3518" t="s">
        <v>6</v>
      </c>
      <c r="F3518">
        <v>0.14418</v>
      </c>
    </row>
    <row r="3519" spans="1:6" x14ac:dyDescent="0.3">
      <c r="A3519" t="s">
        <v>5</v>
      </c>
      <c r="B3519" s="1">
        <v>45804</v>
      </c>
      <c r="C3519">
        <v>15</v>
      </c>
      <c r="D3519">
        <v>8.5000000000000006E-2</v>
      </c>
      <c r="E3519" t="s">
        <v>6</v>
      </c>
      <c r="F3519">
        <v>7.987000000000001E-2</v>
      </c>
    </row>
    <row r="3520" spans="1:6" x14ac:dyDescent="0.3">
      <c r="A3520" t="s">
        <v>5</v>
      </c>
      <c r="B3520" s="1">
        <v>45804</v>
      </c>
      <c r="C3520">
        <v>16</v>
      </c>
      <c r="D3520">
        <v>8.4000000000000005E-2</v>
      </c>
      <c r="E3520" t="s">
        <v>6</v>
      </c>
      <c r="F3520">
        <v>8.0439999999999998E-2</v>
      </c>
    </row>
    <row r="3521" spans="1:6" x14ac:dyDescent="0.3">
      <c r="A3521" t="s">
        <v>5</v>
      </c>
      <c r="B3521" s="1">
        <v>45804</v>
      </c>
      <c r="C3521">
        <v>17</v>
      </c>
      <c r="D3521">
        <v>0.11700000000000001</v>
      </c>
      <c r="E3521" t="s">
        <v>6</v>
      </c>
      <c r="F3521">
        <v>8.1040000000000001E-2</v>
      </c>
    </row>
    <row r="3522" spans="1:6" x14ac:dyDescent="0.3">
      <c r="A3522" t="s">
        <v>5</v>
      </c>
      <c r="B3522" s="1">
        <v>45804</v>
      </c>
      <c r="C3522">
        <v>18</v>
      </c>
      <c r="D3522">
        <v>7.4999999999999997E-2</v>
      </c>
      <c r="E3522" t="s">
        <v>6</v>
      </c>
      <c r="F3522">
        <v>8.1670000000000006E-2</v>
      </c>
    </row>
    <row r="3523" spans="1:6" x14ac:dyDescent="0.3">
      <c r="A3523" t="s">
        <v>5</v>
      </c>
      <c r="B3523" s="1">
        <v>45804</v>
      </c>
      <c r="C3523">
        <v>19</v>
      </c>
      <c r="D3523">
        <v>0.12</v>
      </c>
      <c r="E3523" t="s">
        <v>6</v>
      </c>
      <c r="F3523">
        <v>0.14913999999999999</v>
      </c>
    </row>
    <row r="3524" spans="1:6" x14ac:dyDescent="0.3">
      <c r="A3524" t="s">
        <v>5</v>
      </c>
      <c r="B3524" s="1">
        <v>45804</v>
      </c>
      <c r="C3524">
        <v>20</v>
      </c>
      <c r="D3524">
        <v>0.114</v>
      </c>
      <c r="E3524" t="s">
        <v>6</v>
      </c>
      <c r="F3524">
        <v>0.18187999999999999</v>
      </c>
    </row>
    <row r="3525" spans="1:6" x14ac:dyDescent="0.3">
      <c r="A3525" t="s">
        <v>5</v>
      </c>
      <c r="B3525" s="1">
        <v>45804</v>
      </c>
      <c r="C3525">
        <v>21</v>
      </c>
      <c r="D3525">
        <v>0.61799999999999999</v>
      </c>
      <c r="E3525" t="s">
        <v>6</v>
      </c>
      <c r="F3525">
        <v>0.19934000000000002</v>
      </c>
    </row>
    <row r="3526" spans="1:6" x14ac:dyDescent="0.3">
      <c r="A3526" t="s">
        <v>5</v>
      </c>
      <c r="B3526" s="1">
        <v>45804</v>
      </c>
      <c r="C3526">
        <v>22</v>
      </c>
      <c r="D3526">
        <v>0.34200000000000003</v>
      </c>
      <c r="E3526" t="s">
        <v>6</v>
      </c>
      <c r="F3526">
        <v>0.26286999999999999</v>
      </c>
    </row>
    <row r="3527" spans="1:6" x14ac:dyDescent="0.3">
      <c r="A3527" t="s">
        <v>5</v>
      </c>
      <c r="B3527" s="1">
        <v>45804</v>
      </c>
      <c r="C3527">
        <v>23</v>
      </c>
      <c r="D3527">
        <v>0.23300000000000001</v>
      </c>
      <c r="E3527" t="s">
        <v>6</v>
      </c>
      <c r="F3527">
        <v>0.18916999999999998</v>
      </c>
    </row>
    <row r="3528" spans="1:6" x14ac:dyDescent="0.3">
      <c r="A3528" t="s">
        <v>5</v>
      </c>
      <c r="B3528" s="1">
        <v>45804</v>
      </c>
      <c r="C3528">
        <v>24</v>
      </c>
      <c r="D3528">
        <v>1.0760000000000001</v>
      </c>
      <c r="E3528" t="s">
        <v>6</v>
      </c>
      <c r="F3528">
        <v>0.16538</v>
      </c>
    </row>
    <row r="3529" spans="1:6" x14ac:dyDescent="0.3">
      <c r="A3529" t="s">
        <v>5</v>
      </c>
      <c r="B3529" s="1">
        <v>45805</v>
      </c>
      <c r="C3529">
        <v>1</v>
      </c>
      <c r="D3529">
        <v>0.749</v>
      </c>
      <c r="E3529" t="s">
        <v>6</v>
      </c>
      <c r="F3529">
        <v>9.8680000000000004E-2</v>
      </c>
    </row>
    <row r="3530" spans="1:6" x14ac:dyDescent="0.3">
      <c r="A3530" t="s">
        <v>5</v>
      </c>
      <c r="B3530" s="1">
        <v>45805</v>
      </c>
      <c r="C3530">
        <v>2</v>
      </c>
      <c r="D3530">
        <v>0.17499999999999999</v>
      </c>
      <c r="E3530" t="s">
        <v>6</v>
      </c>
      <c r="F3530">
        <v>9.7259999999999999E-2</v>
      </c>
    </row>
    <row r="3531" spans="1:6" x14ac:dyDescent="0.3">
      <c r="A3531" t="s">
        <v>5</v>
      </c>
      <c r="B3531" s="1">
        <v>45805</v>
      </c>
      <c r="C3531">
        <v>3</v>
      </c>
      <c r="D3531">
        <v>0.17</v>
      </c>
      <c r="E3531" t="s">
        <v>6</v>
      </c>
      <c r="F3531">
        <v>0.10234</v>
      </c>
    </row>
    <row r="3532" spans="1:6" x14ac:dyDescent="0.3">
      <c r="A3532" t="s">
        <v>5</v>
      </c>
      <c r="B3532" s="1">
        <v>45805</v>
      </c>
      <c r="C3532">
        <v>4</v>
      </c>
      <c r="D3532">
        <v>0.18</v>
      </c>
      <c r="E3532" t="s">
        <v>6</v>
      </c>
      <c r="F3532">
        <v>9.756999999999999E-2</v>
      </c>
    </row>
    <row r="3533" spans="1:6" x14ac:dyDescent="0.3">
      <c r="A3533" t="s">
        <v>5</v>
      </c>
      <c r="B3533" s="1">
        <v>45805</v>
      </c>
      <c r="C3533">
        <v>5</v>
      </c>
      <c r="D3533">
        <v>0.187</v>
      </c>
      <c r="E3533" t="s">
        <v>6</v>
      </c>
      <c r="F3533">
        <v>9.869E-2</v>
      </c>
    </row>
    <row r="3534" spans="1:6" x14ac:dyDescent="0.3">
      <c r="A3534" t="s">
        <v>5</v>
      </c>
      <c r="B3534" s="1">
        <v>45805</v>
      </c>
      <c r="C3534">
        <v>6</v>
      </c>
      <c r="D3534">
        <v>0.159</v>
      </c>
      <c r="E3534" t="s">
        <v>6</v>
      </c>
      <c r="F3534">
        <v>9.5170000000000005E-2</v>
      </c>
    </row>
    <row r="3535" spans="1:6" x14ac:dyDescent="0.3">
      <c r="A3535" t="s">
        <v>5</v>
      </c>
      <c r="B3535" s="1">
        <v>45805</v>
      </c>
      <c r="C3535">
        <v>7</v>
      </c>
      <c r="D3535">
        <v>0.185</v>
      </c>
      <c r="E3535" t="s">
        <v>6</v>
      </c>
      <c r="F3535">
        <v>9.9220000000000003E-2</v>
      </c>
    </row>
    <row r="3536" spans="1:6" x14ac:dyDescent="0.3">
      <c r="A3536" t="s">
        <v>5</v>
      </c>
      <c r="B3536" s="1">
        <v>45805</v>
      </c>
      <c r="C3536">
        <v>8</v>
      </c>
      <c r="D3536">
        <v>0.23100000000000001</v>
      </c>
      <c r="E3536" t="s">
        <v>6</v>
      </c>
      <c r="F3536">
        <v>0.11652999999999999</v>
      </c>
    </row>
    <row r="3537" spans="1:6" x14ac:dyDescent="0.3">
      <c r="A3537" t="s">
        <v>5</v>
      </c>
      <c r="B3537" s="1">
        <v>45805</v>
      </c>
      <c r="C3537">
        <v>9</v>
      </c>
      <c r="D3537">
        <v>0.115</v>
      </c>
      <c r="E3537" t="s">
        <v>6</v>
      </c>
      <c r="F3537">
        <v>0.12</v>
      </c>
    </row>
    <row r="3538" spans="1:6" x14ac:dyDescent="0.3">
      <c r="A3538" t="s">
        <v>5</v>
      </c>
      <c r="B3538" s="1">
        <v>45805</v>
      </c>
      <c r="C3538">
        <v>10</v>
      </c>
      <c r="D3538">
        <v>0.107</v>
      </c>
      <c r="E3538" t="s">
        <v>6</v>
      </c>
      <c r="F3538">
        <v>9.8180000000000003E-2</v>
      </c>
    </row>
    <row r="3539" spans="1:6" x14ac:dyDescent="0.3">
      <c r="A3539" t="s">
        <v>5</v>
      </c>
      <c r="B3539" s="1">
        <v>45805</v>
      </c>
      <c r="C3539">
        <v>11</v>
      </c>
      <c r="D3539">
        <v>0.08</v>
      </c>
      <c r="E3539" t="s">
        <v>6</v>
      </c>
      <c r="F3539">
        <v>0.14726</v>
      </c>
    </row>
    <row r="3540" spans="1:6" x14ac:dyDescent="0.3">
      <c r="A3540" t="s">
        <v>5</v>
      </c>
      <c r="B3540" s="1">
        <v>45805</v>
      </c>
      <c r="C3540">
        <v>12</v>
      </c>
      <c r="D3540">
        <v>8.5000000000000006E-2</v>
      </c>
      <c r="E3540" t="s">
        <v>6</v>
      </c>
      <c r="F3540">
        <v>0.14574999999999999</v>
      </c>
    </row>
    <row r="3541" spans="1:6" x14ac:dyDescent="0.3">
      <c r="A3541" t="s">
        <v>5</v>
      </c>
      <c r="B3541" s="1">
        <v>45805</v>
      </c>
      <c r="C3541">
        <v>13</v>
      </c>
      <c r="D3541">
        <v>9.1999999999999998E-2</v>
      </c>
      <c r="E3541" t="s">
        <v>6</v>
      </c>
      <c r="F3541">
        <v>0.14565999999999998</v>
      </c>
    </row>
    <row r="3542" spans="1:6" x14ac:dyDescent="0.3">
      <c r="A3542" t="s">
        <v>5</v>
      </c>
      <c r="B3542" s="1">
        <v>45805</v>
      </c>
      <c r="C3542">
        <v>14</v>
      </c>
      <c r="D3542">
        <v>0.215</v>
      </c>
      <c r="E3542" t="s">
        <v>6</v>
      </c>
      <c r="F3542">
        <v>0.14243</v>
      </c>
    </row>
    <row r="3543" spans="1:6" x14ac:dyDescent="0.3">
      <c r="A3543" t="s">
        <v>5</v>
      </c>
      <c r="B3543" s="1">
        <v>45805</v>
      </c>
      <c r="C3543">
        <v>15</v>
      </c>
      <c r="D3543">
        <v>0.16400000000000001</v>
      </c>
      <c r="E3543" t="s">
        <v>6</v>
      </c>
      <c r="F3543">
        <v>7.8E-2</v>
      </c>
    </row>
    <row r="3544" spans="1:6" x14ac:dyDescent="0.3">
      <c r="A3544" t="s">
        <v>5</v>
      </c>
      <c r="B3544" s="1">
        <v>45805</v>
      </c>
      <c r="C3544">
        <v>16</v>
      </c>
      <c r="D3544">
        <v>0.129</v>
      </c>
      <c r="E3544" t="s">
        <v>6</v>
      </c>
      <c r="F3544">
        <v>7.8540000000000013E-2</v>
      </c>
    </row>
    <row r="3545" spans="1:6" x14ac:dyDescent="0.3">
      <c r="A3545" t="s">
        <v>5</v>
      </c>
      <c r="B3545" s="1">
        <v>45805</v>
      </c>
      <c r="C3545">
        <v>17</v>
      </c>
      <c r="D3545">
        <v>7.6999999999999999E-2</v>
      </c>
      <c r="E3545" t="s">
        <v>6</v>
      </c>
      <c r="F3545">
        <v>7.9230000000000009E-2</v>
      </c>
    </row>
    <row r="3546" spans="1:6" x14ac:dyDescent="0.3">
      <c r="A3546" t="s">
        <v>5</v>
      </c>
      <c r="B3546" s="1">
        <v>45805</v>
      </c>
      <c r="C3546">
        <v>18</v>
      </c>
      <c r="D3546">
        <v>9.0999999999999998E-2</v>
      </c>
      <c r="E3546" t="s">
        <v>6</v>
      </c>
      <c r="F3546">
        <v>7.9200000000000007E-2</v>
      </c>
    </row>
    <row r="3547" spans="1:6" x14ac:dyDescent="0.3">
      <c r="A3547" t="s">
        <v>5</v>
      </c>
      <c r="B3547" s="1">
        <v>45805</v>
      </c>
      <c r="C3547">
        <v>19</v>
      </c>
      <c r="D3547">
        <v>0.09</v>
      </c>
      <c r="E3547" t="s">
        <v>6</v>
      </c>
      <c r="F3547">
        <v>0.14912999999999998</v>
      </c>
    </row>
    <row r="3548" spans="1:6" x14ac:dyDescent="0.3">
      <c r="A3548" t="s">
        <v>5</v>
      </c>
      <c r="B3548" s="1">
        <v>45805</v>
      </c>
      <c r="C3548">
        <v>20</v>
      </c>
      <c r="D3548">
        <v>7.0000000000000007E-2</v>
      </c>
      <c r="E3548" t="s">
        <v>6</v>
      </c>
      <c r="F3548">
        <v>0.17183999999999999</v>
      </c>
    </row>
    <row r="3549" spans="1:6" x14ac:dyDescent="0.3">
      <c r="A3549" t="s">
        <v>5</v>
      </c>
      <c r="B3549" s="1">
        <v>45805</v>
      </c>
      <c r="C3549">
        <v>21</v>
      </c>
      <c r="D3549">
        <v>0.114</v>
      </c>
      <c r="E3549" t="s">
        <v>6</v>
      </c>
      <c r="F3549">
        <v>0.20599999999999999</v>
      </c>
    </row>
    <row r="3550" spans="1:6" x14ac:dyDescent="0.3">
      <c r="A3550" t="s">
        <v>5</v>
      </c>
      <c r="B3550" s="1">
        <v>45805</v>
      </c>
      <c r="C3550">
        <v>22</v>
      </c>
      <c r="D3550">
        <v>0.11</v>
      </c>
      <c r="E3550" t="s">
        <v>6</v>
      </c>
      <c r="F3550">
        <v>0.24614</v>
      </c>
    </row>
    <row r="3551" spans="1:6" x14ac:dyDescent="0.3">
      <c r="A3551" t="s">
        <v>5</v>
      </c>
      <c r="B3551" s="1">
        <v>45805</v>
      </c>
      <c r="C3551">
        <v>23</v>
      </c>
      <c r="D3551">
        <v>0.28000000000000003</v>
      </c>
      <c r="E3551" t="s">
        <v>6</v>
      </c>
      <c r="F3551">
        <v>0.19024000000000002</v>
      </c>
    </row>
    <row r="3552" spans="1:6" x14ac:dyDescent="0.3">
      <c r="A3552" t="s">
        <v>5</v>
      </c>
      <c r="B3552" s="1">
        <v>45805</v>
      </c>
      <c r="C3552">
        <v>24</v>
      </c>
      <c r="D3552">
        <v>0.45700000000000002</v>
      </c>
      <c r="E3552" t="s">
        <v>6</v>
      </c>
      <c r="F3552">
        <v>0.1426</v>
      </c>
    </row>
    <row r="3553" spans="1:6" x14ac:dyDescent="0.3">
      <c r="A3553" t="s">
        <v>5</v>
      </c>
      <c r="B3553" s="1">
        <v>45806</v>
      </c>
      <c r="C3553">
        <v>1</v>
      </c>
      <c r="D3553">
        <v>0.35799999999999998</v>
      </c>
      <c r="E3553" t="s">
        <v>6</v>
      </c>
      <c r="F3553">
        <v>0.11094</v>
      </c>
    </row>
    <row r="3554" spans="1:6" x14ac:dyDescent="0.3">
      <c r="A3554" t="s">
        <v>5</v>
      </c>
      <c r="B3554" s="1">
        <v>45806</v>
      </c>
      <c r="C3554">
        <v>2</v>
      </c>
      <c r="D3554">
        <v>0.20599999999999999</v>
      </c>
      <c r="E3554" t="s">
        <v>6</v>
      </c>
      <c r="F3554">
        <v>0.10095</v>
      </c>
    </row>
    <row r="3555" spans="1:6" x14ac:dyDescent="0.3">
      <c r="A3555" t="s">
        <v>5</v>
      </c>
      <c r="B3555" s="1">
        <v>45806</v>
      </c>
      <c r="C3555">
        <v>3</v>
      </c>
      <c r="D3555">
        <v>0.185</v>
      </c>
      <c r="E3555" t="s">
        <v>6</v>
      </c>
      <c r="F3555">
        <v>0.10762000000000001</v>
      </c>
    </row>
    <row r="3556" spans="1:6" x14ac:dyDescent="0.3">
      <c r="A3556" t="s">
        <v>5</v>
      </c>
      <c r="B3556" s="1">
        <v>45806</v>
      </c>
      <c r="C3556">
        <v>4</v>
      </c>
      <c r="D3556">
        <v>0.19400000000000001</v>
      </c>
      <c r="E3556" t="s">
        <v>6</v>
      </c>
      <c r="F3556">
        <v>0.10073</v>
      </c>
    </row>
    <row r="3557" spans="1:6" x14ac:dyDescent="0.3">
      <c r="A3557" t="s">
        <v>5</v>
      </c>
      <c r="B3557" s="1">
        <v>45806</v>
      </c>
      <c r="C3557">
        <v>5</v>
      </c>
      <c r="D3557">
        <v>0.188</v>
      </c>
      <c r="E3557" t="s">
        <v>6</v>
      </c>
      <c r="F3557">
        <v>0.10009</v>
      </c>
    </row>
    <row r="3558" spans="1:6" x14ac:dyDescent="0.3">
      <c r="A3558" t="s">
        <v>5</v>
      </c>
      <c r="B3558" s="1">
        <v>45806</v>
      </c>
      <c r="C3558">
        <v>6</v>
      </c>
      <c r="D3558">
        <v>0.17499999999999999</v>
      </c>
      <c r="E3558" t="s">
        <v>6</v>
      </c>
      <c r="F3558">
        <v>0.10149</v>
      </c>
    </row>
    <row r="3559" spans="1:6" x14ac:dyDescent="0.3">
      <c r="A3559" t="s">
        <v>5</v>
      </c>
      <c r="B3559" s="1">
        <v>45806</v>
      </c>
      <c r="C3559">
        <v>7</v>
      </c>
      <c r="D3559">
        <v>0.183</v>
      </c>
      <c r="E3559" t="s">
        <v>6</v>
      </c>
      <c r="F3559">
        <v>9.9760000000000001E-2</v>
      </c>
    </row>
    <row r="3560" spans="1:6" x14ac:dyDescent="0.3">
      <c r="A3560" t="s">
        <v>5</v>
      </c>
      <c r="B3560" s="1">
        <v>45806</v>
      </c>
      <c r="C3560">
        <v>8</v>
      </c>
      <c r="D3560">
        <v>0.18099999999999999</v>
      </c>
      <c r="E3560" t="s">
        <v>6</v>
      </c>
      <c r="F3560">
        <v>0.10387</v>
      </c>
    </row>
    <row r="3561" spans="1:6" x14ac:dyDescent="0.3">
      <c r="A3561" t="s">
        <v>5</v>
      </c>
      <c r="B3561" s="1">
        <v>45806</v>
      </c>
      <c r="C3561">
        <v>9</v>
      </c>
      <c r="D3561">
        <v>0.13</v>
      </c>
      <c r="E3561" t="s">
        <v>6</v>
      </c>
      <c r="F3561">
        <v>0.11993999999999999</v>
      </c>
    </row>
    <row r="3562" spans="1:6" x14ac:dyDescent="0.3">
      <c r="A3562" t="s">
        <v>5</v>
      </c>
      <c r="B3562" s="1">
        <v>45806</v>
      </c>
      <c r="C3562">
        <v>10</v>
      </c>
      <c r="D3562">
        <v>8.8999999999999996E-2</v>
      </c>
      <c r="E3562" t="s">
        <v>6</v>
      </c>
      <c r="F3562">
        <v>9.290000000000001E-2</v>
      </c>
    </row>
    <row r="3563" spans="1:6" x14ac:dyDescent="0.3">
      <c r="A3563" t="s">
        <v>5</v>
      </c>
      <c r="B3563" s="1">
        <v>45806</v>
      </c>
      <c r="C3563">
        <v>11</v>
      </c>
      <c r="D3563">
        <v>9.1999999999999998E-2</v>
      </c>
      <c r="E3563" t="s">
        <v>6</v>
      </c>
      <c r="F3563">
        <v>0.14313999999999999</v>
      </c>
    </row>
    <row r="3564" spans="1:6" x14ac:dyDescent="0.3">
      <c r="A3564" t="s">
        <v>5</v>
      </c>
      <c r="B3564" s="1">
        <v>45806</v>
      </c>
      <c r="C3564">
        <v>12</v>
      </c>
      <c r="D3564">
        <v>9.2999999999999999E-2</v>
      </c>
      <c r="E3564" t="s">
        <v>6</v>
      </c>
      <c r="F3564">
        <v>0.13933000000000001</v>
      </c>
    </row>
    <row r="3565" spans="1:6" x14ac:dyDescent="0.3">
      <c r="A3565" t="s">
        <v>5</v>
      </c>
      <c r="B3565" s="1">
        <v>45806</v>
      </c>
      <c r="C3565">
        <v>13</v>
      </c>
      <c r="D3565">
        <v>7.6999999999999999E-2</v>
      </c>
      <c r="E3565" t="s">
        <v>6</v>
      </c>
      <c r="F3565">
        <v>0.13861999999999999</v>
      </c>
    </row>
    <row r="3566" spans="1:6" x14ac:dyDescent="0.3">
      <c r="A3566" t="s">
        <v>5</v>
      </c>
      <c r="B3566" s="1">
        <v>45806</v>
      </c>
      <c r="C3566">
        <v>14</v>
      </c>
      <c r="D3566">
        <v>0.23400000000000001</v>
      </c>
      <c r="E3566" t="s">
        <v>6</v>
      </c>
      <c r="F3566">
        <v>0.13522000000000001</v>
      </c>
    </row>
    <row r="3567" spans="1:6" x14ac:dyDescent="0.3">
      <c r="A3567" t="s">
        <v>5</v>
      </c>
      <c r="B3567" s="1">
        <v>45806</v>
      </c>
      <c r="C3567">
        <v>15</v>
      </c>
      <c r="D3567">
        <v>0.19</v>
      </c>
      <c r="E3567" t="s">
        <v>6</v>
      </c>
      <c r="F3567">
        <v>7.0459999999999995E-2</v>
      </c>
    </row>
    <row r="3568" spans="1:6" x14ac:dyDescent="0.3">
      <c r="A3568" t="s">
        <v>5</v>
      </c>
      <c r="B3568" s="1">
        <v>45806</v>
      </c>
      <c r="C3568">
        <v>16</v>
      </c>
      <c r="D3568">
        <v>0.193</v>
      </c>
      <c r="E3568" t="s">
        <v>6</v>
      </c>
      <c r="F3568">
        <v>7.1819999999999995E-2</v>
      </c>
    </row>
    <row r="3569" spans="1:6" x14ac:dyDescent="0.3">
      <c r="A3569" t="s">
        <v>5</v>
      </c>
      <c r="B3569" s="1">
        <v>45806</v>
      </c>
      <c r="C3569">
        <v>17</v>
      </c>
      <c r="D3569">
        <v>8.8999999999999996E-2</v>
      </c>
      <c r="E3569" t="s">
        <v>6</v>
      </c>
      <c r="F3569">
        <v>7.2669999999999998E-2</v>
      </c>
    </row>
    <row r="3570" spans="1:6" x14ac:dyDescent="0.3">
      <c r="A3570" t="s">
        <v>5</v>
      </c>
      <c r="B3570" s="1">
        <v>45806</v>
      </c>
      <c r="C3570">
        <v>18</v>
      </c>
      <c r="D3570">
        <v>7.9000000000000001E-2</v>
      </c>
      <c r="E3570" t="s">
        <v>6</v>
      </c>
      <c r="F3570">
        <v>7.2469999999999993E-2</v>
      </c>
    </row>
    <row r="3571" spans="1:6" x14ac:dyDescent="0.3">
      <c r="A3571" t="s">
        <v>5</v>
      </c>
      <c r="B3571" s="1">
        <v>45806</v>
      </c>
      <c r="C3571">
        <v>19</v>
      </c>
      <c r="D3571">
        <v>0.10100000000000001</v>
      </c>
      <c r="E3571" t="s">
        <v>6</v>
      </c>
      <c r="F3571">
        <v>0.16002000000000002</v>
      </c>
    </row>
    <row r="3572" spans="1:6" x14ac:dyDescent="0.3">
      <c r="A3572" t="s">
        <v>5</v>
      </c>
      <c r="B3572" s="1">
        <v>45806</v>
      </c>
      <c r="C3572">
        <v>20</v>
      </c>
      <c r="D3572">
        <v>7.8E-2</v>
      </c>
      <c r="E3572" t="s">
        <v>6</v>
      </c>
      <c r="F3572">
        <v>0.18048</v>
      </c>
    </row>
    <row r="3573" spans="1:6" x14ac:dyDescent="0.3">
      <c r="A3573" t="s">
        <v>5</v>
      </c>
      <c r="B3573" s="1">
        <v>45806</v>
      </c>
      <c r="C3573">
        <v>21</v>
      </c>
      <c r="D3573">
        <v>0.79</v>
      </c>
      <c r="E3573" t="s">
        <v>6</v>
      </c>
      <c r="F3573">
        <v>0.21938999999999997</v>
      </c>
    </row>
    <row r="3574" spans="1:6" x14ac:dyDescent="0.3">
      <c r="A3574" t="s">
        <v>5</v>
      </c>
      <c r="B3574" s="1">
        <v>45806</v>
      </c>
      <c r="C3574">
        <v>22</v>
      </c>
      <c r="D3574">
        <v>0.36299999999999999</v>
      </c>
      <c r="E3574" t="s">
        <v>6</v>
      </c>
      <c r="F3574">
        <v>0.28573000000000004</v>
      </c>
    </row>
    <row r="3575" spans="1:6" x14ac:dyDescent="0.3">
      <c r="A3575" t="s">
        <v>5</v>
      </c>
      <c r="B3575" s="1">
        <v>45806</v>
      </c>
      <c r="C3575">
        <v>23</v>
      </c>
      <c r="D3575">
        <v>0.30599999999999999</v>
      </c>
      <c r="E3575" t="s">
        <v>6</v>
      </c>
      <c r="F3575">
        <v>0.20579</v>
      </c>
    </row>
    <row r="3576" spans="1:6" x14ac:dyDescent="0.3">
      <c r="A3576" t="s">
        <v>5</v>
      </c>
      <c r="B3576" s="1">
        <v>45806</v>
      </c>
      <c r="C3576">
        <v>24</v>
      </c>
      <c r="D3576">
        <v>0.80900000000000005</v>
      </c>
      <c r="E3576" t="s">
        <v>6</v>
      </c>
      <c r="F3576">
        <v>0.15489</v>
      </c>
    </row>
    <row r="3577" spans="1:6" x14ac:dyDescent="0.3">
      <c r="A3577" t="s">
        <v>5</v>
      </c>
      <c r="B3577" s="1">
        <v>45807</v>
      </c>
      <c r="C3577">
        <v>1</v>
      </c>
      <c r="D3577">
        <v>0.84</v>
      </c>
      <c r="E3577" t="s">
        <v>6</v>
      </c>
      <c r="F3577">
        <v>0.10990999999999999</v>
      </c>
    </row>
    <row r="3578" spans="1:6" x14ac:dyDescent="0.3">
      <c r="A3578" t="s">
        <v>5</v>
      </c>
      <c r="B3578" s="1">
        <v>45807</v>
      </c>
      <c r="C3578">
        <v>2</v>
      </c>
      <c r="D3578">
        <v>0.26200000000000001</v>
      </c>
      <c r="E3578" t="s">
        <v>6</v>
      </c>
      <c r="F3578">
        <v>0.10934999999999999</v>
      </c>
    </row>
    <row r="3579" spans="1:6" x14ac:dyDescent="0.3">
      <c r="A3579" t="s">
        <v>5</v>
      </c>
      <c r="B3579" s="1">
        <v>45807</v>
      </c>
      <c r="C3579">
        <v>3</v>
      </c>
      <c r="D3579">
        <v>0.17699999999999999</v>
      </c>
      <c r="E3579" t="s">
        <v>6</v>
      </c>
      <c r="F3579">
        <v>0.10546999999999999</v>
      </c>
    </row>
    <row r="3580" spans="1:6" x14ac:dyDescent="0.3">
      <c r="A3580" t="s">
        <v>5</v>
      </c>
      <c r="B3580" s="1">
        <v>45807</v>
      </c>
      <c r="C3580">
        <v>4</v>
      </c>
      <c r="D3580">
        <v>0.19700000000000001</v>
      </c>
      <c r="E3580" t="s">
        <v>6</v>
      </c>
      <c r="F3580">
        <v>0.10116</v>
      </c>
    </row>
    <row r="3581" spans="1:6" x14ac:dyDescent="0.3">
      <c r="A3581" t="s">
        <v>5</v>
      </c>
      <c r="B3581" s="1">
        <v>45807</v>
      </c>
      <c r="C3581">
        <v>5</v>
      </c>
      <c r="D3581">
        <v>0.186</v>
      </c>
      <c r="E3581" t="s">
        <v>6</v>
      </c>
      <c r="F3581">
        <v>0.10144</v>
      </c>
    </row>
    <row r="3582" spans="1:6" x14ac:dyDescent="0.3">
      <c r="A3582" t="s">
        <v>5</v>
      </c>
      <c r="B3582" s="1">
        <v>45807</v>
      </c>
      <c r="C3582">
        <v>6</v>
      </c>
      <c r="D3582">
        <v>0.18</v>
      </c>
      <c r="E3582" t="s">
        <v>6</v>
      </c>
      <c r="F3582">
        <v>0.10076</v>
      </c>
    </row>
    <row r="3583" spans="1:6" x14ac:dyDescent="0.3">
      <c r="A3583" t="s">
        <v>5</v>
      </c>
      <c r="B3583" s="1">
        <v>45807</v>
      </c>
      <c r="C3583">
        <v>7</v>
      </c>
      <c r="D3583">
        <v>0.19600000000000001</v>
      </c>
      <c r="E3583" t="s">
        <v>6</v>
      </c>
      <c r="F3583">
        <v>0.10490000000000001</v>
      </c>
    </row>
    <row r="3584" spans="1:6" x14ac:dyDescent="0.3">
      <c r="A3584" t="s">
        <v>5</v>
      </c>
      <c r="B3584" s="1">
        <v>45807</v>
      </c>
      <c r="C3584">
        <v>8</v>
      </c>
      <c r="D3584">
        <v>0.16</v>
      </c>
      <c r="E3584" t="s">
        <v>6</v>
      </c>
      <c r="F3584">
        <v>0.11968000000000001</v>
      </c>
    </row>
    <row r="3585" spans="1:6" x14ac:dyDescent="0.3">
      <c r="A3585" t="s">
        <v>5</v>
      </c>
      <c r="B3585" s="1">
        <v>45807</v>
      </c>
      <c r="C3585">
        <v>9</v>
      </c>
      <c r="D3585">
        <v>0.152</v>
      </c>
      <c r="E3585" t="s">
        <v>6</v>
      </c>
      <c r="F3585">
        <v>0.12742000000000001</v>
      </c>
    </row>
    <row r="3586" spans="1:6" x14ac:dyDescent="0.3">
      <c r="A3586" t="s">
        <v>5</v>
      </c>
      <c r="B3586" s="1">
        <v>45807</v>
      </c>
      <c r="C3586">
        <v>10</v>
      </c>
      <c r="D3586">
        <v>0.10100000000000001</v>
      </c>
      <c r="E3586" t="s">
        <v>6</v>
      </c>
      <c r="F3586">
        <v>9.9349999999999994E-2</v>
      </c>
    </row>
    <row r="3587" spans="1:6" x14ac:dyDescent="0.3">
      <c r="A3587" t="s">
        <v>5</v>
      </c>
      <c r="B3587" s="1">
        <v>45807</v>
      </c>
      <c r="C3587">
        <v>11</v>
      </c>
      <c r="D3587">
        <v>8.1000000000000003E-2</v>
      </c>
      <c r="E3587" t="s">
        <v>6</v>
      </c>
      <c r="F3587">
        <v>0.13409000000000001</v>
      </c>
    </row>
    <row r="3588" spans="1:6" x14ac:dyDescent="0.3">
      <c r="A3588" t="s">
        <v>5</v>
      </c>
      <c r="B3588" s="1">
        <v>45807</v>
      </c>
      <c r="C3588">
        <v>12</v>
      </c>
      <c r="D3588">
        <v>9.2999999999999999E-2</v>
      </c>
      <c r="E3588" t="s">
        <v>6</v>
      </c>
      <c r="F3588">
        <v>0.13141999999999998</v>
      </c>
    </row>
    <row r="3589" spans="1:6" x14ac:dyDescent="0.3">
      <c r="A3589" t="s">
        <v>5</v>
      </c>
      <c r="B3589" s="1">
        <v>45807</v>
      </c>
      <c r="C3589">
        <v>13</v>
      </c>
      <c r="D3589">
        <v>7.2999999999999995E-2</v>
      </c>
      <c r="E3589" t="s">
        <v>6</v>
      </c>
      <c r="F3589">
        <v>0.13134999999999999</v>
      </c>
    </row>
    <row r="3590" spans="1:6" x14ac:dyDescent="0.3">
      <c r="A3590" t="s">
        <v>5</v>
      </c>
      <c r="B3590" s="1">
        <v>45807</v>
      </c>
      <c r="C3590">
        <v>14</v>
      </c>
      <c r="D3590">
        <v>9.8000000000000004E-2</v>
      </c>
      <c r="E3590" t="s">
        <v>6</v>
      </c>
      <c r="F3590">
        <v>0.12872</v>
      </c>
    </row>
    <row r="3591" spans="1:6" x14ac:dyDescent="0.3">
      <c r="A3591" t="s">
        <v>5</v>
      </c>
      <c r="B3591" s="1">
        <v>45807</v>
      </c>
      <c r="C3591">
        <v>15</v>
      </c>
      <c r="D3591">
        <v>7.5999999999999998E-2</v>
      </c>
      <c r="E3591" t="s">
        <v>6</v>
      </c>
      <c r="F3591">
        <v>6.4579999999999999E-2</v>
      </c>
    </row>
    <row r="3592" spans="1:6" x14ac:dyDescent="0.3">
      <c r="A3592" t="s">
        <v>5</v>
      </c>
      <c r="B3592" s="1">
        <v>45807</v>
      </c>
      <c r="C3592">
        <v>16</v>
      </c>
      <c r="D3592">
        <v>0.23100000000000001</v>
      </c>
      <c r="E3592" t="s">
        <v>6</v>
      </c>
      <c r="F3592">
        <v>6.5110000000000001E-2</v>
      </c>
    </row>
    <row r="3593" spans="1:6" x14ac:dyDescent="0.3">
      <c r="A3593" t="s">
        <v>5</v>
      </c>
      <c r="B3593" s="1">
        <v>45807</v>
      </c>
      <c r="C3593">
        <v>17</v>
      </c>
      <c r="D3593">
        <v>0.10199999999999999</v>
      </c>
      <c r="E3593" t="s">
        <v>6</v>
      </c>
      <c r="F3593">
        <v>6.6439999999999999E-2</v>
      </c>
    </row>
    <row r="3594" spans="1:6" x14ac:dyDescent="0.3">
      <c r="A3594" t="s">
        <v>5</v>
      </c>
      <c r="B3594" s="1">
        <v>45807</v>
      </c>
      <c r="C3594">
        <v>18</v>
      </c>
      <c r="D3594">
        <v>0.12</v>
      </c>
      <c r="E3594" t="s">
        <v>6</v>
      </c>
      <c r="F3594">
        <v>7.3799999999999991E-2</v>
      </c>
    </row>
    <row r="3595" spans="1:6" x14ac:dyDescent="0.3">
      <c r="A3595" t="s">
        <v>5</v>
      </c>
      <c r="B3595" s="1">
        <v>45807</v>
      </c>
      <c r="C3595">
        <v>19</v>
      </c>
      <c r="D3595">
        <v>0.20300000000000001</v>
      </c>
      <c r="E3595" t="s">
        <v>6</v>
      </c>
      <c r="F3595">
        <v>0.18511000000000002</v>
      </c>
    </row>
    <row r="3596" spans="1:6" x14ac:dyDescent="0.3">
      <c r="A3596" t="s">
        <v>5</v>
      </c>
      <c r="B3596" s="1">
        <v>45807</v>
      </c>
      <c r="C3596">
        <v>20</v>
      </c>
      <c r="D3596">
        <v>0.17199999999999999</v>
      </c>
      <c r="E3596" t="s">
        <v>6</v>
      </c>
      <c r="F3596">
        <v>0.19686000000000001</v>
      </c>
    </row>
    <row r="3597" spans="1:6" x14ac:dyDescent="0.3">
      <c r="A3597" t="s">
        <v>5</v>
      </c>
      <c r="B3597" s="1">
        <v>45807</v>
      </c>
      <c r="C3597">
        <v>21</v>
      </c>
      <c r="D3597">
        <v>0.70899999999999996</v>
      </c>
      <c r="E3597" t="s">
        <v>6</v>
      </c>
      <c r="F3597">
        <v>0.24471000000000001</v>
      </c>
    </row>
    <row r="3598" spans="1:6" x14ac:dyDescent="0.3">
      <c r="A3598" t="s">
        <v>5</v>
      </c>
      <c r="B3598" s="1">
        <v>45807</v>
      </c>
      <c r="C3598">
        <v>22</v>
      </c>
      <c r="D3598">
        <v>0.64</v>
      </c>
      <c r="E3598" t="s">
        <v>6</v>
      </c>
      <c r="F3598">
        <v>0.26332</v>
      </c>
    </row>
    <row r="3599" spans="1:6" x14ac:dyDescent="0.3">
      <c r="A3599" t="s">
        <v>5</v>
      </c>
      <c r="B3599" s="1">
        <v>45807</v>
      </c>
      <c r="C3599">
        <v>23</v>
      </c>
      <c r="D3599">
        <v>0.82199999999999995</v>
      </c>
      <c r="E3599" t="s">
        <v>6</v>
      </c>
      <c r="F3599">
        <v>0.21293000000000001</v>
      </c>
    </row>
    <row r="3600" spans="1:6" x14ac:dyDescent="0.3">
      <c r="A3600" t="s">
        <v>5</v>
      </c>
      <c r="B3600" s="1">
        <v>45807</v>
      </c>
      <c r="C3600">
        <v>24</v>
      </c>
      <c r="D3600">
        <v>0.28100000000000003</v>
      </c>
      <c r="E3600" t="s">
        <v>6</v>
      </c>
      <c r="F3600">
        <v>0.18489</v>
      </c>
    </row>
    <row r="3601" spans="1:6" x14ac:dyDescent="0.3">
      <c r="A3601" t="s">
        <v>5</v>
      </c>
      <c r="B3601" s="1">
        <v>45808</v>
      </c>
      <c r="C3601">
        <v>1</v>
      </c>
      <c r="D3601">
        <v>0.21199999999999999</v>
      </c>
      <c r="E3601" t="s">
        <v>6</v>
      </c>
      <c r="F3601">
        <v>0.16309999999999999</v>
      </c>
    </row>
    <row r="3602" spans="1:6" x14ac:dyDescent="0.3">
      <c r="A3602" t="s">
        <v>5</v>
      </c>
      <c r="B3602" s="1">
        <v>45808</v>
      </c>
      <c r="C3602">
        <v>2</v>
      </c>
      <c r="D3602">
        <v>0.13900000000000001</v>
      </c>
      <c r="E3602" t="s">
        <v>6</v>
      </c>
      <c r="F3602">
        <v>0.14708000000000002</v>
      </c>
    </row>
    <row r="3603" spans="1:6" x14ac:dyDescent="0.3">
      <c r="A3603" t="s">
        <v>5</v>
      </c>
      <c r="B3603" s="1">
        <v>45808</v>
      </c>
      <c r="C3603">
        <v>3</v>
      </c>
      <c r="D3603">
        <v>0.155</v>
      </c>
      <c r="E3603" t="s">
        <v>6</v>
      </c>
      <c r="F3603">
        <v>0.12883</v>
      </c>
    </row>
    <row r="3604" spans="1:6" x14ac:dyDescent="0.3">
      <c r="A3604" t="s">
        <v>5</v>
      </c>
      <c r="B3604" s="1">
        <v>45808</v>
      </c>
      <c r="C3604">
        <v>4</v>
      </c>
      <c r="D3604">
        <v>0.14899999999999999</v>
      </c>
      <c r="E3604" t="s">
        <v>6</v>
      </c>
      <c r="F3604">
        <v>0.12795000000000001</v>
      </c>
    </row>
    <row r="3605" spans="1:6" x14ac:dyDescent="0.3">
      <c r="A3605" t="s">
        <v>5</v>
      </c>
      <c r="B3605" s="1">
        <v>45808</v>
      </c>
      <c r="C3605">
        <v>5</v>
      </c>
      <c r="D3605">
        <v>0.16800000000000001</v>
      </c>
      <c r="E3605" t="s">
        <v>6</v>
      </c>
      <c r="F3605">
        <v>0.14083000000000001</v>
      </c>
    </row>
    <row r="3606" spans="1:6" x14ac:dyDescent="0.3">
      <c r="A3606" t="s">
        <v>5</v>
      </c>
      <c r="B3606" s="1">
        <v>45808</v>
      </c>
      <c r="C3606">
        <v>6</v>
      </c>
      <c r="D3606">
        <v>9.7000000000000003E-2</v>
      </c>
      <c r="E3606" t="s">
        <v>6</v>
      </c>
      <c r="F3606">
        <v>0.13730000000000001</v>
      </c>
    </row>
    <row r="3607" spans="1:6" x14ac:dyDescent="0.3">
      <c r="A3607" t="s">
        <v>5</v>
      </c>
      <c r="B3607" s="1">
        <v>45808</v>
      </c>
      <c r="C3607">
        <v>7</v>
      </c>
      <c r="D3607">
        <v>8.5000000000000006E-2</v>
      </c>
      <c r="E3607" t="s">
        <v>6</v>
      </c>
      <c r="F3607">
        <v>0.14047000000000001</v>
      </c>
    </row>
    <row r="3608" spans="1:6" x14ac:dyDescent="0.3">
      <c r="A3608" t="s">
        <v>5</v>
      </c>
      <c r="B3608" s="1">
        <v>45808</v>
      </c>
      <c r="C3608">
        <v>8</v>
      </c>
      <c r="D3608">
        <v>7.2999999999999995E-2</v>
      </c>
      <c r="E3608" t="s">
        <v>6</v>
      </c>
      <c r="F3608">
        <v>0.12562999999999999</v>
      </c>
    </row>
    <row r="3609" spans="1:6" x14ac:dyDescent="0.3">
      <c r="A3609" t="s">
        <v>5</v>
      </c>
      <c r="B3609" s="1">
        <v>45808</v>
      </c>
      <c r="C3609">
        <v>9</v>
      </c>
      <c r="D3609">
        <v>9.8000000000000004E-2</v>
      </c>
      <c r="E3609" t="s">
        <v>6</v>
      </c>
      <c r="F3609">
        <v>8.5650000000000004E-2</v>
      </c>
    </row>
    <row r="3610" spans="1:6" x14ac:dyDescent="0.3">
      <c r="A3610" t="s">
        <v>5</v>
      </c>
      <c r="B3610" s="1">
        <v>45808</v>
      </c>
      <c r="C3610">
        <v>10</v>
      </c>
      <c r="D3610">
        <v>7.5999999999999998E-2</v>
      </c>
      <c r="E3610" t="s">
        <v>6</v>
      </c>
      <c r="F3610">
        <v>4.376E-2</v>
      </c>
    </row>
    <row r="3611" spans="1:6" x14ac:dyDescent="0.3">
      <c r="A3611" t="s">
        <v>5</v>
      </c>
      <c r="B3611" s="1">
        <v>45808</v>
      </c>
      <c r="C3611">
        <v>11</v>
      </c>
      <c r="D3611">
        <v>7.9000000000000001E-2</v>
      </c>
      <c r="E3611" t="s">
        <v>6</v>
      </c>
      <c r="F3611">
        <v>4.4380000000000003E-2</v>
      </c>
    </row>
    <row r="3612" spans="1:6" x14ac:dyDescent="0.3">
      <c r="A3612" t="s">
        <v>5</v>
      </c>
      <c r="B3612" s="1">
        <v>45808</v>
      </c>
      <c r="C3612">
        <v>12</v>
      </c>
      <c r="D3612">
        <v>9.4E-2</v>
      </c>
      <c r="E3612" t="s">
        <v>6</v>
      </c>
      <c r="F3612">
        <v>4.3159999999999997E-2</v>
      </c>
    </row>
    <row r="3613" spans="1:6" x14ac:dyDescent="0.3">
      <c r="A3613" t="s">
        <v>5</v>
      </c>
      <c r="B3613" s="1">
        <v>45808</v>
      </c>
      <c r="C3613">
        <v>13</v>
      </c>
      <c r="D3613">
        <v>7.2999999999999995E-2</v>
      </c>
      <c r="E3613" t="s">
        <v>6</v>
      </c>
      <c r="F3613">
        <v>4.0909999999999995E-2</v>
      </c>
    </row>
    <row r="3614" spans="1:6" x14ac:dyDescent="0.3">
      <c r="A3614" t="s">
        <v>5</v>
      </c>
      <c r="B3614" s="1">
        <v>45808</v>
      </c>
      <c r="C3614">
        <v>14</v>
      </c>
      <c r="D3614">
        <v>8.7999999999999995E-2</v>
      </c>
      <c r="E3614" t="s">
        <v>6</v>
      </c>
      <c r="F3614">
        <v>3.8310000000000004E-2</v>
      </c>
    </row>
    <row r="3615" spans="1:6" x14ac:dyDescent="0.3">
      <c r="A3615" t="s">
        <v>5</v>
      </c>
      <c r="B3615" s="1">
        <v>45808</v>
      </c>
      <c r="C3615">
        <v>15</v>
      </c>
      <c r="D3615">
        <v>8.5000000000000006E-2</v>
      </c>
      <c r="E3615" t="s">
        <v>6</v>
      </c>
      <c r="F3615">
        <v>3.8310000000000004E-2</v>
      </c>
    </row>
    <row r="3616" spans="1:6" x14ac:dyDescent="0.3">
      <c r="A3616" t="s">
        <v>5</v>
      </c>
      <c r="B3616" s="1">
        <v>45808</v>
      </c>
      <c r="C3616">
        <v>16</v>
      </c>
      <c r="D3616">
        <v>7.1999999999999995E-2</v>
      </c>
      <c r="E3616" t="s">
        <v>6</v>
      </c>
      <c r="F3616">
        <v>4.2049999999999997E-2</v>
      </c>
    </row>
    <row r="3617" spans="1:6" x14ac:dyDescent="0.3">
      <c r="A3617" t="s">
        <v>5</v>
      </c>
      <c r="B3617" s="1">
        <v>45808</v>
      </c>
      <c r="C3617">
        <v>17</v>
      </c>
      <c r="D3617">
        <v>9.7000000000000003E-2</v>
      </c>
      <c r="E3617" t="s">
        <v>6</v>
      </c>
      <c r="F3617">
        <v>4.5700000000000005E-2</v>
      </c>
    </row>
    <row r="3618" spans="1:6" x14ac:dyDescent="0.3">
      <c r="A3618" t="s">
        <v>5</v>
      </c>
      <c r="B3618" s="1">
        <v>45808</v>
      </c>
      <c r="C3618">
        <v>18</v>
      </c>
      <c r="D3618">
        <v>7.6999999999999999E-2</v>
      </c>
      <c r="E3618" t="s">
        <v>6</v>
      </c>
      <c r="F3618">
        <v>4.5649999999999996E-2</v>
      </c>
    </row>
    <row r="3619" spans="1:6" x14ac:dyDescent="0.3">
      <c r="A3619" t="s">
        <v>5</v>
      </c>
      <c r="B3619" s="1">
        <v>45808</v>
      </c>
      <c r="C3619">
        <v>19</v>
      </c>
      <c r="D3619">
        <v>7.8E-2</v>
      </c>
      <c r="E3619" t="s">
        <v>6</v>
      </c>
      <c r="F3619">
        <v>4.897E-2</v>
      </c>
    </row>
    <row r="3620" spans="1:6" x14ac:dyDescent="0.3">
      <c r="A3620" t="s">
        <v>5</v>
      </c>
      <c r="B3620" s="1">
        <v>45808</v>
      </c>
      <c r="C3620">
        <v>20</v>
      </c>
      <c r="D3620">
        <v>9.6000000000000002E-2</v>
      </c>
      <c r="E3620" t="s">
        <v>6</v>
      </c>
      <c r="F3620">
        <v>8.4169999999999995E-2</v>
      </c>
    </row>
    <row r="3621" spans="1:6" x14ac:dyDescent="0.3">
      <c r="A3621" t="s">
        <v>5</v>
      </c>
      <c r="B3621" s="1">
        <v>45808</v>
      </c>
      <c r="C3621">
        <v>21</v>
      </c>
      <c r="D3621">
        <v>7.2999999999999995E-2</v>
      </c>
      <c r="E3621" t="s">
        <v>6</v>
      </c>
      <c r="F3621">
        <v>0.11981</v>
      </c>
    </row>
    <row r="3622" spans="1:6" x14ac:dyDescent="0.3">
      <c r="A3622" t="s">
        <v>5</v>
      </c>
      <c r="B3622" s="1">
        <v>45808</v>
      </c>
      <c r="C3622">
        <v>22</v>
      </c>
      <c r="D3622">
        <v>8.5999999999999993E-2</v>
      </c>
      <c r="E3622" t="s">
        <v>6</v>
      </c>
      <c r="F3622">
        <v>0.11915000000000001</v>
      </c>
    </row>
    <row r="3623" spans="1:6" x14ac:dyDescent="0.3">
      <c r="A3623" t="s">
        <v>5</v>
      </c>
      <c r="B3623" s="1">
        <v>45808</v>
      </c>
      <c r="C3623">
        <v>23</v>
      </c>
      <c r="D3623">
        <v>8.8999999999999996E-2</v>
      </c>
      <c r="E3623" t="s">
        <v>6</v>
      </c>
      <c r="F3623">
        <v>0.12716</v>
      </c>
    </row>
    <row r="3624" spans="1:6" x14ac:dyDescent="0.3">
      <c r="A3624" t="s">
        <v>5</v>
      </c>
      <c r="B3624" s="1">
        <v>45808</v>
      </c>
      <c r="C3624">
        <v>24</v>
      </c>
      <c r="D3624">
        <v>7.2999999999999995E-2</v>
      </c>
      <c r="E3624" t="s">
        <v>6</v>
      </c>
      <c r="F3624">
        <v>0.11584</v>
      </c>
    </row>
    <row r="3625" spans="1:6" x14ac:dyDescent="0.3">
      <c r="A3625" t="s">
        <v>5</v>
      </c>
      <c r="B3625" s="1">
        <v>45809</v>
      </c>
      <c r="C3625">
        <v>1</v>
      </c>
      <c r="D3625">
        <v>9.6000000000000002E-2</v>
      </c>
      <c r="E3625" t="s">
        <v>6</v>
      </c>
      <c r="F3625">
        <v>0.1245</v>
      </c>
    </row>
    <row r="3626" spans="1:6" x14ac:dyDescent="0.3">
      <c r="A3626" t="s">
        <v>5</v>
      </c>
      <c r="B3626" s="1">
        <v>45809</v>
      </c>
      <c r="C3626">
        <v>2</v>
      </c>
      <c r="D3626">
        <v>7.6999999999999999E-2</v>
      </c>
      <c r="E3626" t="s">
        <v>6</v>
      </c>
      <c r="F3626">
        <v>0.10321</v>
      </c>
    </row>
    <row r="3627" spans="1:6" x14ac:dyDescent="0.3">
      <c r="A3627" t="s">
        <v>5</v>
      </c>
      <c r="B3627" s="1">
        <v>45809</v>
      </c>
      <c r="C3627">
        <v>3</v>
      </c>
      <c r="D3627">
        <v>0.08</v>
      </c>
      <c r="E3627" t="s">
        <v>6</v>
      </c>
      <c r="F3627">
        <v>0.10467</v>
      </c>
    </row>
    <row r="3628" spans="1:6" x14ac:dyDescent="0.3">
      <c r="A3628" t="s">
        <v>5</v>
      </c>
      <c r="B3628" s="1">
        <v>45809</v>
      </c>
      <c r="C3628">
        <v>4</v>
      </c>
      <c r="D3628">
        <v>9.5000000000000001E-2</v>
      </c>
      <c r="E3628" t="s">
        <v>6</v>
      </c>
      <c r="F3628">
        <v>0.10564</v>
      </c>
    </row>
    <row r="3629" spans="1:6" x14ac:dyDescent="0.3">
      <c r="A3629" t="s">
        <v>5</v>
      </c>
      <c r="B3629" s="1">
        <v>45809</v>
      </c>
      <c r="C3629">
        <v>5</v>
      </c>
      <c r="D3629">
        <v>7.2999999999999995E-2</v>
      </c>
      <c r="E3629" t="s">
        <v>6</v>
      </c>
      <c r="F3629">
        <v>0.10736</v>
      </c>
    </row>
    <row r="3630" spans="1:6" x14ac:dyDescent="0.3">
      <c r="A3630" t="s">
        <v>5</v>
      </c>
      <c r="B3630" s="1">
        <v>45809</v>
      </c>
      <c r="C3630">
        <v>6</v>
      </c>
      <c r="D3630">
        <v>9.0999999999999998E-2</v>
      </c>
      <c r="E3630" t="s">
        <v>6</v>
      </c>
      <c r="F3630">
        <v>0.10929000000000001</v>
      </c>
    </row>
    <row r="3631" spans="1:6" x14ac:dyDescent="0.3">
      <c r="A3631" t="s">
        <v>5</v>
      </c>
      <c r="B3631" s="1">
        <v>45809</v>
      </c>
      <c r="C3631">
        <v>7</v>
      </c>
      <c r="D3631">
        <v>8.3000000000000004E-2</v>
      </c>
      <c r="E3631" t="s">
        <v>6</v>
      </c>
      <c r="F3631">
        <v>0.10919</v>
      </c>
    </row>
    <row r="3632" spans="1:6" x14ac:dyDescent="0.3">
      <c r="A3632" t="s">
        <v>5</v>
      </c>
      <c r="B3632" s="1">
        <v>45809</v>
      </c>
      <c r="C3632">
        <v>8</v>
      </c>
      <c r="D3632">
        <v>7.3999999999999996E-2</v>
      </c>
      <c r="E3632" t="s">
        <v>6</v>
      </c>
      <c r="F3632">
        <v>0.15683000000000002</v>
      </c>
    </row>
    <row r="3633" spans="1:6" x14ac:dyDescent="0.3">
      <c r="A3633" t="s">
        <v>5</v>
      </c>
      <c r="B3633" s="1">
        <v>45809</v>
      </c>
      <c r="C3633">
        <v>9</v>
      </c>
      <c r="D3633">
        <v>9.9000000000000005E-2</v>
      </c>
      <c r="E3633" t="s">
        <v>6</v>
      </c>
      <c r="F3633">
        <v>8.1599999999999992E-2</v>
      </c>
    </row>
    <row r="3634" spans="1:6" x14ac:dyDescent="0.3">
      <c r="A3634" t="s">
        <v>5</v>
      </c>
      <c r="B3634" s="1">
        <v>45809</v>
      </c>
      <c r="C3634">
        <v>10</v>
      </c>
      <c r="D3634">
        <v>7.1999999999999995E-2</v>
      </c>
      <c r="E3634" t="s">
        <v>6</v>
      </c>
      <c r="F3634">
        <v>6.3070000000000001E-2</v>
      </c>
    </row>
    <row r="3635" spans="1:6" x14ac:dyDescent="0.3">
      <c r="A3635" t="s">
        <v>5</v>
      </c>
      <c r="B3635" s="1">
        <v>45809</v>
      </c>
      <c r="C3635">
        <v>11</v>
      </c>
      <c r="D3635">
        <v>8.5000000000000006E-2</v>
      </c>
      <c r="E3635" t="s">
        <v>6</v>
      </c>
      <c r="F3635">
        <v>5.9760000000000001E-2</v>
      </c>
    </row>
    <row r="3636" spans="1:6" x14ac:dyDescent="0.3">
      <c r="A3636" t="s">
        <v>5</v>
      </c>
      <c r="B3636" s="1">
        <v>45809</v>
      </c>
      <c r="C3636">
        <v>12</v>
      </c>
      <c r="D3636">
        <v>8.6999999999999994E-2</v>
      </c>
      <c r="E3636" t="s">
        <v>6</v>
      </c>
      <c r="F3636">
        <v>6.3149999999999998E-2</v>
      </c>
    </row>
    <row r="3637" spans="1:6" x14ac:dyDescent="0.3">
      <c r="A3637" t="s">
        <v>5</v>
      </c>
      <c r="B3637" s="1">
        <v>45809</v>
      </c>
      <c r="C3637">
        <v>13</v>
      </c>
      <c r="D3637">
        <v>7.1999999999999995E-2</v>
      </c>
      <c r="E3637" t="s">
        <v>6</v>
      </c>
      <c r="F3637">
        <v>5.9979999999999999E-2</v>
      </c>
    </row>
    <row r="3638" spans="1:6" x14ac:dyDescent="0.3">
      <c r="A3638" t="s">
        <v>5</v>
      </c>
      <c r="B3638" s="1">
        <v>45809</v>
      </c>
      <c r="C3638">
        <v>14</v>
      </c>
      <c r="D3638">
        <v>9.6000000000000002E-2</v>
      </c>
      <c r="E3638" t="s">
        <v>6</v>
      </c>
      <c r="F3638">
        <v>5.8279999999999998E-2</v>
      </c>
    </row>
    <row r="3639" spans="1:6" x14ac:dyDescent="0.3">
      <c r="A3639" t="s">
        <v>5</v>
      </c>
      <c r="B3639" s="1">
        <v>45809</v>
      </c>
      <c r="C3639">
        <v>15</v>
      </c>
      <c r="D3639">
        <v>7.5999999999999998E-2</v>
      </c>
      <c r="E3639" t="s">
        <v>6</v>
      </c>
      <c r="F3639">
        <v>5.8020000000000002E-2</v>
      </c>
    </row>
    <row r="3640" spans="1:6" x14ac:dyDescent="0.3">
      <c r="A3640" t="s">
        <v>5</v>
      </c>
      <c r="B3640" s="1">
        <v>45809</v>
      </c>
      <c r="C3640">
        <v>16</v>
      </c>
      <c r="D3640">
        <v>7.9000000000000001E-2</v>
      </c>
      <c r="E3640" t="s">
        <v>6</v>
      </c>
      <c r="F3640">
        <v>6.0600000000000001E-2</v>
      </c>
    </row>
    <row r="3641" spans="1:6" x14ac:dyDescent="0.3">
      <c r="A3641" t="s">
        <v>5</v>
      </c>
      <c r="B3641" s="1">
        <v>45809</v>
      </c>
      <c r="C3641">
        <v>17</v>
      </c>
      <c r="D3641">
        <v>9.4E-2</v>
      </c>
      <c r="E3641" t="s">
        <v>6</v>
      </c>
      <c r="F3641">
        <v>6.1340000000000006E-2</v>
      </c>
    </row>
    <row r="3642" spans="1:6" x14ac:dyDescent="0.3">
      <c r="A3642" t="s">
        <v>5</v>
      </c>
      <c r="B3642" s="1">
        <v>45809</v>
      </c>
      <c r="C3642">
        <v>18</v>
      </c>
      <c r="D3642">
        <v>7.1999999999999995E-2</v>
      </c>
      <c r="E3642" t="s">
        <v>6</v>
      </c>
      <c r="F3642">
        <v>6.5610000000000002E-2</v>
      </c>
    </row>
    <row r="3643" spans="1:6" x14ac:dyDescent="0.3">
      <c r="A3643" t="s">
        <v>5</v>
      </c>
      <c r="B3643" s="1">
        <v>45809</v>
      </c>
      <c r="C3643">
        <v>19</v>
      </c>
      <c r="D3643">
        <v>8.8999999999999996E-2</v>
      </c>
      <c r="E3643" t="s">
        <v>6</v>
      </c>
      <c r="F3643">
        <v>6.6420000000000007E-2</v>
      </c>
    </row>
    <row r="3644" spans="1:6" x14ac:dyDescent="0.3">
      <c r="A3644" t="s">
        <v>5</v>
      </c>
      <c r="B3644" s="1">
        <v>45809</v>
      </c>
      <c r="C3644">
        <v>20</v>
      </c>
      <c r="D3644">
        <v>9.7000000000000003E-2</v>
      </c>
      <c r="E3644" t="s">
        <v>6</v>
      </c>
      <c r="F3644">
        <v>9.1900000000000009E-2</v>
      </c>
    </row>
    <row r="3645" spans="1:6" x14ac:dyDescent="0.3">
      <c r="A3645" t="s">
        <v>5</v>
      </c>
      <c r="B3645" s="1">
        <v>45809</v>
      </c>
      <c r="C3645">
        <v>21</v>
      </c>
      <c r="D3645">
        <v>0.16800000000000001</v>
      </c>
      <c r="E3645" t="s">
        <v>6</v>
      </c>
      <c r="F3645">
        <v>0.10368000000000001</v>
      </c>
    </row>
    <row r="3646" spans="1:6" x14ac:dyDescent="0.3">
      <c r="A3646" t="s">
        <v>5</v>
      </c>
      <c r="B3646" s="1">
        <v>45809</v>
      </c>
      <c r="C3646">
        <v>22</v>
      </c>
      <c r="D3646">
        <v>0.20799999999999999</v>
      </c>
      <c r="E3646" t="s">
        <v>6</v>
      </c>
      <c r="F3646">
        <v>9.7879999999999995E-2</v>
      </c>
    </row>
    <row r="3647" spans="1:6" x14ac:dyDescent="0.3">
      <c r="A3647" t="s">
        <v>5</v>
      </c>
      <c r="B3647" s="1">
        <v>45809</v>
      </c>
      <c r="C3647">
        <v>23</v>
      </c>
      <c r="D3647">
        <v>0.23699999999999999</v>
      </c>
      <c r="E3647" t="s">
        <v>6</v>
      </c>
      <c r="F3647">
        <v>0.11247</v>
      </c>
    </row>
    <row r="3648" spans="1:6" x14ac:dyDescent="0.3">
      <c r="A3648" t="s">
        <v>5</v>
      </c>
      <c r="B3648" s="1">
        <v>45809</v>
      </c>
      <c r="C3648">
        <v>24</v>
      </c>
      <c r="D3648">
        <v>0.156</v>
      </c>
      <c r="E3648" t="s">
        <v>6</v>
      </c>
      <c r="F3648">
        <v>9.8680000000000004E-2</v>
      </c>
    </row>
    <row r="3649" spans="1:6" x14ac:dyDescent="0.3">
      <c r="A3649" t="s">
        <v>5</v>
      </c>
      <c r="B3649" s="1">
        <v>45810</v>
      </c>
      <c r="C3649">
        <v>1</v>
      </c>
      <c r="D3649">
        <v>0.159</v>
      </c>
      <c r="E3649" t="s">
        <v>6</v>
      </c>
      <c r="F3649">
        <v>9.3540000000000012E-2</v>
      </c>
    </row>
    <row r="3650" spans="1:6" x14ac:dyDescent="0.3">
      <c r="A3650" t="s">
        <v>5</v>
      </c>
      <c r="B3650" s="1">
        <v>45810</v>
      </c>
      <c r="C3650">
        <v>2</v>
      </c>
      <c r="D3650">
        <v>0.11799999999999999</v>
      </c>
      <c r="E3650" t="s">
        <v>6</v>
      </c>
      <c r="F3650">
        <v>9.1900000000000009E-2</v>
      </c>
    </row>
    <row r="3651" spans="1:6" x14ac:dyDescent="0.3">
      <c r="A3651" t="s">
        <v>5</v>
      </c>
      <c r="B3651" s="1">
        <v>45810</v>
      </c>
      <c r="C3651">
        <v>3</v>
      </c>
      <c r="D3651">
        <v>0.13900000000000001</v>
      </c>
      <c r="E3651" t="s">
        <v>6</v>
      </c>
      <c r="F3651">
        <v>9.3189999999999995E-2</v>
      </c>
    </row>
    <row r="3652" spans="1:6" x14ac:dyDescent="0.3">
      <c r="A3652" t="s">
        <v>5</v>
      </c>
      <c r="B3652" s="1">
        <v>45810</v>
      </c>
      <c r="C3652">
        <v>4</v>
      </c>
      <c r="D3652">
        <v>0.114</v>
      </c>
      <c r="E3652" t="s">
        <v>6</v>
      </c>
      <c r="F3652">
        <v>8.6639999999999995E-2</v>
      </c>
    </row>
    <row r="3653" spans="1:6" x14ac:dyDescent="0.3">
      <c r="A3653" t="s">
        <v>5</v>
      </c>
      <c r="B3653" s="1">
        <v>45810</v>
      </c>
      <c r="C3653">
        <v>5</v>
      </c>
      <c r="D3653">
        <v>0.127</v>
      </c>
      <c r="E3653" t="s">
        <v>6</v>
      </c>
      <c r="F3653">
        <v>8.7749999999999995E-2</v>
      </c>
    </row>
    <row r="3654" spans="1:6" x14ac:dyDescent="0.3">
      <c r="A3654" t="s">
        <v>5</v>
      </c>
      <c r="B3654" s="1">
        <v>45810</v>
      </c>
      <c r="C3654">
        <v>6</v>
      </c>
      <c r="D3654">
        <v>0.121</v>
      </c>
      <c r="E3654" t="s">
        <v>6</v>
      </c>
      <c r="F3654">
        <v>8.4669999999999995E-2</v>
      </c>
    </row>
    <row r="3655" spans="1:6" x14ac:dyDescent="0.3">
      <c r="A3655" t="s">
        <v>5</v>
      </c>
      <c r="B3655" s="1">
        <v>45810</v>
      </c>
      <c r="C3655">
        <v>7</v>
      </c>
      <c r="D3655">
        <v>0.109</v>
      </c>
      <c r="E3655" t="s">
        <v>6</v>
      </c>
      <c r="F3655">
        <v>9.9650000000000002E-2</v>
      </c>
    </row>
    <row r="3656" spans="1:6" x14ac:dyDescent="0.3">
      <c r="A3656" t="s">
        <v>5</v>
      </c>
      <c r="B3656" s="1">
        <v>45810</v>
      </c>
      <c r="C3656">
        <v>8</v>
      </c>
      <c r="D3656">
        <v>0.186</v>
      </c>
      <c r="E3656" t="s">
        <v>6</v>
      </c>
      <c r="F3656">
        <v>0.10440000000000001</v>
      </c>
    </row>
    <row r="3657" spans="1:6" x14ac:dyDescent="0.3">
      <c r="A3657" t="s">
        <v>5</v>
      </c>
      <c r="B3657" s="1">
        <v>45810</v>
      </c>
      <c r="C3657">
        <v>9</v>
      </c>
      <c r="D3657">
        <v>0.13300000000000001</v>
      </c>
      <c r="E3657" t="s">
        <v>6</v>
      </c>
      <c r="F3657">
        <v>0.13434000000000001</v>
      </c>
    </row>
    <row r="3658" spans="1:6" x14ac:dyDescent="0.3">
      <c r="A3658" t="s">
        <v>5</v>
      </c>
      <c r="B3658" s="1">
        <v>45810</v>
      </c>
      <c r="C3658">
        <v>10</v>
      </c>
      <c r="D3658">
        <v>0.13600000000000001</v>
      </c>
      <c r="E3658" t="s">
        <v>6</v>
      </c>
      <c r="F3658">
        <v>0.12081</v>
      </c>
    </row>
    <row r="3659" spans="1:6" x14ac:dyDescent="0.3">
      <c r="A3659" t="s">
        <v>5</v>
      </c>
      <c r="B3659" s="1">
        <v>45810</v>
      </c>
      <c r="C3659">
        <v>11</v>
      </c>
      <c r="D3659">
        <v>0.109</v>
      </c>
      <c r="E3659" t="s">
        <v>6</v>
      </c>
      <c r="F3659">
        <v>0.16219</v>
      </c>
    </row>
    <row r="3660" spans="1:6" x14ac:dyDescent="0.3">
      <c r="A3660" t="s">
        <v>5</v>
      </c>
      <c r="B3660" s="1">
        <v>45810</v>
      </c>
      <c r="C3660">
        <v>12</v>
      </c>
      <c r="D3660">
        <v>0.127</v>
      </c>
      <c r="E3660" t="s">
        <v>6</v>
      </c>
      <c r="F3660">
        <v>0.14632000000000001</v>
      </c>
    </row>
    <row r="3661" spans="1:6" x14ac:dyDescent="0.3">
      <c r="A3661" t="s">
        <v>5</v>
      </c>
      <c r="B3661" s="1">
        <v>45810</v>
      </c>
      <c r="C3661">
        <v>13</v>
      </c>
      <c r="D3661">
        <v>0.121</v>
      </c>
      <c r="E3661" t="s">
        <v>6</v>
      </c>
      <c r="F3661">
        <v>0.14388999999999999</v>
      </c>
    </row>
    <row r="3662" spans="1:6" x14ac:dyDescent="0.3">
      <c r="A3662" t="s">
        <v>5</v>
      </c>
      <c r="B3662" s="1">
        <v>45810</v>
      </c>
      <c r="C3662">
        <v>14</v>
      </c>
      <c r="D3662">
        <v>0.17399999999999999</v>
      </c>
      <c r="E3662" t="s">
        <v>6</v>
      </c>
      <c r="F3662">
        <v>0.14050000000000001</v>
      </c>
    </row>
    <row r="3663" spans="1:6" x14ac:dyDescent="0.3">
      <c r="A3663" t="s">
        <v>5</v>
      </c>
      <c r="B3663" s="1">
        <v>45810</v>
      </c>
      <c r="C3663">
        <v>15</v>
      </c>
      <c r="D3663">
        <v>0.10100000000000001</v>
      </c>
      <c r="E3663" t="s">
        <v>6</v>
      </c>
      <c r="F3663">
        <v>7.5019999999999989E-2</v>
      </c>
    </row>
    <row r="3664" spans="1:6" x14ac:dyDescent="0.3">
      <c r="A3664" t="s">
        <v>5</v>
      </c>
      <c r="B3664" s="1">
        <v>45810</v>
      </c>
      <c r="C3664">
        <v>16</v>
      </c>
      <c r="D3664">
        <v>0.11700000000000001</v>
      </c>
      <c r="E3664" t="s">
        <v>6</v>
      </c>
      <c r="F3664">
        <v>7.5639999999999999E-2</v>
      </c>
    </row>
    <row r="3665" spans="1:6" x14ac:dyDescent="0.3">
      <c r="A3665" t="s">
        <v>5</v>
      </c>
      <c r="B3665" s="1">
        <v>45810</v>
      </c>
      <c r="C3665">
        <v>17</v>
      </c>
      <c r="D3665">
        <v>1.0429999999999999</v>
      </c>
      <c r="E3665" t="s">
        <v>6</v>
      </c>
      <c r="F3665">
        <v>7.5900000000000009E-2</v>
      </c>
    </row>
    <row r="3666" spans="1:6" x14ac:dyDescent="0.3">
      <c r="A3666" t="s">
        <v>5</v>
      </c>
      <c r="B3666" s="1">
        <v>45810</v>
      </c>
      <c r="C3666">
        <v>18</v>
      </c>
      <c r="D3666">
        <v>1.2649999999999999</v>
      </c>
      <c r="E3666" t="s">
        <v>6</v>
      </c>
      <c r="F3666">
        <v>7.7709999999999987E-2</v>
      </c>
    </row>
    <row r="3667" spans="1:6" x14ac:dyDescent="0.3">
      <c r="A3667" t="s">
        <v>5</v>
      </c>
      <c r="B3667" s="1">
        <v>45810</v>
      </c>
      <c r="C3667">
        <v>19</v>
      </c>
      <c r="D3667">
        <v>0.81200000000000006</v>
      </c>
      <c r="E3667" t="s">
        <v>6</v>
      </c>
      <c r="F3667">
        <v>0.16072</v>
      </c>
    </row>
    <row r="3668" spans="1:6" x14ac:dyDescent="0.3">
      <c r="A3668" t="s">
        <v>5</v>
      </c>
      <c r="B3668" s="1">
        <v>45810</v>
      </c>
      <c r="C3668">
        <v>20</v>
      </c>
      <c r="D3668">
        <v>1.036</v>
      </c>
      <c r="E3668" t="s">
        <v>6</v>
      </c>
      <c r="F3668">
        <v>0.18647</v>
      </c>
    </row>
    <row r="3669" spans="1:6" x14ac:dyDescent="0.3">
      <c r="A3669" t="s">
        <v>5</v>
      </c>
      <c r="B3669" s="1">
        <v>45810</v>
      </c>
      <c r="C3669">
        <v>21</v>
      </c>
      <c r="D3669">
        <v>0.94299999999999995</v>
      </c>
      <c r="E3669" t="s">
        <v>6</v>
      </c>
      <c r="F3669">
        <v>0.23583999999999999</v>
      </c>
    </row>
    <row r="3670" spans="1:6" x14ac:dyDescent="0.3">
      <c r="A3670" t="s">
        <v>5</v>
      </c>
      <c r="B3670" s="1">
        <v>45810</v>
      </c>
      <c r="C3670">
        <v>22</v>
      </c>
      <c r="D3670">
        <v>0.49</v>
      </c>
      <c r="E3670" t="s">
        <v>6</v>
      </c>
      <c r="F3670">
        <v>0.24578999999999998</v>
      </c>
    </row>
    <row r="3671" spans="1:6" x14ac:dyDescent="0.3">
      <c r="A3671" t="s">
        <v>5</v>
      </c>
      <c r="B3671" s="1">
        <v>45810</v>
      </c>
      <c r="C3671">
        <v>23</v>
      </c>
      <c r="D3671">
        <v>1.024</v>
      </c>
      <c r="E3671" t="s">
        <v>6</v>
      </c>
      <c r="F3671">
        <v>0.17934</v>
      </c>
    </row>
    <row r="3672" spans="1:6" x14ac:dyDescent="0.3">
      <c r="A3672" t="s">
        <v>5</v>
      </c>
      <c r="B3672" s="1">
        <v>45810</v>
      </c>
      <c r="C3672">
        <v>24</v>
      </c>
      <c r="D3672">
        <v>1.0409999999999999</v>
      </c>
      <c r="E3672" t="s">
        <v>6</v>
      </c>
      <c r="F3672">
        <v>0.14792</v>
      </c>
    </row>
    <row r="3673" spans="1:6" x14ac:dyDescent="0.3">
      <c r="A3673" t="s">
        <v>5</v>
      </c>
      <c r="B3673" s="1">
        <v>45811</v>
      </c>
      <c r="C3673">
        <v>1</v>
      </c>
      <c r="D3673">
        <v>0.57499999999999996</v>
      </c>
      <c r="E3673" t="s">
        <v>6</v>
      </c>
      <c r="F3673">
        <v>0.12966999999999998</v>
      </c>
    </row>
    <row r="3674" spans="1:6" x14ac:dyDescent="0.3">
      <c r="A3674" t="s">
        <v>5</v>
      </c>
      <c r="B3674" s="1">
        <v>45811</v>
      </c>
      <c r="C3674">
        <v>2</v>
      </c>
      <c r="D3674">
        <v>0.188</v>
      </c>
      <c r="E3674" t="s">
        <v>6</v>
      </c>
      <c r="F3674">
        <v>0.1211</v>
      </c>
    </row>
    <row r="3675" spans="1:6" x14ac:dyDescent="0.3">
      <c r="A3675" t="s">
        <v>5</v>
      </c>
      <c r="B3675" s="1">
        <v>45811</v>
      </c>
      <c r="C3675">
        <v>3</v>
      </c>
      <c r="D3675">
        <v>0.20100000000000001</v>
      </c>
      <c r="E3675" t="s">
        <v>6</v>
      </c>
      <c r="F3675">
        <v>0.12204999999999999</v>
      </c>
    </row>
    <row r="3676" spans="1:6" x14ac:dyDescent="0.3">
      <c r="A3676" t="s">
        <v>5</v>
      </c>
      <c r="B3676" s="1">
        <v>45811</v>
      </c>
      <c r="C3676">
        <v>4</v>
      </c>
      <c r="D3676">
        <v>0.17399999999999999</v>
      </c>
      <c r="E3676" t="s">
        <v>6</v>
      </c>
      <c r="F3676">
        <v>0.11906</v>
      </c>
    </row>
    <row r="3677" spans="1:6" x14ac:dyDescent="0.3">
      <c r="A3677" t="s">
        <v>5</v>
      </c>
      <c r="B3677" s="1">
        <v>45811</v>
      </c>
      <c r="C3677">
        <v>5</v>
      </c>
      <c r="D3677">
        <v>0.20100000000000001</v>
      </c>
      <c r="E3677" t="s">
        <v>6</v>
      </c>
      <c r="F3677">
        <v>0.1192</v>
      </c>
    </row>
    <row r="3678" spans="1:6" x14ac:dyDescent="0.3">
      <c r="A3678" t="s">
        <v>5</v>
      </c>
      <c r="B3678" s="1">
        <v>45811</v>
      </c>
      <c r="C3678">
        <v>6</v>
      </c>
      <c r="D3678">
        <v>0.17699999999999999</v>
      </c>
      <c r="E3678" t="s">
        <v>6</v>
      </c>
      <c r="F3678">
        <v>0.12905</v>
      </c>
    </row>
    <row r="3679" spans="1:6" x14ac:dyDescent="0.3">
      <c r="A3679" t="s">
        <v>5</v>
      </c>
      <c r="B3679" s="1">
        <v>45811</v>
      </c>
      <c r="C3679">
        <v>7</v>
      </c>
      <c r="D3679">
        <v>0.182</v>
      </c>
      <c r="E3679" t="s">
        <v>6</v>
      </c>
      <c r="F3679">
        <v>0.14530999999999999</v>
      </c>
    </row>
    <row r="3680" spans="1:6" x14ac:dyDescent="0.3">
      <c r="A3680" t="s">
        <v>5</v>
      </c>
      <c r="B3680" s="1">
        <v>45811</v>
      </c>
      <c r="C3680">
        <v>8</v>
      </c>
      <c r="D3680">
        <v>0.183</v>
      </c>
      <c r="E3680" t="s">
        <v>6</v>
      </c>
      <c r="F3680">
        <v>0.15562000000000001</v>
      </c>
    </row>
    <row r="3681" spans="1:6" x14ac:dyDescent="0.3">
      <c r="A3681" t="s">
        <v>5</v>
      </c>
      <c r="B3681" s="1">
        <v>45811</v>
      </c>
      <c r="C3681">
        <v>9</v>
      </c>
      <c r="D3681">
        <v>0.38100000000000001</v>
      </c>
      <c r="E3681" t="s">
        <v>6</v>
      </c>
      <c r="F3681">
        <v>0.15143999999999999</v>
      </c>
    </row>
    <row r="3682" spans="1:6" x14ac:dyDescent="0.3">
      <c r="A3682" t="s">
        <v>5</v>
      </c>
      <c r="B3682" s="1">
        <v>45811</v>
      </c>
      <c r="C3682">
        <v>10</v>
      </c>
      <c r="D3682">
        <v>1.0569999999999999</v>
      </c>
      <c r="E3682" t="s">
        <v>6</v>
      </c>
      <c r="F3682">
        <v>0.12093000000000001</v>
      </c>
    </row>
    <row r="3683" spans="1:6" x14ac:dyDescent="0.3">
      <c r="A3683" t="s">
        <v>5</v>
      </c>
      <c r="B3683" s="1">
        <v>45811</v>
      </c>
      <c r="C3683">
        <v>11</v>
      </c>
      <c r="D3683">
        <v>1.01</v>
      </c>
      <c r="E3683" t="s">
        <v>6</v>
      </c>
      <c r="F3683">
        <v>0.16377</v>
      </c>
    </row>
    <row r="3684" spans="1:6" x14ac:dyDescent="0.3">
      <c r="A3684" t="s">
        <v>5</v>
      </c>
      <c r="B3684" s="1">
        <v>45811</v>
      </c>
      <c r="C3684">
        <v>12</v>
      </c>
      <c r="D3684">
        <v>0.98599999999999999</v>
      </c>
      <c r="E3684" t="s">
        <v>6</v>
      </c>
      <c r="F3684">
        <v>0.13347000000000001</v>
      </c>
    </row>
    <row r="3685" spans="1:6" x14ac:dyDescent="0.3">
      <c r="A3685" t="s">
        <v>5</v>
      </c>
      <c r="B3685" s="1">
        <v>45811</v>
      </c>
      <c r="C3685">
        <v>13</v>
      </c>
      <c r="D3685">
        <v>0.92400000000000004</v>
      </c>
      <c r="E3685" t="s">
        <v>6</v>
      </c>
      <c r="F3685">
        <v>0.12900999999999999</v>
      </c>
    </row>
    <row r="3686" spans="1:6" x14ac:dyDescent="0.3">
      <c r="A3686" t="s">
        <v>5</v>
      </c>
      <c r="B3686" s="1">
        <v>45811</v>
      </c>
      <c r="C3686">
        <v>14</v>
      </c>
      <c r="D3686">
        <v>0.218</v>
      </c>
      <c r="E3686" t="s">
        <v>6</v>
      </c>
      <c r="F3686">
        <v>0.12518000000000001</v>
      </c>
    </row>
    <row r="3687" spans="1:6" x14ac:dyDescent="0.3">
      <c r="A3687" t="s">
        <v>5</v>
      </c>
      <c r="B3687" s="1">
        <v>45811</v>
      </c>
      <c r="C3687">
        <v>15</v>
      </c>
      <c r="D3687">
        <v>0.379</v>
      </c>
      <c r="E3687" t="s">
        <v>6</v>
      </c>
      <c r="F3687">
        <v>6.0159999999999998E-2</v>
      </c>
    </row>
    <row r="3688" spans="1:6" x14ac:dyDescent="0.3">
      <c r="A3688" t="s">
        <v>5</v>
      </c>
      <c r="B3688" s="1">
        <v>45811</v>
      </c>
      <c r="C3688">
        <v>16</v>
      </c>
      <c r="D3688">
        <v>0.222</v>
      </c>
      <c r="E3688" t="s">
        <v>6</v>
      </c>
      <c r="F3688">
        <v>6.0749999999999998E-2</v>
      </c>
    </row>
    <row r="3689" spans="1:6" x14ac:dyDescent="0.3">
      <c r="A3689" t="s">
        <v>5</v>
      </c>
      <c r="B3689" s="1">
        <v>45811</v>
      </c>
      <c r="C3689">
        <v>17</v>
      </c>
      <c r="D3689">
        <v>0.996</v>
      </c>
      <c r="E3689" t="s">
        <v>6</v>
      </c>
      <c r="F3689">
        <v>6.1069999999999999E-2</v>
      </c>
    </row>
    <row r="3690" spans="1:6" x14ac:dyDescent="0.3">
      <c r="A3690" t="s">
        <v>5</v>
      </c>
      <c r="B3690" s="1">
        <v>45811</v>
      </c>
      <c r="C3690">
        <v>18</v>
      </c>
      <c r="D3690">
        <v>0.96099999999999997</v>
      </c>
      <c r="E3690" t="s">
        <v>6</v>
      </c>
      <c r="F3690">
        <v>6.4340000000000008E-2</v>
      </c>
    </row>
    <row r="3691" spans="1:6" x14ac:dyDescent="0.3">
      <c r="A3691" t="s">
        <v>5</v>
      </c>
      <c r="B3691" s="1">
        <v>45811</v>
      </c>
      <c r="C3691">
        <v>19</v>
      </c>
      <c r="D3691">
        <v>0.64500000000000002</v>
      </c>
      <c r="E3691" t="s">
        <v>6</v>
      </c>
      <c r="F3691">
        <v>0.14928</v>
      </c>
    </row>
    <row r="3692" spans="1:6" x14ac:dyDescent="0.3">
      <c r="A3692" t="s">
        <v>5</v>
      </c>
      <c r="B3692" s="1">
        <v>45811</v>
      </c>
      <c r="C3692">
        <v>20</v>
      </c>
      <c r="D3692">
        <v>0.20200000000000001</v>
      </c>
      <c r="E3692" t="s">
        <v>6</v>
      </c>
      <c r="F3692">
        <v>0.1731</v>
      </c>
    </row>
    <row r="3693" spans="1:6" x14ac:dyDescent="0.3">
      <c r="A3693" t="s">
        <v>5</v>
      </c>
      <c r="B3693" s="1">
        <v>45811</v>
      </c>
      <c r="C3693">
        <v>21</v>
      </c>
      <c r="D3693">
        <v>7.8E-2</v>
      </c>
      <c r="E3693" t="s">
        <v>6</v>
      </c>
      <c r="F3693">
        <v>0.18875</v>
      </c>
    </row>
    <row r="3694" spans="1:6" x14ac:dyDescent="0.3">
      <c r="A3694" t="s">
        <v>5</v>
      </c>
      <c r="B3694" s="1">
        <v>45811</v>
      </c>
      <c r="C3694">
        <v>22</v>
      </c>
      <c r="D3694">
        <v>0.34799999999999998</v>
      </c>
      <c r="E3694" t="s">
        <v>6</v>
      </c>
      <c r="F3694">
        <v>0.24418000000000001</v>
      </c>
    </row>
    <row r="3695" spans="1:6" x14ac:dyDescent="0.3">
      <c r="A3695" t="s">
        <v>5</v>
      </c>
      <c r="B3695" s="1">
        <v>45811</v>
      </c>
      <c r="C3695">
        <v>23</v>
      </c>
      <c r="D3695">
        <v>1.244</v>
      </c>
      <c r="E3695" t="s">
        <v>6</v>
      </c>
      <c r="F3695">
        <v>0.18037</v>
      </c>
    </row>
    <row r="3696" spans="1:6" x14ac:dyDescent="0.3">
      <c r="A3696" t="s">
        <v>5</v>
      </c>
      <c r="B3696" s="1">
        <v>45811</v>
      </c>
      <c r="C3696">
        <v>24</v>
      </c>
      <c r="D3696">
        <v>1.3</v>
      </c>
      <c r="E3696" t="s">
        <v>6</v>
      </c>
      <c r="F3696">
        <v>0.16831000000000002</v>
      </c>
    </row>
    <row r="3697" spans="1:6" x14ac:dyDescent="0.3">
      <c r="A3697" t="s">
        <v>5</v>
      </c>
      <c r="B3697" s="1">
        <v>45812</v>
      </c>
      <c r="C3697">
        <v>1</v>
      </c>
      <c r="D3697">
        <v>0.82499999999999996</v>
      </c>
      <c r="E3697" t="s">
        <v>6</v>
      </c>
      <c r="F3697">
        <v>0.13569999999999999</v>
      </c>
    </row>
    <row r="3698" spans="1:6" x14ac:dyDescent="0.3">
      <c r="A3698" t="s">
        <v>5</v>
      </c>
      <c r="B3698" s="1">
        <v>45812</v>
      </c>
      <c r="C3698">
        <v>2</v>
      </c>
      <c r="D3698">
        <v>0.221</v>
      </c>
      <c r="E3698" t="s">
        <v>6</v>
      </c>
      <c r="F3698">
        <v>0.1295</v>
      </c>
    </row>
    <row r="3699" spans="1:6" x14ac:dyDescent="0.3">
      <c r="A3699" t="s">
        <v>5</v>
      </c>
      <c r="B3699" s="1">
        <v>45812</v>
      </c>
      <c r="C3699">
        <v>3</v>
      </c>
      <c r="D3699">
        <v>0.19400000000000001</v>
      </c>
      <c r="E3699" t="s">
        <v>6</v>
      </c>
      <c r="F3699">
        <v>0.12525</v>
      </c>
    </row>
    <row r="3700" spans="1:6" x14ac:dyDescent="0.3">
      <c r="A3700" t="s">
        <v>5</v>
      </c>
      <c r="B3700" s="1">
        <v>45812</v>
      </c>
      <c r="C3700">
        <v>4</v>
      </c>
      <c r="D3700">
        <v>0.17899999999999999</v>
      </c>
      <c r="E3700" t="s">
        <v>6</v>
      </c>
      <c r="F3700">
        <v>0.12218999999999999</v>
      </c>
    </row>
    <row r="3701" spans="1:6" x14ac:dyDescent="0.3">
      <c r="A3701" t="s">
        <v>5</v>
      </c>
      <c r="B3701" s="1">
        <v>45812</v>
      </c>
      <c r="C3701">
        <v>5</v>
      </c>
      <c r="D3701">
        <v>0.20599999999999999</v>
      </c>
      <c r="E3701" t="s">
        <v>6</v>
      </c>
      <c r="F3701">
        <v>0.12145</v>
      </c>
    </row>
    <row r="3702" spans="1:6" x14ac:dyDescent="0.3">
      <c r="A3702" t="s">
        <v>5</v>
      </c>
      <c r="B3702" s="1">
        <v>45812</v>
      </c>
      <c r="C3702">
        <v>6</v>
      </c>
      <c r="D3702">
        <v>0.182</v>
      </c>
      <c r="E3702" t="s">
        <v>6</v>
      </c>
      <c r="F3702">
        <v>0.12731000000000001</v>
      </c>
    </row>
    <row r="3703" spans="1:6" x14ac:dyDescent="0.3">
      <c r="A3703" t="s">
        <v>5</v>
      </c>
      <c r="B3703" s="1">
        <v>45812</v>
      </c>
      <c r="C3703">
        <v>7</v>
      </c>
      <c r="D3703">
        <v>0.17499999999999999</v>
      </c>
      <c r="E3703" t="s">
        <v>6</v>
      </c>
      <c r="F3703">
        <v>0.14383000000000001</v>
      </c>
    </row>
    <row r="3704" spans="1:6" x14ac:dyDescent="0.3">
      <c r="A3704" t="s">
        <v>5</v>
      </c>
      <c r="B3704" s="1">
        <v>45812</v>
      </c>
      <c r="C3704">
        <v>8</v>
      </c>
      <c r="D3704">
        <v>0.19800000000000001</v>
      </c>
      <c r="E3704" t="s">
        <v>6</v>
      </c>
      <c r="F3704">
        <v>0.15118999999999999</v>
      </c>
    </row>
    <row r="3705" spans="1:6" x14ac:dyDescent="0.3">
      <c r="A3705" t="s">
        <v>5</v>
      </c>
      <c r="B3705" s="1">
        <v>45812</v>
      </c>
      <c r="C3705">
        <v>9</v>
      </c>
      <c r="D3705">
        <v>0.16</v>
      </c>
      <c r="E3705" t="s">
        <v>6</v>
      </c>
      <c r="F3705">
        <v>0.14574000000000001</v>
      </c>
    </row>
    <row r="3706" spans="1:6" x14ac:dyDescent="0.3">
      <c r="A3706" t="s">
        <v>5</v>
      </c>
      <c r="B3706" s="1">
        <v>45812</v>
      </c>
      <c r="C3706">
        <v>10</v>
      </c>
      <c r="D3706">
        <v>0.13300000000000001</v>
      </c>
      <c r="E3706" t="s">
        <v>6</v>
      </c>
      <c r="F3706">
        <v>0.11315</v>
      </c>
    </row>
    <row r="3707" spans="1:6" x14ac:dyDescent="0.3">
      <c r="A3707" t="s">
        <v>5</v>
      </c>
      <c r="B3707" s="1">
        <v>45812</v>
      </c>
      <c r="C3707">
        <v>11</v>
      </c>
      <c r="D3707">
        <v>0.124</v>
      </c>
      <c r="E3707" t="s">
        <v>6</v>
      </c>
      <c r="F3707">
        <v>0.16006000000000001</v>
      </c>
    </row>
    <row r="3708" spans="1:6" x14ac:dyDescent="0.3">
      <c r="A3708" t="s">
        <v>5</v>
      </c>
      <c r="B3708" s="1">
        <v>45812</v>
      </c>
      <c r="C3708">
        <v>12</v>
      </c>
      <c r="D3708">
        <v>7.6999999999999999E-2</v>
      </c>
      <c r="E3708" t="s">
        <v>6</v>
      </c>
      <c r="F3708">
        <v>0.12988999999999998</v>
      </c>
    </row>
    <row r="3709" spans="1:6" x14ac:dyDescent="0.3">
      <c r="A3709" t="s">
        <v>5</v>
      </c>
      <c r="B3709" s="1">
        <v>45812</v>
      </c>
      <c r="C3709">
        <v>13</v>
      </c>
      <c r="D3709">
        <v>8.6999999999999994E-2</v>
      </c>
      <c r="E3709" t="s">
        <v>6</v>
      </c>
      <c r="F3709">
        <v>0.12840000000000001</v>
      </c>
    </row>
    <row r="3710" spans="1:6" x14ac:dyDescent="0.3">
      <c r="A3710" t="s">
        <v>5</v>
      </c>
      <c r="B3710" s="1">
        <v>45812</v>
      </c>
      <c r="C3710">
        <v>14</v>
      </c>
      <c r="D3710">
        <v>9.5000000000000001E-2</v>
      </c>
      <c r="E3710" t="s">
        <v>6</v>
      </c>
      <c r="F3710">
        <v>0.12556</v>
      </c>
    </row>
    <row r="3711" spans="1:6" x14ac:dyDescent="0.3">
      <c r="A3711" t="s">
        <v>5</v>
      </c>
      <c r="B3711" s="1">
        <v>45812</v>
      </c>
      <c r="C3711">
        <v>15</v>
      </c>
      <c r="D3711">
        <v>7.5999999999999998E-2</v>
      </c>
      <c r="E3711" t="s">
        <v>6</v>
      </c>
      <c r="F3711">
        <v>5.8470000000000001E-2</v>
      </c>
    </row>
    <row r="3712" spans="1:6" x14ac:dyDescent="0.3">
      <c r="A3712" t="s">
        <v>5</v>
      </c>
      <c r="B3712" s="1">
        <v>45812</v>
      </c>
      <c r="C3712">
        <v>16</v>
      </c>
      <c r="D3712">
        <v>9.4E-2</v>
      </c>
      <c r="E3712" t="s">
        <v>6</v>
      </c>
      <c r="F3712">
        <v>5.7340000000000002E-2</v>
      </c>
    </row>
    <row r="3713" spans="1:6" x14ac:dyDescent="0.3">
      <c r="A3713" t="s">
        <v>5</v>
      </c>
      <c r="B3713" s="1">
        <v>45812</v>
      </c>
      <c r="C3713">
        <v>17</v>
      </c>
      <c r="D3713">
        <v>8.5999999999999993E-2</v>
      </c>
      <c r="E3713" t="s">
        <v>6</v>
      </c>
      <c r="F3713">
        <v>5.7299999999999997E-2</v>
      </c>
    </row>
    <row r="3714" spans="1:6" x14ac:dyDescent="0.3">
      <c r="A3714" t="s">
        <v>5</v>
      </c>
      <c r="B3714" s="1">
        <v>45812</v>
      </c>
      <c r="C3714">
        <v>18</v>
      </c>
      <c r="D3714">
        <v>7.5999999999999998E-2</v>
      </c>
      <c r="E3714" t="s">
        <v>6</v>
      </c>
      <c r="F3714">
        <v>6.412000000000001E-2</v>
      </c>
    </row>
    <row r="3715" spans="1:6" x14ac:dyDescent="0.3">
      <c r="A3715" t="s">
        <v>5</v>
      </c>
      <c r="B3715" s="1">
        <v>45812</v>
      </c>
      <c r="C3715">
        <v>19</v>
      </c>
      <c r="D3715">
        <v>0.34300000000000003</v>
      </c>
      <c r="E3715" t="s">
        <v>6</v>
      </c>
      <c r="F3715">
        <v>0.15738999999999997</v>
      </c>
    </row>
    <row r="3716" spans="1:6" x14ac:dyDescent="0.3">
      <c r="A3716" t="s">
        <v>5</v>
      </c>
      <c r="B3716" s="1">
        <v>45812</v>
      </c>
      <c r="C3716">
        <v>20</v>
      </c>
      <c r="D3716">
        <v>1.163</v>
      </c>
      <c r="E3716" t="s">
        <v>6</v>
      </c>
      <c r="F3716">
        <v>0.19468000000000002</v>
      </c>
    </row>
    <row r="3717" spans="1:6" x14ac:dyDescent="0.3">
      <c r="A3717" t="s">
        <v>5</v>
      </c>
      <c r="B3717" s="1">
        <v>45812</v>
      </c>
      <c r="C3717">
        <v>21</v>
      </c>
      <c r="D3717">
        <v>0.97399999999999998</v>
      </c>
      <c r="E3717" t="s">
        <v>6</v>
      </c>
      <c r="F3717">
        <v>0.24180000000000001</v>
      </c>
    </row>
    <row r="3718" spans="1:6" x14ac:dyDescent="0.3">
      <c r="A3718" t="s">
        <v>5</v>
      </c>
      <c r="B3718" s="1">
        <v>45812</v>
      </c>
      <c r="C3718">
        <v>22</v>
      </c>
      <c r="D3718">
        <v>0.64</v>
      </c>
      <c r="E3718" t="s">
        <v>6</v>
      </c>
      <c r="F3718">
        <v>0.26003999999999999</v>
      </c>
    </row>
    <row r="3719" spans="1:6" x14ac:dyDescent="0.3">
      <c r="A3719" t="s">
        <v>5</v>
      </c>
      <c r="B3719" s="1">
        <v>45812</v>
      </c>
      <c r="C3719">
        <v>23</v>
      </c>
      <c r="D3719">
        <v>1.008</v>
      </c>
      <c r="E3719" t="s">
        <v>6</v>
      </c>
      <c r="F3719">
        <v>0.19097</v>
      </c>
    </row>
    <row r="3720" spans="1:6" x14ac:dyDescent="0.3">
      <c r="A3720" t="s">
        <v>5</v>
      </c>
      <c r="B3720" s="1">
        <v>45812</v>
      </c>
      <c r="C3720">
        <v>24</v>
      </c>
      <c r="D3720">
        <v>0.8</v>
      </c>
      <c r="E3720" t="s">
        <v>6</v>
      </c>
      <c r="F3720">
        <v>0.16783000000000001</v>
      </c>
    </row>
    <row r="3721" spans="1:6" x14ac:dyDescent="0.3">
      <c r="A3721" t="s">
        <v>5</v>
      </c>
      <c r="B3721" s="1">
        <v>45813</v>
      </c>
      <c r="C3721">
        <v>1</v>
      </c>
      <c r="D3721">
        <v>0.184</v>
      </c>
      <c r="E3721" t="s">
        <v>6</v>
      </c>
      <c r="F3721">
        <v>0.15669999999999998</v>
      </c>
    </row>
    <row r="3722" spans="1:6" x14ac:dyDescent="0.3">
      <c r="A3722" t="s">
        <v>5</v>
      </c>
      <c r="B3722" s="1">
        <v>45813</v>
      </c>
      <c r="C3722">
        <v>2</v>
      </c>
      <c r="D3722">
        <v>0.19500000000000001</v>
      </c>
      <c r="E3722" t="s">
        <v>6</v>
      </c>
      <c r="F3722">
        <v>0.14236000000000001</v>
      </c>
    </row>
    <row r="3723" spans="1:6" x14ac:dyDescent="0.3">
      <c r="A3723" t="s">
        <v>5</v>
      </c>
      <c r="B3723" s="1">
        <v>45813</v>
      </c>
      <c r="C3723">
        <v>3</v>
      </c>
      <c r="D3723">
        <v>0.17499999999999999</v>
      </c>
      <c r="E3723" t="s">
        <v>6</v>
      </c>
      <c r="F3723">
        <v>0.14177000000000001</v>
      </c>
    </row>
    <row r="3724" spans="1:6" x14ac:dyDescent="0.3">
      <c r="A3724" t="s">
        <v>5</v>
      </c>
      <c r="B3724" s="1">
        <v>45813</v>
      </c>
      <c r="C3724">
        <v>4</v>
      </c>
      <c r="D3724">
        <v>0.183</v>
      </c>
      <c r="E3724" t="s">
        <v>6</v>
      </c>
      <c r="F3724">
        <v>0.13669999999999999</v>
      </c>
    </row>
    <row r="3725" spans="1:6" x14ac:dyDescent="0.3">
      <c r="A3725" t="s">
        <v>5</v>
      </c>
      <c r="B3725" s="1">
        <v>45813</v>
      </c>
      <c r="C3725">
        <v>5</v>
      </c>
      <c r="D3725">
        <v>0.185</v>
      </c>
      <c r="E3725" t="s">
        <v>6</v>
      </c>
      <c r="F3725">
        <v>0.13669999999999999</v>
      </c>
    </row>
    <row r="3726" spans="1:6" x14ac:dyDescent="0.3">
      <c r="A3726" t="s">
        <v>5</v>
      </c>
      <c r="B3726" s="1">
        <v>45813</v>
      </c>
      <c r="C3726">
        <v>6</v>
      </c>
      <c r="D3726">
        <v>0.17299999999999999</v>
      </c>
      <c r="E3726" t="s">
        <v>6</v>
      </c>
      <c r="F3726">
        <v>0.13735</v>
      </c>
    </row>
    <row r="3727" spans="1:6" x14ac:dyDescent="0.3">
      <c r="A3727" t="s">
        <v>5</v>
      </c>
      <c r="B3727" s="1">
        <v>45813</v>
      </c>
      <c r="C3727">
        <v>7</v>
      </c>
      <c r="D3727">
        <v>0.189</v>
      </c>
      <c r="E3727" t="s">
        <v>6</v>
      </c>
      <c r="F3727">
        <v>0.14607000000000001</v>
      </c>
    </row>
    <row r="3728" spans="1:6" x14ac:dyDescent="0.3">
      <c r="A3728" t="s">
        <v>5</v>
      </c>
      <c r="B3728" s="1">
        <v>45813</v>
      </c>
      <c r="C3728">
        <v>8</v>
      </c>
      <c r="D3728">
        <v>0.10299999999999999</v>
      </c>
      <c r="E3728" t="s">
        <v>6</v>
      </c>
      <c r="F3728">
        <v>0.15347999999999998</v>
      </c>
    </row>
    <row r="3729" spans="1:6" x14ac:dyDescent="0.3">
      <c r="A3729" t="s">
        <v>5</v>
      </c>
      <c r="B3729" s="1">
        <v>45813</v>
      </c>
      <c r="C3729">
        <v>9</v>
      </c>
      <c r="D3729">
        <v>0.1</v>
      </c>
      <c r="E3729" t="s">
        <v>6</v>
      </c>
      <c r="F3729">
        <v>0.14887</v>
      </c>
    </row>
    <row r="3730" spans="1:6" x14ac:dyDescent="0.3">
      <c r="A3730" t="s">
        <v>5</v>
      </c>
      <c r="B3730" s="1">
        <v>45813</v>
      </c>
      <c r="C3730">
        <v>10</v>
      </c>
      <c r="D3730">
        <v>7.8E-2</v>
      </c>
      <c r="E3730" t="s">
        <v>6</v>
      </c>
      <c r="F3730">
        <v>7.9489999999999991E-2</v>
      </c>
    </row>
    <row r="3731" spans="1:6" x14ac:dyDescent="0.3">
      <c r="A3731" t="s">
        <v>5</v>
      </c>
      <c r="B3731" s="1">
        <v>45813</v>
      </c>
      <c r="C3731">
        <v>11</v>
      </c>
      <c r="D3731">
        <v>0.09</v>
      </c>
      <c r="E3731" t="s">
        <v>6</v>
      </c>
      <c r="F3731">
        <v>0.12429000000000001</v>
      </c>
    </row>
    <row r="3732" spans="1:6" x14ac:dyDescent="0.3">
      <c r="A3732" t="s">
        <v>5</v>
      </c>
      <c r="B3732" s="1">
        <v>45813</v>
      </c>
      <c r="C3732">
        <v>12</v>
      </c>
      <c r="D3732">
        <v>8.5000000000000006E-2</v>
      </c>
      <c r="E3732" t="s">
        <v>6</v>
      </c>
      <c r="F3732">
        <v>0.12408</v>
      </c>
    </row>
    <row r="3733" spans="1:6" x14ac:dyDescent="0.3">
      <c r="A3733" t="s">
        <v>5</v>
      </c>
      <c r="B3733" s="1">
        <v>45813</v>
      </c>
      <c r="C3733">
        <v>13</v>
      </c>
      <c r="D3733">
        <v>0.08</v>
      </c>
      <c r="E3733" t="s">
        <v>6</v>
      </c>
      <c r="F3733">
        <v>0.12415000000000001</v>
      </c>
    </row>
    <row r="3734" spans="1:6" x14ac:dyDescent="0.3">
      <c r="A3734" t="s">
        <v>5</v>
      </c>
      <c r="B3734" s="1">
        <v>45813</v>
      </c>
      <c r="C3734">
        <v>14</v>
      </c>
      <c r="D3734">
        <v>9.5000000000000001E-2</v>
      </c>
      <c r="E3734" t="s">
        <v>6</v>
      </c>
      <c r="F3734">
        <v>0.12137000000000001</v>
      </c>
    </row>
    <row r="3735" spans="1:6" x14ac:dyDescent="0.3">
      <c r="A3735" t="s">
        <v>5</v>
      </c>
      <c r="B3735" s="1">
        <v>45813</v>
      </c>
      <c r="C3735">
        <v>15</v>
      </c>
      <c r="D3735">
        <v>7.0999999999999994E-2</v>
      </c>
      <c r="E3735" t="s">
        <v>6</v>
      </c>
      <c r="F3735">
        <v>5.6469999999999999E-2</v>
      </c>
    </row>
    <row r="3736" spans="1:6" x14ac:dyDescent="0.3">
      <c r="A3736" t="s">
        <v>5</v>
      </c>
      <c r="B3736" s="1">
        <v>45813</v>
      </c>
      <c r="C3736">
        <v>16</v>
      </c>
      <c r="D3736">
        <v>9.4E-2</v>
      </c>
      <c r="E3736" t="s">
        <v>6</v>
      </c>
      <c r="F3736">
        <v>5.7049999999999997E-2</v>
      </c>
    </row>
    <row r="3737" spans="1:6" x14ac:dyDescent="0.3">
      <c r="A3737" t="s">
        <v>5</v>
      </c>
      <c r="B3737" s="1">
        <v>45813</v>
      </c>
      <c r="C3737">
        <v>17</v>
      </c>
      <c r="D3737">
        <v>0.61199999999999999</v>
      </c>
      <c r="E3737" t="s">
        <v>6</v>
      </c>
      <c r="F3737">
        <v>5.7200000000000001E-2</v>
      </c>
    </row>
    <row r="3738" spans="1:6" x14ac:dyDescent="0.3">
      <c r="A3738" t="s">
        <v>5</v>
      </c>
      <c r="B3738" s="1">
        <v>45813</v>
      </c>
      <c r="C3738">
        <v>18</v>
      </c>
      <c r="D3738">
        <v>0.44700000000000001</v>
      </c>
      <c r="E3738" t="s">
        <v>6</v>
      </c>
      <c r="F3738">
        <v>5.6000000000000001E-2</v>
      </c>
    </row>
    <row r="3739" spans="1:6" x14ac:dyDescent="0.3">
      <c r="A3739" t="s">
        <v>5</v>
      </c>
      <c r="B3739" s="1">
        <v>45813</v>
      </c>
      <c r="C3739">
        <v>19</v>
      </c>
      <c r="D3739">
        <v>0.995</v>
      </c>
      <c r="E3739" t="s">
        <v>6</v>
      </c>
      <c r="F3739">
        <v>0.12772</v>
      </c>
    </row>
    <row r="3740" spans="1:6" x14ac:dyDescent="0.3">
      <c r="A3740" t="s">
        <v>5</v>
      </c>
      <c r="B3740" s="1">
        <v>45813</v>
      </c>
      <c r="C3740">
        <v>20</v>
      </c>
      <c r="D3740">
        <v>1.2110000000000001</v>
      </c>
      <c r="E3740" t="s">
        <v>6</v>
      </c>
      <c r="F3740">
        <v>0.16437000000000002</v>
      </c>
    </row>
    <row r="3741" spans="1:6" x14ac:dyDescent="0.3">
      <c r="A3741" t="s">
        <v>5</v>
      </c>
      <c r="B3741" s="1">
        <v>45813</v>
      </c>
      <c r="C3741">
        <v>21</v>
      </c>
      <c r="D3741">
        <v>1.129</v>
      </c>
      <c r="E3741" t="s">
        <v>6</v>
      </c>
      <c r="F3741">
        <v>0.23330000000000001</v>
      </c>
    </row>
    <row r="3742" spans="1:6" x14ac:dyDescent="0.3">
      <c r="A3742" t="s">
        <v>5</v>
      </c>
      <c r="B3742" s="1">
        <v>45813</v>
      </c>
      <c r="C3742">
        <v>22</v>
      </c>
      <c r="D3742">
        <v>0.68300000000000005</v>
      </c>
      <c r="E3742" t="s">
        <v>6</v>
      </c>
      <c r="F3742">
        <v>0.27417000000000002</v>
      </c>
    </row>
    <row r="3743" spans="1:6" x14ac:dyDescent="0.3">
      <c r="A3743" t="s">
        <v>5</v>
      </c>
      <c r="B3743" s="1">
        <v>45813</v>
      </c>
      <c r="C3743">
        <v>23</v>
      </c>
      <c r="D3743">
        <v>0.36099999999999999</v>
      </c>
      <c r="E3743" t="s">
        <v>6</v>
      </c>
      <c r="F3743">
        <v>0.21086000000000002</v>
      </c>
    </row>
    <row r="3744" spans="1:6" x14ac:dyDescent="0.3">
      <c r="A3744" t="s">
        <v>5</v>
      </c>
      <c r="B3744" s="1">
        <v>45813</v>
      </c>
      <c r="C3744">
        <v>24</v>
      </c>
      <c r="D3744">
        <v>0.69199999999999995</v>
      </c>
      <c r="E3744" t="s">
        <v>6</v>
      </c>
      <c r="F3744">
        <v>0.18668999999999999</v>
      </c>
    </row>
    <row r="3745" spans="1:6" x14ac:dyDescent="0.3">
      <c r="A3745" t="s">
        <v>5</v>
      </c>
      <c r="B3745" s="1">
        <v>45814</v>
      </c>
      <c r="C3745">
        <v>1</v>
      </c>
      <c r="D3745">
        <v>0.20899999999999999</v>
      </c>
      <c r="E3745" t="s">
        <v>6</v>
      </c>
      <c r="F3745">
        <v>0.16833000000000001</v>
      </c>
    </row>
    <row r="3746" spans="1:6" x14ac:dyDescent="0.3">
      <c r="A3746" t="s">
        <v>5</v>
      </c>
      <c r="B3746" s="1">
        <v>45814</v>
      </c>
      <c r="C3746">
        <v>2</v>
      </c>
      <c r="D3746">
        <v>0.183</v>
      </c>
      <c r="E3746" t="s">
        <v>6</v>
      </c>
      <c r="F3746">
        <v>0.16708000000000001</v>
      </c>
    </row>
    <row r="3747" spans="1:6" x14ac:dyDescent="0.3">
      <c r="A3747" t="s">
        <v>5</v>
      </c>
      <c r="B3747" s="1">
        <v>45814</v>
      </c>
      <c r="C3747">
        <v>3</v>
      </c>
      <c r="D3747">
        <v>0.187</v>
      </c>
      <c r="E3747" t="s">
        <v>6</v>
      </c>
      <c r="F3747">
        <v>0.15834999999999999</v>
      </c>
    </row>
    <row r="3748" spans="1:6" x14ac:dyDescent="0.3">
      <c r="A3748" t="s">
        <v>5</v>
      </c>
      <c r="B3748" s="1">
        <v>45814</v>
      </c>
      <c r="C3748">
        <v>4</v>
      </c>
      <c r="D3748">
        <v>0.193</v>
      </c>
      <c r="E3748" t="s">
        <v>6</v>
      </c>
      <c r="F3748">
        <v>0.14967</v>
      </c>
    </row>
    <row r="3749" spans="1:6" x14ac:dyDescent="0.3">
      <c r="A3749" t="s">
        <v>5</v>
      </c>
      <c r="B3749" s="1">
        <v>45814</v>
      </c>
      <c r="C3749">
        <v>5</v>
      </c>
      <c r="D3749">
        <v>0.17100000000000001</v>
      </c>
      <c r="E3749" t="s">
        <v>6</v>
      </c>
      <c r="F3749">
        <v>0.14908000000000002</v>
      </c>
    </row>
    <row r="3750" spans="1:6" x14ac:dyDescent="0.3">
      <c r="A3750" t="s">
        <v>5</v>
      </c>
      <c r="B3750" s="1">
        <v>45814</v>
      </c>
      <c r="C3750">
        <v>6</v>
      </c>
      <c r="D3750">
        <v>0.19</v>
      </c>
      <c r="E3750" t="s">
        <v>6</v>
      </c>
      <c r="F3750">
        <v>0.14999000000000001</v>
      </c>
    </row>
    <row r="3751" spans="1:6" x14ac:dyDescent="0.3">
      <c r="A3751" t="s">
        <v>5</v>
      </c>
      <c r="B3751" s="1">
        <v>45814</v>
      </c>
      <c r="C3751">
        <v>7</v>
      </c>
      <c r="D3751">
        <v>0.17899999999999999</v>
      </c>
      <c r="E3751" t="s">
        <v>6</v>
      </c>
      <c r="F3751">
        <v>0.16059999999999999</v>
      </c>
    </row>
    <row r="3752" spans="1:6" x14ac:dyDescent="0.3">
      <c r="A3752" t="s">
        <v>5</v>
      </c>
      <c r="B3752" s="1">
        <v>45814</v>
      </c>
      <c r="C3752">
        <v>8</v>
      </c>
      <c r="D3752">
        <v>0.14799999999999999</v>
      </c>
      <c r="E3752" t="s">
        <v>6</v>
      </c>
      <c r="F3752">
        <v>0.16246000000000002</v>
      </c>
    </row>
    <row r="3753" spans="1:6" x14ac:dyDescent="0.3">
      <c r="A3753" t="s">
        <v>5</v>
      </c>
      <c r="B3753" s="1">
        <v>45814</v>
      </c>
      <c r="C3753">
        <v>9</v>
      </c>
      <c r="D3753">
        <v>9.4E-2</v>
      </c>
      <c r="E3753" t="s">
        <v>6</v>
      </c>
      <c r="F3753">
        <v>0.18115999999999999</v>
      </c>
    </row>
    <row r="3754" spans="1:6" x14ac:dyDescent="0.3">
      <c r="A3754" t="s">
        <v>5</v>
      </c>
      <c r="B3754" s="1">
        <v>45814</v>
      </c>
      <c r="C3754">
        <v>10</v>
      </c>
      <c r="D3754">
        <v>7.4999999999999997E-2</v>
      </c>
      <c r="E3754" t="s">
        <v>6</v>
      </c>
      <c r="F3754">
        <v>0.1154</v>
      </c>
    </row>
    <row r="3755" spans="1:6" x14ac:dyDescent="0.3">
      <c r="A3755" t="s">
        <v>5</v>
      </c>
      <c r="B3755" s="1">
        <v>45814</v>
      </c>
      <c r="C3755">
        <v>11</v>
      </c>
      <c r="D3755">
        <v>8.8999999999999996E-2</v>
      </c>
      <c r="E3755" t="s">
        <v>6</v>
      </c>
      <c r="F3755">
        <v>0.12595999999999999</v>
      </c>
    </row>
    <row r="3756" spans="1:6" x14ac:dyDescent="0.3">
      <c r="A3756" t="s">
        <v>5</v>
      </c>
      <c r="B3756" s="1">
        <v>45814</v>
      </c>
      <c r="C3756">
        <v>12</v>
      </c>
      <c r="D3756">
        <v>8.8999999999999996E-2</v>
      </c>
      <c r="E3756" t="s">
        <v>6</v>
      </c>
      <c r="F3756">
        <v>0.11944</v>
      </c>
    </row>
    <row r="3757" spans="1:6" x14ac:dyDescent="0.3">
      <c r="A3757" t="s">
        <v>5</v>
      </c>
      <c r="B3757" s="1">
        <v>45814</v>
      </c>
      <c r="C3757">
        <v>13</v>
      </c>
      <c r="D3757">
        <v>0.19500000000000001</v>
      </c>
      <c r="E3757" t="s">
        <v>6</v>
      </c>
      <c r="F3757">
        <v>0.11799999999999999</v>
      </c>
    </row>
    <row r="3758" spans="1:6" x14ac:dyDescent="0.3">
      <c r="A3758" t="s">
        <v>5</v>
      </c>
      <c r="B3758" s="1">
        <v>45814</v>
      </c>
      <c r="C3758">
        <v>14</v>
      </c>
      <c r="D3758">
        <v>1.032</v>
      </c>
      <c r="E3758" t="s">
        <v>6</v>
      </c>
      <c r="F3758">
        <v>0.11484</v>
      </c>
    </row>
    <row r="3759" spans="1:6" x14ac:dyDescent="0.3">
      <c r="A3759" t="s">
        <v>5</v>
      </c>
      <c r="B3759" s="1">
        <v>45814</v>
      </c>
      <c r="C3759">
        <v>15</v>
      </c>
      <c r="D3759">
        <v>0.97599999999999998</v>
      </c>
      <c r="E3759" t="s">
        <v>6</v>
      </c>
      <c r="F3759">
        <v>4.9759999999999999E-2</v>
      </c>
    </row>
    <row r="3760" spans="1:6" x14ac:dyDescent="0.3">
      <c r="A3760" t="s">
        <v>5</v>
      </c>
      <c r="B3760" s="1">
        <v>45814</v>
      </c>
      <c r="C3760">
        <v>16</v>
      </c>
      <c r="D3760">
        <v>0.16800000000000001</v>
      </c>
      <c r="E3760" t="s">
        <v>6</v>
      </c>
      <c r="F3760">
        <v>5.033E-2</v>
      </c>
    </row>
    <row r="3761" spans="1:6" x14ac:dyDescent="0.3">
      <c r="A3761" t="s">
        <v>5</v>
      </c>
      <c r="B3761" s="1">
        <v>45814</v>
      </c>
      <c r="C3761">
        <v>17</v>
      </c>
      <c r="D3761">
        <v>0.1</v>
      </c>
      <c r="E3761" t="s">
        <v>6</v>
      </c>
      <c r="F3761">
        <v>5.076E-2</v>
      </c>
    </row>
    <row r="3762" spans="1:6" x14ac:dyDescent="0.3">
      <c r="A3762" t="s">
        <v>5</v>
      </c>
      <c r="B3762" s="1">
        <v>45814</v>
      </c>
      <c r="C3762">
        <v>18</v>
      </c>
      <c r="D3762">
        <v>0.13400000000000001</v>
      </c>
      <c r="E3762" t="s">
        <v>6</v>
      </c>
      <c r="F3762">
        <v>5.1639999999999998E-2</v>
      </c>
    </row>
    <row r="3763" spans="1:6" x14ac:dyDescent="0.3">
      <c r="A3763" t="s">
        <v>5</v>
      </c>
      <c r="B3763" s="1">
        <v>45814</v>
      </c>
      <c r="C3763">
        <v>19</v>
      </c>
      <c r="D3763">
        <v>0.23499999999999999</v>
      </c>
      <c r="E3763" t="s">
        <v>6</v>
      </c>
      <c r="F3763">
        <v>0.13458000000000001</v>
      </c>
    </row>
    <row r="3764" spans="1:6" x14ac:dyDescent="0.3">
      <c r="A3764" t="s">
        <v>5</v>
      </c>
      <c r="B3764" s="1">
        <v>45814</v>
      </c>
      <c r="C3764">
        <v>20</v>
      </c>
      <c r="D3764">
        <v>0.59899999999999998</v>
      </c>
      <c r="E3764" t="s">
        <v>6</v>
      </c>
      <c r="F3764">
        <v>0.16933999999999999</v>
      </c>
    </row>
    <row r="3765" spans="1:6" x14ac:dyDescent="0.3">
      <c r="A3765" t="s">
        <v>5</v>
      </c>
      <c r="B3765" s="1">
        <v>45814</v>
      </c>
      <c r="C3765">
        <v>21</v>
      </c>
      <c r="D3765">
        <v>0.90200000000000002</v>
      </c>
      <c r="E3765" t="s">
        <v>6</v>
      </c>
      <c r="F3765">
        <v>0.23147999999999999</v>
      </c>
    </row>
    <row r="3766" spans="1:6" x14ac:dyDescent="0.3">
      <c r="A3766" t="s">
        <v>5</v>
      </c>
      <c r="B3766" s="1">
        <v>45814</v>
      </c>
      <c r="C3766">
        <v>22</v>
      </c>
      <c r="D3766">
        <v>0.22700000000000001</v>
      </c>
      <c r="E3766" t="s">
        <v>6</v>
      </c>
      <c r="F3766">
        <v>0.26168999999999998</v>
      </c>
    </row>
    <row r="3767" spans="1:6" x14ac:dyDescent="0.3">
      <c r="A3767" t="s">
        <v>5</v>
      </c>
      <c r="B3767" s="1">
        <v>45814</v>
      </c>
      <c r="C3767">
        <v>23</v>
      </c>
      <c r="D3767">
        <v>0.24199999999999999</v>
      </c>
      <c r="E3767" t="s">
        <v>6</v>
      </c>
      <c r="F3767">
        <v>0.20222999999999999</v>
      </c>
    </row>
    <row r="3768" spans="1:6" x14ac:dyDescent="0.3">
      <c r="A3768" t="s">
        <v>5</v>
      </c>
      <c r="B3768" s="1">
        <v>45814</v>
      </c>
      <c r="C3768">
        <v>24</v>
      </c>
      <c r="D3768">
        <v>0.16600000000000001</v>
      </c>
      <c r="E3768" t="s">
        <v>6</v>
      </c>
      <c r="F3768">
        <v>0.18339</v>
      </c>
    </row>
    <row r="3769" spans="1:6" x14ac:dyDescent="0.3">
      <c r="A3769" t="s">
        <v>5</v>
      </c>
      <c r="B3769" s="1">
        <v>45815</v>
      </c>
      <c r="C3769">
        <v>1</v>
      </c>
      <c r="D3769">
        <v>0.17100000000000001</v>
      </c>
      <c r="E3769" t="s">
        <v>6</v>
      </c>
      <c r="F3769">
        <v>0.16353000000000001</v>
      </c>
    </row>
    <row r="3770" spans="1:6" x14ac:dyDescent="0.3">
      <c r="A3770" t="s">
        <v>5</v>
      </c>
      <c r="B3770" s="1">
        <v>45815</v>
      </c>
      <c r="C3770">
        <v>2</v>
      </c>
      <c r="D3770">
        <v>0.157</v>
      </c>
      <c r="E3770" t="s">
        <v>6</v>
      </c>
      <c r="F3770">
        <v>0.15622999999999998</v>
      </c>
    </row>
    <row r="3771" spans="1:6" x14ac:dyDescent="0.3">
      <c r="A3771" t="s">
        <v>5</v>
      </c>
      <c r="B3771" s="1">
        <v>45815</v>
      </c>
      <c r="C3771">
        <v>3</v>
      </c>
      <c r="D3771">
        <v>0.17199999999999999</v>
      </c>
      <c r="E3771" t="s">
        <v>6</v>
      </c>
      <c r="F3771">
        <v>0.15605000000000002</v>
      </c>
    </row>
    <row r="3772" spans="1:6" x14ac:dyDescent="0.3">
      <c r="A3772" t="s">
        <v>5</v>
      </c>
      <c r="B3772" s="1">
        <v>45815</v>
      </c>
      <c r="C3772">
        <v>4</v>
      </c>
      <c r="D3772">
        <v>0.215</v>
      </c>
      <c r="E3772" t="s">
        <v>6</v>
      </c>
      <c r="F3772">
        <v>0.15195</v>
      </c>
    </row>
    <row r="3773" spans="1:6" x14ac:dyDescent="0.3">
      <c r="A3773" t="s">
        <v>5</v>
      </c>
      <c r="B3773" s="1">
        <v>45815</v>
      </c>
      <c r="C3773">
        <v>5</v>
      </c>
      <c r="D3773">
        <v>0.20100000000000001</v>
      </c>
      <c r="E3773" t="s">
        <v>6</v>
      </c>
      <c r="F3773">
        <v>0.15215000000000001</v>
      </c>
    </row>
    <row r="3774" spans="1:6" x14ac:dyDescent="0.3">
      <c r="A3774" t="s">
        <v>5</v>
      </c>
      <c r="B3774" s="1">
        <v>45815</v>
      </c>
      <c r="C3774">
        <v>6</v>
      </c>
      <c r="D3774">
        <v>0.18</v>
      </c>
      <c r="E3774" t="s">
        <v>6</v>
      </c>
      <c r="F3774">
        <v>0.15277000000000002</v>
      </c>
    </row>
    <row r="3775" spans="1:6" x14ac:dyDescent="0.3">
      <c r="A3775" t="s">
        <v>5</v>
      </c>
      <c r="B3775" s="1">
        <v>45815</v>
      </c>
      <c r="C3775">
        <v>7</v>
      </c>
      <c r="D3775">
        <v>0.159</v>
      </c>
      <c r="E3775" t="s">
        <v>6</v>
      </c>
      <c r="F3775">
        <v>0.15443000000000001</v>
      </c>
    </row>
    <row r="3776" spans="1:6" x14ac:dyDescent="0.3">
      <c r="A3776" t="s">
        <v>5</v>
      </c>
      <c r="B3776" s="1">
        <v>45815</v>
      </c>
      <c r="C3776">
        <v>8</v>
      </c>
      <c r="D3776">
        <v>0.161</v>
      </c>
      <c r="E3776" t="s">
        <v>6</v>
      </c>
      <c r="F3776">
        <v>0.14862999999999998</v>
      </c>
    </row>
    <row r="3777" spans="1:6" x14ac:dyDescent="0.3">
      <c r="A3777" t="s">
        <v>5</v>
      </c>
      <c r="B3777" s="1">
        <v>45815</v>
      </c>
      <c r="C3777">
        <v>9</v>
      </c>
      <c r="D3777">
        <v>0.47399999999999998</v>
      </c>
      <c r="E3777" t="s">
        <v>6</v>
      </c>
      <c r="F3777">
        <v>7.554000000000001E-2</v>
      </c>
    </row>
    <row r="3778" spans="1:6" x14ac:dyDescent="0.3">
      <c r="A3778" t="s">
        <v>5</v>
      </c>
      <c r="B3778" s="1">
        <v>45815</v>
      </c>
      <c r="C3778">
        <v>10</v>
      </c>
      <c r="D3778">
        <v>0.89900000000000002</v>
      </c>
      <c r="E3778" t="s">
        <v>6</v>
      </c>
      <c r="F3778">
        <v>4.3490000000000001E-2</v>
      </c>
    </row>
    <row r="3779" spans="1:6" x14ac:dyDescent="0.3">
      <c r="A3779" t="s">
        <v>5</v>
      </c>
      <c r="B3779" s="1">
        <v>45815</v>
      </c>
      <c r="C3779">
        <v>11</v>
      </c>
      <c r="D3779">
        <v>0.14399999999999999</v>
      </c>
      <c r="E3779" t="s">
        <v>6</v>
      </c>
      <c r="F3779">
        <v>4.496E-2</v>
      </c>
    </row>
    <row r="3780" spans="1:6" x14ac:dyDescent="0.3">
      <c r="A3780" t="s">
        <v>5</v>
      </c>
      <c r="B3780" s="1">
        <v>45815</v>
      </c>
      <c r="C3780">
        <v>12</v>
      </c>
      <c r="D3780">
        <v>9.1999999999999998E-2</v>
      </c>
      <c r="E3780" t="s">
        <v>6</v>
      </c>
      <c r="F3780">
        <v>4.4940000000000001E-2</v>
      </c>
    </row>
    <row r="3781" spans="1:6" x14ac:dyDescent="0.3">
      <c r="A3781" t="s">
        <v>5</v>
      </c>
      <c r="B3781" s="1">
        <v>45815</v>
      </c>
      <c r="C3781">
        <v>13</v>
      </c>
      <c r="D3781">
        <v>7.2999999999999995E-2</v>
      </c>
      <c r="E3781" t="s">
        <v>6</v>
      </c>
      <c r="F3781">
        <v>4.4810000000000003E-2</v>
      </c>
    </row>
    <row r="3782" spans="1:6" x14ac:dyDescent="0.3">
      <c r="A3782" t="s">
        <v>5</v>
      </c>
      <c r="B3782" s="1">
        <v>45815</v>
      </c>
      <c r="C3782">
        <v>14</v>
      </c>
      <c r="D3782">
        <v>8.8999999999999996E-2</v>
      </c>
      <c r="E3782" t="s">
        <v>6</v>
      </c>
      <c r="F3782">
        <v>4.428E-2</v>
      </c>
    </row>
    <row r="3783" spans="1:6" x14ac:dyDescent="0.3">
      <c r="A3783" t="s">
        <v>5</v>
      </c>
      <c r="B3783" s="1">
        <v>45815</v>
      </c>
      <c r="C3783">
        <v>15</v>
      </c>
      <c r="D3783">
        <v>0.33100000000000002</v>
      </c>
      <c r="E3783" t="s">
        <v>6</v>
      </c>
      <c r="F3783">
        <v>4.4330000000000001E-2</v>
      </c>
    </row>
    <row r="3784" spans="1:6" x14ac:dyDescent="0.3">
      <c r="A3784" t="s">
        <v>5</v>
      </c>
      <c r="B3784" s="1">
        <v>45815</v>
      </c>
      <c r="C3784">
        <v>16</v>
      </c>
      <c r="D3784">
        <v>1.1319999999999999</v>
      </c>
      <c r="E3784" t="s">
        <v>6</v>
      </c>
      <c r="F3784">
        <v>4.5109999999999997E-2</v>
      </c>
    </row>
    <row r="3785" spans="1:6" x14ac:dyDescent="0.3">
      <c r="A3785" t="s">
        <v>5</v>
      </c>
      <c r="B3785" s="1">
        <v>45815</v>
      </c>
      <c r="C3785">
        <v>17</v>
      </c>
      <c r="D3785">
        <v>0.36299999999999999</v>
      </c>
      <c r="E3785" t="s">
        <v>6</v>
      </c>
      <c r="F3785">
        <v>4.5259999999999995E-2</v>
      </c>
    </row>
    <row r="3786" spans="1:6" x14ac:dyDescent="0.3">
      <c r="A3786" t="s">
        <v>5</v>
      </c>
      <c r="B3786" s="1">
        <v>45815</v>
      </c>
      <c r="C3786">
        <v>18</v>
      </c>
      <c r="D3786">
        <v>0.38700000000000001</v>
      </c>
      <c r="E3786" t="s">
        <v>6</v>
      </c>
      <c r="F3786">
        <v>4.5859999999999998E-2</v>
      </c>
    </row>
    <row r="3787" spans="1:6" x14ac:dyDescent="0.3">
      <c r="A3787" t="s">
        <v>5</v>
      </c>
      <c r="B3787" s="1">
        <v>45815</v>
      </c>
      <c r="C3787">
        <v>19</v>
      </c>
      <c r="D3787">
        <v>7.3999999999999996E-2</v>
      </c>
      <c r="E3787" t="s">
        <v>6</v>
      </c>
      <c r="F3787">
        <v>4.6079999999999996E-2</v>
      </c>
    </row>
    <row r="3788" spans="1:6" x14ac:dyDescent="0.3">
      <c r="A3788" t="s">
        <v>5</v>
      </c>
      <c r="B3788" s="1">
        <v>45815</v>
      </c>
      <c r="C3788">
        <v>20</v>
      </c>
      <c r="D3788">
        <v>9.5000000000000001E-2</v>
      </c>
      <c r="E3788" t="s">
        <v>6</v>
      </c>
      <c r="F3788">
        <v>5.1950000000000003E-2</v>
      </c>
    </row>
    <row r="3789" spans="1:6" x14ac:dyDescent="0.3">
      <c r="A3789" t="s">
        <v>5</v>
      </c>
      <c r="B3789" s="1">
        <v>45815</v>
      </c>
      <c r="C3789">
        <v>21</v>
      </c>
      <c r="D3789">
        <v>8.6999999999999994E-2</v>
      </c>
      <c r="E3789" t="s">
        <v>6</v>
      </c>
      <c r="F3789">
        <v>0.10075000000000001</v>
      </c>
    </row>
    <row r="3790" spans="1:6" x14ac:dyDescent="0.3">
      <c r="A3790" t="s">
        <v>5</v>
      </c>
      <c r="B3790" s="1">
        <v>45815</v>
      </c>
      <c r="C3790">
        <v>22</v>
      </c>
      <c r="D3790">
        <v>7.9000000000000001E-2</v>
      </c>
      <c r="E3790" t="s">
        <v>6</v>
      </c>
      <c r="F3790">
        <v>0.16122999999999998</v>
      </c>
    </row>
    <row r="3791" spans="1:6" x14ac:dyDescent="0.3">
      <c r="A3791" t="s">
        <v>5</v>
      </c>
      <c r="B3791" s="1">
        <v>45815</v>
      </c>
      <c r="C3791">
        <v>23</v>
      </c>
      <c r="D3791">
        <v>9.5000000000000001E-2</v>
      </c>
      <c r="E3791" t="s">
        <v>6</v>
      </c>
      <c r="F3791">
        <v>0.15153999999999998</v>
      </c>
    </row>
    <row r="3792" spans="1:6" x14ac:dyDescent="0.3">
      <c r="A3792" t="s">
        <v>5</v>
      </c>
      <c r="B3792" s="1">
        <v>45815</v>
      </c>
      <c r="C3792">
        <v>24</v>
      </c>
      <c r="D3792">
        <v>8.2000000000000003E-2</v>
      </c>
      <c r="E3792" t="s">
        <v>6</v>
      </c>
      <c r="F3792">
        <v>0.14019999999999999</v>
      </c>
    </row>
    <row r="3793" spans="1:6" x14ac:dyDescent="0.3">
      <c r="A3793" t="s">
        <v>5</v>
      </c>
      <c r="B3793" s="1">
        <v>45816</v>
      </c>
      <c r="C3793">
        <v>1</v>
      </c>
      <c r="D3793">
        <v>8.4000000000000005E-2</v>
      </c>
      <c r="E3793" t="s">
        <v>6</v>
      </c>
      <c r="F3793">
        <v>0.13669999999999999</v>
      </c>
    </row>
    <row r="3794" spans="1:6" x14ac:dyDescent="0.3">
      <c r="A3794" t="s">
        <v>5</v>
      </c>
      <c r="B3794" s="1">
        <v>45816</v>
      </c>
      <c r="C3794">
        <v>2</v>
      </c>
      <c r="D3794">
        <v>9.5000000000000001E-2</v>
      </c>
      <c r="E3794" t="s">
        <v>6</v>
      </c>
      <c r="F3794">
        <v>0.13741</v>
      </c>
    </row>
    <row r="3795" spans="1:6" x14ac:dyDescent="0.3">
      <c r="A3795" t="s">
        <v>5</v>
      </c>
      <c r="B3795" s="1">
        <v>45816</v>
      </c>
      <c r="C3795">
        <v>3</v>
      </c>
      <c r="D3795">
        <v>7.6999999999999999E-2</v>
      </c>
      <c r="E3795" t="s">
        <v>6</v>
      </c>
      <c r="F3795">
        <v>0.13933000000000001</v>
      </c>
    </row>
    <row r="3796" spans="1:6" x14ac:dyDescent="0.3">
      <c r="A3796" t="s">
        <v>5</v>
      </c>
      <c r="B3796" s="1">
        <v>45816</v>
      </c>
      <c r="C3796">
        <v>4</v>
      </c>
      <c r="D3796">
        <v>8.8999999999999996E-2</v>
      </c>
      <c r="E3796" t="s">
        <v>6</v>
      </c>
      <c r="F3796">
        <v>0.12836</v>
      </c>
    </row>
    <row r="3797" spans="1:6" x14ac:dyDescent="0.3">
      <c r="A3797" t="s">
        <v>5</v>
      </c>
      <c r="B3797" s="1">
        <v>45816</v>
      </c>
      <c r="C3797">
        <v>5</v>
      </c>
      <c r="D3797">
        <v>9.2999999999999999E-2</v>
      </c>
      <c r="E3797" t="s">
        <v>6</v>
      </c>
      <c r="F3797">
        <v>0.12853000000000001</v>
      </c>
    </row>
    <row r="3798" spans="1:6" x14ac:dyDescent="0.3">
      <c r="A3798" t="s">
        <v>5</v>
      </c>
      <c r="B3798" s="1">
        <v>45816</v>
      </c>
      <c r="C3798">
        <v>6</v>
      </c>
      <c r="D3798">
        <v>7.1999999999999995E-2</v>
      </c>
      <c r="E3798" t="s">
        <v>6</v>
      </c>
      <c r="F3798">
        <v>0.12922999999999998</v>
      </c>
    </row>
    <row r="3799" spans="1:6" x14ac:dyDescent="0.3">
      <c r="A3799" t="s">
        <v>5</v>
      </c>
      <c r="B3799" s="1">
        <v>45816</v>
      </c>
      <c r="C3799">
        <v>7</v>
      </c>
      <c r="D3799">
        <v>9.5000000000000001E-2</v>
      </c>
      <c r="E3799" t="s">
        <v>6</v>
      </c>
      <c r="F3799">
        <v>0.12884000000000001</v>
      </c>
    </row>
    <row r="3800" spans="1:6" x14ac:dyDescent="0.3">
      <c r="A3800" t="s">
        <v>5</v>
      </c>
      <c r="B3800" s="1">
        <v>45816</v>
      </c>
      <c r="C3800">
        <v>8</v>
      </c>
      <c r="D3800">
        <v>8.6999999999999994E-2</v>
      </c>
      <c r="E3800" t="s">
        <v>6</v>
      </c>
      <c r="F3800">
        <v>9.7409999999999997E-2</v>
      </c>
    </row>
    <row r="3801" spans="1:6" x14ac:dyDescent="0.3">
      <c r="A3801" t="s">
        <v>5</v>
      </c>
      <c r="B3801" s="1">
        <v>45816</v>
      </c>
      <c r="C3801">
        <v>9</v>
      </c>
      <c r="D3801">
        <v>7.9000000000000001E-2</v>
      </c>
      <c r="E3801" t="s">
        <v>6</v>
      </c>
      <c r="F3801">
        <v>6.6640000000000005E-2</v>
      </c>
    </row>
    <row r="3802" spans="1:6" x14ac:dyDescent="0.3">
      <c r="A3802" t="s">
        <v>5</v>
      </c>
      <c r="B3802" s="1">
        <v>45816</v>
      </c>
      <c r="C3802">
        <v>10</v>
      </c>
      <c r="D3802">
        <v>9.4E-2</v>
      </c>
      <c r="E3802" t="s">
        <v>6</v>
      </c>
      <c r="F3802">
        <v>5.4289999999999998E-2</v>
      </c>
    </row>
    <row r="3803" spans="1:6" x14ac:dyDescent="0.3">
      <c r="A3803" t="s">
        <v>5</v>
      </c>
      <c r="B3803" s="1">
        <v>45816</v>
      </c>
      <c r="C3803">
        <v>11</v>
      </c>
      <c r="D3803">
        <v>7.9000000000000001E-2</v>
      </c>
      <c r="E3803" t="s">
        <v>6</v>
      </c>
      <c r="F3803">
        <v>4.8820000000000002E-2</v>
      </c>
    </row>
    <row r="3804" spans="1:6" x14ac:dyDescent="0.3">
      <c r="A3804" t="s">
        <v>5</v>
      </c>
      <c r="B3804" s="1">
        <v>45816</v>
      </c>
      <c r="C3804">
        <v>12</v>
      </c>
      <c r="D3804">
        <v>8.4000000000000005E-2</v>
      </c>
      <c r="E3804" t="s">
        <v>6</v>
      </c>
      <c r="F3804">
        <v>5.2209999999999999E-2</v>
      </c>
    </row>
    <row r="3805" spans="1:6" x14ac:dyDescent="0.3">
      <c r="A3805" t="s">
        <v>5</v>
      </c>
      <c r="B3805" s="1">
        <v>45816</v>
      </c>
      <c r="C3805">
        <v>13</v>
      </c>
      <c r="D3805">
        <v>9.2999999999999999E-2</v>
      </c>
      <c r="E3805" t="s">
        <v>6</v>
      </c>
      <c r="F3805">
        <v>5.126E-2</v>
      </c>
    </row>
    <row r="3806" spans="1:6" x14ac:dyDescent="0.3">
      <c r="A3806" t="s">
        <v>5</v>
      </c>
      <c r="B3806" s="1">
        <v>45816</v>
      </c>
      <c r="C3806">
        <v>14</v>
      </c>
      <c r="D3806">
        <v>7.2999999999999995E-2</v>
      </c>
      <c r="E3806" t="s">
        <v>6</v>
      </c>
      <c r="F3806">
        <v>4.9829999999999999E-2</v>
      </c>
    </row>
    <row r="3807" spans="1:6" x14ac:dyDescent="0.3">
      <c r="A3807" t="s">
        <v>5</v>
      </c>
      <c r="B3807" s="1">
        <v>45816</v>
      </c>
      <c r="C3807">
        <v>15</v>
      </c>
      <c r="D3807">
        <v>0.59599999999999997</v>
      </c>
      <c r="E3807" t="s">
        <v>6</v>
      </c>
      <c r="F3807">
        <v>4.9930000000000002E-2</v>
      </c>
    </row>
    <row r="3808" spans="1:6" x14ac:dyDescent="0.3">
      <c r="A3808" t="s">
        <v>5</v>
      </c>
      <c r="B3808" s="1">
        <v>45816</v>
      </c>
      <c r="C3808">
        <v>16</v>
      </c>
      <c r="D3808">
        <v>0.441</v>
      </c>
      <c r="E3808" t="s">
        <v>6</v>
      </c>
      <c r="F3808">
        <v>5.0180000000000002E-2</v>
      </c>
    </row>
    <row r="3809" spans="1:6" x14ac:dyDescent="0.3">
      <c r="A3809" t="s">
        <v>5</v>
      </c>
      <c r="B3809" s="1">
        <v>45816</v>
      </c>
      <c r="C3809">
        <v>17</v>
      </c>
      <c r="D3809">
        <v>0.122</v>
      </c>
      <c r="E3809" t="s">
        <v>6</v>
      </c>
      <c r="F3809">
        <v>5.1720000000000002E-2</v>
      </c>
    </row>
    <row r="3810" spans="1:6" x14ac:dyDescent="0.3">
      <c r="A3810" t="s">
        <v>5</v>
      </c>
      <c r="B3810" s="1">
        <v>45816</v>
      </c>
      <c r="C3810">
        <v>18</v>
      </c>
      <c r="D3810">
        <v>0.216</v>
      </c>
      <c r="E3810" t="s">
        <v>6</v>
      </c>
      <c r="F3810">
        <v>5.2740000000000002E-2</v>
      </c>
    </row>
    <row r="3811" spans="1:6" x14ac:dyDescent="0.3">
      <c r="A3811" t="s">
        <v>5</v>
      </c>
      <c r="B3811" s="1">
        <v>45816</v>
      </c>
      <c r="C3811">
        <v>19</v>
      </c>
      <c r="D3811">
        <v>0.22700000000000001</v>
      </c>
      <c r="E3811" t="s">
        <v>6</v>
      </c>
      <c r="F3811">
        <v>5.1049999999999998E-2</v>
      </c>
    </row>
    <row r="3812" spans="1:6" x14ac:dyDescent="0.3">
      <c r="A3812" t="s">
        <v>5</v>
      </c>
      <c r="B3812" s="1">
        <v>45816</v>
      </c>
      <c r="C3812">
        <v>20</v>
      </c>
      <c r="D3812">
        <v>0.91300000000000003</v>
      </c>
      <c r="E3812" t="s">
        <v>6</v>
      </c>
      <c r="F3812">
        <v>5.9119999999999999E-2</v>
      </c>
    </row>
    <row r="3813" spans="1:6" x14ac:dyDescent="0.3">
      <c r="A3813" t="s">
        <v>5</v>
      </c>
      <c r="B3813" s="1">
        <v>45816</v>
      </c>
      <c r="C3813">
        <v>21</v>
      </c>
      <c r="D3813">
        <v>0.224</v>
      </c>
      <c r="E3813" t="s">
        <v>6</v>
      </c>
      <c r="F3813">
        <v>0.14359</v>
      </c>
    </row>
    <row r="3814" spans="1:6" x14ac:dyDescent="0.3">
      <c r="A3814" t="s">
        <v>5</v>
      </c>
      <c r="B3814" s="1">
        <v>45816</v>
      </c>
      <c r="C3814">
        <v>22</v>
      </c>
      <c r="D3814">
        <v>1.0580000000000001</v>
      </c>
      <c r="E3814" t="s">
        <v>6</v>
      </c>
      <c r="F3814">
        <v>0.16253000000000001</v>
      </c>
    </row>
    <row r="3815" spans="1:6" x14ac:dyDescent="0.3">
      <c r="A3815" t="s">
        <v>5</v>
      </c>
      <c r="B3815" s="1">
        <v>45816</v>
      </c>
      <c r="C3815">
        <v>23</v>
      </c>
      <c r="D3815">
        <v>1.1459999999999999</v>
      </c>
      <c r="E3815" t="s">
        <v>6</v>
      </c>
      <c r="F3815">
        <v>0.16263</v>
      </c>
    </row>
    <row r="3816" spans="1:6" x14ac:dyDescent="0.3">
      <c r="A3816" t="s">
        <v>5</v>
      </c>
      <c r="B3816" s="1">
        <v>45816</v>
      </c>
      <c r="C3816">
        <v>24</v>
      </c>
      <c r="D3816">
        <v>0.29499999999999998</v>
      </c>
      <c r="E3816" t="s">
        <v>6</v>
      </c>
      <c r="F3816">
        <v>0.15228</v>
      </c>
    </row>
    <row r="3817" spans="1:6" x14ac:dyDescent="0.3">
      <c r="A3817" t="s">
        <v>5</v>
      </c>
      <c r="B3817" s="1">
        <v>45817</v>
      </c>
      <c r="C3817">
        <v>1</v>
      </c>
      <c r="D3817">
        <v>0.19700000000000001</v>
      </c>
      <c r="E3817" t="s">
        <v>6</v>
      </c>
      <c r="F3817">
        <v>0.1356</v>
      </c>
    </row>
    <row r="3818" spans="1:6" x14ac:dyDescent="0.3">
      <c r="A3818" t="s">
        <v>5</v>
      </c>
      <c r="B3818" s="1">
        <v>45817</v>
      </c>
      <c r="C3818">
        <v>2</v>
      </c>
      <c r="D3818">
        <v>0.21199999999999999</v>
      </c>
      <c r="E3818" t="s">
        <v>6</v>
      </c>
      <c r="F3818">
        <v>0.12540999999999999</v>
      </c>
    </row>
    <row r="3819" spans="1:6" x14ac:dyDescent="0.3">
      <c r="A3819" t="s">
        <v>5</v>
      </c>
      <c r="B3819" s="1">
        <v>45817</v>
      </c>
      <c r="C3819">
        <v>3</v>
      </c>
      <c r="D3819">
        <v>0.19800000000000001</v>
      </c>
      <c r="E3819" t="s">
        <v>6</v>
      </c>
      <c r="F3819">
        <v>0.12669</v>
      </c>
    </row>
    <row r="3820" spans="1:6" x14ac:dyDescent="0.3">
      <c r="A3820" t="s">
        <v>5</v>
      </c>
      <c r="B3820" s="1">
        <v>45817</v>
      </c>
      <c r="C3820">
        <v>4</v>
      </c>
      <c r="D3820">
        <v>0.184</v>
      </c>
      <c r="E3820" t="s">
        <v>6</v>
      </c>
      <c r="F3820">
        <v>0.12928000000000001</v>
      </c>
    </row>
    <row r="3821" spans="1:6" x14ac:dyDescent="0.3">
      <c r="A3821" t="s">
        <v>5</v>
      </c>
      <c r="B3821" s="1">
        <v>45817</v>
      </c>
      <c r="C3821">
        <v>5</v>
      </c>
      <c r="D3821">
        <v>0.19500000000000001</v>
      </c>
      <c r="E3821" t="s">
        <v>6</v>
      </c>
      <c r="F3821">
        <v>0.13172</v>
      </c>
    </row>
    <row r="3822" spans="1:6" x14ac:dyDescent="0.3">
      <c r="A3822" t="s">
        <v>5</v>
      </c>
      <c r="B3822" s="1">
        <v>45817</v>
      </c>
      <c r="C3822">
        <v>6</v>
      </c>
      <c r="D3822">
        <v>0.189</v>
      </c>
      <c r="E3822" t="s">
        <v>6</v>
      </c>
      <c r="F3822">
        <v>0.13427</v>
      </c>
    </row>
    <row r="3823" spans="1:6" x14ac:dyDescent="0.3">
      <c r="A3823" t="s">
        <v>5</v>
      </c>
      <c r="B3823" s="1">
        <v>45817</v>
      </c>
      <c r="C3823">
        <v>7</v>
      </c>
      <c r="D3823">
        <v>0.193</v>
      </c>
      <c r="E3823" t="s">
        <v>6</v>
      </c>
      <c r="F3823">
        <v>0.14757000000000001</v>
      </c>
    </row>
    <row r="3824" spans="1:6" x14ac:dyDescent="0.3">
      <c r="A3824" t="s">
        <v>5</v>
      </c>
      <c r="B3824" s="1">
        <v>45817</v>
      </c>
      <c r="C3824">
        <v>8</v>
      </c>
      <c r="D3824">
        <v>0.184</v>
      </c>
      <c r="E3824" t="s">
        <v>6</v>
      </c>
      <c r="F3824">
        <v>0.14738999999999999</v>
      </c>
    </row>
    <row r="3825" spans="1:6" x14ac:dyDescent="0.3">
      <c r="A3825" t="s">
        <v>5</v>
      </c>
      <c r="B3825" s="1">
        <v>45817</v>
      </c>
      <c r="C3825">
        <v>9</v>
      </c>
      <c r="D3825">
        <v>0.13100000000000001</v>
      </c>
      <c r="E3825" t="s">
        <v>6</v>
      </c>
      <c r="F3825">
        <v>0.14886000000000002</v>
      </c>
    </row>
    <row r="3826" spans="1:6" x14ac:dyDescent="0.3">
      <c r="A3826" t="s">
        <v>5</v>
      </c>
      <c r="B3826" s="1">
        <v>45817</v>
      </c>
      <c r="C3826">
        <v>10</v>
      </c>
      <c r="D3826">
        <v>9.5000000000000001E-2</v>
      </c>
      <c r="E3826" t="s">
        <v>6</v>
      </c>
      <c r="F3826">
        <v>8.2409999999999997E-2</v>
      </c>
    </row>
    <row r="3827" spans="1:6" x14ac:dyDescent="0.3">
      <c r="A3827" t="s">
        <v>5</v>
      </c>
      <c r="B3827" s="1">
        <v>45817</v>
      </c>
      <c r="C3827">
        <v>11</v>
      </c>
      <c r="D3827">
        <v>8.4000000000000005E-2</v>
      </c>
      <c r="E3827" t="s">
        <v>6</v>
      </c>
      <c r="F3827">
        <v>0.13200999999999999</v>
      </c>
    </row>
    <row r="3828" spans="1:6" x14ac:dyDescent="0.3">
      <c r="A3828" t="s">
        <v>5</v>
      </c>
      <c r="B3828" s="1">
        <v>45817</v>
      </c>
      <c r="C3828">
        <v>12</v>
      </c>
      <c r="D3828">
        <v>9.4E-2</v>
      </c>
      <c r="E3828" t="s">
        <v>6</v>
      </c>
      <c r="F3828">
        <v>0.12723999999999999</v>
      </c>
    </row>
    <row r="3829" spans="1:6" x14ac:dyDescent="0.3">
      <c r="A3829" t="s">
        <v>5</v>
      </c>
      <c r="B3829" s="1">
        <v>45817</v>
      </c>
      <c r="C3829">
        <v>13</v>
      </c>
      <c r="D3829">
        <v>0.104</v>
      </c>
      <c r="E3829" t="s">
        <v>6</v>
      </c>
      <c r="F3829">
        <v>0.12526999999999999</v>
      </c>
    </row>
    <row r="3830" spans="1:6" x14ac:dyDescent="0.3">
      <c r="A3830" t="s">
        <v>5</v>
      </c>
      <c r="B3830" s="1">
        <v>45817</v>
      </c>
      <c r="C3830">
        <v>14</v>
      </c>
      <c r="D3830">
        <v>8.4000000000000005E-2</v>
      </c>
      <c r="E3830" t="s">
        <v>6</v>
      </c>
      <c r="F3830">
        <v>0.12262999999999999</v>
      </c>
    </row>
    <row r="3831" spans="1:6" x14ac:dyDescent="0.3">
      <c r="A3831" t="s">
        <v>5</v>
      </c>
      <c r="B3831" s="1">
        <v>45817</v>
      </c>
      <c r="C3831">
        <v>15</v>
      </c>
      <c r="D3831">
        <v>9.8000000000000004E-2</v>
      </c>
      <c r="E3831" t="s">
        <v>6</v>
      </c>
      <c r="F3831">
        <v>5.8939999999999999E-2</v>
      </c>
    </row>
    <row r="3832" spans="1:6" x14ac:dyDescent="0.3">
      <c r="A3832" t="s">
        <v>5</v>
      </c>
      <c r="B3832" s="1">
        <v>45817</v>
      </c>
      <c r="C3832">
        <v>16</v>
      </c>
      <c r="D3832">
        <v>0.156</v>
      </c>
      <c r="E3832" t="s">
        <v>6</v>
      </c>
      <c r="F3832">
        <v>5.9729999999999998E-2</v>
      </c>
    </row>
    <row r="3833" spans="1:6" x14ac:dyDescent="0.3">
      <c r="A3833" t="s">
        <v>5</v>
      </c>
      <c r="B3833" s="1">
        <v>45817</v>
      </c>
      <c r="C3833">
        <v>17</v>
      </c>
      <c r="D3833">
        <v>0.156</v>
      </c>
      <c r="E3833" t="s">
        <v>6</v>
      </c>
      <c r="F3833">
        <v>6.2700000000000006E-2</v>
      </c>
    </row>
    <row r="3834" spans="1:6" x14ac:dyDescent="0.3">
      <c r="A3834" t="s">
        <v>5</v>
      </c>
      <c r="B3834" s="1">
        <v>45817</v>
      </c>
      <c r="C3834">
        <v>18</v>
      </c>
      <c r="D3834">
        <v>0.22500000000000001</v>
      </c>
      <c r="E3834" t="s">
        <v>6</v>
      </c>
      <c r="F3834">
        <v>7.0680000000000007E-2</v>
      </c>
    </row>
    <row r="3835" spans="1:6" x14ac:dyDescent="0.3">
      <c r="A3835" t="s">
        <v>5</v>
      </c>
      <c r="B3835" s="1">
        <v>45817</v>
      </c>
      <c r="C3835">
        <v>19</v>
      </c>
      <c r="D3835">
        <v>8.6999999999999994E-2</v>
      </c>
      <c r="E3835" t="s">
        <v>6</v>
      </c>
      <c r="F3835">
        <v>0.17902999999999999</v>
      </c>
    </row>
    <row r="3836" spans="1:6" x14ac:dyDescent="0.3">
      <c r="A3836" t="s">
        <v>5</v>
      </c>
      <c r="B3836" s="1">
        <v>45817</v>
      </c>
      <c r="C3836">
        <v>20</v>
      </c>
      <c r="D3836">
        <v>8.6999999999999994E-2</v>
      </c>
      <c r="E3836" t="s">
        <v>6</v>
      </c>
      <c r="F3836">
        <v>0.21988999999999997</v>
      </c>
    </row>
    <row r="3837" spans="1:6" x14ac:dyDescent="0.3">
      <c r="A3837" t="s">
        <v>5</v>
      </c>
      <c r="B3837" s="1">
        <v>45817</v>
      </c>
      <c r="C3837">
        <v>21</v>
      </c>
      <c r="D3837">
        <v>0.74299999999999999</v>
      </c>
      <c r="E3837" t="s">
        <v>6</v>
      </c>
      <c r="F3837">
        <v>0.24393999999999999</v>
      </c>
    </row>
    <row r="3838" spans="1:6" x14ac:dyDescent="0.3">
      <c r="A3838" t="s">
        <v>5</v>
      </c>
      <c r="B3838" s="1">
        <v>45817</v>
      </c>
      <c r="C3838">
        <v>22</v>
      </c>
      <c r="D3838">
        <v>0.69199999999999995</v>
      </c>
      <c r="E3838" t="s">
        <v>6</v>
      </c>
      <c r="F3838">
        <v>0.26718000000000003</v>
      </c>
    </row>
    <row r="3839" spans="1:6" x14ac:dyDescent="0.3">
      <c r="A3839" t="s">
        <v>5</v>
      </c>
      <c r="B3839" s="1">
        <v>45817</v>
      </c>
      <c r="C3839">
        <v>23</v>
      </c>
      <c r="D3839">
        <v>0.22</v>
      </c>
      <c r="E3839" t="s">
        <v>6</v>
      </c>
      <c r="F3839">
        <v>0.19005000000000002</v>
      </c>
    </row>
    <row r="3840" spans="1:6" x14ac:dyDescent="0.3">
      <c r="A3840" t="s">
        <v>5</v>
      </c>
      <c r="B3840" s="1">
        <v>45817</v>
      </c>
      <c r="C3840">
        <v>24</v>
      </c>
      <c r="D3840">
        <v>0.25</v>
      </c>
      <c r="E3840" t="s">
        <v>6</v>
      </c>
      <c r="F3840">
        <v>0.17976</v>
      </c>
    </row>
    <row r="3841" spans="1:6" x14ac:dyDescent="0.3">
      <c r="A3841" t="s">
        <v>5</v>
      </c>
      <c r="B3841" s="1">
        <v>45818</v>
      </c>
      <c r="C3841">
        <v>1</v>
      </c>
      <c r="D3841">
        <v>0.22800000000000001</v>
      </c>
      <c r="E3841" t="s">
        <v>6</v>
      </c>
      <c r="F3841">
        <v>0.13961999999999999</v>
      </c>
    </row>
    <row r="3842" spans="1:6" x14ac:dyDescent="0.3">
      <c r="A3842" t="s">
        <v>5</v>
      </c>
      <c r="B3842" s="1">
        <v>45818</v>
      </c>
      <c r="C3842">
        <v>2</v>
      </c>
      <c r="D3842">
        <v>0.192</v>
      </c>
      <c r="E3842" t="s">
        <v>6</v>
      </c>
      <c r="F3842">
        <v>0.13729</v>
      </c>
    </row>
    <row r="3843" spans="1:6" x14ac:dyDescent="0.3">
      <c r="A3843" t="s">
        <v>5</v>
      </c>
      <c r="B3843" s="1">
        <v>45818</v>
      </c>
      <c r="C3843">
        <v>3</v>
      </c>
      <c r="D3843">
        <v>0.20200000000000001</v>
      </c>
      <c r="E3843" t="s">
        <v>6</v>
      </c>
      <c r="F3843">
        <v>0.13747000000000001</v>
      </c>
    </row>
    <row r="3844" spans="1:6" x14ac:dyDescent="0.3">
      <c r="A3844" t="s">
        <v>5</v>
      </c>
      <c r="B3844" s="1">
        <v>45818</v>
      </c>
      <c r="C3844">
        <v>4</v>
      </c>
      <c r="D3844">
        <v>0.17599999999999999</v>
      </c>
      <c r="E3844" t="s">
        <v>6</v>
      </c>
      <c r="F3844">
        <v>0.13302</v>
      </c>
    </row>
    <row r="3845" spans="1:6" x14ac:dyDescent="0.3">
      <c r="A3845" t="s">
        <v>5</v>
      </c>
      <c r="B3845" s="1">
        <v>45818</v>
      </c>
      <c r="C3845">
        <v>5</v>
      </c>
      <c r="D3845">
        <v>0.188</v>
      </c>
      <c r="E3845" t="s">
        <v>6</v>
      </c>
      <c r="F3845">
        <v>0.13297999999999999</v>
      </c>
    </row>
    <row r="3846" spans="1:6" x14ac:dyDescent="0.3">
      <c r="A3846" t="s">
        <v>5</v>
      </c>
      <c r="B3846" s="1">
        <v>45818</v>
      </c>
      <c r="C3846">
        <v>6</v>
      </c>
      <c r="D3846">
        <v>0.184</v>
      </c>
      <c r="E3846" t="s">
        <v>6</v>
      </c>
      <c r="F3846">
        <v>0.13247</v>
      </c>
    </row>
    <row r="3847" spans="1:6" x14ac:dyDescent="0.3">
      <c r="A3847" t="s">
        <v>5</v>
      </c>
      <c r="B3847" s="1">
        <v>45818</v>
      </c>
      <c r="C3847">
        <v>7</v>
      </c>
      <c r="D3847">
        <v>0.16900000000000001</v>
      </c>
      <c r="E3847" t="s">
        <v>6</v>
      </c>
      <c r="F3847">
        <v>0.13531000000000001</v>
      </c>
    </row>
    <row r="3848" spans="1:6" x14ac:dyDescent="0.3">
      <c r="A3848" t="s">
        <v>5</v>
      </c>
      <c r="B3848" s="1">
        <v>45818</v>
      </c>
      <c r="C3848">
        <v>8</v>
      </c>
      <c r="D3848">
        <v>0.19500000000000001</v>
      </c>
      <c r="E3848" t="s">
        <v>6</v>
      </c>
      <c r="F3848">
        <v>0.13539999999999999</v>
      </c>
    </row>
    <row r="3849" spans="1:6" x14ac:dyDescent="0.3">
      <c r="A3849" t="s">
        <v>5</v>
      </c>
      <c r="B3849" s="1">
        <v>45818</v>
      </c>
      <c r="C3849">
        <v>9</v>
      </c>
      <c r="D3849">
        <v>0.154</v>
      </c>
      <c r="E3849" t="s">
        <v>6</v>
      </c>
      <c r="F3849">
        <v>0.15737999999999999</v>
      </c>
    </row>
    <row r="3850" spans="1:6" x14ac:dyDescent="0.3">
      <c r="A3850" t="s">
        <v>5</v>
      </c>
      <c r="B3850" s="1">
        <v>45818</v>
      </c>
      <c r="C3850">
        <v>10</v>
      </c>
      <c r="D3850">
        <v>0.71799999999999997</v>
      </c>
      <c r="E3850" t="s">
        <v>6</v>
      </c>
      <c r="F3850">
        <v>0.15359999999999999</v>
      </c>
    </row>
    <row r="3851" spans="1:6" x14ac:dyDescent="0.3">
      <c r="A3851" t="s">
        <v>5</v>
      </c>
      <c r="B3851" s="1">
        <v>45818</v>
      </c>
      <c r="C3851">
        <v>11</v>
      </c>
      <c r="D3851">
        <v>1.087</v>
      </c>
      <c r="E3851" t="s">
        <v>6</v>
      </c>
      <c r="F3851">
        <v>0.21118000000000001</v>
      </c>
    </row>
    <row r="3852" spans="1:6" x14ac:dyDescent="0.3">
      <c r="A3852" t="s">
        <v>5</v>
      </c>
      <c r="B3852" s="1">
        <v>45818</v>
      </c>
      <c r="C3852">
        <v>12</v>
      </c>
      <c r="D3852">
        <v>0.79900000000000004</v>
      </c>
      <c r="E3852" t="s">
        <v>6</v>
      </c>
      <c r="F3852">
        <v>0.19355</v>
      </c>
    </row>
    <row r="3853" spans="1:6" x14ac:dyDescent="0.3">
      <c r="A3853" t="s">
        <v>5</v>
      </c>
      <c r="B3853" s="1">
        <v>45818</v>
      </c>
      <c r="C3853">
        <v>13</v>
      </c>
      <c r="D3853">
        <v>1.0489999999999999</v>
      </c>
      <c r="E3853" t="s">
        <v>6</v>
      </c>
      <c r="F3853">
        <v>0.16197999999999999</v>
      </c>
    </row>
    <row r="3854" spans="1:6" x14ac:dyDescent="0.3">
      <c r="A3854" t="s">
        <v>5</v>
      </c>
      <c r="B3854" s="1">
        <v>45818</v>
      </c>
      <c r="C3854">
        <v>14</v>
      </c>
      <c r="D3854">
        <v>1.262</v>
      </c>
      <c r="E3854" t="s">
        <v>6</v>
      </c>
      <c r="F3854">
        <v>0.15853999999999999</v>
      </c>
    </row>
    <row r="3855" spans="1:6" x14ac:dyDescent="0.3">
      <c r="A3855" t="s">
        <v>5</v>
      </c>
      <c r="B3855" s="1">
        <v>45818</v>
      </c>
      <c r="C3855">
        <v>15</v>
      </c>
      <c r="D3855">
        <v>1.1140000000000001</v>
      </c>
      <c r="E3855" t="s">
        <v>6</v>
      </c>
      <c r="F3855">
        <v>9.257E-2</v>
      </c>
    </row>
    <row r="3856" spans="1:6" x14ac:dyDescent="0.3">
      <c r="A3856" t="s">
        <v>5</v>
      </c>
      <c r="B3856" s="1">
        <v>45818</v>
      </c>
      <c r="C3856">
        <v>16</v>
      </c>
      <c r="D3856">
        <v>0.63</v>
      </c>
      <c r="E3856" t="s">
        <v>6</v>
      </c>
      <c r="F3856">
        <v>9.2280000000000001E-2</v>
      </c>
    </row>
    <row r="3857" spans="1:6" x14ac:dyDescent="0.3">
      <c r="A3857" t="s">
        <v>5</v>
      </c>
      <c r="B3857" s="1">
        <v>45818</v>
      </c>
      <c r="C3857">
        <v>17</v>
      </c>
      <c r="D3857">
        <v>8.8999999999999996E-2</v>
      </c>
      <c r="E3857" t="s">
        <v>6</v>
      </c>
      <c r="F3857">
        <v>9.2719999999999997E-2</v>
      </c>
    </row>
    <row r="3858" spans="1:6" x14ac:dyDescent="0.3">
      <c r="A3858" t="s">
        <v>5</v>
      </c>
      <c r="B3858" s="1">
        <v>45818</v>
      </c>
      <c r="C3858">
        <v>18</v>
      </c>
      <c r="D3858">
        <v>7.6999999999999999E-2</v>
      </c>
      <c r="E3858" t="s">
        <v>6</v>
      </c>
      <c r="F3858">
        <v>0.13168000000000002</v>
      </c>
    </row>
    <row r="3859" spans="1:6" x14ac:dyDescent="0.3">
      <c r="A3859" t="s">
        <v>5</v>
      </c>
      <c r="B3859" s="1">
        <v>45818</v>
      </c>
      <c r="C3859">
        <v>19</v>
      </c>
      <c r="D3859">
        <v>0.10299999999999999</v>
      </c>
      <c r="E3859" t="s">
        <v>6</v>
      </c>
      <c r="F3859">
        <v>0.21112999999999998</v>
      </c>
    </row>
    <row r="3860" spans="1:6" x14ac:dyDescent="0.3">
      <c r="A3860" t="s">
        <v>5</v>
      </c>
      <c r="B3860" s="1">
        <v>45818</v>
      </c>
      <c r="C3860">
        <v>20</v>
      </c>
      <c r="D3860">
        <v>0.39600000000000002</v>
      </c>
      <c r="E3860" t="s">
        <v>6</v>
      </c>
      <c r="F3860">
        <v>0.21936000000000003</v>
      </c>
    </row>
    <row r="3861" spans="1:6" x14ac:dyDescent="0.3">
      <c r="A3861" t="s">
        <v>5</v>
      </c>
      <c r="B3861" s="1">
        <v>45818</v>
      </c>
      <c r="C3861">
        <v>21</v>
      </c>
      <c r="D3861">
        <v>1.1739999999999999</v>
      </c>
      <c r="E3861" t="s">
        <v>6</v>
      </c>
      <c r="F3861">
        <v>0.22952</v>
      </c>
    </row>
    <row r="3862" spans="1:6" x14ac:dyDescent="0.3">
      <c r="A3862" t="s">
        <v>5</v>
      </c>
      <c r="B3862" s="1">
        <v>45818</v>
      </c>
      <c r="C3862">
        <v>22</v>
      </c>
      <c r="D3862">
        <v>1.1890000000000001</v>
      </c>
      <c r="E3862" t="s">
        <v>6</v>
      </c>
      <c r="F3862">
        <v>0.23327000000000001</v>
      </c>
    </row>
    <row r="3863" spans="1:6" x14ac:dyDescent="0.3">
      <c r="A3863" t="s">
        <v>5</v>
      </c>
      <c r="B3863" s="1">
        <v>45818</v>
      </c>
      <c r="C3863">
        <v>23</v>
      </c>
      <c r="D3863">
        <v>0.77800000000000002</v>
      </c>
      <c r="E3863" t="s">
        <v>6</v>
      </c>
      <c r="F3863">
        <v>0.16505</v>
      </c>
    </row>
    <row r="3864" spans="1:6" x14ac:dyDescent="0.3">
      <c r="A3864" t="s">
        <v>5</v>
      </c>
      <c r="B3864" s="1">
        <v>45818</v>
      </c>
      <c r="C3864">
        <v>24</v>
      </c>
      <c r="D3864">
        <v>0.308</v>
      </c>
      <c r="E3864" t="s">
        <v>6</v>
      </c>
      <c r="F3864">
        <v>0.15994999999999998</v>
      </c>
    </row>
    <row r="3865" spans="1:6" x14ac:dyDescent="0.3">
      <c r="A3865" t="s">
        <v>5</v>
      </c>
      <c r="B3865" s="1">
        <v>45819</v>
      </c>
      <c r="C3865">
        <v>1</v>
      </c>
      <c r="D3865">
        <v>0.17399999999999999</v>
      </c>
      <c r="E3865" t="s">
        <v>6</v>
      </c>
      <c r="F3865">
        <v>0.14521999999999999</v>
      </c>
    </row>
    <row r="3866" spans="1:6" x14ac:dyDescent="0.3">
      <c r="A3866" t="s">
        <v>5</v>
      </c>
      <c r="B3866" s="1">
        <v>45819</v>
      </c>
      <c r="C3866">
        <v>2</v>
      </c>
      <c r="D3866">
        <v>8.3000000000000004E-2</v>
      </c>
      <c r="E3866" t="s">
        <v>6</v>
      </c>
      <c r="F3866">
        <v>0.14321</v>
      </c>
    </row>
    <row r="3867" spans="1:6" x14ac:dyDescent="0.3">
      <c r="A3867" t="s">
        <v>5</v>
      </c>
      <c r="B3867" s="1">
        <v>45819</v>
      </c>
      <c r="C3867">
        <v>3</v>
      </c>
      <c r="D3867">
        <v>8.4000000000000005E-2</v>
      </c>
      <c r="E3867" t="s">
        <v>6</v>
      </c>
      <c r="F3867">
        <v>0.14143</v>
      </c>
    </row>
    <row r="3868" spans="1:6" x14ac:dyDescent="0.3">
      <c r="A3868" t="s">
        <v>5</v>
      </c>
      <c r="B3868" s="1">
        <v>45819</v>
      </c>
      <c r="C3868">
        <v>4</v>
      </c>
      <c r="D3868">
        <v>0.104</v>
      </c>
      <c r="E3868" t="s">
        <v>6</v>
      </c>
      <c r="F3868">
        <v>0.13830000000000001</v>
      </c>
    </row>
    <row r="3869" spans="1:6" x14ac:dyDescent="0.3">
      <c r="A3869" t="s">
        <v>5</v>
      </c>
      <c r="B3869" s="1">
        <v>45819</v>
      </c>
      <c r="C3869">
        <v>5</v>
      </c>
      <c r="D3869">
        <v>7.9000000000000001E-2</v>
      </c>
      <c r="E3869" t="s">
        <v>6</v>
      </c>
      <c r="F3869">
        <v>0.13661000000000001</v>
      </c>
    </row>
    <row r="3870" spans="1:6" x14ac:dyDescent="0.3">
      <c r="A3870" t="s">
        <v>5</v>
      </c>
      <c r="B3870" s="1">
        <v>45819</v>
      </c>
      <c r="C3870">
        <v>6</v>
      </c>
      <c r="D3870">
        <v>8.5999999999999993E-2</v>
      </c>
      <c r="E3870" t="s">
        <v>6</v>
      </c>
      <c r="F3870">
        <v>0.13788</v>
      </c>
    </row>
    <row r="3871" spans="1:6" x14ac:dyDescent="0.3">
      <c r="A3871" t="s">
        <v>5</v>
      </c>
      <c r="B3871" s="1">
        <v>45819</v>
      </c>
      <c r="C3871">
        <v>7</v>
      </c>
      <c r="D3871">
        <v>9.7000000000000003E-2</v>
      </c>
      <c r="E3871" t="s">
        <v>6</v>
      </c>
      <c r="F3871">
        <v>0.14107</v>
      </c>
    </row>
    <row r="3872" spans="1:6" x14ac:dyDescent="0.3">
      <c r="A3872" t="s">
        <v>5</v>
      </c>
      <c r="B3872" s="1">
        <v>45819</v>
      </c>
      <c r="C3872">
        <v>8</v>
      </c>
      <c r="D3872">
        <v>7.5999999999999998E-2</v>
      </c>
      <c r="E3872" t="s">
        <v>6</v>
      </c>
      <c r="F3872">
        <v>0.14230000000000001</v>
      </c>
    </row>
    <row r="3873" spans="1:6" x14ac:dyDescent="0.3">
      <c r="A3873" t="s">
        <v>5</v>
      </c>
      <c r="B3873" s="1">
        <v>45819</v>
      </c>
      <c r="C3873">
        <v>9</v>
      </c>
      <c r="D3873">
        <v>9.1999999999999998E-2</v>
      </c>
      <c r="E3873" t="s">
        <v>6</v>
      </c>
      <c r="F3873">
        <v>0.16506999999999999</v>
      </c>
    </row>
    <row r="3874" spans="1:6" x14ac:dyDescent="0.3">
      <c r="A3874" t="s">
        <v>5</v>
      </c>
      <c r="B3874" s="1">
        <v>45819</v>
      </c>
      <c r="C3874">
        <v>10</v>
      </c>
      <c r="D3874">
        <v>8.7999999999999995E-2</v>
      </c>
      <c r="E3874" t="s">
        <v>6</v>
      </c>
      <c r="F3874">
        <v>0.15786</v>
      </c>
    </row>
    <row r="3875" spans="1:6" x14ac:dyDescent="0.3">
      <c r="A3875" t="s">
        <v>5</v>
      </c>
      <c r="B3875" s="1">
        <v>45819</v>
      </c>
      <c r="C3875">
        <v>11</v>
      </c>
      <c r="D3875">
        <v>7.5999999999999998E-2</v>
      </c>
      <c r="E3875" t="s">
        <v>6</v>
      </c>
      <c r="F3875">
        <v>0.2026</v>
      </c>
    </row>
    <row r="3876" spans="1:6" x14ac:dyDescent="0.3">
      <c r="A3876" t="s">
        <v>5</v>
      </c>
      <c r="B3876" s="1">
        <v>45819</v>
      </c>
      <c r="C3876">
        <v>12</v>
      </c>
      <c r="D3876">
        <v>0.10100000000000001</v>
      </c>
      <c r="E3876" t="s">
        <v>6</v>
      </c>
      <c r="F3876">
        <v>0.16857</v>
      </c>
    </row>
    <row r="3877" spans="1:6" x14ac:dyDescent="0.3">
      <c r="A3877" t="s">
        <v>5</v>
      </c>
      <c r="B3877" s="1">
        <v>45819</v>
      </c>
      <c r="C3877">
        <v>13</v>
      </c>
      <c r="D3877">
        <v>7.9000000000000001E-2</v>
      </c>
      <c r="E3877" t="s">
        <v>6</v>
      </c>
      <c r="F3877">
        <v>0.13069999999999998</v>
      </c>
    </row>
    <row r="3878" spans="1:6" x14ac:dyDescent="0.3">
      <c r="A3878" t="s">
        <v>5</v>
      </c>
      <c r="B3878" s="1">
        <v>45819</v>
      </c>
      <c r="C3878">
        <v>14</v>
      </c>
      <c r="D3878">
        <v>8.2000000000000003E-2</v>
      </c>
      <c r="E3878" t="s">
        <v>6</v>
      </c>
      <c r="F3878">
        <v>0.11763</v>
      </c>
    </row>
    <row r="3879" spans="1:6" x14ac:dyDescent="0.3">
      <c r="A3879" t="s">
        <v>5</v>
      </c>
      <c r="B3879" s="1">
        <v>45819</v>
      </c>
      <c r="C3879">
        <v>15</v>
      </c>
      <c r="D3879">
        <v>9.9000000000000005E-2</v>
      </c>
      <c r="E3879" t="s">
        <v>6</v>
      </c>
      <c r="F3879">
        <v>5.0939999999999999E-2</v>
      </c>
    </row>
    <row r="3880" spans="1:6" x14ac:dyDescent="0.3">
      <c r="A3880" t="s">
        <v>5</v>
      </c>
      <c r="B3880" s="1">
        <v>45819</v>
      </c>
      <c r="C3880">
        <v>16</v>
      </c>
      <c r="D3880">
        <v>7.3999999999999996E-2</v>
      </c>
      <c r="E3880" t="s">
        <v>6</v>
      </c>
      <c r="F3880">
        <v>4.8780000000000004E-2</v>
      </c>
    </row>
    <row r="3881" spans="1:6" x14ac:dyDescent="0.3">
      <c r="A3881" t="s">
        <v>5</v>
      </c>
      <c r="B3881" s="1">
        <v>45819</v>
      </c>
      <c r="C3881">
        <v>17</v>
      </c>
      <c r="D3881">
        <v>0.09</v>
      </c>
      <c r="E3881" t="s">
        <v>6</v>
      </c>
      <c r="F3881">
        <v>5.0299999999999997E-2</v>
      </c>
    </row>
    <row r="3882" spans="1:6" x14ac:dyDescent="0.3">
      <c r="A3882" t="s">
        <v>5</v>
      </c>
      <c r="B3882" s="1">
        <v>45819</v>
      </c>
      <c r="C3882">
        <v>18</v>
      </c>
      <c r="D3882">
        <v>0.09</v>
      </c>
      <c r="E3882" t="s">
        <v>6</v>
      </c>
      <c r="F3882">
        <v>5.1139999999999998E-2</v>
      </c>
    </row>
    <row r="3883" spans="1:6" x14ac:dyDescent="0.3">
      <c r="A3883" t="s">
        <v>5</v>
      </c>
      <c r="B3883" s="1">
        <v>45819</v>
      </c>
      <c r="C3883">
        <v>19</v>
      </c>
      <c r="D3883">
        <v>7.4999999999999997E-2</v>
      </c>
      <c r="E3883" t="s">
        <v>6</v>
      </c>
      <c r="F3883">
        <v>0.13403999999999999</v>
      </c>
    </row>
    <row r="3884" spans="1:6" x14ac:dyDescent="0.3">
      <c r="A3884" t="s">
        <v>5</v>
      </c>
      <c r="B3884" s="1">
        <v>45819</v>
      </c>
      <c r="C3884">
        <v>20</v>
      </c>
      <c r="D3884">
        <v>9.9000000000000005E-2</v>
      </c>
      <c r="E3884" t="s">
        <v>6</v>
      </c>
      <c r="F3884">
        <v>0.19803999999999999</v>
      </c>
    </row>
    <row r="3885" spans="1:6" x14ac:dyDescent="0.3">
      <c r="A3885" t="s">
        <v>5</v>
      </c>
      <c r="B3885" s="1">
        <v>45819</v>
      </c>
      <c r="C3885">
        <v>21</v>
      </c>
      <c r="D3885">
        <v>8.2000000000000003E-2</v>
      </c>
      <c r="E3885" t="s">
        <v>6</v>
      </c>
      <c r="F3885">
        <v>0.22905</v>
      </c>
    </row>
    <row r="3886" spans="1:6" x14ac:dyDescent="0.3">
      <c r="A3886" t="s">
        <v>5</v>
      </c>
      <c r="B3886" s="1">
        <v>45819</v>
      </c>
      <c r="C3886">
        <v>22</v>
      </c>
      <c r="D3886">
        <v>8.1000000000000003E-2</v>
      </c>
      <c r="E3886" t="s">
        <v>6</v>
      </c>
      <c r="F3886">
        <v>0.2399</v>
      </c>
    </row>
    <row r="3887" spans="1:6" x14ac:dyDescent="0.3">
      <c r="A3887" t="s">
        <v>5</v>
      </c>
      <c r="B3887" s="1">
        <v>45819</v>
      </c>
      <c r="C3887">
        <v>23</v>
      </c>
      <c r="D3887">
        <v>9.9000000000000005E-2</v>
      </c>
      <c r="E3887" t="s">
        <v>6</v>
      </c>
      <c r="F3887">
        <v>0.17443999999999998</v>
      </c>
    </row>
    <row r="3888" spans="1:6" x14ac:dyDescent="0.3">
      <c r="A3888" t="s">
        <v>5</v>
      </c>
      <c r="B3888" s="1">
        <v>45819</v>
      </c>
      <c r="C3888">
        <v>24</v>
      </c>
      <c r="D3888">
        <v>9.5000000000000001E-2</v>
      </c>
      <c r="E3888" t="s">
        <v>6</v>
      </c>
      <c r="F3888">
        <v>0.16975999999999999</v>
      </c>
    </row>
    <row r="3889" spans="1:6" x14ac:dyDescent="0.3">
      <c r="A3889" t="s">
        <v>5</v>
      </c>
      <c r="B3889" s="1">
        <v>45820</v>
      </c>
      <c r="C3889">
        <v>1</v>
      </c>
      <c r="D3889">
        <v>0.14199999999999999</v>
      </c>
      <c r="E3889" t="s">
        <v>6</v>
      </c>
      <c r="F3889">
        <v>0.14530999999999999</v>
      </c>
    </row>
    <row r="3890" spans="1:6" x14ac:dyDescent="0.3">
      <c r="A3890" t="s">
        <v>5</v>
      </c>
      <c r="B3890" s="1">
        <v>45820</v>
      </c>
      <c r="C3890">
        <v>2</v>
      </c>
      <c r="D3890">
        <v>0.124</v>
      </c>
      <c r="E3890" t="s">
        <v>6</v>
      </c>
      <c r="F3890">
        <v>0.14223</v>
      </c>
    </row>
    <row r="3891" spans="1:6" x14ac:dyDescent="0.3">
      <c r="A3891" t="s">
        <v>5</v>
      </c>
      <c r="B3891" s="1">
        <v>45820</v>
      </c>
      <c r="C3891">
        <v>3</v>
      </c>
      <c r="D3891">
        <v>9.6000000000000002E-2</v>
      </c>
      <c r="E3891" t="s">
        <v>6</v>
      </c>
      <c r="F3891">
        <v>0.13774</v>
      </c>
    </row>
    <row r="3892" spans="1:6" x14ac:dyDescent="0.3">
      <c r="A3892" t="s">
        <v>5</v>
      </c>
      <c r="B3892" s="1">
        <v>45820</v>
      </c>
      <c r="C3892">
        <v>4</v>
      </c>
      <c r="D3892">
        <v>9.8000000000000004E-2</v>
      </c>
      <c r="E3892" t="s">
        <v>6</v>
      </c>
      <c r="F3892">
        <v>0.13350999999999999</v>
      </c>
    </row>
    <row r="3893" spans="1:6" x14ac:dyDescent="0.3">
      <c r="A3893" t="s">
        <v>5</v>
      </c>
      <c r="B3893" s="1">
        <v>45820</v>
      </c>
      <c r="C3893">
        <v>5</v>
      </c>
      <c r="D3893">
        <v>7.5999999999999998E-2</v>
      </c>
      <c r="E3893" t="s">
        <v>6</v>
      </c>
      <c r="F3893">
        <v>0.13337000000000002</v>
      </c>
    </row>
    <row r="3894" spans="1:6" x14ac:dyDescent="0.3">
      <c r="A3894" t="s">
        <v>5</v>
      </c>
      <c r="B3894" s="1">
        <v>45820</v>
      </c>
      <c r="C3894">
        <v>6</v>
      </c>
      <c r="D3894">
        <v>0.10199999999999999</v>
      </c>
      <c r="E3894" t="s">
        <v>6</v>
      </c>
      <c r="F3894">
        <v>0.13750000000000001</v>
      </c>
    </row>
    <row r="3895" spans="1:6" x14ac:dyDescent="0.3">
      <c r="A3895" t="s">
        <v>5</v>
      </c>
      <c r="B3895" s="1">
        <v>45820</v>
      </c>
      <c r="C3895">
        <v>7</v>
      </c>
      <c r="D3895">
        <v>7.8E-2</v>
      </c>
      <c r="E3895" t="s">
        <v>6</v>
      </c>
      <c r="F3895">
        <v>0.14361000000000002</v>
      </c>
    </row>
    <row r="3896" spans="1:6" x14ac:dyDescent="0.3">
      <c r="A3896" t="s">
        <v>5</v>
      </c>
      <c r="B3896" s="1">
        <v>45820</v>
      </c>
      <c r="C3896">
        <v>8</v>
      </c>
      <c r="D3896">
        <v>8.8999999999999996E-2</v>
      </c>
      <c r="E3896" t="s">
        <v>6</v>
      </c>
      <c r="F3896">
        <v>0.14198</v>
      </c>
    </row>
    <row r="3897" spans="1:6" x14ac:dyDescent="0.3">
      <c r="A3897" t="s">
        <v>5</v>
      </c>
      <c r="B3897" s="1">
        <v>45820</v>
      </c>
      <c r="C3897">
        <v>9</v>
      </c>
      <c r="D3897">
        <v>8.7999999999999995E-2</v>
      </c>
      <c r="E3897" t="s">
        <v>6</v>
      </c>
      <c r="F3897">
        <v>0.15309999999999999</v>
      </c>
    </row>
    <row r="3898" spans="1:6" x14ac:dyDescent="0.3">
      <c r="A3898" t="s">
        <v>5</v>
      </c>
      <c r="B3898" s="1">
        <v>45820</v>
      </c>
      <c r="C3898">
        <v>10</v>
      </c>
      <c r="D3898">
        <v>7.8E-2</v>
      </c>
      <c r="E3898" t="s">
        <v>6</v>
      </c>
      <c r="F3898">
        <v>7.5490000000000002E-2</v>
      </c>
    </row>
    <row r="3899" spans="1:6" x14ac:dyDescent="0.3">
      <c r="A3899" t="s">
        <v>5</v>
      </c>
      <c r="B3899" s="1">
        <v>45820</v>
      </c>
      <c r="C3899">
        <v>11</v>
      </c>
      <c r="D3899">
        <v>9.9000000000000005E-2</v>
      </c>
      <c r="E3899" t="s">
        <v>6</v>
      </c>
      <c r="F3899">
        <v>0.12322</v>
      </c>
    </row>
    <row r="3900" spans="1:6" x14ac:dyDescent="0.3">
      <c r="A3900" t="s">
        <v>5</v>
      </c>
      <c r="B3900" s="1">
        <v>45820</v>
      </c>
      <c r="C3900">
        <v>12</v>
      </c>
      <c r="D3900">
        <v>7.3999999999999996E-2</v>
      </c>
      <c r="E3900" t="s">
        <v>6</v>
      </c>
      <c r="F3900">
        <v>0.12257999999999999</v>
      </c>
    </row>
    <row r="3901" spans="1:6" x14ac:dyDescent="0.3">
      <c r="A3901" t="s">
        <v>5</v>
      </c>
      <c r="B3901" s="1">
        <v>45820</v>
      </c>
      <c r="C3901">
        <v>13</v>
      </c>
      <c r="D3901">
        <v>9.8000000000000004E-2</v>
      </c>
      <c r="E3901" t="s">
        <v>6</v>
      </c>
      <c r="F3901">
        <v>0.12254000000000001</v>
      </c>
    </row>
    <row r="3902" spans="1:6" x14ac:dyDescent="0.3">
      <c r="A3902" t="s">
        <v>5</v>
      </c>
      <c r="B3902" s="1">
        <v>45820</v>
      </c>
      <c r="C3902">
        <v>14</v>
      </c>
      <c r="D3902">
        <v>0.08</v>
      </c>
      <c r="E3902" t="s">
        <v>6</v>
      </c>
      <c r="F3902">
        <v>0.11971999999999999</v>
      </c>
    </row>
    <row r="3903" spans="1:6" x14ac:dyDescent="0.3">
      <c r="A3903" t="s">
        <v>5</v>
      </c>
      <c r="B3903" s="1">
        <v>45820</v>
      </c>
      <c r="C3903">
        <v>15</v>
      </c>
      <c r="D3903">
        <v>8.6999999999999994E-2</v>
      </c>
      <c r="E3903" t="s">
        <v>6</v>
      </c>
      <c r="F3903">
        <v>5.4549999999999994E-2</v>
      </c>
    </row>
    <row r="3904" spans="1:6" x14ac:dyDescent="0.3">
      <c r="A3904" t="s">
        <v>5</v>
      </c>
      <c r="B3904" s="1">
        <v>45820</v>
      </c>
      <c r="C3904">
        <v>16</v>
      </c>
      <c r="D3904">
        <v>9.1999999999999998E-2</v>
      </c>
      <c r="E3904" t="s">
        <v>6</v>
      </c>
      <c r="F3904">
        <v>5.5539999999999999E-2</v>
      </c>
    </row>
    <row r="3905" spans="1:6" x14ac:dyDescent="0.3">
      <c r="A3905" t="s">
        <v>5</v>
      </c>
      <c r="B3905" s="1">
        <v>45820</v>
      </c>
      <c r="C3905">
        <v>17</v>
      </c>
      <c r="D3905">
        <v>7.5999999999999998E-2</v>
      </c>
      <c r="E3905" t="s">
        <v>6</v>
      </c>
      <c r="F3905">
        <v>5.4939999999999996E-2</v>
      </c>
    </row>
    <row r="3906" spans="1:6" x14ac:dyDescent="0.3">
      <c r="A3906" t="s">
        <v>5</v>
      </c>
      <c r="B3906" s="1">
        <v>45820</v>
      </c>
      <c r="C3906">
        <v>18</v>
      </c>
      <c r="D3906">
        <v>0.10199999999999999</v>
      </c>
      <c r="E3906" t="s">
        <v>6</v>
      </c>
      <c r="F3906">
        <v>5.6559999999999999E-2</v>
      </c>
    </row>
    <row r="3907" spans="1:6" x14ac:dyDescent="0.3">
      <c r="A3907" t="s">
        <v>5</v>
      </c>
      <c r="B3907" s="1">
        <v>45820</v>
      </c>
      <c r="C3907">
        <v>19</v>
      </c>
      <c r="D3907">
        <v>7.5999999999999998E-2</v>
      </c>
      <c r="E3907" t="s">
        <v>6</v>
      </c>
      <c r="F3907">
        <v>0.14063999999999999</v>
      </c>
    </row>
    <row r="3908" spans="1:6" x14ac:dyDescent="0.3">
      <c r="A3908" t="s">
        <v>5</v>
      </c>
      <c r="B3908" s="1">
        <v>45820</v>
      </c>
      <c r="C3908">
        <v>20</v>
      </c>
      <c r="D3908">
        <v>9.5000000000000001E-2</v>
      </c>
      <c r="E3908" t="s">
        <v>6</v>
      </c>
      <c r="F3908">
        <v>0.21933000000000002</v>
      </c>
    </row>
    <row r="3909" spans="1:6" x14ac:dyDescent="0.3">
      <c r="A3909" t="s">
        <v>5</v>
      </c>
      <c r="B3909" s="1">
        <v>45820</v>
      </c>
      <c r="C3909">
        <v>21</v>
      </c>
      <c r="D3909">
        <v>8.5000000000000006E-2</v>
      </c>
      <c r="E3909" t="s">
        <v>6</v>
      </c>
      <c r="F3909">
        <v>0.23418</v>
      </c>
    </row>
    <row r="3910" spans="1:6" x14ac:dyDescent="0.3">
      <c r="A3910" t="s">
        <v>5</v>
      </c>
      <c r="B3910" s="1">
        <v>45820</v>
      </c>
      <c r="C3910">
        <v>22</v>
      </c>
      <c r="D3910">
        <v>8.3000000000000004E-2</v>
      </c>
      <c r="E3910" t="s">
        <v>6</v>
      </c>
      <c r="F3910">
        <v>0.26297999999999999</v>
      </c>
    </row>
    <row r="3911" spans="1:6" x14ac:dyDescent="0.3">
      <c r="A3911" t="s">
        <v>5</v>
      </c>
      <c r="B3911" s="1">
        <v>45820</v>
      </c>
      <c r="C3911">
        <v>23</v>
      </c>
      <c r="D3911">
        <v>9.6000000000000002E-2</v>
      </c>
      <c r="E3911" t="s">
        <v>6</v>
      </c>
      <c r="F3911">
        <v>0.20758000000000001</v>
      </c>
    </row>
    <row r="3912" spans="1:6" x14ac:dyDescent="0.3">
      <c r="A3912" t="s">
        <v>5</v>
      </c>
      <c r="B3912" s="1">
        <v>45820</v>
      </c>
      <c r="C3912">
        <v>24</v>
      </c>
      <c r="D3912">
        <v>7.5999999999999998E-2</v>
      </c>
      <c r="E3912" t="s">
        <v>6</v>
      </c>
      <c r="F3912">
        <v>0.18258000000000002</v>
      </c>
    </row>
    <row r="3913" spans="1:6" x14ac:dyDescent="0.3">
      <c r="A3913" t="s">
        <v>5</v>
      </c>
      <c r="B3913" s="1">
        <v>45821</v>
      </c>
      <c r="C3913">
        <v>1</v>
      </c>
      <c r="D3913">
        <v>0.10199999999999999</v>
      </c>
      <c r="E3913" t="s">
        <v>6</v>
      </c>
      <c r="F3913">
        <v>0.16547999999999999</v>
      </c>
    </row>
    <row r="3914" spans="1:6" x14ac:dyDescent="0.3">
      <c r="A3914" t="s">
        <v>5</v>
      </c>
      <c r="B3914" s="1">
        <v>45821</v>
      </c>
      <c r="C3914">
        <v>2</v>
      </c>
      <c r="D3914">
        <v>7.8E-2</v>
      </c>
      <c r="E3914" t="s">
        <v>6</v>
      </c>
      <c r="F3914">
        <v>0.15783000000000003</v>
      </c>
    </row>
    <row r="3915" spans="1:6" x14ac:dyDescent="0.3">
      <c r="A3915" t="s">
        <v>5</v>
      </c>
      <c r="B3915" s="1">
        <v>45821</v>
      </c>
      <c r="C3915">
        <v>3</v>
      </c>
      <c r="D3915">
        <v>0.09</v>
      </c>
      <c r="E3915" t="s">
        <v>6</v>
      </c>
      <c r="F3915">
        <v>0.15355000000000002</v>
      </c>
    </row>
    <row r="3916" spans="1:6" x14ac:dyDescent="0.3">
      <c r="A3916" t="s">
        <v>5</v>
      </c>
      <c r="B3916" s="1">
        <v>45821</v>
      </c>
      <c r="C3916">
        <v>4</v>
      </c>
      <c r="D3916">
        <v>9.0999999999999998E-2</v>
      </c>
      <c r="E3916" t="s">
        <v>6</v>
      </c>
      <c r="F3916">
        <v>0.14921000000000001</v>
      </c>
    </row>
    <row r="3917" spans="1:6" x14ac:dyDescent="0.3">
      <c r="A3917" t="s">
        <v>5</v>
      </c>
      <c r="B3917" s="1">
        <v>45821</v>
      </c>
      <c r="C3917">
        <v>5</v>
      </c>
      <c r="D3917">
        <v>7.5999999999999998E-2</v>
      </c>
      <c r="E3917" t="s">
        <v>6</v>
      </c>
      <c r="F3917">
        <v>0.1482</v>
      </c>
    </row>
    <row r="3918" spans="1:6" x14ac:dyDescent="0.3">
      <c r="A3918" t="s">
        <v>5</v>
      </c>
      <c r="B3918" s="1">
        <v>45821</v>
      </c>
      <c r="C3918">
        <v>6</v>
      </c>
      <c r="D3918">
        <v>0.104</v>
      </c>
      <c r="E3918" t="s">
        <v>6</v>
      </c>
      <c r="F3918">
        <v>0.14756</v>
      </c>
    </row>
    <row r="3919" spans="1:6" x14ac:dyDescent="0.3">
      <c r="A3919" t="s">
        <v>5</v>
      </c>
      <c r="B3919" s="1">
        <v>45821</v>
      </c>
      <c r="C3919">
        <v>7</v>
      </c>
      <c r="D3919">
        <v>7.4999999999999997E-2</v>
      </c>
      <c r="E3919" t="s">
        <v>6</v>
      </c>
      <c r="F3919">
        <v>0.15145</v>
      </c>
    </row>
    <row r="3920" spans="1:6" x14ac:dyDescent="0.3">
      <c r="A3920" t="s">
        <v>5</v>
      </c>
      <c r="B3920" s="1">
        <v>45821</v>
      </c>
      <c r="C3920">
        <v>8</v>
      </c>
      <c r="D3920">
        <v>9.1999999999999998E-2</v>
      </c>
      <c r="E3920" t="s">
        <v>6</v>
      </c>
      <c r="F3920">
        <v>0.14812999999999998</v>
      </c>
    </row>
    <row r="3921" spans="1:6" x14ac:dyDescent="0.3">
      <c r="A3921" t="s">
        <v>5</v>
      </c>
      <c r="B3921" s="1">
        <v>45821</v>
      </c>
      <c r="C3921">
        <v>9</v>
      </c>
      <c r="D3921">
        <v>8.6999999999999994E-2</v>
      </c>
      <c r="E3921" t="s">
        <v>6</v>
      </c>
      <c r="F3921">
        <v>0.17199999999999999</v>
      </c>
    </row>
    <row r="3922" spans="1:6" x14ac:dyDescent="0.3">
      <c r="A3922" t="s">
        <v>5</v>
      </c>
      <c r="B3922" s="1">
        <v>45821</v>
      </c>
      <c r="C3922">
        <v>10</v>
      </c>
      <c r="D3922">
        <v>7.8E-2</v>
      </c>
      <c r="E3922" t="s">
        <v>6</v>
      </c>
      <c r="F3922">
        <v>0.11045000000000001</v>
      </c>
    </row>
    <row r="3923" spans="1:6" x14ac:dyDescent="0.3">
      <c r="A3923" t="s">
        <v>5</v>
      </c>
      <c r="B3923" s="1">
        <v>45821</v>
      </c>
      <c r="C3923">
        <v>11</v>
      </c>
      <c r="D3923">
        <v>0.1</v>
      </c>
      <c r="E3923" t="s">
        <v>6</v>
      </c>
      <c r="F3923">
        <v>0.13618</v>
      </c>
    </row>
    <row r="3924" spans="1:6" x14ac:dyDescent="0.3">
      <c r="A3924" t="s">
        <v>5</v>
      </c>
      <c r="B3924" s="1">
        <v>45821</v>
      </c>
      <c r="C3924">
        <v>12</v>
      </c>
      <c r="D3924">
        <v>7.4999999999999997E-2</v>
      </c>
      <c r="E3924" t="s">
        <v>6</v>
      </c>
      <c r="F3924">
        <v>0.12145</v>
      </c>
    </row>
    <row r="3925" spans="1:6" x14ac:dyDescent="0.3">
      <c r="A3925" t="s">
        <v>5</v>
      </c>
      <c r="B3925" s="1">
        <v>45821</v>
      </c>
      <c r="C3925">
        <v>13</v>
      </c>
      <c r="D3925">
        <v>9.5000000000000001E-2</v>
      </c>
      <c r="E3925" t="s">
        <v>6</v>
      </c>
      <c r="F3925">
        <v>0.12025</v>
      </c>
    </row>
    <row r="3926" spans="1:6" x14ac:dyDescent="0.3">
      <c r="A3926" t="s">
        <v>5</v>
      </c>
      <c r="B3926" s="1">
        <v>45821</v>
      </c>
      <c r="C3926">
        <v>14</v>
      </c>
      <c r="D3926">
        <v>8.5000000000000006E-2</v>
      </c>
      <c r="E3926" t="s">
        <v>6</v>
      </c>
      <c r="F3926">
        <v>0.11769</v>
      </c>
    </row>
    <row r="3927" spans="1:6" x14ac:dyDescent="0.3">
      <c r="A3927" t="s">
        <v>5</v>
      </c>
      <c r="B3927" s="1">
        <v>45821</v>
      </c>
      <c r="C3927">
        <v>15</v>
      </c>
      <c r="D3927">
        <v>8.2000000000000003E-2</v>
      </c>
      <c r="E3927" t="s">
        <v>6</v>
      </c>
      <c r="F3927">
        <v>5.2929999999999998E-2</v>
      </c>
    </row>
    <row r="3928" spans="1:6" x14ac:dyDescent="0.3">
      <c r="A3928" t="s">
        <v>5</v>
      </c>
      <c r="B3928" s="1">
        <v>45821</v>
      </c>
      <c r="C3928">
        <v>16</v>
      </c>
      <c r="D3928">
        <v>9.8000000000000004E-2</v>
      </c>
      <c r="E3928" t="s">
        <v>6</v>
      </c>
      <c r="F3928">
        <v>5.364E-2</v>
      </c>
    </row>
    <row r="3929" spans="1:6" x14ac:dyDescent="0.3">
      <c r="A3929" t="s">
        <v>5</v>
      </c>
      <c r="B3929" s="1">
        <v>45821</v>
      </c>
      <c r="C3929">
        <v>17</v>
      </c>
      <c r="D3929">
        <v>7.4999999999999997E-2</v>
      </c>
      <c r="E3929" t="s">
        <v>6</v>
      </c>
      <c r="F3929">
        <v>5.4119999999999994E-2</v>
      </c>
    </row>
    <row r="3930" spans="1:6" x14ac:dyDescent="0.3">
      <c r="A3930" t="s">
        <v>5</v>
      </c>
      <c r="B3930" s="1">
        <v>45821</v>
      </c>
      <c r="C3930">
        <v>18</v>
      </c>
      <c r="D3930">
        <v>9.7000000000000003E-2</v>
      </c>
      <c r="E3930" t="s">
        <v>6</v>
      </c>
      <c r="F3930">
        <v>5.8590000000000003E-2</v>
      </c>
    </row>
    <row r="3931" spans="1:6" x14ac:dyDescent="0.3">
      <c r="A3931" t="s">
        <v>5</v>
      </c>
      <c r="B3931" s="1">
        <v>45821</v>
      </c>
      <c r="C3931">
        <v>19</v>
      </c>
      <c r="D3931">
        <v>8.3000000000000004E-2</v>
      </c>
      <c r="E3931" t="s">
        <v>6</v>
      </c>
      <c r="F3931">
        <v>0.14246</v>
      </c>
    </row>
    <row r="3932" spans="1:6" x14ac:dyDescent="0.3">
      <c r="A3932" t="s">
        <v>5</v>
      </c>
      <c r="B3932" s="1">
        <v>45821</v>
      </c>
      <c r="C3932">
        <v>20</v>
      </c>
      <c r="D3932">
        <v>8.3000000000000004E-2</v>
      </c>
      <c r="E3932" t="s">
        <v>6</v>
      </c>
      <c r="F3932">
        <v>0.21933000000000002</v>
      </c>
    </row>
    <row r="3933" spans="1:6" x14ac:dyDescent="0.3">
      <c r="A3933" t="s">
        <v>5</v>
      </c>
      <c r="B3933" s="1">
        <v>45821</v>
      </c>
      <c r="C3933">
        <v>21</v>
      </c>
      <c r="D3933">
        <v>9.8000000000000004E-2</v>
      </c>
      <c r="E3933" t="s">
        <v>6</v>
      </c>
      <c r="F3933">
        <v>0.23294999999999999</v>
      </c>
    </row>
    <row r="3934" spans="1:6" x14ac:dyDescent="0.3">
      <c r="A3934" t="s">
        <v>5</v>
      </c>
      <c r="B3934" s="1">
        <v>45821</v>
      </c>
      <c r="C3934">
        <v>22</v>
      </c>
      <c r="D3934">
        <v>7.4999999999999997E-2</v>
      </c>
      <c r="E3934" t="s">
        <v>6</v>
      </c>
      <c r="F3934">
        <v>0.24714</v>
      </c>
    </row>
    <row r="3935" spans="1:6" x14ac:dyDescent="0.3">
      <c r="A3935" t="s">
        <v>5</v>
      </c>
      <c r="B3935" s="1">
        <v>45821</v>
      </c>
      <c r="C3935">
        <v>23</v>
      </c>
      <c r="D3935">
        <v>9.7000000000000003E-2</v>
      </c>
      <c r="E3935" t="s">
        <v>6</v>
      </c>
      <c r="F3935">
        <v>0.18205000000000002</v>
      </c>
    </row>
    <row r="3936" spans="1:6" x14ac:dyDescent="0.3">
      <c r="A3936" t="s">
        <v>5</v>
      </c>
      <c r="B3936" s="1">
        <v>45821</v>
      </c>
      <c r="C3936">
        <v>24</v>
      </c>
      <c r="D3936">
        <v>8.3000000000000004E-2</v>
      </c>
      <c r="E3936" t="s">
        <v>6</v>
      </c>
      <c r="F3936">
        <v>0.17595</v>
      </c>
    </row>
    <row r="3937" spans="1:6" x14ac:dyDescent="0.3">
      <c r="A3937" t="s">
        <v>5</v>
      </c>
      <c r="B3937" s="1">
        <v>45822</v>
      </c>
      <c r="C3937">
        <v>1</v>
      </c>
      <c r="D3937">
        <v>8.3000000000000004E-2</v>
      </c>
      <c r="E3937" t="s">
        <v>6</v>
      </c>
      <c r="F3937">
        <v>0.15718000000000001</v>
      </c>
    </row>
    <row r="3938" spans="1:6" x14ac:dyDescent="0.3">
      <c r="A3938" t="s">
        <v>5</v>
      </c>
      <c r="B3938" s="1">
        <v>45822</v>
      </c>
      <c r="C3938">
        <v>2</v>
      </c>
      <c r="D3938">
        <v>9.9000000000000005E-2</v>
      </c>
      <c r="E3938" t="s">
        <v>6</v>
      </c>
      <c r="F3938">
        <v>0.15818000000000002</v>
      </c>
    </row>
    <row r="3939" spans="1:6" x14ac:dyDescent="0.3">
      <c r="A3939" t="s">
        <v>5</v>
      </c>
      <c r="B3939" s="1">
        <v>45822</v>
      </c>
      <c r="C3939">
        <v>3</v>
      </c>
      <c r="D3939">
        <v>7.5999999999999998E-2</v>
      </c>
      <c r="E3939" t="s">
        <v>6</v>
      </c>
      <c r="F3939">
        <v>0.15969</v>
      </c>
    </row>
    <row r="3940" spans="1:6" x14ac:dyDescent="0.3">
      <c r="A3940" t="s">
        <v>5</v>
      </c>
      <c r="B3940" s="1">
        <v>45822</v>
      </c>
      <c r="C3940">
        <v>4</v>
      </c>
      <c r="D3940">
        <v>9.6000000000000002E-2</v>
      </c>
      <c r="E3940" t="s">
        <v>6</v>
      </c>
      <c r="F3940">
        <v>0.15619</v>
      </c>
    </row>
    <row r="3941" spans="1:6" x14ac:dyDescent="0.3">
      <c r="A3941" t="s">
        <v>5</v>
      </c>
      <c r="B3941" s="1">
        <v>45822</v>
      </c>
      <c r="C3941">
        <v>5</v>
      </c>
      <c r="D3941">
        <v>8.5000000000000006E-2</v>
      </c>
      <c r="E3941" t="s">
        <v>6</v>
      </c>
      <c r="F3941">
        <v>0.15625999999999998</v>
      </c>
    </row>
    <row r="3942" spans="1:6" x14ac:dyDescent="0.3">
      <c r="A3942" t="s">
        <v>5</v>
      </c>
      <c r="B3942" s="1">
        <v>45822</v>
      </c>
      <c r="C3942">
        <v>6</v>
      </c>
      <c r="D3942">
        <v>8.1000000000000003E-2</v>
      </c>
      <c r="E3942" t="s">
        <v>6</v>
      </c>
      <c r="F3942">
        <v>0.15625999999999998</v>
      </c>
    </row>
    <row r="3943" spans="1:6" x14ac:dyDescent="0.3">
      <c r="A3943" t="s">
        <v>5</v>
      </c>
      <c r="B3943" s="1">
        <v>45822</v>
      </c>
      <c r="C3943">
        <v>7</v>
      </c>
      <c r="D3943">
        <v>9.9000000000000005E-2</v>
      </c>
      <c r="E3943" t="s">
        <v>6</v>
      </c>
      <c r="F3943">
        <v>0.15659999999999999</v>
      </c>
    </row>
    <row r="3944" spans="1:6" x14ac:dyDescent="0.3">
      <c r="A3944" t="s">
        <v>5</v>
      </c>
      <c r="B3944" s="1">
        <v>45822</v>
      </c>
      <c r="C3944">
        <v>8</v>
      </c>
      <c r="D3944">
        <v>7.4999999999999997E-2</v>
      </c>
      <c r="E3944" t="s">
        <v>6</v>
      </c>
      <c r="F3944">
        <v>0.15195</v>
      </c>
    </row>
    <row r="3945" spans="1:6" x14ac:dyDescent="0.3">
      <c r="A3945" t="s">
        <v>5</v>
      </c>
      <c r="B3945" s="1">
        <v>45822</v>
      </c>
      <c r="C3945">
        <v>9</v>
      </c>
      <c r="D3945">
        <v>9.5000000000000001E-2</v>
      </c>
      <c r="E3945" t="s">
        <v>6</v>
      </c>
      <c r="F3945">
        <v>0.10145999999999999</v>
      </c>
    </row>
    <row r="3946" spans="1:6" x14ac:dyDescent="0.3">
      <c r="A3946" t="s">
        <v>5</v>
      </c>
      <c r="B3946" s="1">
        <v>45822</v>
      </c>
      <c r="C3946">
        <v>10</v>
      </c>
      <c r="D3946">
        <v>8.4000000000000005E-2</v>
      </c>
      <c r="E3946" t="s">
        <v>6</v>
      </c>
      <c r="F3946">
        <v>4.6969999999999998E-2</v>
      </c>
    </row>
    <row r="3947" spans="1:6" x14ac:dyDescent="0.3">
      <c r="A3947" t="s">
        <v>5</v>
      </c>
      <c r="B3947" s="1">
        <v>45822</v>
      </c>
      <c r="C3947">
        <v>11</v>
      </c>
      <c r="D3947">
        <v>8.1000000000000003E-2</v>
      </c>
      <c r="E3947" t="s">
        <v>6</v>
      </c>
      <c r="F3947">
        <v>4.1149999999999999E-2</v>
      </c>
    </row>
    <row r="3948" spans="1:6" x14ac:dyDescent="0.3">
      <c r="A3948" t="s">
        <v>5</v>
      </c>
      <c r="B3948" s="1">
        <v>45822</v>
      </c>
      <c r="C3948">
        <v>12</v>
      </c>
      <c r="D3948">
        <v>0.1</v>
      </c>
      <c r="E3948" t="s">
        <v>6</v>
      </c>
      <c r="F3948">
        <v>3.9359999999999999E-2</v>
      </c>
    </row>
    <row r="3949" spans="1:6" x14ac:dyDescent="0.3">
      <c r="A3949" t="s">
        <v>5</v>
      </c>
      <c r="B3949" s="1">
        <v>45822</v>
      </c>
      <c r="C3949">
        <v>13</v>
      </c>
      <c r="D3949">
        <v>7.5999999999999998E-2</v>
      </c>
      <c r="E3949" t="s">
        <v>6</v>
      </c>
      <c r="F3949">
        <v>3.8719999999999997E-2</v>
      </c>
    </row>
    <row r="3950" spans="1:6" x14ac:dyDescent="0.3">
      <c r="A3950" t="s">
        <v>5</v>
      </c>
      <c r="B3950" s="1">
        <v>45822</v>
      </c>
      <c r="C3950">
        <v>14</v>
      </c>
      <c r="D3950">
        <v>9.5000000000000001E-2</v>
      </c>
      <c r="E3950" t="s">
        <v>6</v>
      </c>
      <c r="F3950">
        <v>3.823E-2</v>
      </c>
    </row>
    <row r="3951" spans="1:6" x14ac:dyDescent="0.3">
      <c r="A3951" t="s">
        <v>5</v>
      </c>
      <c r="B3951" s="1">
        <v>45822</v>
      </c>
      <c r="C3951">
        <v>15</v>
      </c>
      <c r="D3951">
        <v>8.3000000000000004E-2</v>
      </c>
      <c r="E3951" t="s">
        <v>6</v>
      </c>
      <c r="F3951">
        <v>3.8020000000000005E-2</v>
      </c>
    </row>
    <row r="3952" spans="1:6" x14ac:dyDescent="0.3">
      <c r="A3952" t="s">
        <v>5</v>
      </c>
      <c r="B3952" s="1">
        <v>45822</v>
      </c>
      <c r="C3952">
        <v>16</v>
      </c>
      <c r="D3952">
        <v>8.6999999999999994E-2</v>
      </c>
      <c r="E3952" t="s">
        <v>6</v>
      </c>
      <c r="F3952">
        <v>3.8619999999999995E-2</v>
      </c>
    </row>
    <row r="3953" spans="1:6" x14ac:dyDescent="0.3">
      <c r="A3953" t="s">
        <v>5</v>
      </c>
      <c r="B3953" s="1">
        <v>45822</v>
      </c>
      <c r="C3953">
        <v>17</v>
      </c>
      <c r="D3953">
        <v>9.2999999999999999E-2</v>
      </c>
      <c r="E3953" t="s">
        <v>6</v>
      </c>
      <c r="F3953">
        <v>4.0320000000000002E-2</v>
      </c>
    </row>
    <row r="3954" spans="1:6" x14ac:dyDescent="0.3">
      <c r="A3954" t="s">
        <v>5</v>
      </c>
      <c r="B3954" s="1">
        <v>45822</v>
      </c>
      <c r="C3954">
        <v>18</v>
      </c>
      <c r="D3954">
        <v>7.4999999999999997E-2</v>
      </c>
      <c r="E3954" t="s">
        <v>6</v>
      </c>
      <c r="F3954">
        <v>4.1530000000000004E-2</v>
      </c>
    </row>
    <row r="3955" spans="1:6" x14ac:dyDescent="0.3">
      <c r="A3955" t="s">
        <v>5</v>
      </c>
      <c r="B3955" s="1">
        <v>45822</v>
      </c>
      <c r="C3955">
        <v>19</v>
      </c>
      <c r="D3955">
        <v>0.10299999999999999</v>
      </c>
      <c r="E3955" t="s">
        <v>6</v>
      </c>
      <c r="F3955">
        <v>4.555E-2</v>
      </c>
    </row>
    <row r="3956" spans="1:6" x14ac:dyDescent="0.3">
      <c r="A3956" t="s">
        <v>5</v>
      </c>
      <c r="B3956" s="1">
        <v>45822</v>
      </c>
      <c r="C3956">
        <v>20</v>
      </c>
      <c r="D3956">
        <v>7.5999999999999998E-2</v>
      </c>
      <c r="E3956" t="s">
        <v>6</v>
      </c>
      <c r="F3956">
        <v>7.9629999999999992E-2</v>
      </c>
    </row>
    <row r="3957" spans="1:6" x14ac:dyDescent="0.3">
      <c r="A3957" t="s">
        <v>5</v>
      </c>
      <c r="B3957" s="1">
        <v>45822</v>
      </c>
      <c r="C3957">
        <v>21</v>
      </c>
      <c r="D3957">
        <v>9.2999999999999999E-2</v>
      </c>
      <c r="E3957" t="s">
        <v>6</v>
      </c>
      <c r="F3957">
        <v>0.13299</v>
      </c>
    </row>
    <row r="3958" spans="1:6" x14ac:dyDescent="0.3">
      <c r="A3958" t="s">
        <v>5</v>
      </c>
      <c r="B3958" s="1">
        <v>45822</v>
      </c>
      <c r="C3958">
        <v>22</v>
      </c>
      <c r="D3958">
        <v>8.6999999999999994E-2</v>
      </c>
      <c r="E3958" t="s">
        <v>6</v>
      </c>
      <c r="F3958">
        <v>0.14560000000000001</v>
      </c>
    </row>
    <row r="3959" spans="1:6" x14ac:dyDescent="0.3">
      <c r="A3959" t="s">
        <v>5</v>
      </c>
      <c r="B3959" s="1">
        <v>45822</v>
      </c>
      <c r="C3959">
        <v>23</v>
      </c>
      <c r="D3959">
        <v>8.1000000000000003E-2</v>
      </c>
      <c r="E3959" t="s">
        <v>6</v>
      </c>
      <c r="F3959">
        <v>0.14956999999999998</v>
      </c>
    </row>
    <row r="3960" spans="1:6" x14ac:dyDescent="0.3">
      <c r="A3960" t="s">
        <v>5</v>
      </c>
      <c r="B3960" s="1">
        <v>45822</v>
      </c>
      <c r="C3960">
        <v>24</v>
      </c>
      <c r="D3960">
        <v>9.8000000000000004E-2</v>
      </c>
      <c r="E3960" t="s">
        <v>6</v>
      </c>
      <c r="F3960">
        <v>0.14513000000000001</v>
      </c>
    </row>
    <row r="3961" spans="1:6" x14ac:dyDescent="0.3">
      <c r="A3961" t="s">
        <v>5</v>
      </c>
      <c r="B3961" s="1">
        <v>45823</v>
      </c>
      <c r="C3961">
        <v>1</v>
      </c>
      <c r="D3961">
        <v>7.4999999999999997E-2</v>
      </c>
      <c r="E3961" t="s">
        <v>6</v>
      </c>
      <c r="F3961">
        <v>0.15171000000000001</v>
      </c>
    </row>
    <row r="3962" spans="1:6" x14ac:dyDescent="0.3">
      <c r="A3962" t="s">
        <v>5</v>
      </c>
      <c r="B3962" s="1">
        <v>45823</v>
      </c>
      <c r="C3962">
        <v>2</v>
      </c>
      <c r="D3962">
        <v>0.1</v>
      </c>
      <c r="E3962" t="s">
        <v>6</v>
      </c>
      <c r="F3962">
        <v>0.12831999999999999</v>
      </c>
    </row>
    <row r="3963" spans="1:6" x14ac:dyDescent="0.3">
      <c r="A3963" t="s">
        <v>5</v>
      </c>
      <c r="B3963" s="1">
        <v>45823</v>
      </c>
      <c r="C3963">
        <v>3</v>
      </c>
      <c r="D3963">
        <v>8.2000000000000003E-2</v>
      </c>
      <c r="E3963" t="s">
        <v>6</v>
      </c>
      <c r="F3963">
        <v>0.10840999999999999</v>
      </c>
    </row>
    <row r="3964" spans="1:6" x14ac:dyDescent="0.3">
      <c r="A3964" t="s">
        <v>5</v>
      </c>
      <c r="B3964" s="1">
        <v>45823</v>
      </c>
      <c r="C3964">
        <v>4</v>
      </c>
      <c r="D3964">
        <v>8.5999999999999993E-2</v>
      </c>
      <c r="E3964" t="s">
        <v>6</v>
      </c>
      <c r="F3964">
        <v>0.10585</v>
      </c>
    </row>
    <row r="3965" spans="1:6" x14ac:dyDescent="0.3">
      <c r="A3965" t="s">
        <v>5</v>
      </c>
      <c r="B3965" s="1">
        <v>45823</v>
      </c>
      <c r="C3965">
        <v>5</v>
      </c>
      <c r="D3965">
        <v>9.4E-2</v>
      </c>
      <c r="E3965" t="s">
        <v>6</v>
      </c>
      <c r="F3965">
        <v>9.5510000000000012E-2</v>
      </c>
    </row>
    <row r="3966" spans="1:6" x14ac:dyDescent="0.3">
      <c r="A3966" t="s">
        <v>5</v>
      </c>
      <c r="B3966" s="1">
        <v>45823</v>
      </c>
      <c r="C3966">
        <v>6</v>
      </c>
      <c r="D3966">
        <v>7.5999999999999998E-2</v>
      </c>
      <c r="E3966" t="s">
        <v>6</v>
      </c>
      <c r="F3966">
        <v>9.126999999999999E-2</v>
      </c>
    </row>
    <row r="3967" spans="1:6" x14ac:dyDescent="0.3">
      <c r="A3967" t="s">
        <v>5</v>
      </c>
      <c r="B3967" s="1">
        <v>45823</v>
      </c>
      <c r="C3967">
        <v>7</v>
      </c>
      <c r="D3967">
        <v>0.10100000000000001</v>
      </c>
      <c r="E3967" t="s">
        <v>6</v>
      </c>
      <c r="F3967">
        <v>8.8469999999999993E-2</v>
      </c>
    </row>
    <row r="3968" spans="1:6" x14ac:dyDescent="0.3">
      <c r="A3968" t="s">
        <v>5</v>
      </c>
      <c r="B3968" s="1">
        <v>45823</v>
      </c>
      <c r="C3968">
        <v>8</v>
      </c>
      <c r="D3968">
        <v>0.08</v>
      </c>
      <c r="E3968" t="s">
        <v>6</v>
      </c>
      <c r="F3968">
        <v>9.2859999999999998E-2</v>
      </c>
    </row>
    <row r="3969" spans="1:6" x14ac:dyDescent="0.3">
      <c r="A3969" t="s">
        <v>5</v>
      </c>
      <c r="B3969" s="1">
        <v>45823</v>
      </c>
      <c r="C3969">
        <v>9</v>
      </c>
      <c r="D3969">
        <v>8.6999999999999994E-2</v>
      </c>
      <c r="E3969" t="s">
        <v>6</v>
      </c>
      <c r="F3969">
        <v>7.0519999999999999E-2</v>
      </c>
    </row>
    <row r="3970" spans="1:6" x14ac:dyDescent="0.3">
      <c r="A3970" t="s">
        <v>5</v>
      </c>
      <c r="B3970" s="1">
        <v>45823</v>
      </c>
      <c r="C3970">
        <v>10</v>
      </c>
      <c r="D3970">
        <v>9.0999999999999998E-2</v>
      </c>
      <c r="E3970" t="s">
        <v>6</v>
      </c>
      <c r="F3970">
        <v>6.0639999999999999E-2</v>
      </c>
    </row>
    <row r="3971" spans="1:6" x14ac:dyDescent="0.3">
      <c r="A3971" t="s">
        <v>5</v>
      </c>
      <c r="B3971" s="1">
        <v>45823</v>
      </c>
      <c r="C3971">
        <v>11</v>
      </c>
      <c r="D3971">
        <v>7.5999999999999998E-2</v>
      </c>
      <c r="E3971" t="s">
        <v>6</v>
      </c>
      <c r="F3971">
        <v>5.4560000000000004E-2</v>
      </c>
    </row>
    <row r="3972" spans="1:6" x14ac:dyDescent="0.3">
      <c r="A3972" t="s">
        <v>5</v>
      </c>
      <c r="B3972" s="1">
        <v>45823</v>
      </c>
      <c r="C3972">
        <v>12</v>
      </c>
      <c r="D3972">
        <v>0.10299999999999999</v>
      </c>
      <c r="E3972" t="s">
        <v>6</v>
      </c>
      <c r="F3972">
        <v>5.8790000000000002E-2</v>
      </c>
    </row>
    <row r="3973" spans="1:6" x14ac:dyDescent="0.3">
      <c r="A3973" t="s">
        <v>5</v>
      </c>
      <c r="B3973" s="1">
        <v>45823</v>
      </c>
      <c r="C3973">
        <v>13</v>
      </c>
      <c r="D3973">
        <v>7.3999999999999996E-2</v>
      </c>
      <c r="E3973" t="s">
        <v>6</v>
      </c>
      <c r="F3973">
        <v>5.8020000000000002E-2</v>
      </c>
    </row>
    <row r="3974" spans="1:6" x14ac:dyDescent="0.3">
      <c r="A3974" t="s">
        <v>5</v>
      </c>
      <c r="B3974" s="1">
        <v>45823</v>
      </c>
      <c r="C3974">
        <v>14</v>
      </c>
      <c r="D3974">
        <v>9.1999999999999998E-2</v>
      </c>
      <c r="E3974" t="s">
        <v>6</v>
      </c>
      <c r="F3974">
        <v>5.5039999999999999E-2</v>
      </c>
    </row>
    <row r="3975" spans="1:6" x14ac:dyDescent="0.3">
      <c r="A3975" t="s">
        <v>5</v>
      </c>
      <c r="B3975" s="1">
        <v>45823</v>
      </c>
      <c r="C3975">
        <v>15</v>
      </c>
      <c r="D3975">
        <v>8.8999999999999996E-2</v>
      </c>
      <c r="E3975" t="s">
        <v>6</v>
      </c>
      <c r="F3975">
        <v>5.4990000000000004E-2</v>
      </c>
    </row>
    <row r="3976" spans="1:6" x14ac:dyDescent="0.3">
      <c r="A3976" t="s">
        <v>5</v>
      </c>
      <c r="B3976" s="1">
        <v>45823</v>
      </c>
      <c r="C3976">
        <v>16</v>
      </c>
      <c r="D3976">
        <v>7.6999999999999999E-2</v>
      </c>
      <c r="E3976" t="s">
        <v>6</v>
      </c>
      <c r="F3976">
        <v>5.6570000000000002E-2</v>
      </c>
    </row>
    <row r="3977" spans="1:6" x14ac:dyDescent="0.3">
      <c r="A3977" t="s">
        <v>5</v>
      </c>
      <c r="B3977" s="1">
        <v>45823</v>
      </c>
      <c r="C3977">
        <v>17</v>
      </c>
      <c r="D3977">
        <v>0.10299999999999999</v>
      </c>
      <c r="E3977" t="s">
        <v>6</v>
      </c>
      <c r="F3977">
        <v>5.8430000000000003E-2</v>
      </c>
    </row>
    <row r="3978" spans="1:6" x14ac:dyDescent="0.3">
      <c r="A3978" t="s">
        <v>5</v>
      </c>
      <c r="B3978" s="1">
        <v>45823</v>
      </c>
      <c r="C3978">
        <v>18</v>
      </c>
      <c r="D3978">
        <v>7.4999999999999997E-2</v>
      </c>
      <c r="E3978" t="s">
        <v>6</v>
      </c>
      <c r="F3978">
        <v>5.8909999999999997E-2</v>
      </c>
    </row>
    <row r="3979" spans="1:6" x14ac:dyDescent="0.3">
      <c r="A3979" t="s">
        <v>5</v>
      </c>
      <c r="B3979" s="1">
        <v>45823</v>
      </c>
      <c r="C3979">
        <v>19</v>
      </c>
      <c r="D3979">
        <v>9.4E-2</v>
      </c>
      <c r="E3979" t="s">
        <v>6</v>
      </c>
      <c r="F3979">
        <v>5.4090000000000006E-2</v>
      </c>
    </row>
    <row r="3980" spans="1:6" x14ac:dyDescent="0.3">
      <c r="A3980" t="s">
        <v>5</v>
      </c>
      <c r="B3980" s="1">
        <v>45823</v>
      </c>
      <c r="C3980">
        <v>20</v>
      </c>
      <c r="D3980">
        <v>8.7999999999999995E-2</v>
      </c>
      <c r="E3980" t="s">
        <v>6</v>
      </c>
      <c r="F3980">
        <v>5.6829999999999999E-2</v>
      </c>
    </row>
    <row r="3981" spans="1:6" x14ac:dyDescent="0.3">
      <c r="A3981" t="s">
        <v>5</v>
      </c>
      <c r="B3981" s="1">
        <v>45823</v>
      </c>
      <c r="C3981">
        <v>21</v>
      </c>
      <c r="D3981">
        <v>0.08</v>
      </c>
      <c r="E3981" t="s">
        <v>6</v>
      </c>
      <c r="F3981">
        <v>9.1489999999999988E-2</v>
      </c>
    </row>
    <row r="3982" spans="1:6" x14ac:dyDescent="0.3">
      <c r="A3982" t="s">
        <v>5</v>
      </c>
      <c r="B3982" s="1">
        <v>45823</v>
      </c>
      <c r="C3982">
        <v>22</v>
      </c>
      <c r="D3982">
        <v>0.10100000000000001</v>
      </c>
      <c r="E3982" t="s">
        <v>6</v>
      </c>
      <c r="F3982">
        <v>0.13632</v>
      </c>
    </row>
    <row r="3983" spans="1:6" x14ac:dyDescent="0.3">
      <c r="A3983" t="s">
        <v>5</v>
      </c>
      <c r="B3983" s="1">
        <v>45823</v>
      </c>
      <c r="C3983">
        <v>23</v>
      </c>
      <c r="D3983">
        <v>7.5999999999999998E-2</v>
      </c>
      <c r="E3983" t="s">
        <v>6</v>
      </c>
      <c r="F3983">
        <v>0.13711999999999999</v>
      </c>
    </row>
    <row r="3984" spans="1:6" x14ac:dyDescent="0.3">
      <c r="A3984" t="s">
        <v>5</v>
      </c>
      <c r="B3984" s="1">
        <v>45823</v>
      </c>
      <c r="C3984">
        <v>24</v>
      </c>
      <c r="D3984">
        <v>1.0589999999999999</v>
      </c>
      <c r="E3984" t="s">
        <v>6</v>
      </c>
      <c r="F3984">
        <v>0.11236</v>
      </c>
    </row>
    <row r="3985" spans="1:6" x14ac:dyDescent="0.3">
      <c r="A3985" t="s">
        <v>5</v>
      </c>
      <c r="B3985" s="1">
        <v>45824</v>
      </c>
      <c r="C3985">
        <v>1</v>
      </c>
      <c r="D3985">
        <v>0.27800000000000002</v>
      </c>
      <c r="E3985" t="s">
        <v>6</v>
      </c>
      <c r="F3985">
        <v>7.8129999999999991E-2</v>
      </c>
    </row>
    <row r="3986" spans="1:6" x14ac:dyDescent="0.3">
      <c r="A3986" t="s">
        <v>5</v>
      </c>
      <c r="B3986" s="1">
        <v>45824</v>
      </c>
      <c r="C3986">
        <v>2</v>
      </c>
      <c r="D3986">
        <v>0.27700000000000002</v>
      </c>
      <c r="E3986" t="s">
        <v>6</v>
      </c>
      <c r="F3986">
        <v>6.5299999999999997E-2</v>
      </c>
    </row>
    <row r="3987" spans="1:6" x14ac:dyDescent="0.3">
      <c r="A3987" t="s">
        <v>5</v>
      </c>
      <c r="B3987" s="1">
        <v>45824</v>
      </c>
      <c r="C3987">
        <v>3</v>
      </c>
      <c r="D3987">
        <v>0.29599999999999999</v>
      </c>
      <c r="E3987" t="s">
        <v>6</v>
      </c>
      <c r="F3987">
        <v>6.232E-2</v>
      </c>
    </row>
    <row r="3988" spans="1:6" x14ac:dyDescent="0.3">
      <c r="A3988" t="s">
        <v>5</v>
      </c>
      <c r="B3988" s="1">
        <v>45824</v>
      </c>
      <c r="C3988">
        <v>4</v>
      </c>
      <c r="D3988">
        <v>0.30099999999999999</v>
      </c>
      <c r="E3988" t="s">
        <v>6</v>
      </c>
      <c r="F3988">
        <v>5.9539999999999996E-2</v>
      </c>
    </row>
    <row r="3989" spans="1:6" x14ac:dyDescent="0.3">
      <c r="A3989" t="s">
        <v>5</v>
      </c>
      <c r="B3989" s="1">
        <v>45824</v>
      </c>
      <c r="C3989">
        <v>5</v>
      </c>
      <c r="D3989">
        <v>0.28100000000000003</v>
      </c>
      <c r="E3989" t="s">
        <v>6</v>
      </c>
      <c r="F3989">
        <v>6.2E-2</v>
      </c>
    </row>
    <row r="3990" spans="1:6" x14ac:dyDescent="0.3">
      <c r="A3990" t="s">
        <v>5</v>
      </c>
      <c r="B3990" s="1">
        <v>45824</v>
      </c>
      <c r="C3990">
        <v>6</v>
      </c>
      <c r="D3990">
        <v>0.3</v>
      </c>
      <c r="E3990" t="s">
        <v>6</v>
      </c>
      <c r="F3990">
        <v>7.2010000000000005E-2</v>
      </c>
    </row>
    <row r="3991" spans="1:6" x14ac:dyDescent="0.3">
      <c r="A3991" t="s">
        <v>5</v>
      </c>
      <c r="B3991" s="1">
        <v>45824</v>
      </c>
      <c r="C3991">
        <v>7</v>
      </c>
      <c r="D3991">
        <v>0.28899999999999998</v>
      </c>
      <c r="E3991" t="s">
        <v>6</v>
      </c>
      <c r="F3991">
        <v>0.10834000000000001</v>
      </c>
    </row>
    <row r="3992" spans="1:6" x14ac:dyDescent="0.3">
      <c r="A3992" t="s">
        <v>5</v>
      </c>
      <c r="B3992" s="1">
        <v>45824</v>
      </c>
      <c r="C3992">
        <v>8</v>
      </c>
      <c r="D3992">
        <v>0.27500000000000002</v>
      </c>
      <c r="E3992" t="s">
        <v>6</v>
      </c>
      <c r="F3992">
        <v>0.11849999999999999</v>
      </c>
    </row>
    <row r="3993" spans="1:6" x14ac:dyDescent="0.3">
      <c r="A3993" t="s">
        <v>5</v>
      </c>
      <c r="B3993" s="1">
        <v>45824</v>
      </c>
      <c r="C3993">
        <v>9</v>
      </c>
      <c r="D3993">
        <v>0.29499999999999998</v>
      </c>
      <c r="E3993" t="s">
        <v>6</v>
      </c>
      <c r="F3993">
        <v>0.12714</v>
      </c>
    </row>
    <row r="3994" spans="1:6" x14ac:dyDescent="0.3">
      <c r="A3994" t="s">
        <v>5</v>
      </c>
      <c r="B3994" s="1">
        <v>45824</v>
      </c>
      <c r="C3994">
        <v>10</v>
      </c>
      <c r="D3994">
        <v>0.64500000000000002</v>
      </c>
      <c r="E3994" t="s">
        <v>6</v>
      </c>
      <c r="F3994">
        <v>8.7059999999999998E-2</v>
      </c>
    </row>
    <row r="3995" spans="1:6" x14ac:dyDescent="0.3">
      <c r="A3995" t="s">
        <v>5</v>
      </c>
      <c r="B3995" s="1">
        <v>45824</v>
      </c>
      <c r="C3995">
        <v>11</v>
      </c>
      <c r="D3995">
        <v>1.2809999999999999</v>
      </c>
      <c r="E3995" t="s">
        <v>6</v>
      </c>
      <c r="F3995">
        <v>0.13338</v>
      </c>
    </row>
    <row r="3996" spans="1:6" x14ac:dyDescent="0.3">
      <c r="A3996" t="s">
        <v>5</v>
      </c>
      <c r="B3996" s="1">
        <v>45824</v>
      </c>
      <c r="C3996">
        <v>12</v>
      </c>
      <c r="D3996">
        <v>1.256</v>
      </c>
      <c r="E3996" t="s">
        <v>6</v>
      </c>
      <c r="F3996">
        <v>0.12959999999999999</v>
      </c>
    </row>
    <row r="3997" spans="1:6" x14ac:dyDescent="0.3">
      <c r="A3997" t="s">
        <v>5</v>
      </c>
      <c r="B3997" s="1">
        <v>45824</v>
      </c>
      <c r="C3997">
        <v>13</v>
      </c>
      <c r="D3997">
        <v>1.2729999999999999</v>
      </c>
      <c r="E3997" t="s">
        <v>6</v>
      </c>
      <c r="F3997">
        <v>0.12884999999999999</v>
      </c>
    </row>
    <row r="3998" spans="1:6" x14ac:dyDescent="0.3">
      <c r="A3998" t="s">
        <v>5</v>
      </c>
      <c r="B3998" s="1">
        <v>45824</v>
      </c>
      <c r="C3998">
        <v>14</v>
      </c>
      <c r="D3998">
        <v>1.1659999999999999</v>
      </c>
      <c r="E3998" t="s">
        <v>6</v>
      </c>
      <c r="F3998">
        <v>0.12645999999999999</v>
      </c>
    </row>
    <row r="3999" spans="1:6" x14ac:dyDescent="0.3">
      <c r="A3999" t="s">
        <v>5</v>
      </c>
      <c r="B3999" s="1">
        <v>45824</v>
      </c>
      <c r="C3999">
        <v>15</v>
      </c>
      <c r="D3999">
        <v>0.81100000000000005</v>
      </c>
      <c r="E3999" t="s">
        <v>6</v>
      </c>
      <c r="F3999">
        <v>6.2219999999999998E-2</v>
      </c>
    </row>
    <row r="4000" spans="1:6" x14ac:dyDescent="0.3">
      <c r="A4000" t="s">
        <v>5</v>
      </c>
      <c r="B4000" s="1">
        <v>45824</v>
      </c>
      <c r="C4000">
        <v>16</v>
      </c>
      <c r="D4000">
        <v>1.155</v>
      </c>
      <c r="E4000" t="s">
        <v>6</v>
      </c>
      <c r="F4000">
        <v>6.4519999999999994E-2</v>
      </c>
    </row>
    <row r="4001" spans="1:6" x14ac:dyDescent="0.3">
      <c r="A4001" t="s">
        <v>5</v>
      </c>
      <c r="B4001" s="1">
        <v>45824</v>
      </c>
      <c r="C4001">
        <v>17</v>
      </c>
      <c r="D4001">
        <v>1.0529999999999999</v>
      </c>
      <c r="E4001" t="s">
        <v>6</v>
      </c>
      <c r="F4001">
        <v>8.0500000000000002E-2</v>
      </c>
    </row>
    <row r="4002" spans="1:6" x14ac:dyDescent="0.3">
      <c r="A4002" t="s">
        <v>5</v>
      </c>
      <c r="B4002" s="1">
        <v>45824</v>
      </c>
      <c r="C4002">
        <v>18</v>
      </c>
      <c r="D4002">
        <v>1.167</v>
      </c>
      <c r="E4002" t="s">
        <v>6</v>
      </c>
      <c r="F4002">
        <v>0.11251</v>
      </c>
    </row>
    <row r="4003" spans="1:6" x14ac:dyDescent="0.3">
      <c r="A4003" t="s">
        <v>5</v>
      </c>
      <c r="B4003" s="1">
        <v>45824</v>
      </c>
      <c r="C4003">
        <v>19</v>
      </c>
      <c r="D4003">
        <v>1.3149999999999999</v>
      </c>
      <c r="E4003" t="s">
        <v>6</v>
      </c>
      <c r="F4003">
        <v>0.24213999999999999</v>
      </c>
    </row>
    <row r="4004" spans="1:6" x14ac:dyDescent="0.3">
      <c r="A4004" t="s">
        <v>5</v>
      </c>
      <c r="B4004" s="1">
        <v>45824</v>
      </c>
      <c r="C4004">
        <v>20</v>
      </c>
      <c r="D4004">
        <v>1.125</v>
      </c>
      <c r="E4004" t="s">
        <v>6</v>
      </c>
      <c r="F4004">
        <v>0.25146000000000002</v>
      </c>
    </row>
    <row r="4005" spans="1:6" x14ac:dyDescent="0.3">
      <c r="A4005" t="s">
        <v>5</v>
      </c>
      <c r="B4005" s="1">
        <v>45824</v>
      </c>
      <c r="C4005">
        <v>21</v>
      </c>
      <c r="D4005">
        <v>1.1200000000000001</v>
      </c>
      <c r="E4005" t="s">
        <v>6</v>
      </c>
      <c r="F4005">
        <v>0.26130000000000003</v>
      </c>
    </row>
    <row r="4006" spans="1:6" x14ac:dyDescent="0.3">
      <c r="A4006" t="s">
        <v>5</v>
      </c>
      <c r="B4006" s="1">
        <v>45824</v>
      </c>
      <c r="C4006">
        <v>22</v>
      </c>
      <c r="D4006">
        <v>1.0329999999999999</v>
      </c>
      <c r="E4006" t="s">
        <v>6</v>
      </c>
      <c r="F4006">
        <v>0.35564999999999997</v>
      </c>
    </row>
    <row r="4007" spans="1:6" x14ac:dyDescent="0.3">
      <c r="A4007" t="s">
        <v>5</v>
      </c>
      <c r="B4007" s="1">
        <v>45824</v>
      </c>
      <c r="C4007">
        <v>23</v>
      </c>
      <c r="D4007">
        <v>1.018</v>
      </c>
      <c r="E4007" t="s">
        <v>6</v>
      </c>
      <c r="F4007">
        <v>0.24238999999999999</v>
      </c>
    </row>
    <row r="4008" spans="1:6" x14ac:dyDescent="0.3">
      <c r="A4008" t="s">
        <v>5</v>
      </c>
      <c r="B4008" s="1">
        <v>45824</v>
      </c>
      <c r="C4008">
        <v>24</v>
      </c>
      <c r="D4008">
        <v>0.99099999999999999</v>
      </c>
      <c r="E4008" t="s">
        <v>6</v>
      </c>
      <c r="F4008">
        <v>0.19619999999999999</v>
      </c>
    </row>
    <row r="4009" spans="1:6" x14ac:dyDescent="0.3">
      <c r="A4009" t="s">
        <v>5</v>
      </c>
      <c r="B4009" s="1">
        <v>45825</v>
      </c>
      <c r="C4009">
        <v>1</v>
      </c>
      <c r="D4009">
        <v>0.751</v>
      </c>
      <c r="E4009" t="s">
        <v>6</v>
      </c>
      <c r="F4009">
        <v>0.15530000000000002</v>
      </c>
    </row>
    <row r="4010" spans="1:6" x14ac:dyDescent="0.3">
      <c r="A4010" t="s">
        <v>5</v>
      </c>
      <c r="B4010" s="1">
        <v>45825</v>
      </c>
      <c r="C4010">
        <v>2</v>
      </c>
      <c r="D4010">
        <v>0.217</v>
      </c>
      <c r="E4010" t="s">
        <v>6</v>
      </c>
      <c r="F4010">
        <v>0.15215000000000001</v>
      </c>
    </row>
    <row r="4011" spans="1:6" x14ac:dyDescent="0.3">
      <c r="A4011" t="s">
        <v>5</v>
      </c>
      <c r="B4011" s="1">
        <v>45825</v>
      </c>
      <c r="C4011">
        <v>3</v>
      </c>
      <c r="D4011">
        <v>0.21199999999999999</v>
      </c>
      <c r="E4011" t="s">
        <v>6</v>
      </c>
      <c r="F4011">
        <v>0.14724999999999999</v>
      </c>
    </row>
    <row r="4012" spans="1:6" x14ac:dyDescent="0.3">
      <c r="A4012" t="s">
        <v>5</v>
      </c>
      <c r="B4012" s="1">
        <v>45825</v>
      </c>
      <c r="C4012">
        <v>4</v>
      </c>
      <c r="D4012">
        <v>0.185</v>
      </c>
      <c r="E4012" t="s">
        <v>6</v>
      </c>
      <c r="F4012">
        <v>0.14409</v>
      </c>
    </row>
    <row r="4013" spans="1:6" x14ac:dyDescent="0.3">
      <c r="A4013" t="s">
        <v>5</v>
      </c>
      <c r="B4013" s="1">
        <v>45825</v>
      </c>
      <c r="C4013">
        <v>5</v>
      </c>
      <c r="D4013">
        <v>0.191</v>
      </c>
      <c r="E4013" t="s">
        <v>6</v>
      </c>
      <c r="F4013">
        <v>0.14416000000000001</v>
      </c>
    </row>
    <row r="4014" spans="1:6" x14ac:dyDescent="0.3">
      <c r="A4014" t="s">
        <v>5</v>
      </c>
      <c r="B4014" s="1">
        <v>45825</v>
      </c>
      <c r="C4014">
        <v>6</v>
      </c>
      <c r="D4014">
        <v>0.20499999999999999</v>
      </c>
      <c r="E4014" t="s">
        <v>6</v>
      </c>
      <c r="F4014">
        <v>0.14022999999999999</v>
      </c>
    </row>
    <row r="4015" spans="1:6" x14ac:dyDescent="0.3">
      <c r="A4015" t="s">
        <v>5</v>
      </c>
      <c r="B4015" s="1">
        <v>45825</v>
      </c>
      <c r="C4015">
        <v>7</v>
      </c>
      <c r="D4015">
        <v>0.188</v>
      </c>
      <c r="E4015" t="s">
        <v>6</v>
      </c>
      <c r="F4015">
        <v>0.1449</v>
      </c>
    </row>
    <row r="4016" spans="1:6" x14ac:dyDescent="0.3">
      <c r="A4016" t="s">
        <v>5</v>
      </c>
      <c r="B4016" s="1">
        <v>45825</v>
      </c>
      <c r="C4016">
        <v>8</v>
      </c>
      <c r="D4016">
        <v>0.17599999999999999</v>
      </c>
      <c r="E4016" t="s">
        <v>6</v>
      </c>
      <c r="F4016">
        <v>0.14953999999999998</v>
      </c>
    </row>
    <row r="4017" spans="1:6" x14ac:dyDescent="0.3">
      <c r="A4017" t="s">
        <v>5</v>
      </c>
      <c r="B4017" s="1">
        <v>45825</v>
      </c>
      <c r="C4017">
        <v>9</v>
      </c>
      <c r="D4017">
        <v>0.17899999999999999</v>
      </c>
      <c r="E4017" t="s">
        <v>6</v>
      </c>
      <c r="F4017">
        <v>0.17526</v>
      </c>
    </row>
    <row r="4018" spans="1:6" x14ac:dyDescent="0.3">
      <c r="A4018" t="s">
        <v>5</v>
      </c>
      <c r="B4018" s="1">
        <v>45825</v>
      </c>
      <c r="C4018">
        <v>10</v>
      </c>
      <c r="D4018">
        <v>0.112</v>
      </c>
      <c r="E4018" t="s">
        <v>6</v>
      </c>
      <c r="F4018">
        <v>0.15996000000000002</v>
      </c>
    </row>
    <row r="4019" spans="1:6" x14ac:dyDescent="0.3">
      <c r="A4019" t="s">
        <v>5</v>
      </c>
      <c r="B4019" s="1">
        <v>45825</v>
      </c>
      <c r="C4019">
        <v>11</v>
      </c>
      <c r="D4019">
        <v>0.126</v>
      </c>
      <c r="E4019" t="s">
        <v>6</v>
      </c>
      <c r="F4019">
        <v>0.18421999999999999</v>
      </c>
    </row>
    <row r="4020" spans="1:6" x14ac:dyDescent="0.3">
      <c r="A4020" t="s">
        <v>5</v>
      </c>
      <c r="B4020" s="1">
        <v>45825</v>
      </c>
      <c r="C4020">
        <v>12</v>
      </c>
      <c r="D4020">
        <v>0.114</v>
      </c>
      <c r="E4020" t="s">
        <v>6</v>
      </c>
      <c r="F4020">
        <v>0.13437000000000002</v>
      </c>
    </row>
    <row r="4021" spans="1:6" x14ac:dyDescent="0.3">
      <c r="A4021" t="s">
        <v>5</v>
      </c>
      <c r="B4021" s="1">
        <v>45825</v>
      </c>
      <c r="C4021">
        <v>13</v>
      </c>
      <c r="D4021">
        <v>9.2999999999999999E-2</v>
      </c>
      <c r="E4021" t="s">
        <v>6</v>
      </c>
      <c r="F4021">
        <v>0.13137000000000001</v>
      </c>
    </row>
    <row r="4022" spans="1:6" x14ac:dyDescent="0.3">
      <c r="A4022" t="s">
        <v>5</v>
      </c>
      <c r="B4022" s="1">
        <v>45825</v>
      </c>
      <c r="C4022">
        <v>14</v>
      </c>
      <c r="D4022">
        <v>7.5999999999999998E-2</v>
      </c>
      <c r="E4022" t="s">
        <v>6</v>
      </c>
      <c r="F4022">
        <v>0.12712000000000001</v>
      </c>
    </row>
    <row r="4023" spans="1:6" x14ac:dyDescent="0.3">
      <c r="A4023" t="s">
        <v>5</v>
      </c>
      <c r="B4023" s="1">
        <v>45825</v>
      </c>
      <c r="C4023">
        <v>15</v>
      </c>
      <c r="D4023">
        <v>9.2999999999999999E-2</v>
      </c>
      <c r="E4023" t="s">
        <v>6</v>
      </c>
      <c r="F4023">
        <v>5.7189999999999998E-2</v>
      </c>
    </row>
    <row r="4024" spans="1:6" x14ac:dyDescent="0.3">
      <c r="A4024" t="s">
        <v>5</v>
      </c>
      <c r="B4024" s="1">
        <v>45825</v>
      </c>
      <c r="C4024">
        <v>16</v>
      </c>
      <c r="D4024">
        <v>9.2999999999999999E-2</v>
      </c>
      <c r="E4024" t="s">
        <v>6</v>
      </c>
      <c r="F4024">
        <v>5.0560000000000001E-2</v>
      </c>
    </row>
    <row r="4025" spans="1:6" x14ac:dyDescent="0.3">
      <c r="A4025" t="s">
        <v>5</v>
      </c>
      <c r="B4025" s="1">
        <v>45825</v>
      </c>
      <c r="C4025">
        <v>17</v>
      </c>
      <c r="D4025">
        <v>7.6999999999999999E-2</v>
      </c>
      <c r="E4025" t="s">
        <v>6</v>
      </c>
      <c r="F4025">
        <v>6.522E-2</v>
      </c>
    </row>
    <row r="4026" spans="1:6" x14ac:dyDescent="0.3">
      <c r="A4026" t="s">
        <v>5</v>
      </c>
      <c r="B4026" s="1">
        <v>45825</v>
      </c>
      <c r="C4026">
        <v>18</v>
      </c>
      <c r="D4026">
        <v>9.0999999999999998E-2</v>
      </c>
      <c r="E4026" t="s">
        <v>6</v>
      </c>
      <c r="F4026">
        <v>0.11745</v>
      </c>
    </row>
    <row r="4027" spans="1:6" x14ac:dyDescent="0.3">
      <c r="A4027" t="s">
        <v>5</v>
      </c>
      <c r="B4027" s="1">
        <v>45825</v>
      </c>
      <c r="C4027">
        <v>19</v>
      </c>
      <c r="D4027">
        <v>9.5000000000000001E-2</v>
      </c>
      <c r="E4027" t="s">
        <v>6</v>
      </c>
      <c r="F4027">
        <v>0.2094</v>
      </c>
    </row>
    <row r="4028" spans="1:6" x14ac:dyDescent="0.3">
      <c r="A4028" t="s">
        <v>5</v>
      </c>
      <c r="B4028" s="1">
        <v>45825</v>
      </c>
      <c r="C4028">
        <v>20</v>
      </c>
      <c r="D4028">
        <v>0.32</v>
      </c>
      <c r="E4028" t="s">
        <v>6</v>
      </c>
      <c r="F4028">
        <v>0.22972000000000001</v>
      </c>
    </row>
    <row r="4029" spans="1:6" x14ac:dyDescent="0.3">
      <c r="A4029" t="s">
        <v>5</v>
      </c>
      <c r="B4029" s="1">
        <v>45825</v>
      </c>
      <c r="C4029">
        <v>21</v>
      </c>
      <c r="D4029">
        <v>1.2969999999999999</v>
      </c>
      <c r="E4029" t="s">
        <v>6</v>
      </c>
      <c r="F4029">
        <v>0.24209</v>
      </c>
    </row>
    <row r="4030" spans="1:6" x14ac:dyDescent="0.3">
      <c r="A4030" t="s">
        <v>5</v>
      </c>
      <c r="B4030" s="1">
        <v>45825</v>
      </c>
      <c r="C4030">
        <v>22</v>
      </c>
      <c r="D4030">
        <v>1.2809999999999999</v>
      </c>
      <c r="E4030" t="s">
        <v>6</v>
      </c>
      <c r="F4030">
        <v>0.27332999999999996</v>
      </c>
    </row>
    <row r="4031" spans="1:6" x14ac:dyDescent="0.3">
      <c r="A4031" t="s">
        <v>5</v>
      </c>
      <c r="B4031" s="1">
        <v>45825</v>
      </c>
      <c r="C4031">
        <v>23</v>
      </c>
      <c r="D4031">
        <v>1.41</v>
      </c>
      <c r="E4031" t="s">
        <v>6</v>
      </c>
      <c r="F4031">
        <v>0.20611000000000002</v>
      </c>
    </row>
    <row r="4032" spans="1:6" x14ac:dyDescent="0.3">
      <c r="A4032" t="s">
        <v>5</v>
      </c>
      <c r="B4032" s="1">
        <v>45825</v>
      </c>
      <c r="C4032">
        <v>24</v>
      </c>
      <c r="D4032">
        <v>1.171</v>
      </c>
      <c r="E4032" t="s">
        <v>6</v>
      </c>
      <c r="F4032">
        <v>0.17893999999999999</v>
      </c>
    </row>
    <row r="4033" spans="1:6" x14ac:dyDescent="0.3">
      <c r="A4033" t="s">
        <v>5</v>
      </c>
      <c r="B4033" s="1">
        <v>45826</v>
      </c>
      <c r="C4033">
        <v>1</v>
      </c>
      <c r="D4033">
        <v>0.19500000000000001</v>
      </c>
      <c r="E4033" t="s">
        <v>6</v>
      </c>
      <c r="F4033">
        <v>0.14995</v>
      </c>
    </row>
    <row r="4034" spans="1:6" x14ac:dyDescent="0.3">
      <c r="A4034" t="s">
        <v>5</v>
      </c>
      <c r="B4034" s="1">
        <v>45826</v>
      </c>
      <c r="C4034">
        <v>2</v>
      </c>
      <c r="D4034">
        <v>0.19400000000000001</v>
      </c>
      <c r="E4034" t="s">
        <v>6</v>
      </c>
      <c r="F4034">
        <v>0.14438000000000001</v>
      </c>
    </row>
    <row r="4035" spans="1:6" x14ac:dyDescent="0.3">
      <c r="A4035" t="s">
        <v>5</v>
      </c>
      <c r="B4035" s="1">
        <v>45826</v>
      </c>
      <c r="C4035">
        <v>3</v>
      </c>
      <c r="D4035">
        <v>0.17899999999999999</v>
      </c>
      <c r="E4035" t="s">
        <v>6</v>
      </c>
      <c r="F4035">
        <v>0.14349000000000001</v>
      </c>
    </row>
    <row r="4036" spans="1:6" x14ac:dyDescent="0.3">
      <c r="A4036" t="s">
        <v>5</v>
      </c>
      <c r="B4036" s="1">
        <v>45826</v>
      </c>
      <c r="C4036">
        <v>4</v>
      </c>
      <c r="D4036">
        <v>0.183</v>
      </c>
      <c r="E4036" t="s">
        <v>6</v>
      </c>
      <c r="F4036">
        <v>0.14080000000000001</v>
      </c>
    </row>
    <row r="4037" spans="1:6" x14ac:dyDescent="0.3">
      <c r="A4037" t="s">
        <v>5</v>
      </c>
      <c r="B4037" s="1">
        <v>45826</v>
      </c>
      <c r="C4037">
        <v>5</v>
      </c>
      <c r="D4037">
        <v>0.2</v>
      </c>
      <c r="E4037" t="s">
        <v>6</v>
      </c>
      <c r="F4037">
        <v>0.1416</v>
      </c>
    </row>
    <row r="4038" spans="1:6" x14ac:dyDescent="0.3">
      <c r="A4038" t="s">
        <v>5</v>
      </c>
      <c r="B4038" s="1">
        <v>45826</v>
      </c>
      <c r="C4038">
        <v>6</v>
      </c>
      <c r="D4038">
        <v>0.186</v>
      </c>
      <c r="E4038" t="s">
        <v>6</v>
      </c>
      <c r="F4038">
        <v>0.14429</v>
      </c>
    </row>
    <row r="4039" spans="1:6" x14ac:dyDescent="0.3">
      <c r="A4039" t="s">
        <v>5</v>
      </c>
      <c r="B4039" s="1">
        <v>45826</v>
      </c>
      <c r="C4039">
        <v>7</v>
      </c>
      <c r="D4039">
        <v>0.17399999999999999</v>
      </c>
      <c r="E4039" t="s">
        <v>6</v>
      </c>
      <c r="F4039">
        <v>0.14496000000000001</v>
      </c>
    </row>
    <row r="4040" spans="1:6" x14ac:dyDescent="0.3">
      <c r="A4040" t="s">
        <v>5</v>
      </c>
      <c r="B4040" s="1">
        <v>45826</v>
      </c>
      <c r="C4040">
        <v>8</v>
      </c>
      <c r="D4040">
        <v>0.185</v>
      </c>
      <c r="E4040" t="s">
        <v>6</v>
      </c>
      <c r="F4040">
        <v>0.14858000000000002</v>
      </c>
    </row>
    <row r="4041" spans="1:6" x14ac:dyDescent="0.3">
      <c r="A4041" t="s">
        <v>5</v>
      </c>
      <c r="B4041" s="1">
        <v>45826</v>
      </c>
      <c r="C4041">
        <v>9</v>
      </c>
      <c r="D4041">
        <v>0.193</v>
      </c>
      <c r="E4041" t="s">
        <v>6</v>
      </c>
      <c r="F4041">
        <v>0.16343000000000002</v>
      </c>
    </row>
    <row r="4042" spans="1:6" x14ac:dyDescent="0.3">
      <c r="A4042" t="s">
        <v>5</v>
      </c>
      <c r="B4042" s="1">
        <v>45826</v>
      </c>
      <c r="C4042">
        <v>10</v>
      </c>
      <c r="D4042">
        <v>0.23200000000000001</v>
      </c>
      <c r="E4042" t="s">
        <v>6</v>
      </c>
      <c r="F4042">
        <v>0.15687999999999999</v>
      </c>
    </row>
    <row r="4043" spans="1:6" x14ac:dyDescent="0.3">
      <c r="A4043" t="s">
        <v>5</v>
      </c>
      <c r="B4043" s="1">
        <v>45826</v>
      </c>
      <c r="C4043">
        <v>11</v>
      </c>
      <c r="D4043">
        <v>1.9890000000000001</v>
      </c>
      <c r="E4043" t="s">
        <v>6</v>
      </c>
      <c r="F4043">
        <v>0.18653999999999998</v>
      </c>
    </row>
    <row r="4044" spans="1:6" x14ac:dyDescent="0.3">
      <c r="A4044" t="s">
        <v>5</v>
      </c>
      <c r="B4044" s="1">
        <v>45826</v>
      </c>
      <c r="C4044">
        <v>12</v>
      </c>
      <c r="D4044">
        <v>1.8560000000000001</v>
      </c>
      <c r="E4044" t="s">
        <v>6</v>
      </c>
      <c r="F4044">
        <v>0.16538</v>
      </c>
    </row>
    <row r="4045" spans="1:6" x14ac:dyDescent="0.3">
      <c r="A4045" t="s">
        <v>5</v>
      </c>
      <c r="B4045" s="1">
        <v>45826</v>
      </c>
      <c r="C4045">
        <v>13</v>
      </c>
      <c r="D4045">
        <v>1.395</v>
      </c>
      <c r="E4045" t="s">
        <v>6</v>
      </c>
      <c r="F4045">
        <v>0.1502</v>
      </c>
    </row>
    <row r="4046" spans="1:6" x14ac:dyDescent="0.3">
      <c r="A4046" t="s">
        <v>5</v>
      </c>
      <c r="B4046" s="1">
        <v>45826</v>
      </c>
      <c r="C4046">
        <v>14</v>
      </c>
      <c r="D4046">
        <v>0.98499999999999999</v>
      </c>
      <c r="E4046" t="s">
        <v>6</v>
      </c>
      <c r="F4046">
        <v>0.14307</v>
      </c>
    </row>
    <row r="4047" spans="1:6" x14ac:dyDescent="0.3">
      <c r="A4047" t="s">
        <v>5</v>
      </c>
      <c r="B4047" s="1">
        <v>45826</v>
      </c>
      <c r="C4047">
        <v>15</v>
      </c>
      <c r="D4047">
        <v>8.6999999999999994E-2</v>
      </c>
      <c r="E4047" t="s">
        <v>6</v>
      </c>
      <c r="F4047">
        <v>7.739E-2</v>
      </c>
    </row>
    <row r="4048" spans="1:6" x14ac:dyDescent="0.3">
      <c r="A4048" t="s">
        <v>5</v>
      </c>
      <c r="B4048" s="1">
        <v>45826</v>
      </c>
      <c r="C4048">
        <v>16</v>
      </c>
      <c r="D4048">
        <v>0.219</v>
      </c>
      <c r="E4048" t="s">
        <v>6</v>
      </c>
      <c r="F4048">
        <v>7.6620000000000008E-2</v>
      </c>
    </row>
    <row r="4049" spans="1:6" x14ac:dyDescent="0.3">
      <c r="A4049" t="s">
        <v>5</v>
      </c>
      <c r="B4049" s="1">
        <v>45826</v>
      </c>
      <c r="C4049">
        <v>17</v>
      </c>
      <c r="D4049">
        <v>1.4370000000000001</v>
      </c>
      <c r="E4049" t="s">
        <v>6</v>
      </c>
      <c r="F4049">
        <v>8.9079999999999993E-2</v>
      </c>
    </row>
    <row r="4050" spans="1:6" x14ac:dyDescent="0.3">
      <c r="A4050" t="s">
        <v>5</v>
      </c>
      <c r="B4050" s="1">
        <v>45826</v>
      </c>
      <c r="C4050">
        <v>18</v>
      </c>
      <c r="D4050">
        <v>1.3360000000000001</v>
      </c>
      <c r="E4050" t="s">
        <v>6</v>
      </c>
      <c r="F4050">
        <v>0.12074</v>
      </c>
    </row>
    <row r="4051" spans="1:6" x14ac:dyDescent="0.3">
      <c r="A4051" t="s">
        <v>5</v>
      </c>
      <c r="B4051" s="1">
        <v>45826</v>
      </c>
      <c r="C4051">
        <v>19</v>
      </c>
      <c r="D4051">
        <v>1.304</v>
      </c>
      <c r="E4051" t="s">
        <v>6</v>
      </c>
      <c r="F4051">
        <v>0.22191999999999998</v>
      </c>
    </row>
    <row r="4052" spans="1:6" x14ac:dyDescent="0.3">
      <c r="A4052" t="s">
        <v>5</v>
      </c>
      <c r="B4052" s="1">
        <v>45826</v>
      </c>
      <c r="C4052">
        <v>20</v>
      </c>
      <c r="D4052">
        <v>1.456</v>
      </c>
      <c r="E4052" t="s">
        <v>6</v>
      </c>
      <c r="F4052">
        <v>0.23166999999999999</v>
      </c>
    </row>
    <row r="4053" spans="1:6" x14ac:dyDescent="0.3">
      <c r="A4053" t="s">
        <v>5</v>
      </c>
      <c r="B4053" s="1">
        <v>45826</v>
      </c>
      <c r="C4053">
        <v>21</v>
      </c>
      <c r="D4053">
        <v>1.143</v>
      </c>
      <c r="E4053" t="s">
        <v>6</v>
      </c>
      <c r="F4053">
        <v>0.25112000000000001</v>
      </c>
    </row>
    <row r="4054" spans="1:6" x14ac:dyDescent="0.3">
      <c r="A4054" t="s">
        <v>5</v>
      </c>
      <c r="B4054" s="1">
        <v>45826</v>
      </c>
      <c r="C4054">
        <v>22</v>
      </c>
      <c r="D4054">
        <v>1.1140000000000001</v>
      </c>
      <c r="E4054" t="s">
        <v>6</v>
      </c>
      <c r="F4054">
        <v>0.31441000000000002</v>
      </c>
    </row>
    <row r="4055" spans="1:6" x14ac:dyDescent="0.3">
      <c r="A4055" t="s">
        <v>5</v>
      </c>
      <c r="B4055" s="1">
        <v>45826</v>
      </c>
      <c r="C4055">
        <v>23</v>
      </c>
      <c r="D4055">
        <v>1.2210000000000001</v>
      </c>
      <c r="E4055" t="s">
        <v>6</v>
      </c>
      <c r="F4055">
        <v>0.21737999999999999</v>
      </c>
    </row>
    <row r="4056" spans="1:6" x14ac:dyDescent="0.3">
      <c r="A4056" t="s">
        <v>5</v>
      </c>
      <c r="B4056" s="1">
        <v>45826</v>
      </c>
      <c r="C4056">
        <v>24</v>
      </c>
      <c r="D4056">
        <v>0.39200000000000002</v>
      </c>
      <c r="E4056" t="s">
        <v>6</v>
      </c>
      <c r="F4056">
        <v>0.18221999999999999</v>
      </c>
    </row>
    <row r="4057" spans="1:6" x14ac:dyDescent="0.3">
      <c r="A4057" t="s">
        <v>5</v>
      </c>
      <c r="B4057" s="1">
        <v>45827</v>
      </c>
      <c r="C4057">
        <v>1</v>
      </c>
      <c r="D4057">
        <v>0.20899999999999999</v>
      </c>
      <c r="E4057" t="s">
        <v>6</v>
      </c>
      <c r="F4057">
        <v>0.15721000000000002</v>
      </c>
    </row>
    <row r="4058" spans="1:6" x14ac:dyDescent="0.3">
      <c r="A4058" t="s">
        <v>5</v>
      </c>
      <c r="B4058" s="1">
        <v>45827</v>
      </c>
      <c r="C4058">
        <v>2</v>
      </c>
      <c r="D4058">
        <v>0.19600000000000001</v>
      </c>
      <c r="E4058" t="s">
        <v>6</v>
      </c>
      <c r="F4058">
        <v>0.14965999999999999</v>
      </c>
    </row>
    <row r="4059" spans="1:6" x14ac:dyDescent="0.3">
      <c r="A4059" t="s">
        <v>5</v>
      </c>
      <c r="B4059" s="1">
        <v>45827</v>
      </c>
      <c r="C4059">
        <v>3</v>
      </c>
      <c r="D4059">
        <v>0.17399999999999999</v>
      </c>
      <c r="E4059" t="s">
        <v>6</v>
      </c>
      <c r="F4059">
        <v>0.14681</v>
      </c>
    </row>
    <row r="4060" spans="1:6" x14ac:dyDescent="0.3">
      <c r="A4060" t="s">
        <v>5</v>
      </c>
      <c r="B4060" s="1">
        <v>45827</v>
      </c>
      <c r="C4060">
        <v>4</v>
      </c>
      <c r="D4060">
        <v>0.2</v>
      </c>
      <c r="E4060" t="s">
        <v>6</v>
      </c>
      <c r="F4060">
        <v>0.14348</v>
      </c>
    </row>
    <row r="4061" spans="1:6" x14ac:dyDescent="0.3">
      <c r="A4061" t="s">
        <v>5</v>
      </c>
      <c r="B4061" s="1">
        <v>45827</v>
      </c>
      <c r="C4061">
        <v>5</v>
      </c>
      <c r="D4061">
        <v>0.18099999999999999</v>
      </c>
      <c r="E4061" t="s">
        <v>6</v>
      </c>
      <c r="F4061">
        <v>0.14318999999999998</v>
      </c>
    </row>
    <row r="4062" spans="1:6" x14ac:dyDescent="0.3">
      <c r="A4062" t="s">
        <v>5</v>
      </c>
      <c r="B4062" s="1">
        <v>45827</v>
      </c>
      <c r="C4062">
        <v>6</v>
      </c>
      <c r="D4062">
        <v>0.17399999999999999</v>
      </c>
      <c r="E4062" t="s">
        <v>6</v>
      </c>
      <c r="F4062">
        <v>0.14369999999999999</v>
      </c>
    </row>
    <row r="4063" spans="1:6" x14ac:dyDescent="0.3">
      <c r="A4063" t="s">
        <v>5</v>
      </c>
      <c r="B4063" s="1">
        <v>45827</v>
      </c>
      <c r="C4063">
        <v>7</v>
      </c>
      <c r="D4063">
        <v>0.19800000000000001</v>
      </c>
      <c r="E4063" t="s">
        <v>6</v>
      </c>
      <c r="F4063">
        <v>0.15196999999999999</v>
      </c>
    </row>
    <row r="4064" spans="1:6" x14ac:dyDescent="0.3">
      <c r="A4064" t="s">
        <v>5</v>
      </c>
      <c r="B4064" s="1">
        <v>45827</v>
      </c>
      <c r="C4064">
        <v>8</v>
      </c>
      <c r="D4064">
        <v>0.16800000000000001</v>
      </c>
      <c r="E4064" t="s">
        <v>6</v>
      </c>
      <c r="F4064">
        <v>0.15518000000000001</v>
      </c>
    </row>
    <row r="4065" spans="1:6" x14ac:dyDescent="0.3">
      <c r="A4065" t="s">
        <v>5</v>
      </c>
      <c r="B4065" s="1">
        <v>45827</v>
      </c>
      <c r="C4065">
        <v>9</v>
      </c>
      <c r="D4065">
        <v>0.105</v>
      </c>
      <c r="E4065" t="s">
        <v>6</v>
      </c>
      <c r="F4065">
        <v>0.16687000000000002</v>
      </c>
    </row>
    <row r="4066" spans="1:6" x14ac:dyDescent="0.3">
      <c r="A4066" t="s">
        <v>5</v>
      </c>
      <c r="B4066" s="1">
        <v>45827</v>
      </c>
      <c r="C4066">
        <v>10</v>
      </c>
      <c r="D4066">
        <v>0.10299999999999999</v>
      </c>
      <c r="E4066" t="s">
        <v>6</v>
      </c>
      <c r="F4066">
        <v>0.16416999999999998</v>
      </c>
    </row>
    <row r="4067" spans="1:6" x14ac:dyDescent="0.3">
      <c r="A4067" t="s">
        <v>5</v>
      </c>
      <c r="B4067" s="1">
        <v>45827</v>
      </c>
      <c r="C4067">
        <v>11</v>
      </c>
      <c r="D4067">
        <v>7.9000000000000001E-2</v>
      </c>
      <c r="E4067" t="s">
        <v>6</v>
      </c>
      <c r="F4067">
        <v>0.21915000000000001</v>
      </c>
    </row>
    <row r="4068" spans="1:6" x14ac:dyDescent="0.3">
      <c r="A4068" t="s">
        <v>5</v>
      </c>
      <c r="B4068" s="1">
        <v>45827</v>
      </c>
      <c r="C4068">
        <v>12</v>
      </c>
      <c r="D4068">
        <v>8.1000000000000003E-2</v>
      </c>
      <c r="E4068" t="s">
        <v>6</v>
      </c>
      <c r="F4068">
        <v>0.18480000000000002</v>
      </c>
    </row>
    <row r="4069" spans="1:6" x14ac:dyDescent="0.3">
      <c r="A4069" t="s">
        <v>5</v>
      </c>
      <c r="B4069" s="1">
        <v>45827</v>
      </c>
      <c r="C4069">
        <v>13</v>
      </c>
      <c r="D4069">
        <v>0.10299999999999999</v>
      </c>
      <c r="E4069" t="s">
        <v>6</v>
      </c>
      <c r="F4069">
        <v>0.17949000000000001</v>
      </c>
    </row>
    <row r="4070" spans="1:6" x14ac:dyDescent="0.3">
      <c r="A4070" t="s">
        <v>5</v>
      </c>
      <c r="B4070" s="1">
        <v>45827</v>
      </c>
      <c r="C4070">
        <v>14</v>
      </c>
      <c r="D4070">
        <v>7.6999999999999999E-2</v>
      </c>
      <c r="E4070" t="s">
        <v>6</v>
      </c>
      <c r="F4070">
        <v>0.17077999999999999</v>
      </c>
    </row>
    <row r="4071" spans="1:6" x14ac:dyDescent="0.3">
      <c r="A4071" t="s">
        <v>5</v>
      </c>
      <c r="B4071" s="1">
        <v>45827</v>
      </c>
      <c r="C4071">
        <v>15</v>
      </c>
      <c r="D4071">
        <v>0.57199999999999995</v>
      </c>
      <c r="E4071" t="s">
        <v>6</v>
      </c>
      <c r="F4071">
        <v>0.10357999999999999</v>
      </c>
    </row>
    <row r="4072" spans="1:6" x14ac:dyDescent="0.3">
      <c r="A4072" t="s">
        <v>5</v>
      </c>
      <c r="B4072" s="1">
        <v>45827</v>
      </c>
      <c r="C4072">
        <v>16</v>
      </c>
      <c r="D4072">
        <v>1.34</v>
      </c>
      <c r="E4072" t="s">
        <v>6</v>
      </c>
      <c r="F4072">
        <v>0.10106</v>
      </c>
    </row>
    <row r="4073" spans="1:6" x14ac:dyDescent="0.3">
      <c r="A4073" t="s">
        <v>5</v>
      </c>
      <c r="B4073" s="1">
        <v>45827</v>
      </c>
      <c r="C4073">
        <v>17</v>
      </c>
      <c r="D4073">
        <v>1.5489999999999999</v>
      </c>
      <c r="E4073" t="s">
        <v>6</v>
      </c>
      <c r="F4073">
        <v>0.11286</v>
      </c>
    </row>
    <row r="4074" spans="1:6" x14ac:dyDescent="0.3">
      <c r="A4074" t="s">
        <v>5</v>
      </c>
      <c r="B4074" s="1">
        <v>45827</v>
      </c>
      <c r="C4074">
        <v>18</v>
      </c>
      <c r="D4074">
        <v>1.3839999999999999</v>
      </c>
      <c r="E4074" t="s">
        <v>6</v>
      </c>
      <c r="F4074">
        <v>0.13381999999999999</v>
      </c>
    </row>
    <row r="4075" spans="1:6" x14ac:dyDescent="0.3">
      <c r="A4075" t="s">
        <v>5</v>
      </c>
      <c r="B4075" s="1">
        <v>45827</v>
      </c>
      <c r="C4075">
        <v>19</v>
      </c>
      <c r="D4075">
        <v>1.3660000000000001</v>
      </c>
      <c r="E4075" t="s">
        <v>6</v>
      </c>
      <c r="F4075">
        <v>0.22538999999999998</v>
      </c>
    </row>
    <row r="4076" spans="1:6" x14ac:dyDescent="0.3">
      <c r="A4076" t="s">
        <v>5</v>
      </c>
      <c r="B4076" s="1">
        <v>45827</v>
      </c>
      <c r="C4076">
        <v>20</v>
      </c>
      <c r="D4076">
        <v>1.3819999999999999</v>
      </c>
      <c r="E4076" t="s">
        <v>6</v>
      </c>
      <c r="F4076">
        <v>0.23055</v>
      </c>
    </row>
    <row r="4077" spans="1:6" x14ac:dyDescent="0.3">
      <c r="A4077" t="s">
        <v>5</v>
      </c>
      <c r="B4077" s="1">
        <v>45827</v>
      </c>
      <c r="C4077">
        <v>21</v>
      </c>
      <c r="D4077">
        <v>1.704</v>
      </c>
      <c r="E4077" t="s">
        <v>6</v>
      </c>
      <c r="F4077">
        <v>0.24099000000000001</v>
      </c>
    </row>
    <row r="4078" spans="1:6" x14ac:dyDescent="0.3">
      <c r="A4078" t="s">
        <v>5</v>
      </c>
      <c r="B4078" s="1">
        <v>45827</v>
      </c>
      <c r="C4078">
        <v>22</v>
      </c>
      <c r="D4078">
        <v>1.3779999999999999</v>
      </c>
      <c r="E4078" t="s">
        <v>6</v>
      </c>
      <c r="F4078">
        <v>0.27981</v>
      </c>
    </row>
    <row r="4079" spans="1:6" x14ac:dyDescent="0.3">
      <c r="A4079" t="s">
        <v>5</v>
      </c>
      <c r="B4079" s="1">
        <v>45827</v>
      </c>
      <c r="C4079">
        <v>23</v>
      </c>
      <c r="D4079">
        <v>0.98</v>
      </c>
      <c r="E4079" t="s">
        <v>6</v>
      </c>
      <c r="F4079">
        <v>0.21190000000000001</v>
      </c>
    </row>
    <row r="4080" spans="1:6" x14ac:dyDescent="0.3">
      <c r="A4080" t="s">
        <v>5</v>
      </c>
      <c r="B4080" s="1">
        <v>45827</v>
      </c>
      <c r="C4080">
        <v>24</v>
      </c>
      <c r="D4080">
        <v>0.30399999999999999</v>
      </c>
      <c r="E4080" t="s">
        <v>6</v>
      </c>
      <c r="F4080">
        <v>0.17621000000000001</v>
      </c>
    </row>
    <row r="4081" spans="1:6" x14ac:dyDescent="0.3">
      <c r="A4081" t="s">
        <v>5</v>
      </c>
      <c r="B4081" s="1">
        <v>45828</v>
      </c>
      <c r="C4081">
        <v>1</v>
      </c>
      <c r="D4081">
        <v>0.318</v>
      </c>
      <c r="E4081" t="s">
        <v>6</v>
      </c>
      <c r="F4081">
        <v>0.14796999999999999</v>
      </c>
    </row>
    <row r="4082" spans="1:6" x14ac:dyDescent="0.3">
      <c r="A4082" t="s">
        <v>5</v>
      </c>
      <c r="B4082" s="1">
        <v>45828</v>
      </c>
      <c r="C4082">
        <v>2</v>
      </c>
      <c r="D4082">
        <v>0.33100000000000002</v>
      </c>
      <c r="E4082" t="s">
        <v>6</v>
      </c>
      <c r="F4082">
        <v>0.14543999999999999</v>
      </c>
    </row>
    <row r="4083" spans="1:6" x14ac:dyDescent="0.3">
      <c r="A4083" t="s">
        <v>5</v>
      </c>
      <c r="B4083" s="1">
        <v>45828</v>
      </c>
      <c r="C4083">
        <v>3</v>
      </c>
      <c r="D4083">
        <v>0.29899999999999999</v>
      </c>
      <c r="E4083" t="s">
        <v>6</v>
      </c>
      <c r="F4083">
        <v>0.14368</v>
      </c>
    </row>
    <row r="4084" spans="1:6" x14ac:dyDescent="0.3">
      <c r="A4084" t="s">
        <v>5</v>
      </c>
      <c r="B4084" s="1">
        <v>45828</v>
      </c>
      <c r="C4084">
        <v>4</v>
      </c>
      <c r="D4084">
        <v>0.21</v>
      </c>
      <c r="E4084" t="s">
        <v>6</v>
      </c>
      <c r="F4084">
        <v>0.14104</v>
      </c>
    </row>
    <row r="4085" spans="1:6" x14ac:dyDescent="0.3">
      <c r="A4085" t="s">
        <v>5</v>
      </c>
      <c r="B4085" s="1">
        <v>45828</v>
      </c>
      <c r="C4085">
        <v>5</v>
      </c>
      <c r="D4085">
        <v>0.20499999999999999</v>
      </c>
      <c r="E4085" t="s">
        <v>6</v>
      </c>
      <c r="F4085">
        <v>0.14066000000000001</v>
      </c>
    </row>
    <row r="4086" spans="1:6" x14ac:dyDescent="0.3">
      <c r="A4086" t="s">
        <v>5</v>
      </c>
      <c r="B4086" s="1">
        <v>45828</v>
      </c>
      <c r="C4086">
        <v>6</v>
      </c>
      <c r="D4086">
        <v>0.19700000000000001</v>
      </c>
      <c r="E4086" t="s">
        <v>6</v>
      </c>
      <c r="F4086">
        <v>0.13930999999999999</v>
      </c>
    </row>
    <row r="4087" spans="1:6" x14ac:dyDescent="0.3">
      <c r="A4087" t="s">
        <v>5</v>
      </c>
      <c r="B4087" s="1">
        <v>45828</v>
      </c>
      <c r="C4087">
        <v>7</v>
      </c>
      <c r="D4087">
        <v>0.28999999999999998</v>
      </c>
      <c r="E4087" t="s">
        <v>6</v>
      </c>
      <c r="F4087">
        <v>0.14515</v>
      </c>
    </row>
    <row r="4088" spans="1:6" x14ac:dyDescent="0.3">
      <c r="A4088" t="s">
        <v>5</v>
      </c>
      <c r="B4088" s="1">
        <v>45828</v>
      </c>
      <c r="C4088">
        <v>8</v>
      </c>
      <c r="D4088">
        <v>0.28799999999999998</v>
      </c>
      <c r="E4088" t="s">
        <v>6</v>
      </c>
      <c r="F4088">
        <v>0.14399000000000001</v>
      </c>
    </row>
    <row r="4089" spans="1:6" x14ac:dyDescent="0.3">
      <c r="A4089" t="s">
        <v>5</v>
      </c>
      <c r="B4089" s="1">
        <v>45828</v>
      </c>
      <c r="C4089">
        <v>9</v>
      </c>
      <c r="D4089">
        <v>0.23699999999999999</v>
      </c>
      <c r="E4089" t="s">
        <v>6</v>
      </c>
      <c r="F4089">
        <v>0.16177</v>
      </c>
    </row>
    <row r="4090" spans="1:6" x14ac:dyDescent="0.3">
      <c r="A4090" t="s">
        <v>5</v>
      </c>
      <c r="B4090" s="1">
        <v>45828</v>
      </c>
      <c r="C4090">
        <v>10</v>
      </c>
      <c r="D4090">
        <v>0.18099999999999999</v>
      </c>
      <c r="E4090" t="s">
        <v>6</v>
      </c>
      <c r="F4090">
        <v>0.15496000000000001</v>
      </c>
    </row>
    <row r="4091" spans="1:6" x14ac:dyDescent="0.3">
      <c r="A4091" t="s">
        <v>5</v>
      </c>
      <c r="B4091" s="1">
        <v>45828</v>
      </c>
      <c r="C4091">
        <v>11</v>
      </c>
      <c r="D4091">
        <v>0.185</v>
      </c>
      <c r="E4091" t="s">
        <v>6</v>
      </c>
      <c r="F4091">
        <v>0.19222999999999998</v>
      </c>
    </row>
    <row r="4092" spans="1:6" x14ac:dyDescent="0.3">
      <c r="A4092" t="s">
        <v>5</v>
      </c>
      <c r="B4092" s="1">
        <v>45828</v>
      </c>
      <c r="C4092">
        <v>12</v>
      </c>
      <c r="D4092">
        <v>0.20100000000000001</v>
      </c>
      <c r="E4092" t="s">
        <v>6</v>
      </c>
      <c r="F4092">
        <v>0.18894</v>
      </c>
    </row>
    <row r="4093" spans="1:6" x14ac:dyDescent="0.3">
      <c r="A4093" t="s">
        <v>5</v>
      </c>
      <c r="B4093" s="1">
        <v>45828</v>
      </c>
      <c r="C4093">
        <v>13</v>
      </c>
      <c r="D4093">
        <v>0.68700000000000006</v>
      </c>
      <c r="E4093" t="s">
        <v>6</v>
      </c>
      <c r="F4093">
        <v>0.18115000000000001</v>
      </c>
    </row>
    <row r="4094" spans="1:6" x14ac:dyDescent="0.3">
      <c r="A4094" t="s">
        <v>5</v>
      </c>
      <c r="B4094" s="1">
        <v>45828</v>
      </c>
      <c r="C4094">
        <v>14</v>
      </c>
      <c r="D4094">
        <v>0.28399999999999997</v>
      </c>
      <c r="E4094" t="s">
        <v>6</v>
      </c>
      <c r="F4094">
        <v>0.17374999999999999</v>
      </c>
    </row>
    <row r="4095" spans="1:6" x14ac:dyDescent="0.3">
      <c r="A4095" t="s">
        <v>5</v>
      </c>
      <c r="B4095" s="1">
        <v>45828</v>
      </c>
      <c r="C4095">
        <v>15</v>
      </c>
      <c r="D4095">
        <v>8.8999999999999996E-2</v>
      </c>
      <c r="E4095" t="s">
        <v>6</v>
      </c>
      <c r="F4095">
        <v>0.10703</v>
      </c>
    </row>
    <row r="4096" spans="1:6" x14ac:dyDescent="0.3">
      <c r="A4096" t="s">
        <v>5</v>
      </c>
      <c r="B4096" s="1">
        <v>45828</v>
      </c>
      <c r="C4096">
        <v>16</v>
      </c>
      <c r="D4096">
        <v>0.106</v>
      </c>
      <c r="E4096" t="s">
        <v>6</v>
      </c>
      <c r="F4096">
        <v>0.10672</v>
      </c>
    </row>
    <row r="4097" spans="1:6" x14ac:dyDescent="0.3">
      <c r="A4097" t="s">
        <v>5</v>
      </c>
      <c r="B4097" s="1">
        <v>45828</v>
      </c>
      <c r="C4097">
        <v>17</v>
      </c>
      <c r="D4097">
        <v>9.7000000000000003E-2</v>
      </c>
      <c r="E4097" t="s">
        <v>6</v>
      </c>
      <c r="F4097">
        <v>0.11941</v>
      </c>
    </row>
    <row r="4098" spans="1:6" x14ac:dyDescent="0.3">
      <c r="A4098" t="s">
        <v>5</v>
      </c>
      <c r="B4098" s="1">
        <v>45828</v>
      </c>
      <c r="C4098">
        <v>18</v>
      </c>
      <c r="D4098">
        <v>8.2000000000000003E-2</v>
      </c>
      <c r="E4098" t="s">
        <v>6</v>
      </c>
      <c r="F4098">
        <v>0.12776999999999999</v>
      </c>
    </row>
    <row r="4099" spans="1:6" x14ac:dyDescent="0.3">
      <c r="A4099" t="s">
        <v>5</v>
      </c>
      <c r="B4099" s="1">
        <v>45828</v>
      </c>
      <c r="C4099">
        <v>19</v>
      </c>
      <c r="D4099">
        <v>0.45800000000000002</v>
      </c>
      <c r="E4099" t="s">
        <v>6</v>
      </c>
      <c r="F4099">
        <v>0.21966999999999998</v>
      </c>
    </row>
    <row r="4100" spans="1:6" x14ac:dyDescent="0.3">
      <c r="A4100" t="s">
        <v>5</v>
      </c>
      <c r="B4100" s="1">
        <v>45828</v>
      </c>
      <c r="C4100">
        <v>20</v>
      </c>
      <c r="D4100">
        <v>1.1240000000000001</v>
      </c>
      <c r="E4100" t="s">
        <v>6</v>
      </c>
      <c r="F4100">
        <v>0.23612</v>
      </c>
    </row>
    <row r="4101" spans="1:6" x14ac:dyDescent="0.3">
      <c r="A4101" t="s">
        <v>5</v>
      </c>
      <c r="B4101" s="1">
        <v>45828</v>
      </c>
      <c r="C4101">
        <v>21</v>
      </c>
      <c r="D4101">
        <v>1.31</v>
      </c>
      <c r="E4101" t="s">
        <v>6</v>
      </c>
      <c r="F4101">
        <v>0.24984000000000001</v>
      </c>
    </row>
    <row r="4102" spans="1:6" x14ac:dyDescent="0.3">
      <c r="A4102" t="s">
        <v>5</v>
      </c>
      <c r="B4102" s="1">
        <v>45828</v>
      </c>
      <c r="C4102">
        <v>22</v>
      </c>
      <c r="D4102">
        <v>1.1679999999999999</v>
      </c>
      <c r="E4102" t="s">
        <v>6</v>
      </c>
      <c r="F4102">
        <v>0.27498</v>
      </c>
    </row>
    <row r="4103" spans="1:6" x14ac:dyDescent="0.3">
      <c r="A4103" t="s">
        <v>5</v>
      </c>
      <c r="B4103" s="1">
        <v>45828</v>
      </c>
      <c r="C4103">
        <v>23</v>
      </c>
      <c r="D4103">
        <v>0.10199999999999999</v>
      </c>
      <c r="E4103" t="s">
        <v>6</v>
      </c>
      <c r="F4103">
        <v>0.20552999999999999</v>
      </c>
    </row>
    <row r="4104" spans="1:6" x14ac:dyDescent="0.3">
      <c r="A4104" t="s">
        <v>5</v>
      </c>
      <c r="B4104" s="1">
        <v>45828</v>
      </c>
      <c r="C4104">
        <v>24</v>
      </c>
      <c r="D4104">
        <v>0.09</v>
      </c>
      <c r="E4104" t="s">
        <v>6</v>
      </c>
      <c r="F4104">
        <v>0.17516000000000001</v>
      </c>
    </row>
    <row r="4105" spans="1:6" x14ac:dyDescent="0.3">
      <c r="A4105" t="s">
        <v>5</v>
      </c>
      <c r="B4105" s="1">
        <v>45829</v>
      </c>
      <c r="C4105">
        <v>1</v>
      </c>
      <c r="D4105">
        <v>7.9000000000000001E-2</v>
      </c>
      <c r="E4105" t="s">
        <v>6</v>
      </c>
      <c r="F4105">
        <v>0.16390000000000002</v>
      </c>
    </row>
    <row r="4106" spans="1:6" x14ac:dyDescent="0.3">
      <c r="A4106" t="s">
        <v>5</v>
      </c>
      <c r="B4106" s="1">
        <v>45829</v>
      </c>
      <c r="C4106">
        <v>2</v>
      </c>
      <c r="D4106">
        <v>9.7000000000000003E-2</v>
      </c>
      <c r="E4106" t="s">
        <v>6</v>
      </c>
      <c r="F4106">
        <v>0.16312000000000001</v>
      </c>
    </row>
    <row r="4107" spans="1:6" x14ac:dyDescent="0.3">
      <c r="A4107" t="s">
        <v>5</v>
      </c>
      <c r="B4107" s="1">
        <v>45829</v>
      </c>
      <c r="C4107">
        <v>3</v>
      </c>
      <c r="D4107">
        <v>9.2999999999999999E-2</v>
      </c>
      <c r="E4107" t="s">
        <v>6</v>
      </c>
      <c r="F4107">
        <v>0.16327</v>
      </c>
    </row>
    <row r="4108" spans="1:6" x14ac:dyDescent="0.3">
      <c r="A4108" t="s">
        <v>5</v>
      </c>
      <c r="B4108" s="1">
        <v>45829</v>
      </c>
      <c r="C4108">
        <v>4</v>
      </c>
      <c r="D4108">
        <v>7.9000000000000001E-2</v>
      </c>
      <c r="E4108" t="s">
        <v>6</v>
      </c>
      <c r="F4108">
        <v>0.15706000000000001</v>
      </c>
    </row>
    <row r="4109" spans="1:6" x14ac:dyDescent="0.3">
      <c r="A4109" t="s">
        <v>5</v>
      </c>
      <c r="B4109" s="1">
        <v>45829</v>
      </c>
      <c r="C4109">
        <v>5</v>
      </c>
      <c r="D4109">
        <v>0.127</v>
      </c>
      <c r="E4109" t="s">
        <v>6</v>
      </c>
      <c r="F4109">
        <v>0.15671000000000002</v>
      </c>
    </row>
    <row r="4110" spans="1:6" x14ac:dyDescent="0.3">
      <c r="A4110" t="s">
        <v>5</v>
      </c>
      <c r="B4110" s="1">
        <v>45829</v>
      </c>
      <c r="C4110">
        <v>6</v>
      </c>
      <c r="D4110">
        <v>0.186</v>
      </c>
      <c r="E4110" t="s">
        <v>6</v>
      </c>
      <c r="F4110">
        <v>0.15546000000000001</v>
      </c>
    </row>
    <row r="4111" spans="1:6" x14ac:dyDescent="0.3">
      <c r="A4111" t="s">
        <v>5</v>
      </c>
      <c r="B4111" s="1">
        <v>45829</v>
      </c>
      <c r="C4111">
        <v>7</v>
      </c>
      <c r="D4111">
        <v>0.18099999999999999</v>
      </c>
      <c r="E4111" t="s">
        <v>6</v>
      </c>
      <c r="F4111">
        <v>0.15705000000000002</v>
      </c>
    </row>
    <row r="4112" spans="1:6" x14ac:dyDescent="0.3">
      <c r="A4112" t="s">
        <v>5</v>
      </c>
      <c r="B4112" s="1">
        <v>45829</v>
      </c>
      <c r="C4112">
        <v>8</v>
      </c>
      <c r="D4112">
        <v>0.189</v>
      </c>
      <c r="E4112" t="s">
        <v>6</v>
      </c>
      <c r="F4112">
        <v>0.15012999999999999</v>
      </c>
    </row>
    <row r="4113" spans="1:6" x14ac:dyDescent="0.3">
      <c r="A4113" t="s">
        <v>5</v>
      </c>
      <c r="B4113" s="1">
        <v>45829</v>
      </c>
      <c r="C4113">
        <v>9</v>
      </c>
      <c r="D4113">
        <v>0.20499999999999999</v>
      </c>
      <c r="E4113" t="s">
        <v>6</v>
      </c>
      <c r="F4113">
        <v>0.13969999999999999</v>
      </c>
    </row>
    <row r="4114" spans="1:6" x14ac:dyDescent="0.3">
      <c r="A4114" t="s">
        <v>5</v>
      </c>
      <c r="B4114" s="1">
        <v>45829</v>
      </c>
      <c r="C4114">
        <v>10</v>
      </c>
      <c r="D4114">
        <v>0.17899999999999999</v>
      </c>
      <c r="E4114" t="s">
        <v>6</v>
      </c>
      <c r="F4114">
        <v>7.1249999999999994E-2</v>
      </c>
    </row>
    <row r="4115" spans="1:6" x14ac:dyDescent="0.3">
      <c r="A4115" t="s">
        <v>5</v>
      </c>
      <c r="B4115" s="1">
        <v>45829</v>
      </c>
      <c r="C4115">
        <v>11</v>
      </c>
      <c r="D4115">
        <v>0.29699999999999999</v>
      </c>
      <c r="E4115" t="s">
        <v>6</v>
      </c>
      <c r="F4115">
        <v>2.8300000000000002E-2</v>
      </c>
    </row>
    <row r="4116" spans="1:6" x14ac:dyDescent="0.3">
      <c r="A4116" t="s">
        <v>5</v>
      </c>
      <c r="B4116" s="1">
        <v>45829</v>
      </c>
      <c r="C4116">
        <v>12</v>
      </c>
      <c r="D4116">
        <v>1.4570000000000001</v>
      </c>
      <c r="E4116" t="s">
        <v>6</v>
      </c>
      <c r="F4116">
        <v>2.435E-2</v>
      </c>
    </row>
    <row r="4117" spans="1:6" x14ac:dyDescent="0.3">
      <c r="A4117" t="s">
        <v>5</v>
      </c>
      <c r="B4117" s="1">
        <v>45829</v>
      </c>
      <c r="C4117">
        <v>13</v>
      </c>
      <c r="D4117">
        <v>0.22800000000000001</v>
      </c>
      <c r="E4117" t="s">
        <v>6</v>
      </c>
      <c r="F4117">
        <v>2.3710000000000002E-2</v>
      </c>
    </row>
    <row r="4118" spans="1:6" x14ac:dyDescent="0.3">
      <c r="A4118" t="s">
        <v>5</v>
      </c>
      <c r="B4118" s="1">
        <v>45829</v>
      </c>
      <c r="C4118">
        <v>14</v>
      </c>
      <c r="D4118">
        <v>0.53</v>
      </c>
      <c r="E4118" t="s">
        <v>6</v>
      </c>
      <c r="F4118">
        <v>2.3260000000000003E-2</v>
      </c>
    </row>
    <row r="4119" spans="1:6" x14ac:dyDescent="0.3">
      <c r="A4119" t="s">
        <v>5</v>
      </c>
      <c r="B4119" s="1">
        <v>45829</v>
      </c>
      <c r="C4119">
        <v>15</v>
      </c>
      <c r="D4119">
        <v>7.0999999999999994E-2</v>
      </c>
      <c r="E4119" t="s">
        <v>6</v>
      </c>
      <c r="F4119">
        <v>2.298E-2</v>
      </c>
    </row>
    <row r="4120" spans="1:6" x14ac:dyDescent="0.3">
      <c r="A4120" t="s">
        <v>5</v>
      </c>
      <c r="B4120" s="1">
        <v>45829</v>
      </c>
      <c r="C4120">
        <v>16</v>
      </c>
      <c r="D4120">
        <v>8.3000000000000004E-2</v>
      </c>
      <c r="E4120" t="s">
        <v>6</v>
      </c>
      <c r="F4120">
        <v>2.3730000000000001E-2</v>
      </c>
    </row>
    <row r="4121" spans="1:6" x14ac:dyDescent="0.3">
      <c r="A4121" t="s">
        <v>5</v>
      </c>
      <c r="B4121" s="1">
        <v>45829</v>
      </c>
      <c r="C4121">
        <v>17</v>
      </c>
      <c r="D4121">
        <v>0.06</v>
      </c>
      <c r="E4121" t="s">
        <v>6</v>
      </c>
      <c r="F4121">
        <v>2.4120000000000003E-2</v>
      </c>
    </row>
    <row r="4122" spans="1:6" x14ac:dyDescent="0.3">
      <c r="A4122" t="s">
        <v>5</v>
      </c>
      <c r="B4122" s="1">
        <v>45829</v>
      </c>
      <c r="C4122">
        <v>18</v>
      </c>
      <c r="D4122">
        <v>6.3E-2</v>
      </c>
      <c r="E4122" t="s">
        <v>6</v>
      </c>
      <c r="F4122">
        <v>2.9270000000000001E-2</v>
      </c>
    </row>
    <row r="4123" spans="1:6" x14ac:dyDescent="0.3">
      <c r="A4123" t="s">
        <v>5</v>
      </c>
      <c r="B4123" s="1">
        <v>45829</v>
      </c>
      <c r="C4123">
        <v>19</v>
      </c>
      <c r="D4123">
        <v>8.3000000000000004E-2</v>
      </c>
      <c r="E4123" t="s">
        <v>6</v>
      </c>
      <c r="F4123">
        <v>0.10734</v>
      </c>
    </row>
    <row r="4124" spans="1:6" x14ac:dyDescent="0.3">
      <c r="A4124" t="s">
        <v>5</v>
      </c>
      <c r="B4124" s="1">
        <v>45829</v>
      </c>
      <c r="C4124">
        <v>20</v>
      </c>
      <c r="D4124">
        <v>6.9000000000000006E-2</v>
      </c>
      <c r="E4124" t="s">
        <v>6</v>
      </c>
      <c r="F4124">
        <v>0.14409</v>
      </c>
    </row>
    <row r="4125" spans="1:6" x14ac:dyDescent="0.3">
      <c r="A4125" t="s">
        <v>5</v>
      </c>
      <c r="B4125" s="1">
        <v>45829</v>
      </c>
      <c r="C4125">
        <v>21</v>
      </c>
      <c r="D4125">
        <v>0.06</v>
      </c>
      <c r="E4125" t="s">
        <v>6</v>
      </c>
      <c r="F4125">
        <v>0.16053999999999999</v>
      </c>
    </row>
    <row r="4126" spans="1:6" x14ac:dyDescent="0.3">
      <c r="A4126" t="s">
        <v>5</v>
      </c>
      <c r="B4126" s="1">
        <v>45829</v>
      </c>
      <c r="C4126">
        <v>22</v>
      </c>
      <c r="D4126">
        <v>7.8E-2</v>
      </c>
      <c r="E4126" t="s">
        <v>6</v>
      </c>
      <c r="F4126">
        <v>0.16985</v>
      </c>
    </row>
    <row r="4127" spans="1:6" x14ac:dyDescent="0.3">
      <c r="A4127" t="s">
        <v>5</v>
      </c>
      <c r="B4127" s="1">
        <v>45829</v>
      </c>
      <c r="C4127">
        <v>23</v>
      </c>
      <c r="D4127">
        <v>7.5999999999999998E-2</v>
      </c>
      <c r="E4127" t="s">
        <v>6</v>
      </c>
      <c r="F4127">
        <v>0.17394000000000001</v>
      </c>
    </row>
    <row r="4128" spans="1:6" x14ac:dyDescent="0.3">
      <c r="A4128" t="s">
        <v>5</v>
      </c>
      <c r="B4128" s="1">
        <v>45829</v>
      </c>
      <c r="C4128">
        <v>24</v>
      </c>
      <c r="D4128">
        <v>5.8999999999999997E-2</v>
      </c>
      <c r="E4128" t="s">
        <v>6</v>
      </c>
      <c r="F4128">
        <v>0.16078000000000001</v>
      </c>
    </row>
    <row r="4129" spans="1:6" x14ac:dyDescent="0.3">
      <c r="A4129" t="s">
        <v>5</v>
      </c>
      <c r="B4129" s="1">
        <v>45830</v>
      </c>
      <c r="C4129">
        <v>1</v>
      </c>
      <c r="D4129">
        <v>7.1999999999999995E-2</v>
      </c>
      <c r="E4129" t="s">
        <v>6</v>
      </c>
      <c r="F4129">
        <v>0.16350999999999999</v>
      </c>
    </row>
    <row r="4130" spans="1:6" x14ac:dyDescent="0.3">
      <c r="A4130" t="s">
        <v>5</v>
      </c>
      <c r="B4130" s="1">
        <v>45830</v>
      </c>
      <c r="C4130">
        <v>2</v>
      </c>
      <c r="D4130">
        <v>8.2000000000000003E-2</v>
      </c>
      <c r="E4130" t="s">
        <v>6</v>
      </c>
      <c r="F4130">
        <v>0.16238</v>
      </c>
    </row>
    <row r="4131" spans="1:6" x14ac:dyDescent="0.3">
      <c r="A4131" t="s">
        <v>5</v>
      </c>
      <c r="B4131" s="1">
        <v>45830</v>
      </c>
      <c r="C4131">
        <v>3</v>
      </c>
      <c r="D4131">
        <v>0.06</v>
      </c>
      <c r="E4131" t="s">
        <v>6</v>
      </c>
      <c r="F4131">
        <v>0.16446</v>
      </c>
    </row>
    <row r="4132" spans="1:6" x14ac:dyDescent="0.3">
      <c r="A4132" t="s">
        <v>5</v>
      </c>
      <c r="B4132" s="1">
        <v>45830</v>
      </c>
      <c r="C4132">
        <v>4</v>
      </c>
      <c r="D4132">
        <v>6.5000000000000002E-2</v>
      </c>
      <c r="E4132" t="s">
        <v>6</v>
      </c>
      <c r="F4132">
        <v>0.16722999999999999</v>
      </c>
    </row>
    <row r="4133" spans="1:6" x14ac:dyDescent="0.3">
      <c r="A4133" t="s">
        <v>5</v>
      </c>
      <c r="B4133" s="1">
        <v>45830</v>
      </c>
      <c r="C4133">
        <v>5</v>
      </c>
      <c r="D4133">
        <v>8.3000000000000004E-2</v>
      </c>
      <c r="E4133" t="s">
        <v>6</v>
      </c>
      <c r="F4133">
        <v>0.16644</v>
      </c>
    </row>
    <row r="4134" spans="1:6" x14ac:dyDescent="0.3">
      <c r="A4134" t="s">
        <v>5</v>
      </c>
      <c r="B4134" s="1">
        <v>45830</v>
      </c>
      <c r="C4134">
        <v>6</v>
      </c>
      <c r="D4134">
        <v>6.4000000000000001E-2</v>
      </c>
      <c r="E4134" t="s">
        <v>6</v>
      </c>
      <c r="F4134">
        <v>0.16721</v>
      </c>
    </row>
    <row r="4135" spans="1:6" x14ac:dyDescent="0.3">
      <c r="A4135" t="s">
        <v>5</v>
      </c>
      <c r="B4135" s="1">
        <v>45830</v>
      </c>
      <c r="C4135">
        <v>7</v>
      </c>
      <c r="D4135">
        <v>5.8999999999999997E-2</v>
      </c>
      <c r="E4135" t="s">
        <v>6</v>
      </c>
      <c r="F4135">
        <v>0.16662000000000002</v>
      </c>
    </row>
    <row r="4136" spans="1:6" x14ac:dyDescent="0.3">
      <c r="A4136" t="s">
        <v>5</v>
      </c>
      <c r="B4136" s="1">
        <v>45830</v>
      </c>
      <c r="C4136">
        <v>8</v>
      </c>
      <c r="D4136">
        <v>8.2000000000000003E-2</v>
      </c>
      <c r="E4136" t="s">
        <v>6</v>
      </c>
      <c r="F4136">
        <v>0.16616999999999998</v>
      </c>
    </row>
    <row r="4137" spans="1:6" x14ac:dyDescent="0.3">
      <c r="A4137" t="s">
        <v>5</v>
      </c>
      <c r="B4137" s="1">
        <v>45830</v>
      </c>
      <c r="C4137">
        <v>9</v>
      </c>
      <c r="D4137">
        <v>6.9000000000000006E-2</v>
      </c>
      <c r="E4137" t="s">
        <v>6</v>
      </c>
      <c r="F4137">
        <v>0.10715000000000001</v>
      </c>
    </row>
    <row r="4138" spans="1:6" x14ac:dyDescent="0.3">
      <c r="A4138" t="s">
        <v>5</v>
      </c>
      <c r="B4138" s="1">
        <v>45830</v>
      </c>
      <c r="C4138">
        <v>10</v>
      </c>
      <c r="D4138">
        <v>5.8999999999999997E-2</v>
      </c>
      <c r="E4138" t="s">
        <v>6</v>
      </c>
      <c r="F4138">
        <v>3.15E-2</v>
      </c>
    </row>
    <row r="4139" spans="1:6" x14ac:dyDescent="0.3">
      <c r="A4139" t="s">
        <v>5</v>
      </c>
      <c r="B4139" s="1">
        <v>45830</v>
      </c>
      <c r="C4139">
        <v>11</v>
      </c>
      <c r="D4139">
        <v>7.5999999999999998E-2</v>
      </c>
      <c r="E4139" t="s">
        <v>6</v>
      </c>
      <c r="F4139">
        <v>2.8140000000000002E-2</v>
      </c>
    </row>
    <row r="4140" spans="1:6" x14ac:dyDescent="0.3">
      <c r="A4140" t="s">
        <v>5</v>
      </c>
      <c r="B4140" s="1">
        <v>45830</v>
      </c>
      <c r="C4140">
        <v>12</v>
      </c>
      <c r="D4140">
        <v>7.4999999999999997E-2</v>
      </c>
      <c r="E4140" t="s">
        <v>6</v>
      </c>
      <c r="F4140">
        <v>3.0960000000000001E-2</v>
      </c>
    </row>
    <row r="4141" spans="1:6" x14ac:dyDescent="0.3">
      <c r="A4141" t="s">
        <v>5</v>
      </c>
      <c r="B4141" s="1">
        <v>45830</v>
      </c>
      <c r="C4141">
        <v>13</v>
      </c>
      <c r="D4141">
        <v>5.8000000000000003E-2</v>
      </c>
      <c r="E4141" t="s">
        <v>6</v>
      </c>
      <c r="F4141">
        <v>2.9989999999999999E-2</v>
      </c>
    </row>
    <row r="4142" spans="1:6" x14ac:dyDescent="0.3">
      <c r="A4142" t="s">
        <v>5</v>
      </c>
      <c r="B4142" s="1">
        <v>45830</v>
      </c>
      <c r="C4142">
        <v>14</v>
      </c>
      <c r="D4142">
        <v>7.0000000000000007E-2</v>
      </c>
      <c r="E4142" t="s">
        <v>6</v>
      </c>
      <c r="F4142">
        <v>2.9389999999999999E-2</v>
      </c>
    </row>
    <row r="4143" spans="1:6" x14ac:dyDescent="0.3">
      <c r="A4143" t="s">
        <v>5</v>
      </c>
      <c r="B4143" s="1">
        <v>45830</v>
      </c>
      <c r="C4143">
        <v>15</v>
      </c>
      <c r="D4143">
        <v>8.1000000000000003E-2</v>
      </c>
      <c r="E4143" t="s">
        <v>6</v>
      </c>
      <c r="F4143">
        <v>2.937E-2</v>
      </c>
    </row>
    <row r="4144" spans="1:6" x14ac:dyDescent="0.3">
      <c r="A4144" t="s">
        <v>5</v>
      </c>
      <c r="B4144" s="1">
        <v>45830</v>
      </c>
      <c r="C4144">
        <v>16</v>
      </c>
      <c r="D4144">
        <v>5.8000000000000003E-2</v>
      </c>
      <c r="E4144" t="s">
        <v>6</v>
      </c>
      <c r="F4144">
        <v>2.938E-2</v>
      </c>
    </row>
    <row r="4145" spans="1:6" x14ac:dyDescent="0.3">
      <c r="A4145" t="s">
        <v>5</v>
      </c>
      <c r="B4145" s="1">
        <v>45830</v>
      </c>
      <c r="C4145">
        <v>17</v>
      </c>
      <c r="D4145">
        <v>6.4000000000000001E-2</v>
      </c>
      <c r="E4145" t="s">
        <v>6</v>
      </c>
      <c r="F4145">
        <v>3.014E-2</v>
      </c>
    </row>
    <row r="4146" spans="1:6" x14ac:dyDescent="0.3">
      <c r="A4146" t="s">
        <v>5</v>
      </c>
      <c r="B4146" s="1">
        <v>45830</v>
      </c>
      <c r="C4146">
        <v>18</v>
      </c>
      <c r="D4146">
        <v>8.3000000000000004E-2</v>
      </c>
      <c r="E4146" t="s">
        <v>6</v>
      </c>
      <c r="F4146">
        <v>3.0679999999999999E-2</v>
      </c>
    </row>
    <row r="4147" spans="1:6" x14ac:dyDescent="0.3">
      <c r="A4147" t="s">
        <v>5</v>
      </c>
      <c r="B4147" s="1">
        <v>45830</v>
      </c>
      <c r="C4147">
        <v>19</v>
      </c>
      <c r="D4147">
        <v>6.4000000000000001E-2</v>
      </c>
      <c r="E4147" t="s">
        <v>6</v>
      </c>
      <c r="F4147">
        <v>3.4229999999999997E-2</v>
      </c>
    </row>
    <row r="4148" spans="1:6" x14ac:dyDescent="0.3">
      <c r="A4148" t="s">
        <v>5</v>
      </c>
      <c r="B4148" s="1">
        <v>45830</v>
      </c>
      <c r="C4148">
        <v>20</v>
      </c>
      <c r="D4148">
        <v>5.8999999999999997E-2</v>
      </c>
      <c r="E4148" t="s">
        <v>6</v>
      </c>
      <c r="F4148">
        <v>0.10983</v>
      </c>
    </row>
    <row r="4149" spans="1:6" x14ac:dyDescent="0.3">
      <c r="A4149" t="s">
        <v>5</v>
      </c>
      <c r="B4149" s="1">
        <v>45830</v>
      </c>
      <c r="C4149">
        <v>21</v>
      </c>
      <c r="D4149">
        <v>8.2000000000000003E-2</v>
      </c>
      <c r="E4149" t="s">
        <v>6</v>
      </c>
      <c r="F4149">
        <v>0.15318000000000001</v>
      </c>
    </row>
    <row r="4150" spans="1:6" x14ac:dyDescent="0.3">
      <c r="A4150" t="s">
        <v>5</v>
      </c>
      <c r="B4150" s="1">
        <v>45830</v>
      </c>
      <c r="C4150">
        <v>22</v>
      </c>
      <c r="D4150">
        <v>7.0999999999999994E-2</v>
      </c>
      <c r="E4150" t="s">
        <v>6</v>
      </c>
      <c r="F4150">
        <v>0.16875000000000001</v>
      </c>
    </row>
    <row r="4151" spans="1:6" x14ac:dyDescent="0.3">
      <c r="A4151" t="s">
        <v>5</v>
      </c>
      <c r="B4151" s="1">
        <v>45830</v>
      </c>
      <c r="C4151">
        <v>23</v>
      </c>
      <c r="D4151">
        <v>5.8999999999999997E-2</v>
      </c>
      <c r="E4151" t="s">
        <v>6</v>
      </c>
      <c r="F4151">
        <v>0.17036000000000001</v>
      </c>
    </row>
    <row r="4152" spans="1:6" x14ac:dyDescent="0.3">
      <c r="A4152" t="s">
        <v>5</v>
      </c>
      <c r="B4152" s="1">
        <v>45830</v>
      </c>
      <c r="C4152">
        <v>24</v>
      </c>
      <c r="D4152">
        <v>7.4999999999999997E-2</v>
      </c>
      <c r="E4152" t="s">
        <v>6</v>
      </c>
      <c r="F4152">
        <v>0.16836000000000001</v>
      </c>
    </row>
    <row r="4153" spans="1:6" x14ac:dyDescent="0.3">
      <c r="A4153" t="s">
        <v>5</v>
      </c>
      <c r="B4153" s="1">
        <v>45831</v>
      </c>
      <c r="C4153">
        <v>1</v>
      </c>
      <c r="D4153">
        <v>7.8E-2</v>
      </c>
      <c r="E4153" t="s">
        <v>6</v>
      </c>
      <c r="F4153">
        <v>0.14918000000000001</v>
      </c>
    </row>
    <row r="4154" spans="1:6" x14ac:dyDescent="0.3">
      <c r="A4154" t="s">
        <v>5</v>
      </c>
      <c r="B4154" s="1">
        <v>45831</v>
      </c>
      <c r="C4154">
        <v>2</v>
      </c>
      <c r="D4154">
        <v>0.06</v>
      </c>
      <c r="E4154" t="s">
        <v>6</v>
      </c>
      <c r="F4154">
        <v>0.14577999999999999</v>
      </c>
    </row>
    <row r="4155" spans="1:6" x14ac:dyDescent="0.3">
      <c r="A4155" t="s">
        <v>5</v>
      </c>
      <c r="B4155" s="1">
        <v>45831</v>
      </c>
      <c r="C4155">
        <v>3</v>
      </c>
      <c r="D4155">
        <v>6.7000000000000004E-2</v>
      </c>
      <c r="E4155" t="s">
        <v>6</v>
      </c>
      <c r="F4155">
        <v>0.14094000000000001</v>
      </c>
    </row>
    <row r="4156" spans="1:6" x14ac:dyDescent="0.3">
      <c r="A4156" t="s">
        <v>5</v>
      </c>
      <c r="B4156" s="1">
        <v>45831</v>
      </c>
      <c r="C4156">
        <v>4</v>
      </c>
      <c r="D4156">
        <v>8.3000000000000004E-2</v>
      </c>
      <c r="E4156" t="s">
        <v>6</v>
      </c>
      <c r="F4156">
        <v>0.13869999999999999</v>
      </c>
    </row>
    <row r="4157" spans="1:6" x14ac:dyDescent="0.3">
      <c r="A4157" t="s">
        <v>5</v>
      </c>
      <c r="B4157" s="1">
        <v>45831</v>
      </c>
      <c r="C4157">
        <v>5</v>
      </c>
      <c r="D4157">
        <v>6.3E-2</v>
      </c>
      <c r="E4157" t="s">
        <v>6</v>
      </c>
      <c r="F4157">
        <v>0.13822000000000001</v>
      </c>
    </row>
    <row r="4158" spans="1:6" x14ac:dyDescent="0.3">
      <c r="A4158" t="s">
        <v>5</v>
      </c>
      <c r="B4158" s="1">
        <v>45831</v>
      </c>
      <c r="C4158">
        <v>6</v>
      </c>
      <c r="D4158">
        <v>5.8999999999999997E-2</v>
      </c>
      <c r="E4158" t="s">
        <v>6</v>
      </c>
      <c r="F4158">
        <v>0.13735</v>
      </c>
    </row>
    <row r="4159" spans="1:6" x14ac:dyDescent="0.3">
      <c r="A4159" t="s">
        <v>5</v>
      </c>
      <c r="B4159" s="1">
        <v>45831</v>
      </c>
      <c r="C4159">
        <v>7</v>
      </c>
      <c r="D4159">
        <v>0.08</v>
      </c>
      <c r="E4159" t="s">
        <v>6</v>
      </c>
      <c r="F4159">
        <v>0.14521000000000001</v>
      </c>
    </row>
    <row r="4160" spans="1:6" x14ac:dyDescent="0.3">
      <c r="A4160" t="s">
        <v>5</v>
      </c>
      <c r="B4160" s="1">
        <v>45831</v>
      </c>
      <c r="C4160">
        <v>8</v>
      </c>
      <c r="D4160">
        <v>7.0999999999999994E-2</v>
      </c>
      <c r="E4160" t="s">
        <v>6</v>
      </c>
      <c r="F4160">
        <v>0.14786000000000002</v>
      </c>
    </row>
    <row r="4161" spans="1:6" x14ac:dyDescent="0.3">
      <c r="A4161" t="s">
        <v>5</v>
      </c>
      <c r="B4161" s="1">
        <v>45831</v>
      </c>
      <c r="C4161">
        <v>9</v>
      </c>
      <c r="D4161">
        <v>5.8999999999999997E-2</v>
      </c>
      <c r="E4161" t="s">
        <v>6</v>
      </c>
      <c r="F4161">
        <v>0.16066</v>
      </c>
    </row>
    <row r="4162" spans="1:6" x14ac:dyDescent="0.3">
      <c r="A4162" t="s">
        <v>5</v>
      </c>
      <c r="B4162" s="1">
        <v>45831</v>
      </c>
      <c r="C4162">
        <v>10</v>
      </c>
      <c r="D4162">
        <v>9.1999999999999998E-2</v>
      </c>
      <c r="E4162" t="s">
        <v>6</v>
      </c>
      <c r="F4162">
        <v>0.14427000000000001</v>
      </c>
    </row>
    <row r="4163" spans="1:6" x14ac:dyDescent="0.3">
      <c r="A4163" t="s">
        <v>5</v>
      </c>
      <c r="B4163" s="1">
        <v>45831</v>
      </c>
      <c r="C4163">
        <v>11</v>
      </c>
      <c r="D4163">
        <v>0.13300000000000001</v>
      </c>
      <c r="E4163" t="s">
        <v>6</v>
      </c>
      <c r="F4163">
        <v>0.19919000000000001</v>
      </c>
    </row>
    <row r="4164" spans="1:6" x14ac:dyDescent="0.3">
      <c r="A4164" t="s">
        <v>5</v>
      </c>
      <c r="B4164" s="1">
        <v>45831</v>
      </c>
      <c r="C4164">
        <v>12</v>
      </c>
      <c r="D4164">
        <v>8.7999999999999995E-2</v>
      </c>
      <c r="E4164" t="s">
        <v>6</v>
      </c>
      <c r="F4164">
        <v>0.18096000000000001</v>
      </c>
    </row>
    <row r="4165" spans="1:6" x14ac:dyDescent="0.3">
      <c r="A4165" t="s">
        <v>5</v>
      </c>
      <c r="B4165" s="1">
        <v>45831</v>
      </c>
      <c r="C4165">
        <v>13</v>
      </c>
      <c r="D4165">
        <v>8.5999999999999993E-2</v>
      </c>
      <c r="E4165" t="s">
        <v>6</v>
      </c>
      <c r="F4165">
        <v>0.17599999999999999</v>
      </c>
    </row>
    <row r="4166" spans="1:6" x14ac:dyDescent="0.3">
      <c r="A4166" t="s">
        <v>5</v>
      </c>
      <c r="B4166" s="1">
        <v>45831</v>
      </c>
      <c r="C4166">
        <v>14</v>
      </c>
      <c r="D4166">
        <v>7.3999999999999996E-2</v>
      </c>
      <c r="E4166" t="s">
        <v>6</v>
      </c>
      <c r="F4166">
        <v>0.17266000000000001</v>
      </c>
    </row>
    <row r="4167" spans="1:6" x14ac:dyDescent="0.3">
      <c r="A4167" t="s">
        <v>5</v>
      </c>
      <c r="B4167" s="1">
        <v>45831</v>
      </c>
      <c r="C4167">
        <v>15</v>
      </c>
      <c r="D4167">
        <v>5.8999999999999997E-2</v>
      </c>
      <c r="E4167" t="s">
        <v>6</v>
      </c>
      <c r="F4167">
        <v>9.2969999999999997E-2</v>
      </c>
    </row>
    <row r="4168" spans="1:6" x14ac:dyDescent="0.3">
      <c r="A4168" t="s">
        <v>5</v>
      </c>
      <c r="B4168" s="1">
        <v>45831</v>
      </c>
      <c r="C4168">
        <v>16</v>
      </c>
      <c r="D4168">
        <v>7.5999999999999998E-2</v>
      </c>
      <c r="E4168" t="s">
        <v>6</v>
      </c>
      <c r="F4168">
        <v>0.1075</v>
      </c>
    </row>
    <row r="4169" spans="1:6" x14ac:dyDescent="0.3">
      <c r="A4169" t="s">
        <v>5</v>
      </c>
      <c r="B4169" s="1">
        <v>45831</v>
      </c>
      <c r="C4169">
        <v>17</v>
      </c>
      <c r="D4169">
        <v>7.5999999999999998E-2</v>
      </c>
      <c r="E4169" t="s">
        <v>6</v>
      </c>
      <c r="F4169">
        <v>0.10872</v>
      </c>
    </row>
    <row r="4170" spans="1:6" x14ac:dyDescent="0.3">
      <c r="A4170" t="s">
        <v>5</v>
      </c>
      <c r="B4170" s="1">
        <v>45831</v>
      </c>
      <c r="C4170">
        <v>18</v>
      </c>
      <c r="D4170">
        <v>0.06</v>
      </c>
      <c r="E4170" t="s">
        <v>6</v>
      </c>
      <c r="F4170">
        <v>0.12949000000000002</v>
      </c>
    </row>
    <row r="4171" spans="1:6" x14ac:dyDescent="0.3">
      <c r="A4171" t="s">
        <v>5</v>
      </c>
      <c r="B4171" s="1">
        <v>45831</v>
      </c>
      <c r="C4171">
        <v>19</v>
      </c>
      <c r="D4171">
        <v>7.3999999999999996E-2</v>
      </c>
      <c r="E4171" t="s">
        <v>6</v>
      </c>
      <c r="F4171">
        <v>0.21865999999999999</v>
      </c>
    </row>
    <row r="4172" spans="1:6" x14ac:dyDescent="0.3">
      <c r="A4172" t="s">
        <v>5</v>
      </c>
      <c r="B4172" s="1">
        <v>45831</v>
      </c>
      <c r="C4172">
        <v>20</v>
      </c>
      <c r="D4172">
        <v>7.8E-2</v>
      </c>
      <c r="E4172" t="s">
        <v>6</v>
      </c>
      <c r="F4172">
        <v>0.23391000000000001</v>
      </c>
    </row>
    <row r="4173" spans="1:6" x14ac:dyDescent="0.3">
      <c r="A4173" t="s">
        <v>5</v>
      </c>
      <c r="B4173" s="1">
        <v>45831</v>
      </c>
      <c r="C4173">
        <v>21</v>
      </c>
      <c r="D4173">
        <v>5.8999999999999997E-2</v>
      </c>
      <c r="E4173" t="s">
        <v>6</v>
      </c>
      <c r="F4173">
        <v>0.24647999999999998</v>
      </c>
    </row>
    <row r="4174" spans="1:6" x14ac:dyDescent="0.3">
      <c r="A4174" t="s">
        <v>5</v>
      </c>
      <c r="B4174" s="1">
        <v>45831</v>
      </c>
      <c r="C4174">
        <v>22</v>
      </c>
      <c r="D4174">
        <v>7.2999999999999995E-2</v>
      </c>
      <c r="E4174" t="s">
        <v>6</v>
      </c>
      <c r="F4174">
        <v>0.31333</v>
      </c>
    </row>
    <row r="4175" spans="1:6" x14ac:dyDescent="0.3">
      <c r="A4175" t="s">
        <v>5</v>
      </c>
      <c r="B4175" s="1">
        <v>45831</v>
      </c>
      <c r="C4175">
        <v>23</v>
      </c>
      <c r="D4175">
        <v>7.9000000000000001E-2</v>
      </c>
      <c r="E4175" t="s">
        <v>6</v>
      </c>
      <c r="F4175">
        <v>0.22606999999999999</v>
      </c>
    </row>
    <row r="4176" spans="1:6" x14ac:dyDescent="0.3">
      <c r="A4176" t="s">
        <v>5</v>
      </c>
      <c r="B4176" s="1">
        <v>45831</v>
      </c>
      <c r="C4176">
        <v>24</v>
      </c>
      <c r="D4176">
        <v>0.06</v>
      </c>
      <c r="E4176" t="s">
        <v>6</v>
      </c>
      <c r="F4176">
        <v>0.18161000000000002</v>
      </c>
    </row>
    <row r="4177" spans="1:6" x14ac:dyDescent="0.3">
      <c r="A4177" t="s">
        <v>5</v>
      </c>
      <c r="B4177" s="1">
        <v>45832</v>
      </c>
      <c r="C4177">
        <v>1</v>
      </c>
      <c r="D4177">
        <v>7.0000000000000007E-2</v>
      </c>
      <c r="E4177" t="s">
        <v>6</v>
      </c>
      <c r="F4177">
        <v>0.15605000000000002</v>
      </c>
    </row>
    <row r="4178" spans="1:6" x14ac:dyDescent="0.3">
      <c r="A4178" t="s">
        <v>5</v>
      </c>
      <c r="B4178" s="1">
        <v>45832</v>
      </c>
      <c r="C4178">
        <v>2</v>
      </c>
      <c r="D4178">
        <v>8.2000000000000003E-2</v>
      </c>
      <c r="E4178" t="s">
        <v>6</v>
      </c>
      <c r="F4178">
        <v>0.15372999999999998</v>
      </c>
    </row>
    <row r="4179" spans="1:6" x14ac:dyDescent="0.3">
      <c r="A4179" t="s">
        <v>5</v>
      </c>
      <c r="B4179" s="1">
        <v>45832</v>
      </c>
      <c r="C4179">
        <v>3</v>
      </c>
      <c r="D4179">
        <v>5.8999999999999997E-2</v>
      </c>
      <c r="E4179" t="s">
        <v>6</v>
      </c>
      <c r="F4179">
        <v>0.15109</v>
      </c>
    </row>
    <row r="4180" spans="1:6" x14ac:dyDescent="0.3">
      <c r="A4180" t="s">
        <v>5</v>
      </c>
      <c r="B4180" s="1">
        <v>45832</v>
      </c>
      <c r="C4180">
        <v>4</v>
      </c>
      <c r="D4180">
        <v>6.9000000000000006E-2</v>
      </c>
      <c r="E4180" t="s">
        <v>6</v>
      </c>
      <c r="F4180">
        <v>0.14928999999999998</v>
      </c>
    </row>
    <row r="4181" spans="1:6" x14ac:dyDescent="0.3">
      <c r="A4181" t="s">
        <v>5</v>
      </c>
      <c r="B4181" s="1">
        <v>45832</v>
      </c>
      <c r="C4181">
        <v>5</v>
      </c>
      <c r="D4181">
        <v>8.3000000000000004E-2</v>
      </c>
      <c r="E4181" t="s">
        <v>6</v>
      </c>
      <c r="F4181">
        <v>0.14927000000000001</v>
      </c>
    </row>
    <row r="4182" spans="1:6" x14ac:dyDescent="0.3">
      <c r="A4182" t="s">
        <v>5</v>
      </c>
      <c r="B4182" s="1">
        <v>45832</v>
      </c>
      <c r="C4182">
        <v>6</v>
      </c>
      <c r="D4182">
        <v>5.8999999999999997E-2</v>
      </c>
      <c r="E4182" t="s">
        <v>6</v>
      </c>
      <c r="F4182">
        <v>0.14917</v>
      </c>
    </row>
    <row r="4183" spans="1:6" x14ac:dyDescent="0.3">
      <c r="A4183" t="s">
        <v>5</v>
      </c>
      <c r="B4183" s="1">
        <v>45832</v>
      </c>
      <c r="C4183">
        <v>7</v>
      </c>
      <c r="D4183">
        <v>6.7000000000000004E-2</v>
      </c>
      <c r="E4183" t="s">
        <v>6</v>
      </c>
      <c r="F4183">
        <v>0.15218000000000001</v>
      </c>
    </row>
    <row r="4184" spans="1:6" x14ac:dyDescent="0.3">
      <c r="A4184" t="s">
        <v>5</v>
      </c>
      <c r="B4184" s="1">
        <v>45832</v>
      </c>
      <c r="C4184">
        <v>8</v>
      </c>
      <c r="D4184">
        <v>8.3000000000000004E-2</v>
      </c>
      <c r="E4184" t="s">
        <v>6</v>
      </c>
      <c r="F4184">
        <v>0.15265000000000001</v>
      </c>
    </row>
    <row r="4185" spans="1:6" x14ac:dyDescent="0.3">
      <c r="A4185" t="s">
        <v>5</v>
      </c>
      <c r="B4185" s="1">
        <v>45832</v>
      </c>
      <c r="C4185">
        <v>9</v>
      </c>
      <c r="D4185">
        <v>5.8999999999999997E-2</v>
      </c>
      <c r="E4185" t="s">
        <v>6</v>
      </c>
      <c r="F4185">
        <v>0.17745</v>
      </c>
    </row>
    <row r="4186" spans="1:6" x14ac:dyDescent="0.3">
      <c r="A4186" t="s">
        <v>5</v>
      </c>
      <c r="B4186" s="1">
        <v>45832</v>
      </c>
      <c r="C4186">
        <v>10</v>
      </c>
      <c r="D4186">
        <v>6.8000000000000005E-2</v>
      </c>
      <c r="E4186" t="s">
        <v>6</v>
      </c>
      <c r="F4186">
        <v>0.16761000000000001</v>
      </c>
    </row>
    <row r="4187" spans="1:6" x14ac:dyDescent="0.3">
      <c r="A4187" t="s">
        <v>5</v>
      </c>
      <c r="B4187" s="1">
        <v>45832</v>
      </c>
      <c r="C4187">
        <v>11</v>
      </c>
      <c r="D4187">
        <v>8.2000000000000003E-2</v>
      </c>
      <c r="E4187" t="s">
        <v>6</v>
      </c>
      <c r="F4187">
        <v>0.21259</v>
      </c>
    </row>
    <row r="4188" spans="1:6" x14ac:dyDescent="0.3">
      <c r="A4188" t="s">
        <v>5</v>
      </c>
      <c r="B4188" s="1">
        <v>45832</v>
      </c>
      <c r="C4188">
        <v>12</v>
      </c>
      <c r="D4188">
        <v>5.8000000000000003E-2</v>
      </c>
      <c r="E4188" t="s">
        <v>6</v>
      </c>
      <c r="F4188">
        <v>0.18921000000000002</v>
      </c>
    </row>
    <row r="4189" spans="1:6" x14ac:dyDescent="0.3">
      <c r="A4189" t="s">
        <v>5</v>
      </c>
      <c r="B4189" s="1">
        <v>45832</v>
      </c>
      <c r="C4189">
        <v>13</v>
      </c>
      <c r="D4189">
        <v>6.9000000000000006E-2</v>
      </c>
      <c r="E4189" t="s">
        <v>6</v>
      </c>
      <c r="F4189">
        <v>0.18700999999999998</v>
      </c>
    </row>
    <row r="4190" spans="1:6" x14ac:dyDescent="0.3">
      <c r="A4190" t="s">
        <v>5</v>
      </c>
      <c r="B4190" s="1">
        <v>45832</v>
      </c>
      <c r="C4190">
        <v>14</v>
      </c>
      <c r="D4190">
        <v>8.1000000000000003E-2</v>
      </c>
      <c r="E4190" t="s">
        <v>6</v>
      </c>
      <c r="F4190">
        <v>0.14144000000000001</v>
      </c>
    </row>
    <row r="4191" spans="1:6" x14ac:dyDescent="0.3">
      <c r="A4191" t="s">
        <v>5</v>
      </c>
      <c r="B4191" s="1">
        <v>45832</v>
      </c>
      <c r="C4191">
        <v>15</v>
      </c>
      <c r="D4191">
        <v>5.8000000000000003E-2</v>
      </c>
      <c r="E4191" t="s">
        <v>6</v>
      </c>
      <c r="F4191">
        <v>5.1959999999999999E-2</v>
      </c>
    </row>
    <row r="4192" spans="1:6" x14ac:dyDescent="0.3">
      <c r="A4192" t="s">
        <v>5</v>
      </c>
      <c r="B4192" s="1">
        <v>45832</v>
      </c>
      <c r="C4192">
        <v>16</v>
      </c>
      <c r="D4192">
        <v>6.8000000000000005E-2</v>
      </c>
      <c r="E4192" t="s">
        <v>6</v>
      </c>
      <c r="F4192">
        <v>4.2279999999999998E-2</v>
      </c>
    </row>
    <row r="4193" spans="1:6" x14ac:dyDescent="0.3">
      <c r="A4193" t="s">
        <v>5</v>
      </c>
      <c r="B4193" s="1">
        <v>45832</v>
      </c>
      <c r="C4193">
        <v>17</v>
      </c>
      <c r="D4193">
        <v>8.1000000000000003E-2</v>
      </c>
      <c r="E4193" t="s">
        <v>6</v>
      </c>
      <c r="F4193">
        <v>4.2419999999999999E-2</v>
      </c>
    </row>
    <row r="4194" spans="1:6" x14ac:dyDescent="0.3">
      <c r="A4194" t="s">
        <v>5</v>
      </c>
      <c r="B4194" s="1">
        <v>45832</v>
      </c>
      <c r="C4194">
        <v>18</v>
      </c>
      <c r="D4194">
        <v>5.8999999999999997E-2</v>
      </c>
      <c r="E4194" t="s">
        <v>6</v>
      </c>
      <c r="F4194">
        <v>5.7169999999999999E-2</v>
      </c>
    </row>
    <row r="4195" spans="1:6" x14ac:dyDescent="0.3">
      <c r="A4195" t="s">
        <v>5</v>
      </c>
      <c r="B4195" s="1">
        <v>45832</v>
      </c>
      <c r="C4195">
        <v>19</v>
      </c>
      <c r="D4195">
        <v>6.8000000000000005E-2</v>
      </c>
      <c r="E4195" t="s">
        <v>6</v>
      </c>
      <c r="F4195">
        <v>0.18439</v>
      </c>
    </row>
    <row r="4196" spans="1:6" x14ac:dyDescent="0.3">
      <c r="A4196" t="s">
        <v>5</v>
      </c>
      <c r="B4196" s="1">
        <v>45832</v>
      </c>
      <c r="C4196">
        <v>20</v>
      </c>
      <c r="D4196">
        <v>8.3000000000000004E-2</v>
      </c>
      <c r="E4196" t="s">
        <v>6</v>
      </c>
      <c r="F4196">
        <v>0.21940000000000001</v>
      </c>
    </row>
    <row r="4197" spans="1:6" x14ac:dyDescent="0.3">
      <c r="A4197" t="s">
        <v>5</v>
      </c>
      <c r="B4197" s="1">
        <v>45832</v>
      </c>
      <c r="C4197">
        <v>21</v>
      </c>
      <c r="D4197">
        <v>0.06</v>
      </c>
      <c r="E4197" t="s">
        <v>6</v>
      </c>
      <c r="F4197">
        <v>0.24012</v>
      </c>
    </row>
    <row r="4198" spans="1:6" x14ac:dyDescent="0.3">
      <c r="A4198" t="s">
        <v>5</v>
      </c>
      <c r="B4198" s="1">
        <v>45832</v>
      </c>
      <c r="C4198">
        <v>22</v>
      </c>
      <c r="D4198">
        <v>6.7000000000000004E-2</v>
      </c>
      <c r="E4198" t="s">
        <v>6</v>
      </c>
      <c r="F4198">
        <v>0.26254</v>
      </c>
    </row>
    <row r="4199" spans="1:6" x14ac:dyDescent="0.3">
      <c r="A4199" t="s">
        <v>5</v>
      </c>
      <c r="B4199" s="1">
        <v>45832</v>
      </c>
      <c r="C4199">
        <v>23</v>
      </c>
      <c r="D4199">
        <v>8.4000000000000005E-2</v>
      </c>
      <c r="E4199" t="s">
        <v>6</v>
      </c>
      <c r="F4199">
        <v>0.20737</v>
      </c>
    </row>
    <row r="4200" spans="1:6" x14ac:dyDescent="0.3">
      <c r="A4200" t="s">
        <v>5</v>
      </c>
      <c r="B4200" s="1">
        <v>45832</v>
      </c>
      <c r="C4200">
        <v>24</v>
      </c>
      <c r="D4200">
        <v>6.0999999999999999E-2</v>
      </c>
      <c r="E4200" t="s">
        <v>6</v>
      </c>
      <c r="F4200">
        <v>0.18290999999999999</v>
      </c>
    </row>
    <row r="4201" spans="1:6" x14ac:dyDescent="0.3">
      <c r="A4201" t="s">
        <v>5</v>
      </c>
      <c r="B4201" s="1">
        <v>45833</v>
      </c>
      <c r="C4201">
        <v>1</v>
      </c>
      <c r="D4201">
        <v>6.5000000000000002E-2</v>
      </c>
      <c r="E4201" t="s">
        <v>6</v>
      </c>
      <c r="F4201">
        <v>0.16236</v>
      </c>
    </row>
    <row r="4202" spans="1:6" x14ac:dyDescent="0.3">
      <c r="A4202" t="s">
        <v>5</v>
      </c>
      <c r="B4202" s="1">
        <v>45833</v>
      </c>
      <c r="C4202">
        <v>2</v>
      </c>
      <c r="D4202">
        <v>8.5000000000000006E-2</v>
      </c>
      <c r="E4202" t="s">
        <v>6</v>
      </c>
      <c r="F4202">
        <v>0.15048</v>
      </c>
    </row>
    <row r="4203" spans="1:6" x14ac:dyDescent="0.3">
      <c r="A4203" t="s">
        <v>5</v>
      </c>
      <c r="B4203" s="1">
        <v>45833</v>
      </c>
      <c r="C4203">
        <v>3</v>
      </c>
      <c r="D4203">
        <v>6.2E-2</v>
      </c>
      <c r="E4203" t="s">
        <v>6</v>
      </c>
      <c r="F4203">
        <v>0.14887999999999998</v>
      </c>
    </row>
    <row r="4204" spans="1:6" x14ac:dyDescent="0.3">
      <c r="A4204" t="s">
        <v>5</v>
      </c>
      <c r="B4204" s="1">
        <v>45833</v>
      </c>
      <c r="C4204">
        <v>4</v>
      </c>
      <c r="D4204">
        <v>6.4000000000000001E-2</v>
      </c>
      <c r="E4204" t="s">
        <v>6</v>
      </c>
      <c r="F4204">
        <v>0.14543999999999999</v>
      </c>
    </row>
    <row r="4205" spans="1:6" x14ac:dyDescent="0.3">
      <c r="A4205" t="s">
        <v>5</v>
      </c>
      <c r="B4205" s="1">
        <v>45833</v>
      </c>
      <c r="C4205">
        <v>5</v>
      </c>
      <c r="D4205">
        <v>8.5000000000000006E-2</v>
      </c>
      <c r="E4205" t="s">
        <v>6</v>
      </c>
      <c r="F4205">
        <v>0.1454</v>
      </c>
    </row>
    <row r="4206" spans="1:6" x14ac:dyDescent="0.3">
      <c r="A4206" t="s">
        <v>5</v>
      </c>
      <c r="B4206" s="1">
        <v>45833</v>
      </c>
      <c r="C4206">
        <v>6</v>
      </c>
      <c r="D4206">
        <v>6.4000000000000001E-2</v>
      </c>
      <c r="E4206" t="s">
        <v>6</v>
      </c>
      <c r="F4206">
        <v>0.14543999999999999</v>
      </c>
    </row>
    <row r="4207" spans="1:6" x14ac:dyDescent="0.3">
      <c r="A4207" t="s">
        <v>5</v>
      </c>
      <c r="B4207" s="1">
        <v>45833</v>
      </c>
      <c r="C4207">
        <v>7</v>
      </c>
      <c r="D4207">
        <v>6.0999999999999999E-2</v>
      </c>
      <c r="E4207" t="s">
        <v>6</v>
      </c>
      <c r="F4207">
        <v>0.15018000000000001</v>
      </c>
    </row>
    <row r="4208" spans="1:6" x14ac:dyDescent="0.3">
      <c r="A4208" t="s">
        <v>5</v>
      </c>
      <c r="B4208" s="1">
        <v>45833</v>
      </c>
      <c r="C4208">
        <v>8</v>
      </c>
      <c r="D4208">
        <v>8.5000000000000006E-2</v>
      </c>
      <c r="E4208" t="s">
        <v>6</v>
      </c>
      <c r="F4208">
        <v>0.15553</v>
      </c>
    </row>
    <row r="4209" spans="1:6" x14ac:dyDescent="0.3">
      <c r="A4209" t="s">
        <v>5</v>
      </c>
      <c r="B4209" s="1">
        <v>45833</v>
      </c>
      <c r="C4209">
        <v>9</v>
      </c>
      <c r="D4209">
        <v>6.6000000000000003E-2</v>
      </c>
      <c r="E4209" t="s">
        <v>6</v>
      </c>
      <c r="F4209">
        <v>0.16785</v>
      </c>
    </row>
    <row r="4210" spans="1:6" x14ac:dyDescent="0.3">
      <c r="A4210" t="s">
        <v>5</v>
      </c>
      <c r="B4210" s="1">
        <v>45833</v>
      </c>
      <c r="C4210">
        <v>10</v>
      </c>
      <c r="D4210">
        <v>5.8999999999999997E-2</v>
      </c>
      <c r="E4210" t="s">
        <v>6</v>
      </c>
      <c r="F4210">
        <v>0.13678000000000001</v>
      </c>
    </row>
    <row r="4211" spans="1:6" x14ac:dyDescent="0.3">
      <c r="A4211" t="s">
        <v>5</v>
      </c>
      <c r="B4211" s="1">
        <v>45833</v>
      </c>
      <c r="C4211">
        <v>11</v>
      </c>
      <c r="D4211">
        <v>8.3000000000000004E-2</v>
      </c>
      <c r="E4211" t="s">
        <v>6</v>
      </c>
      <c r="F4211">
        <v>0.15537999999999999</v>
      </c>
    </row>
    <row r="4212" spans="1:6" x14ac:dyDescent="0.3">
      <c r="A4212" t="s">
        <v>5</v>
      </c>
      <c r="B4212" s="1">
        <v>45833</v>
      </c>
      <c r="C4212">
        <v>12</v>
      </c>
      <c r="D4212">
        <v>6.9000000000000006E-2</v>
      </c>
      <c r="E4212" t="s">
        <v>6</v>
      </c>
      <c r="F4212">
        <v>0.1386</v>
      </c>
    </row>
    <row r="4213" spans="1:6" x14ac:dyDescent="0.3">
      <c r="A4213" t="s">
        <v>5</v>
      </c>
      <c r="B4213" s="1">
        <v>45833</v>
      </c>
      <c r="C4213">
        <v>13</v>
      </c>
      <c r="D4213">
        <v>5.8999999999999997E-2</v>
      </c>
      <c r="E4213" t="s">
        <v>6</v>
      </c>
      <c r="F4213">
        <v>0.12407</v>
      </c>
    </row>
    <row r="4214" spans="1:6" x14ac:dyDescent="0.3">
      <c r="A4214" t="s">
        <v>5</v>
      </c>
      <c r="B4214" s="1">
        <v>45833</v>
      </c>
      <c r="C4214">
        <v>14</v>
      </c>
      <c r="D4214">
        <v>0.08</v>
      </c>
      <c r="E4214" t="s">
        <v>6</v>
      </c>
      <c r="F4214">
        <v>0.11209000000000001</v>
      </c>
    </row>
    <row r="4215" spans="1:6" x14ac:dyDescent="0.3">
      <c r="A4215" t="s">
        <v>5</v>
      </c>
      <c r="B4215" s="1">
        <v>45833</v>
      </c>
      <c r="C4215">
        <v>15</v>
      </c>
      <c r="D4215">
        <v>7.2999999999999995E-2</v>
      </c>
      <c r="E4215" t="s">
        <v>6</v>
      </c>
      <c r="F4215">
        <v>4.5439999999999994E-2</v>
      </c>
    </row>
    <row r="4216" spans="1:6" x14ac:dyDescent="0.3">
      <c r="A4216" t="s">
        <v>5</v>
      </c>
      <c r="B4216" s="1">
        <v>45833</v>
      </c>
      <c r="C4216">
        <v>16</v>
      </c>
      <c r="D4216">
        <v>5.8999999999999997E-2</v>
      </c>
      <c r="E4216" t="s">
        <v>6</v>
      </c>
      <c r="F4216">
        <v>4.4380000000000003E-2</v>
      </c>
    </row>
    <row r="4217" spans="1:6" x14ac:dyDescent="0.3">
      <c r="A4217" t="s">
        <v>5</v>
      </c>
      <c r="B4217" s="1">
        <v>45833</v>
      </c>
      <c r="C4217">
        <v>17</v>
      </c>
      <c r="D4217">
        <v>7.8E-2</v>
      </c>
      <c r="E4217" t="s">
        <v>6</v>
      </c>
      <c r="F4217">
        <v>4.5539999999999997E-2</v>
      </c>
    </row>
    <row r="4218" spans="1:6" x14ac:dyDescent="0.3">
      <c r="A4218" t="s">
        <v>5</v>
      </c>
      <c r="B4218" s="1">
        <v>45833</v>
      </c>
      <c r="C4218">
        <v>18</v>
      </c>
      <c r="D4218">
        <v>7.6999999999999999E-2</v>
      </c>
      <c r="E4218" t="s">
        <v>6</v>
      </c>
      <c r="F4218">
        <v>4.7820000000000001E-2</v>
      </c>
    </row>
    <row r="4219" spans="1:6" x14ac:dyDescent="0.3">
      <c r="A4219" t="s">
        <v>5</v>
      </c>
      <c r="B4219" s="1">
        <v>45833</v>
      </c>
      <c r="C4219">
        <v>19</v>
      </c>
      <c r="D4219">
        <v>0.06</v>
      </c>
      <c r="E4219" t="s">
        <v>6</v>
      </c>
      <c r="F4219">
        <v>0.15012999999999999</v>
      </c>
    </row>
    <row r="4220" spans="1:6" x14ac:dyDescent="0.3">
      <c r="A4220" t="s">
        <v>5</v>
      </c>
      <c r="B4220" s="1">
        <v>45833</v>
      </c>
      <c r="C4220">
        <v>20</v>
      </c>
      <c r="D4220">
        <v>7.2999999999999995E-2</v>
      </c>
      <c r="E4220" t="s">
        <v>6</v>
      </c>
      <c r="F4220">
        <v>0.21662999999999999</v>
      </c>
    </row>
    <row r="4221" spans="1:6" x14ac:dyDescent="0.3">
      <c r="A4221" t="s">
        <v>5</v>
      </c>
      <c r="B4221" s="1">
        <v>45833</v>
      </c>
      <c r="C4221">
        <v>21</v>
      </c>
      <c r="D4221">
        <v>8.1000000000000003E-2</v>
      </c>
      <c r="E4221" t="s">
        <v>6</v>
      </c>
      <c r="F4221">
        <v>0.23983000000000002</v>
      </c>
    </row>
    <row r="4222" spans="1:6" x14ac:dyDescent="0.3">
      <c r="A4222" t="s">
        <v>5</v>
      </c>
      <c r="B4222" s="1">
        <v>45833</v>
      </c>
      <c r="C4222">
        <v>22</v>
      </c>
      <c r="D4222">
        <v>0.06</v>
      </c>
      <c r="E4222" t="s">
        <v>6</v>
      </c>
      <c r="F4222">
        <v>0.27294999999999997</v>
      </c>
    </row>
    <row r="4223" spans="1:6" x14ac:dyDescent="0.3">
      <c r="A4223" t="s">
        <v>5</v>
      </c>
      <c r="B4223" s="1">
        <v>45833</v>
      </c>
      <c r="C4223">
        <v>23</v>
      </c>
      <c r="D4223">
        <v>6.9000000000000006E-2</v>
      </c>
      <c r="E4223" t="s">
        <v>6</v>
      </c>
      <c r="F4223">
        <v>0.21309</v>
      </c>
    </row>
    <row r="4224" spans="1:6" x14ac:dyDescent="0.3">
      <c r="A4224" t="s">
        <v>5</v>
      </c>
      <c r="B4224" s="1">
        <v>45833</v>
      </c>
      <c r="C4224">
        <v>24</v>
      </c>
      <c r="D4224">
        <v>8.5000000000000006E-2</v>
      </c>
      <c r="E4224" t="s">
        <v>6</v>
      </c>
      <c r="F4224">
        <v>0.18133000000000002</v>
      </c>
    </row>
    <row r="4225" spans="1:6" x14ac:dyDescent="0.3">
      <c r="A4225" t="s">
        <v>5</v>
      </c>
      <c r="B4225" s="1">
        <v>45834</v>
      </c>
      <c r="C4225">
        <v>1</v>
      </c>
      <c r="D4225">
        <v>6.0999999999999999E-2</v>
      </c>
      <c r="E4225" t="s">
        <v>6</v>
      </c>
      <c r="F4225">
        <v>0.14380999999999999</v>
      </c>
    </row>
    <row r="4226" spans="1:6" x14ac:dyDescent="0.3">
      <c r="A4226" t="s">
        <v>5</v>
      </c>
      <c r="B4226" s="1">
        <v>45834</v>
      </c>
      <c r="C4226">
        <v>2</v>
      </c>
      <c r="D4226">
        <v>6.4000000000000001E-2</v>
      </c>
      <c r="E4226" t="s">
        <v>6</v>
      </c>
      <c r="F4226">
        <v>0.14074</v>
      </c>
    </row>
    <row r="4227" spans="1:6" x14ac:dyDescent="0.3">
      <c r="A4227" t="s">
        <v>5</v>
      </c>
      <c r="B4227" s="1">
        <v>45834</v>
      </c>
      <c r="C4227">
        <v>3</v>
      </c>
      <c r="D4227">
        <v>8.4000000000000005E-2</v>
      </c>
      <c r="E4227" t="s">
        <v>6</v>
      </c>
      <c r="F4227">
        <v>0.13586999999999999</v>
      </c>
    </row>
    <row r="4228" spans="1:6" x14ac:dyDescent="0.3">
      <c r="A4228" t="s">
        <v>5</v>
      </c>
      <c r="B4228" s="1">
        <v>45834</v>
      </c>
      <c r="C4228">
        <v>4</v>
      </c>
      <c r="D4228">
        <v>6.6000000000000003E-2</v>
      </c>
      <c r="E4228" t="s">
        <v>6</v>
      </c>
      <c r="F4228">
        <v>0.13044999999999998</v>
      </c>
    </row>
    <row r="4229" spans="1:6" x14ac:dyDescent="0.3">
      <c r="A4229" t="s">
        <v>5</v>
      </c>
      <c r="B4229" s="1">
        <v>45834</v>
      </c>
      <c r="C4229">
        <v>5</v>
      </c>
      <c r="D4229">
        <v>6.0999999999999999E-2</v>
      </c>
      <c r="E4229" t="s">
        <v>6</v>
      </c>
      <c r="F4229">
        <v>0.13024000000000002</v>
      </c>
    </row>
    <row r="4230" spans="1:6" x14ac:dyDescent="0.3">
      <c r="A4230" t="s">
        <v>5</v>
      </c>
      <c r="B4230" s="1">
        <v>45834</v>
      </c>
      <c r="C4230">
        <v>6</v>
      </c>
      <c r="D4230">
        <v>8.4000000000000005E-2</v>
      </c>
      <c r="E4230" t="s">
        <v>6</v>
      </c>
      <c r="F4230">
        <v>0.13111</v>
      </c>
    </row>
    <row r="4231" spans="1:6" x14ac:dyDescent="0.3">
      <c r="A4231" t="s">
        <v>5</v>
      </c>
      <c r="B4231" s="1">
        <v>45834</v>
      </c>
      <c r="C4231">
        <v>7</v>
      </c>
      <c r="D4231">
        <v>7.1999999999999995E-2</v>
      </c>
      <c r="E4231" t="s">
        <v>6</v>
      </c>
      <c r="F4231">
        <v>0.13974</v>
      </c>
    </row>
    <row r="4232" spans="1:6" x14ac:dyDescent="0.3">
      <c r="A4232" t="s">
        <v>5</v>
      </c>
      <c r="B4232" s="1">
        <v>45834</v>
      </c>
      <c r="C4232">
        <v>8</v>
      </c>
      <c r="D4232">
        <v>0.06</v>
      </c>
      <c r="E4232" t="s">
        <v>6</v>
      </c>
      <c r="F4232">
        <v>0.13883000000000001</v>
      </c>
    </row>
    <row r="4233" spans="1:6" x14ac:dyDescent="0.3">
      <c r="A4233" t="s">
        <v>5</v>
      </c>
      <c r="B4233" s="1">
        <v>45834</v>
      </c>
      <c r="C4233">
        <v>9</v>
      </c>
      <c r="D4233">
        <v>7.6999999999999999E-2</v>
      </c>
      <c r="E4233" t="s">
        <v>6</v>
      </c>
      <c r="F4233">
        <v>0.15903999999999999</v>
      </c>
    </row>
    <row r="4234" spans="1:6" x14ac:dyDescent="0.3">
      <c r="A4234" t="s">
        <v>5</v>
      </c>
      <c r="B4234" s="1">
        <v>45834</v>
      </c>
      <c r="C4234">
        <v>10</v>
      </c>
      <c r="D4234">
        <v>7.6999999999999999E-2</v>
      </c>
      <c r="E4234" t="s">
        <v>6</v>
      </c>
      <c r="F4234">
        <v>0.13006000000000001</v>
      </c>
    </row>
    <row r="4235" spans="1:6" x14ac:dyDescent="0.3">
      <c r="A4235" t="s">
        <v>5</v>
      </c>
      <c r="B4235" s="1">
        <v>45834</v>
      </c>
      <c r="C4235">
        <v>11</v>
      </c>
      <c r="D4235">
        <v>5.8999999999999997E-2</v>
      </c>
      <c r="E4235" t="s">
        <v>6</v>
      </c>
      <c r="F4235">
        <v>0.15813999999999998</v>
      </c>
    </row>
    <row r="4236" spans="1:6" x14ac:dyDescent="0.3">
      <c r="A4236" t="s">
        <v>5</v>
      </c>
      <c r="B4236" s="1">
        <v>45834</v>
      </c>
      <c r="C4236">
        <v>12</v>
      </c>
      <c r="D4236">
        <v>7.1999999999999995E-2</v>
      </c>
      <c r="E4236" t="s">
        <v>6</v>
      </c>
      <c r="F4236">
        <v>0.17144000000000001</v>
      </c>
    </row>
    <row r="4237" spans="1:6" x14ac:dyDescent="0.3">
      <c r="A4237" t="s">
        <v>5</v>
      </c>
      <c r="B4237" s="1">
        <v>45834</v>
      </c>
      <c r="C4237">
        <v>13</v>
      </c>
      <c r="D4237">
        <v>8.2000000000000003E-2</v>
      </c>
      <c r="E4237" t="s">
        <v>6</v>
      </c>
      <c r="F4237">
        <v>0.17005000000000001</v>
      </c>
    </row>
    <row r="4238" spans="1:6" x14ac:dyDescent="0.3">
      <c r="A4238" t="s">
        <v>5</v>
      </c>
      <c r="B4238" s="1">
        <v>45834</v>
      </c>
      <c r="C4238">
        <v>14</v>
      </c>
      <c r="D4238">
        <v>5.8999999999999997E-2</v>
      </c>
      <c r="E4238" t="s">
        <v>6</v>
      </c>
      <c r="F4238">
        <v>0.15014</v>
      </c>
    </row>
    <row r="4239" spans="1:6" x14ac:dyDescent="0.3">
      <c r="A4239" t="s">
        <v>5</v>
      </c>
      <c r="B4239" s="1">
        <v>45834</v>
      </c>
      <c r="C4239">
        <v>15</v>
      </c>
      <c r="D4239">
        <v>6.6000000000000003E-2</v>
      </c>
      <c r="E4239" t="s">
        <v>6</v>
      </c>
      <c r="F4239">
        <v>7.5799999999999992E-2</v>
      </c>
    </row>
    <row r="4240" spans="1:6" x14ac:dyDescent="0.3">
      <c r="A4240" t="s">
        <v>5</v>
      </c>
      <c r="B4240" s="1">
        <v>45834</v>
      </c>
      <c r="C4240">
        <v>16</v>
      </c>
      <c r="D4240">
        <v>8.3000000000000004E-2</v>
      </c>
      <c r="E4240" t="s">
        <v>6</v>
      </c>
      <c r="F4240">
        <v>7.4829999999999994E-2</v>
      </c>
    </row>
    <row r="4241" spans="1:6" x14ac:dyDescent="0.3">
      <c r="A4241" t="s">
        <v>5</v>
      </c>
      <c r="B4241" s="1">
        <v>45834</v>
      </c>
      <c r="C4241">
        <v>17</v>
      </c>
      <c r="D4241">
        <v>6.4000000000000001E-2</v>
      </c>
      <c r="E4241" t="s">
        <v>6</v>
      </c>
      <c r="F4241">
        <v>7.6060000000000003E-2</v>
      </c>
    </row>
    <row r="4242" spans="1:6" x14ac:dyDescent="0.3">
      <c r="A4242" t="s">
        <v>5</v>
      </c>
      <c r="B4242" s="1">
        <v>45834</v>
      </c>
      <c r="C4242">
        <v>18</v>
      </c>
      <c r="D4242">
        <v>0.06</v>
      </c>
      <c r="E4242" t="s">
        <v>6</v>
      </c>
      <c r="F4242">
        <v>0.10034999999999999</v>
      </c>
    </row>
    <row r="4243" spans="1:6" x14ac:dyDescent="0.3">
      <c r="A4243" t="s">
        <v>5</v>
      </c>
      <c r="B4243" s="1">
        <v>45834</v>
      </c>
      <c r="C4243">
        <v>19</v>
      </c>
      <c r="D4243">
        <v>8.3000000000000004E-2</v>
      </c>
      <c r="E4243" t="s">
        <v>6</v>
      </c>
      <c r="F4243">
        <v>0.19072999999999998</v>
      </c>
    </row>
    <row r="4244" spans="1:6" x14ac:dyDescent="0.3">
      <c r="A4244" t="s">
        <v>5</v>
      </c>
      <c r="B4244" s="1">
        <v>45834</v>
      </c>
      <c r="C4244">
        <v>20</v>
      </c>
      <c r="D4244">
        <v>7.2999999999999995E-2</v>
      </c>
      <c r="E4244" t="s">
        <v>6</v>
      </c>
      <c r="F4244">
        <v>0.21174000000000001</v>
      </c>
    </row>
    <row r="4245" spans="1:6" x14ac:dyDescent="0.3">
      <c r="A4245" t="s">
        <v>5</v>
      </c>
      <c r="B4245" s="1">
        <v>45834</v>
      </c>
      <c r="C4245">
        <v>21</v>
      </c>
      <c r="D4245">
        <v>0.06</v>
      </c>
      <c r="E4245" t="s">
        <v>6</v>
      </c>
      <c r="F4245">
        <v>0.23183999999999999</v>
      </c>
    </row>
    <row r="4246" spans="1:6" x14ac:dyDescent="0.3">
      <c r="A4246" t="s">
        <v>5</v>
      </c>
      <c r="B4246" s="1">
        <v>45834</v>
      </c>
      <c r="C4246">
        <v>22</v>
      </c>
      <c r="D4246">
        <v>1.349</v>
      </c>
      <c r="E4246" t="s">
        <v>6</v>
      </c>
      <c r="F4246">
        <v>0.27907999999999999</v>
      </c>
    </row>
    <row r="4247" spans="1:6" x14ac:dyDescent="0.3">
      <c r="A4247" t="s">
        <v>5</v>
      </c>
      <c r="B4247" s="1">
        <v>45834</v>
      </c>
      <c r="C4247">
        <v>23</v>
      </c>
      <c r="D4247">
        <v>1.61</v>
      </c>
      <c r="E4247" t="s">
        <v>6</v>
      </c>
      <c r="F4247">
        <v>0.2112</v>
      </c>
    </row>
    <row r="4248" spans="1:6" x14ac:dyDescent="0.3">
      <c r="A4248" t="s">
        <v>5</v>
      </c>
      <c r="B4248" s="1">
        <v>45834</v>
      </c>
      <c r="C4248">
        <v>24</v>
      </c>
      <c r="D4248">
        <v>0.40500000000000003</v>
      </c>
      <c r="E4248" t="s">
        <v>6</v>
      </c>
      <c r="F4248">
        <v>0.16880000000000001</v>
      </c>
    </row>
    <row r="4249" spans="1:6" x14ac:dyDescent="0.3">
      <c r="A4249" t="s">
        <v>5</v>
      </c>
      <c r="B4249" s="1">
        <v>45835</v>
      </c>
      <c r="C4249">
        <v>1</v>
      </c>
      <c r="D4249">
        <v>0.13500000000000001</v>
      </c>
      <c r="E4249" t="s">
        <v>6</v>
      </c>
      <c r="F4249">
        <v>0.14015</v>
      </c>
    </row>
    <row r="4250" spans="1:6" x14ac:dyDescent="0.3">
      <c r="A4250" t="s">
        <v>5</v>
      </c>
      <c r="B4250" s="1">
        <v>45835</v>
      </c>
      <c r="C4250">
        <v>2</v>
      </c>
      <c r="D4250">
        <v>0.123</v>
      </c>
      <c r="E4250" t="s">
        <v>6</v>
      </c>
      <c r="F4250">
        <v>0.13659000000000002</v>
      </c>
    </row>
    <row r="4251" spans="1:6" x14ac:dyDescent="0.3">
      <c r="A4251" t="s">
        <v>5</v>
      </c>
      <c r="B4251" s="1">
        <v>45835</v>
      </c>
      <c r="C4251">
        <v>3</v>
      </c>
      <c r="D4251">
        <v>0.122</v>
      </c>
      <c r="E4251" t="s">
        <v>6</v>
      </c>
      <c r="F4251">
        <v>0.13652</v>
      </c>
    </row>
    <row r="4252" spans="1:6" x14ac:dyDescent="0.3">
      <c r="A4252" t="s">
        <v>5</v>
      </c>
      <c r="B4252" s="1">
        <v>45835</v>
      </c>
      <c r="C4252">
        <v>4</v>
      </c>
      <c r="D4252">
        <v>0.1</v>
      </c>
      <c r="E4252" t="s">
        <v>6</v>
      </c>
      <c r="F4252">
        <v>0.13363</v>
      </c>
    </row>
    <row r="4253" spans="1:6" x14ac:dyDescent="0.3">
      <c r="A4253" t="s">
        <v>5</v>
      </c>
      <c r="B4253" s="1">
        <v>45835</v>
      </c>
      <c r="C4253">
        <v>5</v>
      </c>
      <c r="D4253">
        <v>0.10299999999999999</v>
      </c>
      <c r="E4253" t="s">
        <v>6</v>
      </c>
      <c r="F4253">
        <v>0.13311000000000001</v>
      </c>
    </row>
    <row r="4254" spans="1:6" x14ac:dyDescent="0.3">
      <c r="A4254" t="s">
        <v>5</v>
      </c>
      <c r="B4254" s="1">
        <v>45835</v>
      </c>
      <c r="C4254">
        <v>6</v>
      </c>
      <c r="D4254">
        <v>0.123</v>
      </c>
      <c r="E4254" t="s">
        <v>6</v>
      </c>
      <c r="F4254">
        <v>0.13378999999999999</v>
      </c>
    </row>
    <row r="4255" spans="1:6" x14ac:dyDescent="0.3">
      <c r="A4255" t="s">
        <v>5</v>
      </c>
      <c r="B4255" s="1">
        <v>45835</v>
      </c>
      <c r="C4255">
        <v>7</v>
      </c>
      <c r="D4255">
        <v>0.107</v>
      </c>
      <c r="E4255" t="s">
        <v>6</v>
      </c>
      <c r="F4255">
        <v>0.13747999999999999</v>
      </c>
    </row>
    <row r="4256" spans="1:6" x14ac:dyDescent="0.3">
      <c r="A4256" t="s">
        <v>5</v>
      </c>
      <c r="B4256" s="1">
        <v>45835</v>
      </c>
      <c r="C4256">
        <v>8</v>
      </c>
      <c r="D4256">
        <v>0.254</v>
      </c>
      <c r="E4256" t="s">
        <v>6</v>
      </c>
      <c r="F4256">
        <v>0.13796</v>
      </c>
    </row>
    <row r="4257" spans="1:6" x14ac:dyDescent="0.3">
      <c r="A4257" t="s">
        <v>5</v>
      </c>
      <c r="B4257" s="1">
        <v>45835</v>
      </c>
      <c r="C4257">
        <v>9</v>
      </c>
      <c r="D4257">
        <v>7.8E-2</v>
      </c>
      <c r="E4257" t="s">
        <v>6</v>
      </c>
      <c r="F4257">
        <v>0.15883</v>
      </c>
    </row>
    <row r="4258" spans="1:6" x14ac:dyDescent="0.3">
      <c r="A4258" t="s">
        <v>5</v>
      </c>
      <c r="B4258" s="1">
        <v>45835</v>
      </c>
      <c r="C4258">
        <v>10</v>
      </c>
      <c r="D4258">
        <v>7.9000000000000001E-2</v>
      </c>
      <c r="E4258" t="s">
        <v>6</v>
      </c>
      <c r="F4258">
        <v>0.14141000000000001</v>
      </c>
    </row>
    <row r="4259" spans="1:6" x14ac:dyDescent="0.3">
      <c r="A4259" t="s">
        <v>5</v>
      </c>
      <c r="B4259" s="1">
        <v>45835</v>
      </c>
      <c r="C4259">
        <v>11</v>
      </c>
      <c r="D4259">
        <v>0.06</v>
      </c>
      <c r="E4259" t="s">
        <v>6</v>
      </c>
      <c r="F4259">
        <v>0.19052000000000002</v>
      </c>
    </row>
    <row r="4260" spans="1:6" x14ac:dyDescent="0.3">
      <c r="A4260" t="s">
        <v>5</v>
      </c>
      <c r="B4260" s="1">
        <v>45835</v>
      </c>
      <c r="C4260">
        <v>12</v>
      </c>
      <c r="D4260">
        <v>6.5000000000000002E-2</v>
      </c>
      <c r="E4260" t="s">
        <v>6</v>
      </c>
      <c r="F4260">
        <v>0.17793</v>
      </c>
    </row>
    <row r="4261" spans="1:6" x14ac:dyDescent="0.3">
      <c r="A4261" t="s">
        <v>5</v>
      </c>
      <c r="B4261" s="1">
        <v>45835</v>
      </c>
      <c r="C4261">
        <v>13</v>
      </c>
      <c r="D4261">
        <v>8.3000000000000004E-2</v>
      </c>
      <c r="E4261" t="s">
        <v>6</v>
      </c>
      <c r="F4261">
        <v>0.16412000000000002</v>
      </c>
    </row>
    <row r="4262" spans="1:6" x14ac:dyDescent="0.3">
      <c r="A4262" t="s">
        <v>5</v>
      </c>
      <c r="B4262" s="1">
        <v>45835</v>
      </c>
      <c r="C4262">
        <v>14</v>
      </c>
      <c r="D4262">
        <v>6.6000000000000003E-2</v>
      </c>
      <c r="E4262" t="s">
        <v>6</v>
      </c>
      <c r="F4262">
        <v>0.1426</v>
      </c>
    </row>
    <row r="4263" spans="1:6" x14ac:dyDescent="0.3">
      <c r="A4263" t="s">
        <v>5</v>
      </c>
      <c r="B4263" s="1">
        <v>45835</v>
      </c>
      <c r="C4263">
        <v>15</v>
      </c>
      <c r="D4263">
        <v>6.0999999999999999E-2</v>
      </c>
      <c r="E4263" t="s">
        <v>6</v>
      </c>
      <c r="F4263">
        <v>7.7329999999999996E-2</v>
      </c>
    </row>
    <row r="4264" spans="1:6" x14ac:dyDescent="0.3">
      <c r="A4264" t="s">
        <v>5</v>
      </c>
      <c r="B4264" s="1">
        <v>45835</v>
      </c>
      <c r="C4264">
        <v>16</v>
      </c>
      <c r="D4264">
        <v>9.7000000000000003E-2</v>
      </c>
      <c r="E4264" t="s">
        <v>6</v>
      </c>
      <c r="F4264">
        <v>7.554000000000001E-2</v>
      </c>
    </row>
    <row r="4265" spans="1:6" x14ac:dyDescent="0.3">
      <c r="A4265" t="s">
        <v>5</v>
      </c>
      <c r="B4265" s="1">
        <v>45835</v>
      </c>
      <c r="C4265">
        <v>17</v>
      </c>
      <c r="D4265">
        <v>0.13300000000000001</v>
      </c>
      <c r="E4265" t="s">
        <v>6</v>
      </c>
      <c r="F4265">
        <v>7.8290000000000012E-2</v>
      </c>
    </row>
    <row r="4266" spans="1:6" x14ac:dyDescent="0.3">
      <c r="A4266" t="s">
        <v>5</v>
      </c>
      <c r="B4266" s="1">
        <v>45835</v>
      </c>
      <c r="C4266">
        <v>18</v>
      </c>
      <c r="D4266">
        <v>8.7999999999999995E-2</v>
      </c>
      <c r="E4266" t="s">
        <v>6</v>
      </c>
      <c r="F4266">
        <v>0.11498</v>
      </c>
    </row>
    <row r="4267" spans="1:6" x14ac:dyDescent="0.3">
      <c r="A4267" t="s">
        <v>5</v>
      </c>
      <c r="B4267" s="1">
        <v>45835</v>
      </c>
      <c r="C4267">
        <v>19</v>
      </c>
      <c r="D4267">
        <v>8.7999999999999995E-2</v>
      </c>
      <c r="E4267" t="s">
        <v>6</v>
      </c>
      <c r="F4267">
        <v>0.20191000000000001</v>
      </c>
    </row>
    <row r="4268" spans="1:6" x14ac:dyDescent="0.3">
      <c r="A4268" t="s">
        <v>5</v>
      </c>
      <c r="B4268" s="1">
        <v>45835</v>
      </c>
      <c r="C4268">
        <v>20</v>
      </c>
      <c r="D4268">
        <v>7.5999999999999998E-2</v>
      </c>
      <c r="E4268" t="s">
        <v>6</v>
      </c>
      <c r="F4268">
        <v>0.22424000000000002</v>
      </c>
    </row>
    <row r="4269" spans="1:6" x14ac:dyDescent="0.3">
      <c r="A4269" t="s">
        <v>5</v>
      </c>
      <c r="B4269" s="1">
        <v>45835</v>
      </c>
      <c r="C4269">
        <v>21</v>
      </c>
      <c r="D4269">
        <v>0.06</v>
      </c>
      <c r="E4269" t="s">
        <v>6</v>
      </c>
      <c r="F4269">
        <v>0.23153000000000001</v>
      </c>
    </row>
    <row r="4270" spans="1:6" x14ac:dyDescent="0.3">
      <c r="A4270" t="s">
        <v>5</v>
      </c>
      <c r="B4270" s="1">
        <v>45835</v>
      </c>
      <c r="C4270">
        <v>22</v>
      </c>
      <c r="D4270">
        <v>7.9000000000000001E-2</v>
      </c>
      <c r="E4270" t="s">
        <v>6</v>
      </c>
      <c r="F4270">
        <v>0.25891000000000003</v>
      </c>
    </row>
    <row r="4271" spans="1:6" x14ac:dyDescent="0.3">
      <c r="A4271" t="s">
        <v>5</v>
      </c>
      <c r="B4271" s="1">
        <v>45835</v>
      </c>
      <c r="C4271">
        <v>23</v>
      </c>
      <c r="D4271">
        <v>7.5999999999999998E-2</v>
      </c>
      <c r="E4271" t="s">
        <v>6</v>
      </c>
      <c r="F4271">
        <v>0.19071000000000002</v>
      </c>
    </row>
    <row r="4272" spans="1:6" x14ac:dyDescent="0.3">
      <c r="A4272" t="s">
        <v>5</v>
      </c>
      <c r="B4272" s="1">
        <v>45835</v>
      </c>
      <c r="C4272">
        <v>24</v>
      </c>
      <c r="D4272">
        <v>0.06</v>
      </c>
      <c r="E4272" t="s">
        <v>6</v>
      </c>
      <c r="F4272">
        <v>0.16513999999999998</v>
      </c>
    </row>
    <row r="4273" spans="1:6" x14ac:dyDescent="0.3">
      <c r="A4273" t="s">
        <v>5</v>
      </c>
      <c r="B4273" s="1">
        <v>45836</v>
      </c>
      <c r="C4273">
        <v>1</v>
      </c>
      <c r="D4273">
        <v>7.8E-2</v>
      </c>
      <c r="E4273" t="s">
        <v>6</v>
      </c>
      <c r="F4273">
        <v>0.14759999999999998</v>
      </c>
    </row>
    <row r="4274" spans="1:6" x14ac:dyDescent="0.3">
      <c r="A4274" t="s">
        <v>5</v>
      </c>
      <c r="B4274" s="1">
        <v>45836</v>
      </c>
      <c r="C4274">
        <v>2</v>
      </c>
      <c r="D4274">
        <v>7.5999999999999998E-2</v>
      </c>
      <c r="E4274" t="s">
        <v>6</v>
      </c>
      <c r="F4274">
        <v>0.14937999999999999</v>
      </c>
    </row>
    <row r="4275" spans="1:6" x14ac:dyDescent="0.3">
      <c r="A4275" t="s">
        <v>5</v>
      </c>
      <c r="B4275" s="1">
        <v>45836</v>
      </c>
      <c r="C4275">
        <v>3</v>
      </c>
      <c r="D4275">
        <v>5.8999999999999997E-2</v>
      </c>
      <c r="E4275" t="s">
        <v>6</v>
      </c>
      <c r="F4275">
        <v>0.14483000000000001</v>
      </c>
    </row>
    <row r="4276" spans="1:6" x14ac:dyDescent="0.3">
      <c r="A4276" t="s">
        <v>5</v>
      </c>
      <c r="B4276" s="1">
        <v>45836</v>
      </c>
      <c r="C4276">
        <v>4</v>
      </c>
      <c r="D4276">
        <v>7.6999999999999999E-2</v>
      </c>
      <c r="E4276" t="s">
        <v>6</v>
      </c>
      <c r="F4276">
        <v>0.14132</v>
      </c>
    </row>
    <row r="4277" spans="1:6" x14ac:dyDescent="0.3">
      <c r="A4277" t="s">
        <v>5</v>
      </c>
      <c r="B4277" s="1">
        <v>45836</v>
      </c>
      <c r="C4277">
        <v>5</v>
      </c>
      <c r="D4277">
        <v>7.5999999999999998E-2</v>
      </c>
      <c r="E4277" t="s">
        <v>6</v>
      </c>
      <c r="F4277">
        <v>0.14022999999999999</v>
      </c>
    </row>
    <row r="4278" spans="1:6" x14ac:dyDescent="0.3">
      <c r="A4278" t="s">
        <v>5</v>
      </c>
      <c r="B4278" s="1">
        <v>45836</v>
      </c>
      <c r="C4278">
        <v>6</v>
      </c>
      <c r="D4278">
        <v>0.06</v>
      </c>
      <c r="E4278" t="s">
        <v>6</v>
      </c>
      <c r="F4278">
        <v>0.14072999999999999</v>
      </c>
    </row>
    <row r="4279" spans="1:6" x14ac:dyDescent="0.3">
      <c r="A4279" t="s">
        <v>5</v>
      </c>
      <c r="B4279" s="1">
        <v>45836</v>
      </c>
      <c r="C4279">
        <v>7</v>
      </c>
      <c r="D4279">
        <v>7.6999999999999999E-2</v>
      </c>
      <c r="E4279" t="s">
        <v>6</v>
      </c>
      <c r="F4279">
        <v>0.14063000000000001</v>
      </c>
    </row>
    <row r="4280" spans="1:6" x14ac:dyDescent="0.3">
      <c r="A4280" t="s">
        <v>5</v>
      </c>
      <c r="B4280" s="1">
        <v>45836</v>
      </c>
      <c r="C4280">
        <v>8</v>
      </c>
      <c r="D4280">
        <v>7.8E-2</v>
      </c>
      <c r="E4280" t="s">
        <v>6</v>
      </c>
      <c r="F4280">
        <v>0.14827000000000001</v>
      </c>
    </row>
    <row r="4281" spans="1:6" x14ac:dyDescent="0.3">
      <c r="A4281" t="s">
        <v>5</v>
      </c>
      <c r="B4281" s="1">
        <v>45836</v>
      </c>
      <c r="C4281">
        <v>9</v>
      </c>
      <c r="D4281">
        <v>5.8999999999999997E-2</v>
      </c>
      <c r="E4281" t="s">
        <v>6</v>
      </c>
      <c r="F4281">
        <v>0.12762999999999999</v>
      </c>
    </row>
    <row r="4282" spans="1:6" x14ac:dyDescent="0.3">
      <c r="A4282" t="s">
        <v>5</v>
      </c>
      <c r="B4282" s="1">
        <v>45836</v>
      </c>
      <c r="C4282">
        <v>10</v>
      </c>
      <c r="D4282">
        <v>7.4999999999999997E-2</v>
      </c>
      <c r="E4282" t="s">
        <v>6</v>
      </c>
      <c r="F4282">
        <v>4.972E-2</v>
      </c>
    </row>
    <row r="4283" spans="1:6" x14ac:dyDescent="0.3">
      <c r="A4283" t="s">
        <v>5</v>
      </c>
      <c r="B4283" s="1">
        <v>45836</v>
      </c>
      <c r="C4283">
        <v>11</v>
      </c>
      <c r="D4283">
        <v>7.6999999999999999E-2</v>
      </c>
      <c r="E4283" t="s">
        <v>6</v>
      </c>
      <c r="F4283">
        <v>2.886E-2</v>
      </c>
    </row>
    <row r="4284" spans="1:6" x14ac:dyDescent="0.3">
      <c r="A4284" t="s">
        <v>5</v>
      </c>
      <c r="B4284" s="1">
        <v>45836</v>
      </c>
      <c r="C4284">
        <v>12</v>
      </c>
      <c r="D4284">
        <v>5.8999999999999997E-2</v>
      </c>
      <c r="E4284" t="s">
        <v>6</v>
      </c>
      <c r="F4284">
        <v>2.2510000000000002E-2</v>
      </c>
    </row>
    <row r="4285" spans="1:6" x14ac:dyDescent="0.3">
      <c r="A4285" t="s">
        <v>5</v>
      </c>
      <c r="B4285" s="1">
        <v>45836</v>
      </c>
      <c r="C4285">
        <v>13</v>
      </c>
      <c r="D4285">
        <v>7.4999999999999997E-2</v>
      </c>
      <c r="E4285" t="s">
        <v>6</v>
      </c>
      <c r="F4285">
        <v>2.1929999999999998E-2</v>
      </c>
    </row>
    <row r="4286" spans="1:6" x14ac:dyDescent="0.3">
      <c r="A4286" t="s">
        <v>5</v>
      </c>
      <c r="B4286" s="1">
        <v>45836</v>
      </c>
      <c r="C4286">
        <v>14</v>
      </c>
      <c r="D4286">
        <v>7.8E-2</v>
      </c>
      <c r="E4286" t="s">
        <v>6</v>
      </c>
      <c r="F4286">
        <v>2.1530000000000001E-2</v>
      </c>
    </row>
    <row r="4287" spans="1:6" x14ac:dyDescent="0.3">
      <c r="A4287" t="s">
        <v>5</v>
      </c>
      <c r="B4287" s="1">
        <v>45836</v>
      </c>
      <c r="C4287">
        <v>15</v>
      </c>
      <c r="D4287">
        <v>5.8999999999999997E-2</v>
      </c>
      <c r="E4287" t="s">
        <v>6</v>
      </c>
      <c r="F4287">
        <v>2.1569999999999999E-2</v>
      </c>
    </row>
    <row r="4288" spans="1:6" x14ac:dyDescent="0.3">
      <c r="A4288" t="s">
        <v>5</v>
      </c>
      <c r="B4288" s="1">
        <v>45836</v>
      </c>
      <c r="C4288">
        <v>16</v>
      </c>
      <c r="D4288">
        <v>7.2999999999999995E-2</v>
      </c>
      <c r="E4288" t="s">
        <v>6</v>
      </c>
      <c r="F4288">
        <v>2.1659999999999999E-2</v>
      </c>
    </row>
    <row r="4289" spans="1:6" x14ac:dyDescent="0.3">
      <c r="A4289" t="s">
        <v>5</v>
      </c>
      <c r="B4289" s="1">
        <v>45836</v>
      </c>
      <c r="C4289">
        <v>17</v>
      </c>
      <c r="D4289">
        <v>0.08</v>
      </c>
      <c r="E4289" t="s">
        <v>6</v>
      </c>
      <c r="F4289">
        <v>2.3420000000000003E-2</v>
      </c>
    </row>
    <row r="4290" spans="1:6" x14ac:dyDescent="0.3">
      <c r="A4290" t="s">
        <v>5</v>
      </c>
      <c r="B4290" s="1">
        <v>45836</v>
      </c>
      <c r="C4290">
        <v>18</v>
      </c>
      <c r="D4290">
        <v>5.8999999999999997E-2</v>
      </c>
      <c r="E4290" t="s">
        <v>6</v>
      </c>
      <c r="F4290">
        <v>3.3860000000000001E-2</v>
      </c>
    </row>
    <row r="4291" spans="1:6" x14ac:dyDescent="0.3">
      <c r="A4291" t="s">
        <v>5</v>
      </c>
      <c r="B4291" s="1">
        <v>45836</v>
      </c>
      <c r="C4291">
        <v>19</v>
      </c>
      <c r="D4291">
        <v>7.1999999999999995E-2</v>
      </c>
      <c r="E4291" t="s">
        <v>6</v>
      </c>
      <c r="F4291">
        <v>7.4950000000000003E-2</v>
      </c>
    </row>
    <row r="4292" spans="1:6" x14ac:dyDescent="0.3">
      <c r="A4292" t="s">
        <v>5</v>
      </c>
      <c r="B4292" s="1">
        <v>45836</v>
      </c>
      <c r="C4292">
        <v>20</v>
      </c>
      <c r="D4292">
        <v>8.3000000000000004E-2</v>
      </c>
      <c r="E4292" t="s">
        <v>6</v>
      </c>
      <c r="F4292">
        <v>0.13669999999999999</v>
      </c>
    </row>
    <row r="4293" spans="1:6" x14ac:dyDescent="0.3">
      <c r="A4293" t="s">
        <v>5</v>
      </c>
      <c r="B4293" s="1">
        <v>45836</v>
      </c>
      <c r="C4293">
        <v>21</v>
      </c>
      <c r="D4293">
        <v>5.8999999999999997E-2</v>
      </c>
      <c r="E4293" t="s">
        <v>6</v>
      </c>
      <c r="F4293">
        <v>0.14461000000000002</v>
      </c>
    </row>
    <row r="4294" spans="1:6" x14ac:dyDescent="0.3">
      <c r="A4294" t="s">
        <v>5</v>
      </c>
      <c r="B4294" s="1">
        <v>45836</v>
      </c>
      <c r="C4294">
        <v>22</v>
      </c>
      <c r="D4294">
        <v>6.9000000000000006E-2</v>
      </c>
      <c r="E4294" t="s">
        <v>6</v>
      </c>
      <c r="F4294">
        <v>0.16841</v>
      </c>
    </row>
    <row r="4295" spans="1:6" x14ac:dyDescent="0.3">
      <c r="A4295" t="s">
        <v>5</v>
      </c>
      <c r="B4295" s="1">
        <v>45836</v>
      </c>
      <c r="C4295">
        <v>23</v>
      </c>
      <c r="D4295">
        <v>8.5000000000000006E-2</v>
      </c>
      <c r="E4295" t="s">
        <v>6</v>
      </c>
      <c r="F4295">
        <v>0.16980000000000001</v>
      </c>
    </row>
    <row r="4296" spans="1:6" x14ac:dyDescent="0.3">
      <c r="A4296" t="s">
        <v>5</v>
      </c>
      <c r="B4296" s="1">
        <v>45836</v>
      </c>
      <c r="C4296">
        <v>24</v>
      </c>
      <c r="D4296">
        <v>0.06</v>
      </c>
      <c r="E4296" t="s">
        <v>6</v>
      </c>
      <c r="F4296">
        <v>0.15006999999999998</v>
      </c>
    </row>
    <row r="4297" spans="1:6" x14ac:dyDescent="0.3">
      <c r="A4297" t="s">
        <v>5</v>
      </c>
      <c r="B4297" s="1">
        <v>45837</v>
      </c>
      <c r="C4297">
        <v>1</v>
      </c>
      <c r="D4297">
        <v>6.7000000000000004E-2</v>
      </c>
      <c r="E4297" t="s">
        <v>6</v>
      </c>
      <c r="F4297">
        <v>0.14436000000000002</v>
      </c>
    </row>
    <row r="4298" spans="1:6" x14ac:dyDescent="0.3">
      <c r="A4298" t="s">
        <v>5</v>
      </c>
      <c r="B4298" s="1">
        <v>45837</v>
      </c>
      <c r="C4298">
        <v>2</v>
      </c>
      <c r="D4298">
        <v>8.4000000000000005E-2</v>
      </c>
      <c r="E4298" t="s">
        <v>6</v>
      </c>
      <c r="F4298">
        <v>0.14180000000000001</v>
      </c>
    </row>
    <row r="4299" spans="1:6" x14ac:dyDescent="0.3">
      <c r="A4299" t="s">
        <v>5</v>
      </c>
      <c r="B4299" s="1">
        <v>45837</v>
      </c>
      <c r="C4299">
        <v>3</v>
      </c>
      <c r="D4299">
        <v>6.4000000000000001E-2</v>
      </c>
      <c r="E4299" t="s">
        <v>6</v>
      </c>
      <c r="F4299">
        <v>0.14196999999999999</v>
      </c>
    </row>
    <row r="4300" spans="1:6" x14ac:dyDescent="0.3">
      <c r="A4300" t="s">
        <v>5</v>
      </c>
      <c r="B4300" s="1">
        <v>45837</v>
      </c>
      <c r="C4300">
        <v>4</v>
      </c>
      <c r="D4300">
        <v>6.4000000000000001E-2</v>
      </c>
      <c r="E4300" t="s">
        <v>6</v>
      </c>
      <c r="F4300">
        <v>0.1416</v>
      </c>
    </row>
    <row r="4301" spans="1:6" x14ac:dyDescent="0.3">
      <c r="A4301" t="s">
        <v>5</v>
      </c>
      <c r="B4301" s="1">
        <v>45837</v>
      </c>
      <c r="C4301">
        <v>5</v>
      </c>
      <c r="D4301">
        <v>8.4000000000000005E-2</v>
      </c>
      <c r="E4301" t="s">
        <v>6</v>
      </c>
      <c r="F4301">
        <v>0.14304</v>
      </c>
    </row>
    <row r="4302" spans="1:6" x14ac:dyDescent="0.3">
      <c r="A4302" t="s">
        <v>5</v>
      </c>
      <c r="B4302" s="1">
        <v>45837</v>
      </c>
      <c r="C4302">
        <v>6</v>
      </c>
      <c r="D4302">
        <v>6.8000000000000005E-2</v>
      </c>
      <c r="E4302" t="s">
        <v>6</v>
      </c>
      <c r="F4302">
        <v>0.14455999999999999</v>
      </c>
    </row>
    <row r="4303" spans="1:6" x14ac:dyDescent="0.3">
      <c r="A4303" t="s">
        <v>5</v>
      </c>
      <c r="B4303" s="1">
        <v>45837</v>
      </c>
      <c r="C4303">
        <v>7</v>
      </c>
      <c r="D4303">
        <v>0.06</v>
      </c>
      <c r="E4303" t="s">
        <v>6</v>
      </c>
      <c r="F4303">
        <v>0.14695</v>
      </c>
    </row>
    <row r="4304" spans="1:6" x14ac:dyDescent="0.3">
      <c r="A4304" t="s">
        <v>5</v>
      </c>
      <c r="B4304" s="1">
        <v>45837</v>
      </c>
      <c r="C4304">
        <v>8</v>
      </c>
      <c r="D4304">
        <v>8.4000000000000005E-2</v>
      </c>
      <c r="E4304" t="s">
        <v>6</v>
      </c>
      <c r="F4304">
        <v>0.14661000000000002</v>
      </c>
    </row>
    <row r="4305" spans="1:6" x14ac:dyDescent="0.3">
      <c r="A4305" t="s">
        <v>5</v>
      </c>
      <c r="B4305" s="1">
        <v>45837</v>
      </c>
      <c r="C4305">
        <v>9</v>
      </c>
      <c r="D4305">
        <v>7.0000000000000007E-2</v>
      </c>
      <c r="E4305" t="s">
        <v>6</v>
      </c>
      <c r="F4305">
        <v>0.12048</v>
      </c>
    </row>
    <row r="4306" spans="1:6" x14ac:dyDescent="0.3">
      <c r="A4306" t="s">
        <v>5</v>
      </c>
      <c r="B4306" s="1">
        <v>45837</v>
      </c>
      <c r="C4306">
        <v>10</v>
      </c>
      <c r="D4306">
        <v>0.06</v>
      </c>
      <c r="E4306" t="s">
        <v>6</v>
      </c>
      <c r="F4306">
        <v>4.9540000000000001E-2</v>
      </c>
    </row>
    <row r="4307" spans="1:6" x14ac:dyDescent="0.3">
      <c r="A4307" t="s">
        <v>5</v>
      </c>
      <c r="B4307" s="1">
        <v>45837</v>
      </c>
      <c r="C4307">
        <v>11</v>
      </c>
      <c r="D4307">
        <v>7.9000000000000001E-2</v>
      </c>
      <c r="E4307" t="s">
        <v>6</v>
      </c>
      <c r="F4307">
        <v>2.887E-2</v>
      </c>
    </row>
    <row r="4308" spans="1:6" x14ac:dyDescent="0.3">
      <c r="A4308" t="s">
        <v>5</v>
      </c>
      <c r="B4308" s="1">
        <v>45837</v>
      </c>
      <c r="C4308">
        <v>12</v>
      </c>
      <c r="D4308">
        <v>7.4999999999999997E-2</v>
      </c>
      <c r="E4308" t="s">
        <v>6</v>
      </c>
      <c r="F4308">
        <v>2.9319999999999999E-2</v>
      </c>
    </row>
    <row r="4309" spans="1:6" x14ac:dyDescent="0.3">
      <c r="A4309" t="s">
        <v>5</v>
      </c>
      <c r="B4309" s="1">
        <v>45837</v>
      </c>
      <c r="C4309">
        <v>13</v>
      </c>
      <c r="D4309">
        <v>5.8999999999999997E-2</v>
      </c>
      <c r="E4309" t="s">
        <v>6</v>
      </c>
      <c r="F4309">
        <v>2.8629999999999999E-2</v>
      </c>
    </row>
    <row r="4310" spans="1:6" x14ac:dyDescent="0.3">
      <c r="A4310" t="s">
        <v>5</v>
      </c>
      <c r="B4310" s="1">
        <v>45837</v>
      </c>
      <c r="C4310">
        <v>14</v>
      </c>
      <c r="D4310">
        <v>7.5999999999999998E-2</v>
      </c>
      <c r="E4310" t="s">
        <v>6</v>
      </c>
      <c r="F4310">
        <v>3.0620000000000001E-2</v>
      </c>
    </row>
    <row r="4311" spans="1:6" x14ac:dyDescent="0.3">
      <c r="A4311" t="s">
        <v>5</v>
      </c>
      <c r="B4311" s="1">
        <v>45837</v>
      </c>
      <c r="C4311">
        <v>15</v>
      </c>
      <c r="D4311">
        <v>7.8E-2</v>
      </c>
      <c r="E4311" t="s">
        <v>6</v>
      </c>
      <c r="F4311">
        <v>3.0809999999999997E-2</v>
      </c>
    </row>
    <row r="4312" spans="1:6" x14ac:dyDescent="0.3">
      <c r="A4312" t="s">
        <v>5</v>
      </c>
      <c r="B4312" s="1">
        <v>45837</v>
      </c>
      <c r="C4312">
        <v>16</v>
      </c>
      <c r="D4312">
        <v>0.06</v>
      </c>
      <c r="E4312" t="s">
        <v>6</v>
      </c>
      <c r="F4312">
        <v>3.1179999999999999E-2</v>
      </c>
    </row>
    <row r="4313" spans="1:6" x14ac:dyDescent="0.3">
      <c r="A4313" t="s">
        <v>5</v>
      </c>
      <c r="B4313" s="1">
        <v>45837</v>
      </c>
      <c r="C4313">
        <v>17</v>
      </c>
      <c r="D4313">
        <v>7.0999999999999994E-2</v>
      </c>
      <c r="E4313" t="s">
        <v>6</v>
      </c>
      <c r="F4313">
        <v>3.2229999999999995E-2</v>
      </c>
    </row>
    <row r="4314" spans="1:6" x14ac:dyDescent="0.3">
      <c r="A4314" t="s">
        <v>5</v>
      </c>
      <c r="B4314" s="1">
        <v>45837</v>
      </c>
      <c r="C4314">
        <v>18</v>
      </c>
      <c r="D4314">
        <v>8.3000000000000004E-2</v>
      </c>
      <c r="E4314" t="s">
        <v>6</v>
      </c>
      <c r="F4314">
        <v>4.9299999999999997E-2</v>
      </c>
    </row>
    <row r="4315" spans="1:6" x14ac:dyDescent="0.3">
      <c r="A4315" t="s">
        <v>5</v>
      </c>
      <c r="B4315" s="1">
        <v>45837</v>
      </c>
      <c r="C4315">
        <v>19</v>
      </c>
      <c r="D4315">
        <v>0.06</v>
      </c>
      <c r="E4315" t="s">
        <v>6</v>
      </c>
      <c r="F4315">
        <v>9.74E-2</v>
      </c>
    </row>
    <row r="4316" spans="1:6" x14ac:dyDescent="0.3">
      <c r="A4316" t="s">
        <v>5</v>
      </c>
      <c r="B4316" s="1">
        <v>45837</v>
      </c>
      <c r="C4316">
        <v>20</v>
      </c>
      <c r="D4316">
        <v>6.6000000000000003E-2</v>
      </c>
      <c r="E4316" t="s">
        <v>6</v>
      </c>
      <c r="F4316">
        <v>0.13603000000000001</v>
      </c>
    </row>
    <row r="4317" spans="1:6" x14ac:dyDescent="0.3">
      <c r="A4317" t="s">
        <v>5</v>
      </c>
      <c r="B4317" s="1">
        <v>45837</v>
      </c>
      <c r="C4317">
        <v>21</v>
      </c>
      <c r="D4317">
        <v>8.4000000000000005E-2</v>
      </c>
      <c r="E4317" t="s">
        <v>6</v>
      </c>
      <c r="F4317">
        <v>0.14413000000000001</v>
      </c>
    </row>
    <row r="4318" spans="1:6" x14ac:dyDescent="0.3">
      <c r="A4318" t="s">
        <v>5</v>
      </c>
      <c r="B4318" s="1">
        <v>45837</v>
      </c>
      <c r="C4318">
        <v>22</v>
      </c>
      <c r="D4318">
        <v>6.6000000000000003E-2</v>
      </c>
      <c r="E4318" t="s">
        <v>6</v>
      </c>
      <c r="F4318">
        <v>0.16517999999999999</v>
      </c>
    </row>
    <row r="4319" spans="1:6" x14ac:dyDescent="0.3">
      <c r="A4319" t="s">
        <v>5</v>
      </c>
      <c r="B4319" s="1">
        <v>45837</v>
      </c>
      <c r="C4319">
        <v>23</v>
      </c>
      <c r="D4319">
        <v>5.8999999999999997E-2</v>
      </c>
      <c r="E4319" t="s">
        <v>6</v>
      </c>
      <c r="F4319">
        <v>0.19515000000000002</v>
      </c>
    </row>
    <row r="4320" spans="1:6" x14ac:dyDescent="0.3">
      <c r="A4320" t="s">
        <v>5</v>
      </c>
      <c r="B4320" s="1">
        <v>45837</v>
      </c>
      <c r="C4320">
        <v>24</v>
      </c>
      <c r="D4320">
        <v>8.5000000000000006E-2</v>
      </c>
      <c r="E4320" t="s">
        <v>6</v>
      </c>
      <c r="F4320">
        <v>0.17032</v>
      </c>
    </row>
    <row r="4321" spans="1:6" x14ac:dyDescent="0.3">
      <c r="A4321" t="s">
        <v>5</v>
      </c>
      <c r="B4321" s="1">
        <v>45838</v>
      </c>
      <c r="C4321">
        <v>1</v>
      </c>
      <c r="D4321">
        <v>7.1999999999999995E-2</v>
      </c>
      <c r="E4321" t="s">
        <v>6</v>
      </c>
      <c r="F4321">
        <v>0.14443</v>
      </c>
    </row>
    <row r="4322" spans="1:6" x14ac:dyDescent="0.3">
      <c r="A4322" t="s">
        <v>5</v>
      </c>
      <c r="B4322" s="1">
        <v>45838</v>
      </c>
      <c r="C4322">
        <v>2</v>
      </c>
      <c r="D4322">
        <v>6.0999999999999999E-2</v>
      </c>
      <c r="E4322" t="s">
        <v>6</v>
      </c>
      <c r="F4322">
        <v>0.13408</v>
      </c>
    </row>
    <row r="4323" spans="1:6" x14ac:dyDescent="0.3">
      <c r="A4323" t="s">
        <v>5</v>
      </c>
      <c r="B4323" s="1">
        <v>45838</v>
      </c>
      <c r="C4323">
        <v>3</v>
      </c>
      <c r="D4323">
        <v>7.8E-2</v>
      </c>
      <c r="E4323" t="s">
        <v>6</v>
      </c>
      <c r="F4323">
        <v>0.13171000000000002</v>
      </c>
    </row>
    <row r="4324" spans="1:6" x14ac:dyDescent="0.3">
      <c r="A4324" t="s">
        <v>5</v>
      </c>
      <c r="B4324" s="1">
        <v>45838</v>
      </c>
      <c r="C4324">
        <v>4</v>
      </c>
      <c r="D4324">
        <v>0.08</v>
      </c>
      <c r="E4324" t="s">
        <v>6</v>
      </c>
      <c r="F4324">
        <v>0.13031999999999999</v>
      </c>
    </row>
    <row r="4325" spans="1:6" x14ac:dyDescent="0.3">
      <c r="A4325" t="s">
        <v>5</v>
      </c>
      <c r="B4325" s="1">
        <v>45838</v>
      </c>
      <c r="C4325">
        <v>5</v>
      </c>
      <c r="D4325">
        <v>6.2E-2</v>
      </c>
      <c r="E4325" t="s">
        <v>6</v>
      </c>
      <c r="F4325">
        <v>0.13365000000000002</v>
      </c>
    </row>
    <row r="4326" spans="1:6" x14ac:dyDescent="0.3">
      <c r="A4326" t="s">
        <v>5</v>
      </c>
      <c r="B4326" s="1">
        <v>45838</v>
      </c>
      <c r="C4326">
        <v>6</v>
      </c>
      <c r="D4326">
        <v>7.0000000000000007E-2</v>
      </c>
      <c r="E4326" t="s">
        <v>6</v>
      </c>
      <c r="F4326">
        <v>0.13295999999999999</v>
      </c>
    </row>
    <row r="4327" spans="1:6" x14ac:dyDescent="0.3">
      <c r="A4327" t="s">
        <v>5</v>
      </c>
      <c r="B4327" s="1">
        <v>45838</v>
      </c>
      <c r="C4327">
        <v>7</v>
      </c>
      <c r="D4327">
        <v>8.4000000000000005E-2</v>
      </c>
      <c r="E4327" t="s">
        <v>6</v>
      </c>
      <c r="F4327">
        <v>0.13472999999999999</v>
      </c>
    </row>
    <row r="4328" spans="1:6" x14ac:dyDescent="0.3">
      <c r="A4328" t="s">
        <v>5</v>
      </c>
      <c r="B4328" s="1">
        <v>45838</v>
      </c>
      <c r="C4328">
        <v>8</v>
      </c>
      <c r="D4328">
        <v>6.3E-2</v>
      </c>
      <c r="E4328" t="s">
        <v>6</v>
      </c>
      <c r="F4328">
        <v>0.14011000000000001</v>
      </c>
    </row>
    <row r="4329" spans="1:6" x14ac:dyDescent="0.3">
      <c r="A4329" t="s">
        <v>5</v>
      </c>
      <c r="B4329" s="1">
        <v>45838</v>
      </c>
      <c r="C4329">
        <v>9</v>
      </c>
      <c r="D4329">
        <v>6.2E-2</v>
      </c>
      <c r="E4329" t="s">
        <v>6</v>
      </c>
      <c r="F4329">
        <v>0.15831999999999999</v>
      </c>
    </row>
    <row r="4330" spans="1:6" x14ac:dyDescent="0.3">
      <c r="A4330" t="s">
        <v>5</v>
      </c>
      <c r="B4330" s="1">
        <v>45838</v>
      </c>
      <c r="C4330">
        <v>10</v>
      </c>
      <c r="D4330">
        <v>8.4000000000000005E-2</v>
      </c>
      <c r="E4330" t="s">
        <v>6</v>
      </c>
      <c r="F4330">
        <v>0.15218000000000001</v>
      </c>
    </row>
    <row r="4331" spans="1:6" x14ac:dyDescent="0.3">
      <c r="A4331" t="s">
        <v>5</v>
      </c>
      <c r="B4331" s="1">
        <v>45838</v>
      </c>
      <c r="C4331">
        <v>11</v>
      </c>
      <c r="D4331">
        <v>6.9000000000000006E-2</v>
      </c>
      <c r="E4331" t="s">
        <v>6</v>
      </c>
      <c r="F4331">
        <v>0.19181999999999999</v>
      </c>
    </row>
    <row r="4332" spans="1:6" x14ac:dyDescent="0.3">
      <c r="A4332" t="s">
        <v>5</v>
      </c>
      <c r="B4332" s="1">
        <v>45838</v>
      </c>
      <c r="C4332">
        <v>12</v>
      </c>
      <c r="D4332">
        <v>1.008</v>
      </c>
      <c r="E4332" t="s">
        <v>6</v>
      </c>
      <c r="F4332">
        <v>0.18340999999999999</v>
      </c>
    </row>
    <row r="4333" spans="1:6" x14ac:dyDescent="0.3">
      <c r="A4333" t="s">
        <v>5</v>
      </c>
      <c r="B4333" s="1">
        <v>45838</v>
      </c>
      <c r="C4333">
        <v>13</v>
      </c>
      <c r="D4333">
        <v>9.1999999999999998E-2</v>
      </c>
      <c r="E4333" t="s">
        <v>6</v>
      </c>
      <c r="F4333">
        <v>0.18236000000000002</v>
      </c>
    </row>
    <row r="4334" spans="1:6" x14ac:dyDescent="0.3">
      <c r="A4334" t="s">
        <v>5</v>
      </c>
      <c r="B4334" s="1">
        <v>45838</v>
      </c>
      <c r="C4334">
        <v>14</v>
      </c>
      <c r="D4334">
        <v>0.124</v>
      </c>
      <c r="E4334" t="s">
        <v>6</v>
      </c>
      <c r="F4334">
        <v>0.18015999999999999</v>
      </c>
    </row>
    <row r="4335" spans="1:6" x14ac:dyDescent="0.3">
      <c r="A4335" t="s">
        <v>5</v>
      </c>
      <c r="B4335" s="1">
        <v>45838</v>
      </c>
      <c r="C4335">
        <v>15</v>
      </c>
      <c r="D4335">
        <v>0.108</v>
      </c>
      <c r="E4335" t="s">
        <v>6</v>
      </c>
      <c r="F4335">
        <v>0.11501</v>
      </c>
    </row>
    <row r="4336" spans="1:6" x14ac:dyDescent="0.3">
      <c r="A4336" t="s">
        <v>5</v>
      </c>
      <c r="B4336" s="1">
        <v>45838</v>
      </c>
      <c r="C4336">
        <v>16</v>
      </c>
      <c r="D4336">
        <v>0.126</v>
      </c>
      <c r="E4336" t="s">
        <v>6</v>
      </c>
      <c r="F4336">
        <v>0.12526000000000001</v>
      </c>
    </row>
    <row r="4337" spans="1:6" x14ac:dyDescent="0.3">
      <c r="A4337" t="s">
        <v>5</v>
      </c>
      <c r="B4337" s="1">
        <v>45838</v>
      </c>
      <c r="C4337">
        <v>17</v>
      </c>
      <c r="D4337">
        <v>0.17699999999999999</v>
      </c>
      <c r="E4337" t="s">
        <v>6</v>
      </c>
      <c r="F4337">
        <v>0.13613999999999998</v>
      </c>
    </row>
    <row r="4338" spans="1:6" x14ac:dyDescent="0.3">
      <c r="A4338" t="s">
        <v>5</v>
      </c>
      <c r="B4338" s="1">
        <v>45838</v>
      </c>
      <c r="C4338">
        <v>18</v>
      </c>
      <c r="D4338">
        <v>0.154</v>
      </c>
      <c r="E4338" t="s">
        <v>6</v>
      </c>
      <c r="F4338">
        <v>0.14308999999999999</v>
      </c>
    </row>
    <row r="4339" spans="1:6" x14ac:dyDescent="0.3">
      <c r="A4339" t="s">
        <v>5</v>
      </c>
      <c r="B4339" s="1">
        <v>45838</v>
      </c>
      <c r="C4339">
        <v>19</v>
      </c>
      <c r="D4339">
        <v>0.22500000000000001</v>
      </c>
      <c r="E4339" t="s">
        <v>6</v>
      </c>
      <c r="F4339">
        <v>0.21803999999999998</v>
      </c>
    </row>
    <row r="4340" spans="1:6" x14ac:dyDescent="0.3">
      <c r="A4340" t="s">
        <v>5</v>
      </c>
      <c r="B4340" s="1">
        <v>45838</v>
      </c>
      <c r="C4340">
        <v>20</v>
      </c>
      <c r="D4340">
        <v>0.112</v>
      </c>
      <c r="E4340" t="s">
        <v>6</v>
      </c>
      <c r="F4340">
        <v>0.22</v>
      </c>
    </row>
    <row r="4341" spans="1:6" x14ac:dyDescent="0.3">
      <c r="A4341" t="s">
        <v>5</v>
      </c>
      <c r="B4341" s="1">
        <v>45838</v>
      </c>
      <c r="C4341">
        <v>21</v>
      </c>
      <c r="D4341">
        <v>6.9000000000000006E-2</v>
      </c>
      <c r="E4341" t="s">
        <v>6</v>
      </c>
      <c r="F4341">
        <v>0.24775</v>
      </c>
    </row>
    <row r="4342" spans="1:6" x14ac:dyDescent="0.3">
      <c r="A4342" t="s">
        <v>5</v>
      </c>
      <c r="B4342" s="1">
        <v>45838</v>
      </c>
      <c r="C4342">
        <v>22</v>
      </c>
      <c r="D4342">
        <v>8.6999999999999994E-2</v>
      </c>
      <c r="E4342" t="s">
        <v>6</v>
      </c>
      <c r="F4342">
        <v>0.29430000000000001</v>
      </c>
    </row>
    <row r="4343" spans="1:6" x14ac:dyDescent="0.3">
      <c r="A4343" t="s">
        <v>5</v>
      </c>
      <c r="B4343" s="1">
        <v>45838</v>
      </c>
      <c r="C4343">
        <v>23</v>
      </c>
      <c r="D4343">
        <v>7.0000000000000007E-2</v>
      </c>
      <c r="E4343" t="s">
        <v>6</v>
      </c>
      <c r="F4343">
        <v>0.20734</v>
      </c>
    </row>
    <row r="4344" spans="1:6" x14ac:dyDescent="0.3">
      <c r="A4344" t="s">
        <v>5</v>
      </c>
      <c r="B4344" s="1">
        <v>45838</v>
      </c>
      <c r="C4344">
        <v>24</v>
      </c>
      <c r="D4344">
        <v>6.0999999999999999E-2</v>
      </c>
      <c r="E4344" t="s">
        <v>6</v>
      </c>
      <c r="F4344">
        <v>0.17374999999999999</v>
      </c>
    </row>
    <row r="4345" spans="1:6" x14ac:dyDescent="0.3">
      <c r="A4345" t="s">
        <v>5</v>
      </c>
      <c r="B4345" s="1">
        <v>45839</v>
      </c>
      <c r="C4345">
        <v>1</v>
      </c>
      <c r="D4345">
        <v>8.3000000000000004E-2</v>
      </c>
      <c r="E4345" t="s">
        <v>6</v>
      </c>
      <c r="F4345">
        <v>0.15293000000000001</v>
      </c>
    </row>
    <row r="4346" spans="1:6" x14ac:dyDescent="0.3">
      <c r="A4346" t="s">
        <v>5</v>
      </c>
      <c r="B4346" s="1">
        <v>45839</v>
      </c>
      <c r="C4346">
        <v>2</v>
      </c>
      <c r="D4346">
        <v>7.5999999999999998E-2</v>
      </c>
      <c r="E4346" t="s">
        <v>6</v>
      </c>
      <c r="F4346">
        <v>0.14080999999999999</v>
      </c>
    </row>
    <row r="4347" spans="1:6" x14ac:dyDescent="0.3">
      <c r="A4347" t="s">
        <v>5</v>
      </c>
      <c r="B4347" s="1">
        <v>45839</v>
      </c>
      <c r="C4347">
        <v>3</v>
      </c>
      <c r="D4347">
        <v>6.2E-2</v>
      </c>
      <c r="E4347" t="s">
        <v>6</v>
      </c>
      <c r="F4347">
        <v>0.13919999999999999</v>
      </c>
    </row>
    <row r="4348" spans="1:6" x14ac:dyDescent="0.3">
      <c r="A4348" t="s">
        <v>5</v>
      </c>
      <c r="B4348" s="1">
        <v>45839</v>
      </c>
      <c r="C4348">
        <v>4</v>
      </c>
      <c r="D4348">
        <v>7.6999999999999999E-2</v>
      </c>
      <c r="E4348" t="s">
        <v>6</v>
      </c>
      <c r="F4348">
        <v>0.13539999999999999</v>
      </c>
    </row>
    <row r="4349" spans="1:6" x14ac:dyDescent="0.3">
      <c r="A4349" t="s">
        <v>5</v>
      </c>
      <c r="B4349" s="1">
        <v>45839</v>
      </c>
      <c r="C4349">
        <v>5</v>
      </c>
      <c r="D4349">
        <v>8.2000000000000003E-2</v>
      </c>
      <c r="E4349" t="s">
        <v>6</v>
      </c>
      <c r="F4349">
        <v>0.13405</v>
      </c>
    </row>
    <row r="4350" spans="1:6" x14ac:dyDescent="0.3">
      <c r="A4350" t="s">
        <v>5</v>
      </c>
      <c r="B4350" s="1">
        <v>45839</v>
      </c>
      <c r="C4350">
        <v>6</v>
      </c>
      <c r="D4350">
        <v>6.2E-2</v>
      </c>
      <c r="E4350" t="s">
        <v>6</v>
      </c>
      <c r="F4350">
        <v>0.13505</v>
      </c>
    </row>
    <row r="4351" spans="1:6" x14ac:dyDescent="0.3">
      <c r="A4351" t="s">
        <v>5</v>
      </c>
      <c r="B4351" s="1">
        <v>45839</v>
      </c>
      <c r="C4351">
        <v>7</v>
      </c>
      <c r="D4351">
        <v>7.0999999999999994E-2</v>
      </c>
      <c r="E4351" t="s">
        <v>6</v>
      </c>
      <c r="F4351">
        <v>0.13738999999999998</v>
      </c>
    </row>
    <row r="4352" spans="1:6" x14ac:dyDescent="0.3">
      <c r="A4352" t="s">
        <v>5</v>
      </c>
      <c r="B4352" s="1">
        <v>45839</v>
      </c>
      <c r="C4352">
        <v>8</v>
      </c>
      <c r="D4352">
        <v>8.5000000000000006E-2</v>
      </c>
      <c r="E4352" t="s">
        <v>6</v>
      </c>
      <c r="F4352">
        <v>0.14279</v>
      </c>
    </row>
    <row r="4353" spans="1:6" x14ac:dyDescent="0.3">
      <c r="A4353" t="s">
        <v>5</v>
      </c>
      <c r="B4353" s="1">
        <v>45839</v>
      </c>
      <c r="C4353">
        <v>9</v>
      </c>
      <c r="D4353">
        <v>6.2E-2</v>
      </c>
      <c r="E4353" t="s">
        <v>6</v>
      </c>
      <c r="F4353">
        <v>0.16037999999999999</v>
      </c>
    </row>
    <row r="4354" spans="1:6" x14ac:dyDescent="0.3">
      <c r="A4354" t="s">
        <v>5</v>
      </c>
      <c r="B4354" s="1">
        <v>45839</v>
      </c>
      <c r="C4354">
        <v>10</v>
      </c>
      <c r="D4354">
        <v>6.5000000000000002E-2</v>
      </c>
      <c r="E4354" t="s">
        <v>6</v>
      </c>
      <c r="F4354">
        <v>0.15275999999999998</v>
      </c>
    </row>
    <row r="4355" spans="1:6" x14ac:dyDescent="0.3">
      <c r="A4355" t="s">
        <v>5</v>
      </c>
      <c r="B4355" s="1">
        <v>45839</v>
      </c>
      <c r="C4355">
        <v>11</v>
      </c>
      <c r="D4355">
        <v>8.4000000000000005E-2</v>
      </c>
      <c r="E4355" t="s">
        <v>6</v>
      </c>
      <c r="F4355">
        <v>0.20687</v>
      </c>
    </row>
    <row r="4356" spans="1:6" x14ac:dyDescent="0.3">
      <c r="A4356" t="s">
        <v>5</v>
      </c>
      <c r="B4356" s="1">
        <v>45839</v>
      </c>
      <c r="C4356">
        <v>12</v>
      </c>
      <c r="D4356">
        <v>6.8000000000000005E-2</v>
      </c>
      <c r="E4356" t="s">
        <v>6</v>
      </c>
      <c r="F4356">
        <v>0.19006000000000001</v>
      </c>
    </row>
    <row r="4357" spans="1:6" x14ac:dyDescent="0.3">
      <c r="A4357" t="s">
        <v>5</v>
      </c>
      <c r="B4357" s="1">
        <v>45839</v>
      </c>
      <c r="C4357">
        <v>13</v>
      </c>
      <c r="D4357">
        <v>0.06</v>
      </c>
      <c r="E4357" t="s">
        <v>6</v>
      </c>
      <c r="F4357">
        <v>0.18877000000000002</v>
      </c>
    </row>
    <row r="4358" spans="1:6" x14ac:dyDescent="0.3">
      <c r="A4358" t="s">
        <v>5</v>
      </c>
      <c r="B4358" s="1">
        <v>45839</v>
      </c>
      <c r="C4358">
        <v>14</v>
      </c>
      <c r="D4358">
        <v>8.3000000000000004E-2</v>
      </c>
      <c r="E4358" t="s">
        <v>6</v>
      </c>
      <c r="F4358">
        <v>0.18643999999999999</v>
      </c>
    </row>
    <row r="4359" spans="1:6" x14ac:dyDescent="0.3">
      <c r="A4359" t="s">
        <v>5</v>
      </c>
      <c r="B4359" s="1">
        <v>45839</v>
      </c>
      <c r="C4359">
        <v>15</v>
      </c>
      <c r="D4359">
        <v>7.2999999999999995E-2</v>
      </c>
      <c r="E4359" t="s">
        <v>6</v>
      </c>
      <c r="F4359">
        <v>0.12129999999999999</v>
      </c>
    </row>
    <row r="4360" spans="1:6" x14ac:dyDescent="0.3">
      <c r="A4360" t="s">
        <v>5</v>
      </c>
      <c r="B4360" s="1">
        <v>45839</v>
      </c>
      <c r="C4360">
        <v>16</v>
      </c>
      <c r="D4360">
        <v>0.06</v>
      </c>
      <c r="E4360" t="s">
        <v>6</v>
      </c>
      <c r="F4360">
        <v>0.12182999999999999</v>
      </c>
    </row>
    <row r="4361" spans="1:6" x14ac:dyDescent="0.3">
      <c r="A4361" t="s">
        <v>5</v>
      </c>
      <c r="B4361" s="1">
        <v>45839</v>
      </c>
      <c r="C4361">
        <v>17</v>
      </c>
      <c r="D4361">
        <v>7.9000000000000001E-2</v>
      </c>
      <c r="E4361" t="s">
        <v>6</v>
      </c>
      <c r="F4361">
        <v>0.13412000000000002</v>
      </c>
    </row>
    <row r="4362" spans="1:6" x14ac:dyDescent="0.3">
      <c r="A4362" t="s">
        <v>5</v>
      </c>
      <c r="B4362" s="1">
        <v>45839</v>
      </c>
      <c r="C4362">
        <v>18</v>
      </c>
      <c r="D4362">
        <v>0.08</v>
      </c>
      <c r="E4362" t="s">
        <v>6</v>
      </c>
      <c r="F4362">
        <v>0.14696999999999999</v>
      </c>
    </row>
    <row r="4363" spans="1:6" x14ac:dyDescent="0.3">
      <c r="A4363" t="s">
        <v>5</v>
      </c>
      <c r="B4363" s="1">
        <v>45839</v>
      </c>
      <c r="C4363">
        <v>19</v>
      </c>
      <c r="D4363">
        <v>6.0999999999999999E-2</v>
      </c>
      <c r="E4363" t="s">
        <v>6</v>
      </c>
      <c r="F4363">
        <v>0.22194999999999998</v>
      </c>
    </row>
    <row r="4364" spans="1:6" x14ac:dyDescent="0.3">
      <c r="A4364" t="s">
        <v>5</v>
      </c>
      <c r="B4364" s="1">
        <v>45839</v>
      </c>
      <c r="C4364">
        <v>20</v>
      </c>
      <c r="D4364">
        <v>0.39500000000000002</v>
      </c>
      <c r="E4364" t="s">
        <v>6</v>
      </c>
      <c r="F4364">
        <v>0.2266</v>
      </c>
    </row>
    <row r="4365" spans="1:6" x14ac:dyDescent="0.3">
      <c r="A4365" t="s">
        <v>5</v>
      </c>
      <c r="B4365" s="1">
        <v>45839</v>
      </c>
      <c r="C4365">
        <v>21</v>
      </c>
      <c r="D4365">
        <v>1.3120000000000001</v>
      </c>
      <c r="E4365" t="s">
        <v>6</v>
      </c>
      <c r="F4365">
        <v>0.23674000000000001</v>
      </c>
    </row>
    <row r="4366" spans="1:6" x14ac:dyDescent="0.3">
      <c r="A4366" t="s">
        <v>5</v>
      </c>
      <c r="B4366" s="1">
        <v>45839</v>
      </c>
      <c r="C4366">
        <v>22</v>
      </c>
      <c r="D4366">
        <v>1.3480000000000001</v>
      </c>
      <c r="E4366" t="s">
        <v>6</v>
      </c>
      <c r="F4366">
        <v>0.28479000000000004</v>
      </c>
    </row>
    <row r="4367" spans="1:6" x14ac:dyDescent="0.3">
      <c r="A4367" t="s">
        <v>5</v>
      </c>
      <c r="B4367" s="1">
        <v>45839</v>
      </c>
      <c r="C4367">
        <v>23</v>
      </c>
      <c r="D4367">
        <v>1.3</v>
      </c>
      <c r="E4367" t="s">
        <v>6</v>
      </c>
      <c r="F4367">
        <v>0.21101</v>
      </c>
    </row>
    <row r="4368" spans="1:6" x14ac:dyDescent="0.3">
      <c r="A4368" t="s">
        <v>5</v>
      </c>
      <c r="B4368" s="1">
        <v>45839</v>
      </c>
      <c r="C4368">
        <v>24</v>
      </c>
      <c r="D4368">
        <v>1.306</v>
      </c>
      <c r="E4368" t="s">
        <v>6</v>
      </c>
      <c r="F4368">
        <v>0.17755000000000001</v>
      </c>
    </row>
    <row r="4369" spans="1:6" x14ac:dyDescent="0.3">
      <c r="A4369" t="s">
        <v>5</v>
      </c>
      <c r="B4369" s="1">
        <v>45840</v>
      </c>
      <c r="C4369">
        <v>1</v>
      </c>
      <c r="D4369">
        <v>1.302</v>
      </c>
      <c r="E4369" t="s">
        <v>6</v>
      </c>
      <c r="F4369">
        <v>0.15915000000000001</v>
      </c>
    </row>
    <row r="4370" spans="1:6" x14ac:dyDescent="0.3">
      <c r="A4370" t="s">
        <v>5</v>
      </c>
      <c r="B4370" s="1">
        <v>45840</v>
      </c>
      <c r="C4370">
        <v>2</v>
      </c>
      <c r="D4370">
        <v>1.2689999999999999</v>
      </c>
      <c r="E4370" t="s">
        <v>6</v>
      </c>
      <c r="F4370">
        <v>0.14776</v>
      </c>
    </row>
    <row r="4371" spans="1:6" x14ac:dyDescent="0.3">
      <c r="A4371" t="s">
        <v>5</v>
      </c>
      <c r="B4371" s="1">
        <v>45840</v>
      </c>
      <c r="C4371">
        <v>3</v>
      </c>
      <c r="D4371">
        <v>0.42</v>
      </c>
      <c r="E4371" t="s">
        <v>6</v>
      </c>
      <c r="F4371">
        <v>0.13882</v>
      </c>
    </row>
    <row r="4372" spans="1:6" x14ac:dyDescent="0.3">
      <c r="A4372" t="s">
        <v>5</v>
      </c>
      <c r="B4372" s="1">
        <v>45840</v>
      </c>
      <c r="C4372">
        <v>4</v>
      </c>
      <c r="D4372">
        <v>0.114</v>
      </c>
      <c r="E4372" t="s">
        <v>6</v>
      </c>
      <c r="F4372">
        <v>0.13588999999999998</v>
      </c>
    </row>
    <row r="4373" spans="1:6" x14ac:dyDescent="0.3">
      <c r="A4373" t="s">
        <v>5</v>
      </c>
      <c r="B4373" s="1">
        <v>45840</v>
      </c>
      <c r="C4373">
        <v>5</v>
      </c>
      <c r="D4373">
        <v>9.0999999999999998E-2</v>
      </c>
      <c r="E4373" t="s">
        <v>6</v>
      </c>
      <c r="F4373">
        <v>0.13631000000000001</v>
      </c>
    </row>
    <row r="4374" spans="1:6" x14ac:dyDescent="0.3">
      <c r="A4374" t="s">
        <v>5</v>
      </c>
      <c r="B4374" s="1">
        <v>45840</v>
      </c>
      <c r="C4374">
        <v>6</v>
      </c>
      <c r="D4374">
        <v>8.7999999999999995E-2</v>
      </c>
      <c r="E4374" t="s">
        <v>6</v>
      </c>
      <c r="F4374">
        <v>0.13608000000000001</v>
      </c>
    </row>
    <row r="4375" spans="1:6" x14ac:dyDescent="0.3">
      <c r="A4375" t="s">
        <v>5</v>
      </c>
      <c r="B4375" s="1">
        <v>45840</v>
      </c>
      <c r="C4375">
        <v>7</v>
      </c>
      <c r="D4375">
        <v>0.107</v>
      </c>
      <c r="E4375" t="s">
        <v>6</v>
      </c>
      <c r="F4375">
        <v>0.13616999999999999</v>
      </c>
    </row>
    <row r="4376" spans="1:6" x14ac:dyDescent="0.3">
      <c r="A4376" t="s">
        <v>5</v>
      </c>
      <c r="B4376" s="1">
        <v>45840</v>
      </c>
      <c r="C4376">
        <v>8</v>
      </c>
      <c r="D4376">
        <v>9.2999999999999999E-2</v>
      </c>
      <c r="E4376" t="s">
        <v>6</v>
      </c>
      <c r="F4376">
        <v>0.13961999999999999</v>
      </c>
    </row>
    <row r="4377" spans="1:6" x14ac:dyDescent="0.3">
      <c r="A4377" t="s">
        <v>5</v>
      </c>
      <c r="B4377" s="1">
        <v>45840</v>
      </c>
      <c r="C4377">
        <v>9</v>
      </c>
      <c r="D4377">
        <v>8.2000000000000003E-2</v>
      </c>
      <c r="E4377" t="s">
        <v>6</v>
      </c>
      <c r="F4377">
        <v>0.16391999999999998</v>
      </c>
    </row>
    <row r="4378" spans="1:6" x14ac:dyDescent="0.3">
      <c r="A4378" t="s">
        <v>5</v>
      </c>
      <c r="B4378" s="1">
        <v>45840</v>
      </c>
      <c r="C4378">
        <v>10</v>
      </c>
      <c r="D4378">
        <v>9.1999999999999998E-2</v>
      </c>
      <c r="E4378" t="s">
        <v>6</v>
      </c>
      <c r="F4378">
        <v>0.15581999999999999</v>
      </c>
    </row>
    <row r="4379" spans="1:6" x14ac:dyDescent="0.3">
      <c r="A4379" t="s">
        <v>5</v>
      </c>
      <c r="B4379" s="1">
        <v>45840</v>
      </c>
      <c r="C4379">
        <v>11</v>
      </c>
      <c r="D4379">
        <v>8.5999999999999993E-2</v>
      </c>
      <c r="E4379" t="s">
        <v>6</v>
      </c>
      <c r="F4379">
        <v>0.19686000000000001</v>
      </c>
    </row>
    <row r="4380" spans="1:6" x14ac:dyDescent="0.3">
      <c r="A4380" t="s">
        <v>5</v>
      </c>
      <c r="B4380" s="1">
        <v>45840</v>
      </c>
      <c r="C4380">
        <v>12</v>
      </c>
      <c r="D4380">
        <v>6.5000000000000002E-2</v>
      </c>
      <c r="E4380" t="s">
        <v>6</v>
      </c>
      <c r="F4380">
        <v>0.19053999999999999</v>
      </c>
    </row>
    <row r="4381" spans="1:6" x14ac:dyDescent="0.3">
      <c r="A4381" t="s">
        <v>5</v>
      </c>
      <c r="B4381" s="1">
        <v>45840</v>
      </c>
      <c r="C4381">
        <v>13</v>
      </c>
      <c r="D4381">
        <v>6.2E-2</v>
      </c>
      <c r="E4381" t="s">
        <v>6</v>
      </c>
      <c r="F4381">
        <v>0.18356999999999998</v>
      </c>
    </row>
    <row r="4382" spans="1:6" x14ac:dyDescent="0.3">
      <c r="A4382" t="s">
        <v>5</v>
      </c>
      <c r="B4382" s="1">
        <v>45840</v>
      </c>
      <c r="C4382">
        <v>14</v>
      </c>
      <c r="D4382">
        <v>8.5999999999999993E-2</v>
      </c>
      <c r="E4382" t="s">
        <v>6</v>
      </c>
      <c r="F4382">
        <v>0.18101</v>
      </c>
    </row>
    <row r="4383" spans="1:6" x14ac:dyDescent="0.3">
      <c r="A4383" t="s">
        <v>5</v>
      </c>
      <c r="B4383" s="1">
        <v>45840</v>
      </c>
      <c r="C4383">
        <v>15</v>
      </c>
      <c r="D4383">
        <v>7.2999999999999995E-2</v>
      </c>
      <c r="E4383" t="s">
        <v>6</v>
      </c>
      <c r="F4383">
        <v>0.11547</v>
      </c>
    </row>
    <row r="4384" spans="1:6" x14ac:dyDescent="0.3">
      <c r="A4384" t="s">
        <v>5</v>
      </c>
      <c r="B4384" s="1">
        <v>45840</v>
      </c>
      <c r="C4384">
        <v>16</v>
      </c>
      <c r="D4384">
        <v>6.0999999999999999E-2</v>
      </c>
      <c r="E4384" t="s">
        <v>6</v>
      </c>
      <c r="F4384">
        <v>0.11747</v>
      </c>
    </row>
    <row r="4385" spans="1:6" x14ac:dyDescent="0.3">
      <c r="A4385" t="s">
        <v>5</v>
      </c>
      <c r="B4385" s="1">
        <v>45840</v>
      </c>
      <c r="C4385">
        <v>17</v>
      </c>
      <c r="D4385">
        <v>7.6999999999999999E-2</v>
      </c>
      <c r="E4385" t="s">
        <v>6</v>
      </c>
      <c r="F4385">
        <v>0.12594</v>
      </c>
    </row>
    <row r="4386" spans="1:6" x14ac:dyDescent="0.3">
      <c r="A4386" t="s">
        <v>5</v>
      </c>
      <c r="B4386" s="1">
        <v>45840</v>
      </c>
      <c r="C4386">
        <v>18</v>
      </c>
      <c r="D4386">
        <v>8.3000000000000004E-2</v>
      </c>
      <c r="E4386" t="s">
        <v>6</v>
      </c>
      <c r="F4386">
        <v>0.12733</v>
      </c>
    </row>
    <row r="4387" spans="1:6" x14ac:dyDescent="0.3">
      <c r="A4387" t="s">
        <v>5</v>
      </c>
      <c r="B4387" s="1">
        <v>45840</v>
      </c>
      <c r="C4387">
        <v>19</v>
      </c>
      <c r="D4387">
        <v>6.3E-2</v>
      </c>
      <c r="E4387" t="s">
        <v>6</v>
      </c>
      <c r="F4387">
        <v>0.20448</v>
      </c>
    </row>
    <row r="4388" spans="1:6" x14ac:dyDescent="0.3">
      <c r="A4388" t="s">
        <v>5</v>
      </c>
      <c r="B4388" s="1">
        <v>45840</v>
      </c>
      <c r="C4388">
        <v>20</v>
      </c>
      <c r="D4388">
        <v>6.8000000000000005E-2</v>
      </c>
      <c r="E4388" t="s">
        <v>6</v>
      </c>
      <c r="F4388">
        <v>0.22612000000000002</v>
      </c>
    </row>
    <row r="4389" spans="1:6" x14ac:dyDescent="0.3">
      <c r="A4389" t="s">
        <v>5</v>
      </c>
      <c r="B4389" s="1">
        <v>45840</v>
      </c>
      <c r="C4389">
        <v>21</v>
      </c>
      <c r="D4389">
        <v>8.5999999999999993E-2</v>
      </c>
      <c r="E4389" t="s">
        <v>6</v>
      </c>
      <c r="F4389">
        <v>0.23182</v>
      </c>
    </row>
    <row r="4390" spans="1:6" x14ac:dyDescent="0.3">
      <c r="A4390" t="s">
        <v>5</v>
      </c>
      <c r="B4390" s="1">
        <v>45840</v>
      </c>
      <c r="C4390">
        <v>22</v>
      </c>
      <c r="D4390">
        <v>7.0999999999999994E-2</v>
      </c>
      <c r="E4390" t="s">
        <v>6</v>
      </c>
      <c r="F4390">
        <v>0.24531</v>
      </c>
    </row>
    <row r="4391" spans="1:6" x14ac:dyDescent="0.3">
      <c r="A4391" t="s">
        <v>5</v>
      </c>
      <c r="B4391" s="1">
        <v>45840</v>
      </c>
      <c r="C4391">
        <v>23</v>
      </c>
      <c r="D4391">
        <v>6.3E-2</v>
      </c>
      <c r="E4391" t="s">
        <v>6</v>
      </c>
      <c r="F4391">
        <v>0.17787999999999998</v>
      </c>
    </row>
    <row r="4392" spans="1:6" x14ac:dyDescent="0.3">
      <c r="A4392" t="s">
        <v>5</v>
      </c>
      <c r="B4392" s="1">
        <v>45840</v>
      </c>
      <c r="C4392">
        <v>24</v>
      </c>
      <c r="D4392">
        <v>7.9000000000000001E-2</v>
      </c>
      <c r="E4392" t="s">
        <v>6</v>
      </c>
      <c r="F4392">
        <v>0.16172</v>
      </c>
    </row>
    <row r="4393" spans="1:6" x14ac:dyDescent="0.3">
      <c r="A4393" t="s">
        <v>5</v>
      </c>
      <c r="B4393" s="1">
        <v>45841</v>
      </c>
      <c r="C4393">
        <v>1</v>
      </c>
      <c r="D4393">
        <v>8.3000000000000004E-2</v>
      </c>
      <c r="E4393" t="s">
        <v>6</v>
      </c>
      <c r="F4393">
        <v>0.14233999999999999</v>
      </c>
    </row>
    <row r="4394" spans="1:6" x14ac:dyDescent="0.3">
      <c r="A4394" t="s">
        <v>5</v>
      </c>
      <c r="B4394" s="1">
        <v>45841</v>
      </c>
      <c r="C4394">
        <v>2</v>
      </c>
      <c r="D4394">
        <v>6.3E-2</v>
      </c>
      <c r="E4394" t="s">
        <v>6</v>
      </c>
      <c r="F4394">
        <v>0.14122999999999999</v>
      </c>
    </row>
    <row r="4395" spans="1:6" x14ac:dyDescent="0.3">
      <c r="A4395" t="s">
        <v>5</v>
      </c>
      <c r="B4395" s="1">
        <v>45841</v>
      </c>
      <c r="C4395">
        <v>3</v>
      </c>
      <c r="D4395">
        <v>6.7000000000000004E-2</v>
      </c>
      <c r="E4395" t="s">
        <v>6</v>
      </c>
      <c r="F4395">
        <v>0.14083999999999999</v>
      </c>
    </row>
    <row r="4396" spans="1:6" x14ac:dyDescent="0.3">
      <c r="A4396" t="s">
        <v>5</v>
      </c>
      <c r="B4396" s="1">
        <v>45841</v>
      </c>
      <c r="C4396">
        <v>4</v>
      </c>
      <c r="D4396">
        <v>8.6999999999999994E-2</v>
      </c>
      <c r="E4396" t="s">
        <v>6</v>
      </c>
      <c r="F4396">
        <v>0.13072</v>
      </c>
    </row>
    <row r="4397" spans="1:6" x14ac:dyDescent="0.3">
      <c r="A4397" t="s">
        <v>5</v>
      </c>
      <c r="B4397" s="1">
        <v>45841</v>
      </c>
      <c r="C4397">
        <v>5</v>
      </c>
      <c r="D4397">
        <v>7.1999999999999995E-2</v>
      </c>
      <c r="E4397" t="s">
        <v>6</v>
      </c>
      <c r="F4397">
        <v>0.11995</v>
      </c>
    </row>
    <row r="4398" spans="1:6" x14ac:dyDescent="0.3">
      <c r="A4398" t="s">
        <v>5</v>
      </c>
      <c r="B4398" s="1">
        <v>45841</v>
      </c>
      <c r="C4398">
        <v>6</v>
      </c>
      <c r="D4398">
        <v>6.3E-2</v>
      </c>
      <c r="E4398" t="s">
        <v>6</v>
      </c>
      <c r="F4398">
        <v>0.12911</v>
      </c>
    </row>
    <row r="4399" spans="1:6" x14ac:dyDescent="0.3">
      <c r="A4399" t="s">
        <v>5</v>
      </c>
      <c r="B4399" s="1">
        <v>45841</v>
      </c>
      <c r="C4399">
        <v>7</v>
      </c>
      <c r="D4399">
        <v>7.8E-2</v>
      </c>
      <c r="E4399" t="s">
        <v>6</v>
      </c>
      <c r="F4399">
        <v>0.14061999999999999</v>
      </c>
    </row>
    <row r="4400" spans="1:6" x14ac:dyDescent="0.3">
      <c r="A4400" t="s">
        <v>5</v>
      </c>
      <c r="B4400" s="1">
        <v>45841</v>
      </c>
      <c r="C4400">
        <v>8</v>
      </c>
      <c r="D4400">
        <v>8.4000000000000005E-2</v>
      </c>
      <c r="E4400" t="s">
        <v>6</v>
      </c>
      <c r="F4400">
        <v>0.14637</v>
      </c>
    </row>
    <row r="4401" spans="1:6" x14ac:dyDescent="0.3">
      <c r="A4401" t="s">
        <v>5</v>
      </c>
      <c r="B4401" s="1">
        <v>45841</v>
      </c>
      <c r="C4401">
        <v>9</v>
      </c>
      <c r="D4401">
        <v>6.3E-2</v>
      </c>
      <c r="E4401" t="s">
        <v>6</v>
      </c>
      <c r="F4401">
        <v>0.16807</v>
      </c>
    </row>
    <row r="4402" spans="1:6" x14ac:dyDescent="0.3">
      <c r="A4402" t="s">
        <v>5</v>
      </c>
      <c r="B4402" s="1">
        <v>45841</v>
      </c>
      <c r="C4402">
        <v>10</v>
      </c>
      <c r="D4402">
        <v>6.6000000000000003E-2</v>
      </c>
      <c r="E4402" t="s">
        <v>6</v>
      </c>
      <c r="F4402">
        <v>0.12484999999999999</v>
      </c>
    </row>
    <row r="4403" spans="1:6" x14ac:dyDescent="0.3">
      <c r="A4403" t="s">
        <v>5</v>
      </c>
      <c r="B4403" s="1">
        <v>45841</v>
      </c>
      <c r="C4403">
        <v>11</v>
      </c>
      <c r="D4403">
        <v>8.5000000000000006E-2</v>
      </c>
      <c r="E4403" t="s">
        <v>6</v>
      </c>
      <c r="F4403">
        <v>0.18834000000000001</v>
      </c>
    </row>
    <row r="4404" spans="1:6" x14ac:dyDescent="0.3">
      <c r="A4404" t="s">
        <v>5</v>
      </c>
      <c r="B4404" s="1">
        <v>45841</v>
      </c>
      <c r="C4404">
        <v>12</v>
      </c>
      <c r="D4404">
        <v>7.2999999999999995E-2</v>
      </c>
      <c r="E4404" t="s">
        <v>6</v>
      </c>
      <c r="F4404">
        <v>0.17552000000000001</v>
      </c>
    </row>
    <row r="4405" spans="1:6" x14ac:dyDescent="0.3">
      <c r="A4405" t="s">
        <v>5</v>
      </c>
      <c r="B4405" s="1">
        <v>45841</v>
      </c>
      <c r="C4405">
        <v>13</v>
      </c>
      <c r="D4405">
        <v>6.3E-2</v>
      </c>
      <c r="E4405" t="s">
        <v>6</v>
      </c>
      <c r="F4405">
        <v>0.16036</v>
      </c>
    </row>
    <row r="4406" spans="1:6" x14ac:dyDescent="0.3">
      <c r="A4406" t="s">
        <v>5</v>
      </c>
      <c r="B4406" s="1">
        <v>45841</v>
      </c>
      <c r="C4406">
        <v>14</v>
      </c>
      <c r="D4406">
        <v>7.5999999999999998E-2</v>
      </c>
      <c r="E4406" t="s">
        <v>6</v>
      </c>
      <c r="F4406">
        <v>0.15225</v>
      </c>
    </row>
    <row r="4407" spans="1:6" x14ac:dyDescent="0.3">
      <c r="A4407" t="s">
        <v>5</v>
      </c>
      <c r="B4407" s="1">
        <v>45841</v>
      </c>
      <c r="C4407">
        <v>15</v>
      </c>
      <c r="D4407">
        <v>8.5000000000000006E-2</v>
      </c>
      <c r="E4407" t="s">
        <v>6</v>
      </c>
      <c r="F4407">
        <v>8.8930000000000009E-2</v>
      </c>
    </row>
    <row r="4408" spans="1:6" x14ac:dyDescent="0.3">
      <c r="A4408" t="s">
        <v>5</v>
      </c>
      <c r="B4408" s="1">
        <v>45841</v>
      </c>
      <c r="C4408">
        <v>16</v>
      </c>
      <c r="D4408">
        <v>6.3E-2</v>
      </c>
      <c r="E4408" t="s">
        <v>6</v>
      </c>
      <c r="F4408">
        <v>0.10751999999999999</v>
      </c>
    </row>
    <row r="4409" spans="1:6" x14ac:dyDescent="0.3">
      <c r="A4409" t="s">
        <v>5</v>
      </c>
      <c r="B4409" s="1">
        <v>45841</v>
      </c>
      <c r="C4409">
        <v>17</v>
      </c>
      <c r="D4409">
        <v>6.4000000000000001E-2</v>
      </c>
      <c r="E4409" t="s">
        <v>6</v>
      </c>
      <c r="F4409">
        <v>0.11639000000000001</v>
      </c>
    </row>
    <row r="4410" spans="1:6" x14ac:dyDescent="0.3">
      <c r="A4410" t="s">
        <v>5</v>
      </c>
      <c r="B4410" s="1">
        <v>45841</v>
      </c>
      <c r="C4410">
        <v>18</v>
      </c>
      <c r="D4410">
        <v>8.5999999999999993E-2</v>
      </c>
      <c r="E4410" t="s">
        <v>6</v>
      </c>
      <c r="F4410">
        <v>0.13469</v>
      </c>
    </row>
    <row r="4411" spans="1:6" x14ac:dyDescent="0.3">
      <c r="A4411" t="s">
        <v>5</v>
      </c>
      <c r="B4411" s="1">
        <v>45841</v>
      </c>
      <c r="C4411">
        <v>19</v>
      </c>
      <c r="D4411">
        <v>7.6999999999999999E-2</v>
      </c>
      <c r="E4411" t="s">
        <v>6</v>
      </c>
      <c r="F4411">
        <v>0.21965000000000001</v>
      </c>
    </row>
    <row r="4412" spans="1:6" x14ac:dyDescent="0.3">
      <c r="A4412" t="s">
        <v>5</v>
      </c>
      <c r="B4412" s="1">
        <v>45841</v>
      </c>
      <c r="C4412">
        <v>20</v>
      </c>
      <c r="D4412">
        <v>6.4000000000000001E-2</v>
      </c>
      <c r="E4412" t="s">
        <v>6</v>
      </c>
      <c r="F4412">
        <v>0.23349</v>
      </c>
    </row>
    <row r="4413" spans="1:6" x14ac:dyDescent="0.3">
      <c r="A4413" t="s">
        <v>5</v>
      </c>
      <c r="B4413" s="1">
        <v>45841</v>
      </c>
      <c r="C4413">
        <v>21</v>
      </c>
      <c r="D4413">
        <v>7.2999999999999995E-2</v>
      </c>
      <c r="E4413" t="s">
        <v>6</v>
      </c>
      <c r="F4413">
        <v>0.2412</v>
      </c>
    </row>
    <row r="4414" spans="1:6" x14ac:dyDescent="0.3">
      <c r="A4414" t="s">
        <v>5</v>
      </c>
      <c r="B4414" s="1">
        <v>45841</v>
      </c>
      <c r="C4414">
        <v>22</v>
      </c>
      <c r="D4414">
        <v>8.5999999999999993E-2</v>
      </c>
      <c r="E4414" t="s">
        <v>6</v>
      </c>
      <c r="F4414">
        <v>0.26688000000000001</v>
      </c>
    </row>
    <row r="4415" spans="1:6" x14ac:dyDescent="0.3">
      <c r="A4415" t="s">
        <v>5</v>
      </c>
      <c r="B4415" s="1">
        <v>45841</v>
      </c>
      <c r="C4415">
        <v>23</v>
      </c>
      <c r="D4415">
        <v>6.8000000000000005E-2</v>
      </c>
      <c r="E4415" t="s">
        <v>6</v>
      </c>
      <c r="F4415">
        <v>0.19853000000000001</v>
      </c>
    </row>
    <row r="4416" spans="1:6" x14ac:dyDescent="0.3">
      <c r="A4416" t="s">
        <v>5</v>
      </c>
      <c r="B4416" s="1">
        <v>45841</v>
      </c>
      <c r="C4416">
        <v>24</v>
      </c>
      <c r="D4416">
        <v>6.4000000000000001E-2</v>
      </c>
      <c r="E4416" t="s">
        <v>6</v>
      </c>
      <c r="F4416">
        <v>0.17496999999999999</v>
      </c>
    </row>
    <row r="4417" spans="1:6" x14ac:dyDescent="0.3">
      <c r="A4417" t="s">
        <v>5</v>
      </c>
      <c r="B4417" s="1">
        <v>45842</v>
      </c>
      <c r="C4417">
        <v>1</v>
      </c>
      <c r="D4417">
        <v>8.2000000000000003E-2</v>
      </c>
      <c r="E4417" t="s">
        <v>6</v>
      </c>
      <c r="F4417">
        <v>0.13589999999999999</v>
      </c>
    </row>
    <row r="4418" spans="1:6" x14ac:dyDescent="0.3">
      <c r="A4418" t="s">
        <v>5</v>
      </c>
      <c r="B4418" s="1">
        <v>45842</v>
      </c>
      <c r="C4418">
        <v>2</v>
      </c>
      <c r="D4418">
        <v>8.2000000000000003E-2</v>
      </c>
      <c r="E4418" t="s">
        <v>6</v>
      </c>
      <c r="F4418">
        <v>0.13375999999999999</v>
      </c>
    </row>
    <row r="4419" spans="1:6" x14ac:dyDescent="0.3">
      <c r="A4419" t="s">
        <v>5</v>
      </c>
      <c r="B4419" s="1">
        <v>45842</v>
      </c>
      <c r="C4419">
        <v>3</v>
      </c>
      <c r="D4419">
        <v>6.3E-2</v>
      </c>
      <c r="E4419" t="s">
        <v>6</v>
      </c>
      <c r="F4419">
        <v>0.13341</v>
      </c>
    </row>
    <row r="4420" spans="1:6" x14ac:dyDescent="0.3">
      <c r="A4420" t="s">
        <v>5</v>
      </c>
      <c r="B4420" s="1">
        <v>45842</v>
      </c>
      <c r="C4420">
        <v>4</v>
      </c>
      <c r="D4420">
        <v>6.9000000000000006E-2</v>
      </c>
      <c r="E4420" t="s">
        <v>6</v>
      </c>
      <c r="F4420">
        <v>0.13022999999999998</v>
      </c>
    </row>
    <row r="4421" spans="1:6" x14ac:dyDescent="0.3">
      <c r="A4421" t="s">
        <v>5</v>
      </c>
      <c r="B4421" s="1">
        <v>45842</v>
      </c>
      <c r="C4421">
        <v>5</v>
      </c>
      <c r="D4421">
        <v>8.5999999999999993E-2</v>
      </c>
      <c r="E4421" t="s">
        <v>6</v>
      </c>
      <c r="F4421">
        <v>0.13037000000000001</v>
      </c>
    </row>
    <row r="4422" spans="1:6" x14ac:dyDescent="0.3">
      <c r="A4422" t="s">
        <v>5</v>
      </c>
      <c r="B4422" s="1">
        <v>45842</v>
      </c>
      <c r="C4422">
        <v>6</v>
      </c>
      <c r="D4422">
        <v>7.1999999999999995E-2</v>
      </c>
      <c r="E4422" t="s">
        <v>6</v>
      </c>
      <c r="F4422">
        <v>0.13090000000000002</v>
      </c>
    </row>
    <row r="4423" spans="1:6" x14ac:dyDescent="0.3">
      <c r="A4423" t="s">
        <v>5</v>
      </c>
      <c r="B4423" s="1">
        <v>45842</v>
      </c>
      <c r="C4423">
        <v>7</v>
      </c>
      <c r="D4423">
        <v>6.3E-2</v>
      </c>
      <c r="E4423" t="s">
        <v>6</v>
      </c>
      <c r="F4423">
        <v>0.13689999999999999</v>
      </c>
    </row>
    <row r="4424" spans="1:6" x14ac:dyDescent="0.3">
      <c r="A4424" t="s">
        <v>5</v>
      </c>
      <c r="B4424" s="1">
        <v>45842</v>
      </c>
      <c r="C4424">
        <v>8</v>
      </c>
      <c r="D4424">
        <v>7.8E-2</v>
      </c>
      <c r="E4424" t="s">
        <v>6</v>
      </c>
      <c r="F4424">
        <v>0.14099</v>
      </c>
    </row>
    <row r="4425" spans="1:6" x14ac:dyDescent="0.3">
      <c r="A4425" t="s">
        <v>5</v>
      </c>
      <c r="B4425" s="1">
        <v>45842</v>
      </c>
      <c r="C4425">
        <v>9</v>
      </c>
      <c r="D4425">
        <v>8.4000000000000005E-2</v>
      </c>
      <c r="E4425" t="s">
        <v>6</v>
      </c>
      <c r="F4425">
        <v>0.16174000000000002</v>
      </c>
    </row>
    <row r="4426" spans="1:6" x14ac:dyDescent="0.3">
      <c r="A4426" t="s">
        <v>5</v>
      </c>
      <c r="B4426" s="1">
        <v>45842</v>
      </c>
      <c r="C4426">
        <v>10</v>
      </c>
      <c r="D4426">
        <v>6.2E-2</v>
      </c>
      <c r="E4426" t="s">
        <v>6</v>
      </c>
      <c r="F4426">
        <v>0.14165</v>
      </c>
    </row>
    <row r="4427" spans="1:6" x14ac:dyDescent="0.3">
      <c r="A4427" t="s">
        <v>5</v>
      </c>
      <c r="B4427" s="1">
        <v>45842</v>
      </c>
      <c r="C4427">
        <v>11</v>
      </c>
      <c r="D4427">
        <v>6.4000000000000001E-2</v>
      </c>
      <c r="E4427" t="s">
        <v>6</v>
      </c>
      <c r="F4427">
        <v>0.19059999999999999</v>
      </c>
    </row>
    <row r="4428" spans="1:6" x14ac:dyDescent="0.3">
      <c r="A4428" t="s">
        <v>5</v>
      </c>
      <c r="B4428" s="1">
        <v>45842</v>
      </c>
      <c r="C4428">
        <v>12</v>
      </c>
      <c r="D4428">
        <v>8.5000000000000006E-2</v>
      </c>
      <c r="E4428" t="s">
        <v>6</v>
      </c>
      <c r="F4428">
        <v>0.18799000000000002</v>
      </c>
    </row>
    <row r="4429" spans="1:6" x14ac:dyDescent="0.3">
      <c r="A4429" t="s">
        <v>5</v>
      </c>
      <c r="B4429" s="1">
        <v>45842</v>
      </c>
      <c r="C4429">
        <v>13</v>
      </c>
      <c r="D4429">
        <v>7.4999999999999997E-2</v>
      </c>
      <c r="E4429" t="s">
        <v>6</v>
      </c>
      <c r="F4429">
        <v>0.19143000000000002</v>
      </c>
    </row>
    <row r="4430" spans="1:6" x14ac:dyDescent="0.3">
      <c r="A4430" t="s">
        <v>5</v>
      </c>
      <c r="B4430" s="1">
        <v>45842</v>
      </c>
      <c r="C4430">
        <v>14</v>
      </c>
      <c r="D4430">
        <v>6.3E-2</v>
      </c>
      <c r="E4430" t="s">
        <v>6</v>
      </c>
      <c r="F4430">
        <v>0.18941</v>
      </c>
    </row>
    <row r="4431" spans="1:6" x14ac:dyDescent="0.3">
      <c r="A4431" t="s">
        <v>5</v>
      </c>
      <c r="B4431" s="1">
        <v>45842</v>
      </c>
      <c r="C4431">
        <v>15</v>
      </c>
      <c r="D4431">
        <v>7.1999999999999995E-2</v>
      </c>
      <c r="E4431" t="s">
        <v>6</v>
      </c>
      <c r="F4431">
        <v>0.12415999999999999</v>
      </c>
    </row>
    <row r="4432" spans="1:6" x14ac:dyDescent="0.3">
      <c r="A4432" t="s">
        <v>5</v>
      </c>
      <c r="B4432" s="1">
        <v>45842</v>
      </c>
      <c r="C4432">
        <v>16</v>
      </c>
      <c r="D4432">
        <v>8.5000000000000006E-2</v>
      </c>
      <c r="E4432" t="s">
        <v>6</v>
      </c>
      <c r="F4432">
        <v>0.1245</v>
      </c>
    </row>
    <row r="4433" spans="1:6" x14ac:dyDescent="0.3">
      <c r="A4433" t="s">
        <v>5</v>
      </c>
      <c r="B4433" s="1">
        <v>45842</v>
      </c>
      <c r="C4433">
        <v>17</v>
      </c>
      <c r="D4433">
        <v>6.7000000000000004E-2</v>
      </c>
      <c r="E4433" t="s">
        <v>6</v>
      </c>
      <c r="F4433">
        <v>0.12368999999999999</v>
      </c>
    </row>
    <row r="4434" spans="1:6" x14ac:dyDescent="0.3">
      <c r="A4434" t="s">
        <v>5</v>
      </c>
      <c r="B4434" s="1">
        <v>45842</v>
      </c>
      <c r="C4434">
        <v>18</v>
      </c>
      <c r="D4434">
        <v>6.2E-2</v>
      </c>
      <c r="E4434" t="s">
        <v>6</v>
      </c>
      <c r="F4434">
        <v>0.12728</v>
      </c>
    </row>
    <row r="4435" spans="1:6" x14ac:dyDescent="0.3">
      <c r="A4435" t="s">
        <v>5</v>
      </c>
      <c r="B4435" s="1">
        <v>45842</v>
      </c>
      <c r="C4435">
        <v>19</v>
      </c>
      <c r="D4435">
        <v>0.10100000000000001</v>
      </c>
      <c r="E4435" t="s">
        <v>6</v>
      </c>
      <c r="F4435">
        <v>0.20643</v>
      </c>
    </row>
    <row r="4436" spans="1:6" x14ac:dyDescent="0.3">
      <c r="A4436" t="s">
        <v>5</v>
      </c>
      <c r="B4436" s="1">
        <v>45842</v>
      </c>
      <c r="C4436">
        <v>20</v>
      </c>
      <c r="D4436">
        <v>0.13700000000000001</v>
      </c>
      <c r="E4436" t="s">
        <v>6</v>
      </c>
      <c r="F4436">
        <v>0.22561</v>
      </c>
    </row>
    <row r="4437" spans="1:6" x14ac:dyDescent="0.3">
      <c r="A4437" t="s">
        <v>5</v>
      </c>
      <c r="B4437" s="1">
        <v>45842</v>
      </c>
      <c r="C4437">
        <v>21</v>
      </c>
      <c r="D4437">
        <v>9.1999999999999998E-2</v>
      </c>
      <c r="E4437" t="s">
        <v>6</v>
      </c>
      <c r="F4437">
        <v>0.23136999999999999</v>
      </c>
    </row>
    <row r="4438" spans="1:6" x14ac:dyDescent="0.3">
      <c r="A4438" t="s">
        <v>5</v>
      </c>
      <c r="B4438" s="1">
        <v>45842</v>
      </c>
      <c r="C4438">
        <v>22</v>
      </c>
      <c r="D4438">
        <v>8.8999999999999996E-2</v>
      </c>
      <c r="E4438" t="s">
        <v>6</v>
      </c>
      <c r="F4438">
        <v>0.26044</v>
      </c>
    </row>
    <row r="4439" spans="1:6" x14ac:dyDescent="0.3">
      <c r="A4439" t="s">
        <v>5</v>
      </c>
      <c r="B4439" s="1">
        <v>45842</v>
      </c>
      <c r="C4439">
        <v>23</v>
      </c>
      <c r="D4439">
        <v>1.252</v>
      </c>
      <c r="E4439" t="s">
        <v>6</v>
      </c>
      <c r="F4439">
        <v>0.19333</v>
      </c>
    </row>
    <row r="4440" spans="1:6" x14ac:dyDescent="0.3">
      <c r="A4440" t="s">
        <v>5</v>
      </c>
      <c r="B4440" s="1">
        <v>45842</v>
      </c>
      <c r="C4440">
        <v>24</v>
      </c>
      <c r="D4440">
        <v>1.3560000000000001</v>
      </c>
      <c r="E4440" t="s">
        <v>6</v>
      </c>
      <c r="F4440">
        <v>0.17573</v>
      </c>
    </row>
    <row r="4441" spans="1:6" x14ac:dyDescent="0.3">
      <c r="A4441" t="s">
        <v>5</v>
      </c>
      <c r="B4441" s="1">
        <v>45843</v>
      </c>
      <c r="C4441">
        <v>1</v>
      </c>
      <c r="D4441">
        <v>0.35</v>
      </c>
      <c r="E4441" t="s">
        <v>6</v>
      </c>
      <c r="F4441">
        <v>0.17172999999999999</v>
      </c>
    </row>
    <row r="4442" spans="1:6" x14ac:dyDescent="0.3">
      <c r="A4442" t="s">
        <v>5</v>
      </c>
      <c r="B4442" s="1">
        <v>45843</v>
      </c>
      <c r="C4442">
        <v>2</v>
      </c>
      <c r="D4442">
        <v>9.9000000000000005E-2</v>
      </c>
      <c r="E4442" t="s">
        <v>6</v>
      </c>
      <c r="F4442">
        <v>0.15665999999999999</v>
      </c>
    </row>
    <row r="4443" spans="1:6" x14ac:dyDescent="0.3">
      <c r="A4443" t="s">
        <v>5</v>
      </c>
      <c r="B4443" s="1">
        <v>45843</v>
      </c>
      <c r="C4443">
        <v>3</v>
      </c>
      <c r="D4443">
        <v>0.112</v>
      </c>
      <c r="E4443" t="s">
        <v>6</v>
      </c>
      <c r="F4443">
        <v>0.14752000000000001</v>
      </c>
    </row>
    <row r="4444" spans="1:6" x14ac:dyDescent="0.3">
      <c r="A4444" t="s">
        <v>5</v>
      </c>
      <c r="B4444" s="1">
        <v>45843</v>
      </c>
      <c r="C4444">
        <v>4</v>
      </c>
      <c r="D4444">
        <v>0.113</v>
      </c>
      <c r="E4444" t="s">
        <v>6</v>
      </c>
      <c r="F4444">
        <v>0.14130999999999999</v>
      </c>
    </row>
    <row r="4445" spans="1:6" x14ac:dyDescent="0.3">
      <c r="A4445" t="s">
        <v>5</v>
      </c>
      <c r="B4445" s="1">
        <v>45843</v>
      </c>
      <c r="C4445">
        <v>5</v>
      </c>
      <c r="D4445">
        <v>8.8999999999999996E-2</v>
      </c>
      <c r="E4445" t="s">
        <v>6</v>
      </c>
      <c r="F4445">
        <v>0.14141999999999999</v>
      </c>
    </row>
    <row r="4446" spans="1:6" x14ac:dyDescent="0.3">
      <c r="A4446" t="s">
        <v>5</v>
      </c>
      <c r="B4446" s="1">
        <v>45843</v>
      </c>
      <c r="C4446">
        <v>6</v>
      </c>
      <c r="D4446">
        <v>9.2999999999999999E-2</v>
      </c>
      <c r="E4446" t="s">
        <v>6</v>
      </c>
      <c r="F4446">
        <v>0.14096</v>
      </c>
    </row>
    <row r="4447" spans="1:6" x14ac:dyDescent="0.3">
      <c r="A4447" t="s">
        <v>5</v>
      </c>
      <c r="B4447" s="1">
        <v>45843</v>
      </c>
      <c r="C4447">
        <v>7</v>
      </c>
      <c r="D4447">
        <v>0.109</v>
      </c>
      <c r="E4447" t="s">
        <v>6</v>
      </c>
      <c r="F4447">
        <v>0.14452999999999999</v>
      </c>
    </row>
    <row r="4448" spans="1:6" x14ac:dyDescent="0.3">
      <c r="A4448" t="s">
        <v>5</v>
      </c>
      <c r="B4448" s="1">
        <v>45843</v>
      </c>
      <c r="C4448">
        <v>8</v>
      </c>
      <c r="D4448">
        <v>7.3999999999999996E-2</v>
      </c>
      <c r="E4448" t="s">
        <v>6</v>
      </c>
      <c r="F4448">
        <v>0.14662999999999998</v>
      </c>
    </row>
    <row r="4449" spans="1:6" x14ac:dyDescent="0.3">
      <c r="A4449" t="s">
        <v>5</v>
      </c>
      <c r="B4449" s="1">
        <v>45843</v>
      </c>
      <c r="C4449">
        <v>9</v>
      </c>
      <c r="D4449">
        <v>7.3999999999999996E-2</v>
      </c>
      <c r="E4449" t="s">
        <v>6</v>
      </c>
      <c r="F4449">
        <v>0.13483000000000001</v>
      </c>
    </row>
    <row r="4450" spans="1:6" x14ac:dyDescent="0.3">
      <c r="A4450" t="s">
        <v>5</v>
      </c>
      <c r="B4450" s="1">
        <v>45843</v>
      </c>
      <c r="C4450">
        <v>10</v>
      </c>
      <c r="D4450">
        <v>8.3000000000000004E-2</v>
      </c>
      <c r="E4450" t="s">
        <v>6</v>
      </c>
      <c r="F4450">
        <v>7.3189999999999991E-2</v>
      </c>
    </row>
    <row r="4451" spans="1:6" x14ac:dyDescent="0.3">
      <c r="A4451" t="s">
        <v>5</v>
      </c>
      <c r="B4451" s="1">
        <v>45843</v>
      </c>
      <c r="C4451">
        <v>11</v>
      </c>
      <c r="D4451">
        <v>7.8E-2</v>
      </c>
      <c r="E4451" t="s">
        <v>6</v>
      </c>
      <c r="F4451">
        <v>3.4849999999999999E-2</v>
      </c>
    </row>
    <row r="4452" spans="1:6" x14ac:dyDescent="0.3">
      <c r="A4452" t="s">
        <v>5</v>
      </c>
      <c r="B4452" s="1">
        <v>45843</v>
      </c>
      <c r="C4452">
        <v>12</v>
      </c>
      <c r="D4452">
        <v>6.2E-2</v>
      </c>
      <c r="E4452" t="s">
        <v>6</v>
      </c>
      <c r="F4452">
        <v>3.141E-2</v>
      </c>
    </row>
    <row r="4453" spans="1:6" x14ac:dyDescent="0.3">
      <c r="A4453" t="s">
        <v>5</v>
      </c>
      <c r="B4453" s="1">
        <v>45843</v>
      </c>
      <c r="C4453">
        <v>13</v>
      </c>
      <c r="D4453">
        <v>0.08</v>
      </c>
      <c r="E4453" t="s">
        <v>6</v>
      </c>
      <c r="F4453">
        <v>3.1980000000000001E-2</v>
      </c>
    </row>
    <row r="4454" spans="1:6" x14ac:dyDescent="0.3">
      <c r="A4454" t="s">
        <v>5</v>
      </c>
      <c r="B4454" s="1">
        <v>45843</v>
      </c>
      <c r="C4454">
        <v>14</v>
      </c>
      <c r="D4454">
        <v>7.9000000000000001E-2</v>
      </c>
      <c r="E4454" t="s">
        <v>6</v>
      </c>
      <c r="F4454">
        <v>3.3790000000000001E-2</v>
      </c>
    </row>
    <row r="4455" spans="1:6" x14ac:dyDescent="0.3">
      <c r="A4455" t="s">
        <v>5</v>
      </c>
      <c r="B4455" s="1">
        <v>45843</v>
      </c>
      <c r="C4455">
        <v>15</v>
      </c>
      <c r="D4455">
        <v>6.0999999999999999E-2</v>
      </c>
      <c r="E4455" t="s">
        <v>6</v>
      </c>
      <c r="F4455">
        <v>3.3869999999999997E-2</v>
      </c>
    </row>
    <row r="4456" spans="1:6" x14ac:dyDescent="0.3">
      <c r="A4456" t="s">
        <v>5</v>
      </c>
      <c r="B4456" s="1">
        <v>45843</v>
      </c>
      <c r="C4456">
        <v>16</v>
      </c>
      <c r="D4456">
        <v>7.8E-2</v>
      </c>
      <c r="E4456" t="s">
        <v>6</v>
      </c>
      <c r="F4456">
        <v>3.4040000000000001E-2</v>
      </c>
    </row>
    <row r="4457" spans="1:6" x14ac:dyDescent="0.3">
      <c r="A4457" t="s">
        <v>5</v>
      </c>
      <c r="B4457" s="1">
        <v>45843</v>
      </c>
      <c r="C4457">
        <v>17</v>
      </c>
      <c r="D4457">
        <v>8.1000000000000003E-2</v>
      </c>
      <c r="E4457" t="s">
        <v>6</v>
      </c>
      <c r="F4457">
        <v>3.4509999999999999E-2</v>
      </c>
    </row>
    <row r="4458" spans="1:6" x14ac:dyDescent="0.3">
      <c r="A4458" t="s">
        <v>5</v>
      </c>
      <c r="B4458" s="1">
        <v>45843</v>
      </c>
      <c r="C4458">
        <v>18</v>
      </c>
      <c r="D4458">
        <v>6.2E-2</v>
      </c>
      <c r="E4458" t="s">
        <v>6</v>
      </c>
      <c r="F4458">
        <v>5.9159999999999997E-2</v>
      </c>
    </row>
    <row r="4459" spans="1:6" x14ac:dyDescent="0.3">
      <c r="A4459" t="s">
        <v>5</v>
      </c>
      <c r="B4459" s="1">
        <v>45843</v>
      </c>
      <c r="C4459">
        <v>19</v>
      </c>
      <c r="D4459">
        <v>0.53</v>
      </c>
      <c r="E4459" t="s">
        <v>6</v>
      </c>
      <c r="F4459">
        <v>7.6989999999999989E-2</v>
      </c>
    </row>
    <row r="4460" spans="1:6" x14ac:dyDescent="0.3">
      <c r="A4460" t="s">
        <v>5</v>
      </c>
      <c r="B4460" s="1">
        <v>45843</v>
      </c>
      <c r="C4460">
        <v>20</v>
      </c>
      <c r="D4460">
        <v>1.123</v>
      </c>
      <c r="E4460" t="s">
        <v>6</v>
      </c>
      <c r="F4460">
        <v>0.13621</v>
      </c>
    </row>
    <row r="4461" spans="1:6" x14ac:dyDescent="0.3">
      <c r="A4461" t="s">
        <v>5</v>
      </c>
      <c r="B4461" s="1">
        <v>45843</v>
      </c>
      <c r="C4461">
        <v>21</v>
      </c>
      <c r="D4461">
        <v>0.67100000000000004</v>
      </c>
      <c r="E4461" t="s">
        <v>6</v>
      </c>
      <c r="F4461">
        <v>0.14792</v>
      </c>
    </row>
    <row r="4462" spans="1:6" x14ac:dyDescent="0.3">
      <c r="A4462" t="s">
        <v>5</v>
      </c>
      <c r="B4462" s="1">
        <v>45843</v>
      </c>
      <c r="C4462">
        <v>22</v>
      </c>
      <c r="D4462">
        <v>0.19900000000000001</v>
      </c>
      <c r="E4462" t="s">
        <v>6</v>
      </c>
      <c r="F4462">
        <v>0.17113999999999999</v>
      </c>
    </row>
    <row r="4463" spans="1:6" x14ac:dyDescent="0.3">
      <c r="A4463" t="s">
        <v>5</v>
      </c>
      <c r="B4463" s="1">
        <v>45843</v>
      </c>
      <c r="C4463">
        <v>23</v>
      </c>
      <c r="D4463">
        <v>0.66600000000000004</v>
      </c>
      <c r="E4463" t="s">
        <v>6</v>
      </c>
      <c r="F4463">
        <v>0.17427000000000001</v>
      </c>
    </row>
    <row r="4464" spans="1:6" x14ac:dyDescent="0.3">
      <c r="A4464" t="s">
        <v>5</v>
      </c>
      <c r="B4464" s="1">
        <v>45843</v>
      </c>
      <c r="C4464">
        <v>24</v>
      </c>
      <c r="D4464">
        <v>0.11600000000000001</v>
      </c>
      <c r="E4464" t="s">
        <v>6</v>
      </c>
      <c r="F4464">
        <v>0.15872999999999998</v>
      </c>
    </row>
    <row r="4465" spans="1:6" x14ac:dyDescent="0.3">
      <c r="A4465" t="s">
        <v>5</v>
      </c>
      <c r="B4465" s="1">
        <v>45844</v>
      </c>
      <c r="C4465">
        <v>1</v>
      </c>
      <c r="D4465">
        <v>0.112</v>
      </c>
      <c r="E4465" t="s">
        <v>6</v>
      </c>
      <c r="F4465">
        <v>0.15584999999999999</v>
      </c>
    </row>
    <row r="4466" spans="1:6" x14ac:dyDescent="0.3">
      <c r="A4466" t="s">
        <v>5</v>
      </c>
      <c r="B4466" s="1">
        <v>45844</v>
      </c>
      <c r="C4466">
        <v>2</v>
      </c>
      <c r="D4466">
        <v>8.4000000000000005E-2</v>
      </c>
      <c r="E4466" t="s">
        <v>6</v>
      </c>
      <c r="F4466">
        <v>0.14986000000000002</v>
      </c>
    </row>
    <row r="4467" spans="1:6" x14ac:dyDescent="0.3">
      <c r="A4467" t="s">
        <v>5</v>
      </c>
      <c r="B4467" s="1">
        <v>45844</v>
      </c>
      <c r="C4467">
        <v>3</v>
      </c>
      <c r="D4467">
        <v>0.09</v>
      </c>
      <c r="E4467" t="s">
        <v>6</v>
      </c>
      <c r="F4467">
        <v>0.14784</v>
      </c>
    </row>
    <row r="4468" spans="1:6" x14ac:dyDescent="0.3">
      <c r="A4468" t="s">
        <v>5</v>
      </c>
      <c r="B4468" s="1">
        <v>45844</v>
      </c>
      <c r="C4468">
        <v>4</v>
      </c>
      <c r="D4468">
        <v>0.108</v>
      </c>
      <c r="E4468" t="s">
        <v>6</v>
      </c>
      <c r="F4468">
        <v>0.14505999999999999</v>
      </c>
    </row>
    <row r="4469" spans="1:6" x14ac:dyDescent="0.3">
      <c r="A4469" t="s">
        <v>5</v>
      </c>
      <c r="B4469" s="1">
        <v>45844</v>
      </c>
      <c r="C4469">
        <v>5</v>
      </c>
      <c r="D4469">
        <v>8.7999999999999995E-2</v>
      </c>
      <c r="E4469" t="s">
        <v>6</v>
      </c>
      <c r="F4469">
        <v>0.14499999999999999</v>
      </c>
    </row>
    <row r="4470" spans="1:6" x14ac:dyDescent="0.3">
      <c r="A4470" t="s">
        <v>5</v>
      </c>
      <c r="B4470" s="1">
        <v>45844</v>
      </c>
      <c r="C4470">
        <v>6</v>
      </c>
      <c r="D4470">
        <v>8.4000000000000005E-2</v>
      </c>
      <c r="E4470" t="s">
        <v>6</v>
      </c>
      <c r="F4470">
        <v>0.14583000000000002</v>
      </c>
    </row>
    <row r="4471" spans="1:6" x14ac:dyDescent="0.3">
      <c r="A4471" t="s">
        <v>5</v>
      </c>
      <c r="B4471" s="1">
        <v>45844</v>
      </c>
      <c r="C4471">
        <v>7</v>
      </c>
      <c r="D4471">
        <v>0.107</v>
      </c>
      <c r="E4471" t="s">
        <v>6</v>
      </c>
      <c r="F4471">
        <v>0.1464</v>
      </c>
    </row>
    <row r="4472" spans="1:6" x14ac:dyDescent="0.3">
      <c r="A4472" t="s">
        <v>5</v>
      </c>
      <c r="B4472" s="1">
        <v>45844</v>
      </c>
      <c r="C4472">
        <v>8</v>
      </c>
      <c r="D4472">
        <v>8.2000000000000003E-2</v>
      </c>
      <c r="E4472" t="s">
        <v>6</v>
      </c>
      <c r="F4472">
        <v>0.14323</v>
      </c>
    </row>
    <row r="4473" spans="1:6" x14ac:dyDescent="0.3">
      <c r="A4473" t="s">
        <v>5</v>
      </c>
      <c r="B4473" s="1">
        <v>45844</v>
      </c>
      <c r="C4473">
        <v>9</v>
      </c>
      <c r="D4473">
        <v>8.4000000000000005E-2</v>
      </c>
      <c r="E4473" t="s">
        <v>6</v>
      </c>
      <c r="F4473">
        <v>9.9599999999999994E-2</v>
      </c>
    </row>
    <row r="4474" spans="1:6" x14ac:dyDescent="0.3">
      <c r="A4474" t="s">
        <v>5</v>
      </c>
      <c r="B4474" s="1">
        <v>45844</v>
      </c>
      <c r="C4474">
        <v>10</v>
      </c>
      <c r="D4474">
        <v>7.3999999999999996E-2</v>
      </c>
      <c r="E4474" t="s">
        <v>6</v>
      </c>
      <c r="F4474">
        <v>4.8180000000000001E-2</v>
      </c>
    </row>
    <row r="4475" spans="1:6" x14ac:dyDescent="0.3">
      <c r="A4475" t="s">
        <v>5</v>
      </c>
      <c r="B4475" s="1">
        <v>45844</v>
      </c>
      <c r="C4475">
        <v>11</v>
      </c>
      <c r="D4475">
        <v>8.5999999999999993E-2</v>
      </c>
      <c r="E4475" t="s">
        <v>6</v>
      </c>
      <c r="F4475">
        <v>4.1849999999999998E-2</v>
      </c>
    </row>
    <row r="4476" spans="1:6" x14ac:dyDescent="0.3">
      <c r="A4476" t="s">
        <v>5</v>
      </c>
      <c r="B4476" s="1">
        <v>45844</v>
      </c>
      <c r="C4476">
        <v>12</v>
      </c>
      <c r="D4476">
        <v>6.3E-2</v>
      </c>
      <c r="E4476" t="s">
        <v>6</v>
      </c>
      <c r="F4476">
        <v>4.0219999999999999E-2</v>
      </c>
    </row>
    <row r="4477" spans="1:6" x14ac:dyDescent="0.3">
      <c r="A4477" t="s">
        <v>5</v>
      </c>
      <c r="B4477" s="1">
        <v>45844</v>
      </c>
      <c r="C4477">
        <v>13</v>
      </c>
      <c r="D4477">
        <v>6.5000000000000002E-2</v>
      </c>
      <c r="E4477" t="s">
        <v>6</v>
      </c>
      <c r="F4477">
        <v>3.9670000000000004E-2</v>
      </c>
    </row>
    <row r="4478" spans="1:6" x14ac:dyDescent="0.3">
      <c r="A4478" t="s">
        <v>5</v>
      </c>
      <c r="B4478" s="1">
        <v>45844</v>
      </c>
      <c r="C4478">
        <v>14</v>
      </c>
      <c r="D4478">
        <v>8.5999999999999993E-2</v>
      </c>
      <c r="E4478" t="s">
        <v>6</v>
      </c>
      <c r="F4478">
        <v>4.1610000000000001E-2</v>
      </c>
    </row>
    <row r="4479" spans="1:6" x14ac:dyDescent="0.3">
      <c r="A4479" t="s">
        <v>5</v>
      </c>
      <c r="B4479" s="1">
        <v>45844</v>
      </c>
      <c r="C4479">
        <v>15</v>
      </c>
      <c r="D4479">
        <v>7.0000000000000007E-2</v>
      </c>
      <c r="E4479" t="s">
        <v>6</v>
      </c>
      <c r="F4479">
        <v>4.165E-2</v>
      </c>
    </row>
    <row r="4480" spans="1:6" x14ac:dyDescent="0.3">
      <c r="A4480" t="s">
        <v>5</v>
      </c>
      <c r="B4480" s="1">
        <v>45844</v>
      </c>
      <c r="C4480">
        <v>16</v>
      </c>
      <c r="D4480">
        <v>6.2E-2</v>
      </c>
      <c r="E4480" t="s">
        <v>6</v>
      </c>
      <c r="F4480">
        <v>3.9109999999999999E-2</v>
      </c>
    </row>
    <row r="4481" spans="1:6" x14ac:dyDescent="0.3">
      <c r="A4481" t="s">
        <v>5</v>
      </c>
      <c r="B4481" s="1">
        <v>45844</v>
      </c>
      <c r="C4481">
        <v>17</v>
      </c>
      <c r="D4481">
        <v>8.2000000000000003E-2</v>
      </c>
      <c r="E4481" t="s">
        <v>6</v>
      </c>
      <c r="F4481">
        <v>4.061E-2</v>
      </c>
    </row>
    <row r="4482" spans="1:6" x14ac:dyDescent="0.3">
      <c r="A4482" t="s">
        <v>5</v>
      </c>
      <c r="B4482" s="1">
        <v>45844</v>
      </c>
      <c r="C4482">
        <v>18</v>
      </c>
      <c r="D4482">
        <v>7.9000000000000001E-2</v>
      </c>
      <c r="E4482" t="s">
        <v>6</v>
      </c>
      <c r="F4482">
        <v>4.0329999999999998E-2</v>
      </c>
    </row>
    <row r="4483" spans="1:6" x14ac:dyDescent="0.3">
      <c r="A4483" t="s">
        <v>5</v>
      </c>
      <c r="B4483" s="1">
        <v>45844</v>
      </c>
      <c r="C4483">
        <v>19</v>
      </c>
      <c r="D4483">
        <v>0.122</v>
      </c>
      <c r="E4483" t="s">
        <v>6</v>
      </c>
      <c r="F4483">
        <v>4.5219999999999996E-2</v>
      </c>
    </row>
    <row r="4484" spans="1:6" x14ac:dyDescent="0.3">
      <c r="A4484" t="s">
        <v>5</v>
      </c>
      <c r="B4484" s="1">
        <v>45844</v>
      </c>
      <c r="C4484">
        <v>20</v>
      </c>
      <c r="D4484">
        <v>0.127</v>
      </c>
      <c r="E4484" t="s">
        <v>6</v>
      </c>
      <c r="F4484">
        <v>7.7769999999999992E-2</v>
      </c>
    </row>
    <row r="4485" spans="1:6" x14ac:dyDescent="0.3">
      <c r="A4485" t="s">
        <v>5</v>
      </c>
      <c r="B4485" s="1">
        <v>45844</v>
      </c>
      <c r="C4485">
        <v>21</v>
      </c>
      <c r="D4485">
        <v>8.1000000000000003E-2</v>
      </c>
      <c r="E4485" t="s">
        <v>6</v>
      </c>
      <c r="F4485">
        <v>0.13672000000000001</v>
      </c>
    </row>
    <row r="4486" spans="1:6" x14ac:dyDescent="0.3">
      <c r="A4486" t="s">
        <v>5</v>
      </c>
      <c r="B4486" s="1">
        <v>45844</v>
      </c>
      <c r="C4486">
        <v>22</v>
      </c>
      <c r="D4486">
        <v>6.4000000000000001E-2</v>
      </c>
      <c r="E4486" t="s">
        <v>6</v>
      </c>
      <c r="F4486">
        <v>0.15309</v>
      </c>
    </row>
    <row r="4487" spans="1:6" x14ac:dyDescent="0.3">
      <c r="A4487" t="s">
        <v>5</v>
      </c>
      <c r="B4487" s="1">
        <v>45844</v>
      </c>
      <c r="C4487">
        <v>23</v>
      </c>
      <c r="D4487">
        <v>8.1000000000000003E-2</v>
      </c>
      <c r="E4487" t="s">
        <v>6</v>
      </c>
      <c r="F4487">
        <v>0.156</v>
      </c>
    </row>
    <row r="4488" spans="1:6" x14ac:dyDescent="0.3">
      <c r="A4488" t="s">
        <v>5</v>
      </c>
      <c r="B4488" s="1">
        <v>45844</v>
      </c>
      <c r="C4488">
        <v>24</v>
      </c>
      <c r="D4488">
        <v>8.1000000000000003E-2</v>
      </c>
      <c r="E4488" t="s">
        <v>6</v>
      </c>
      <c r="F4488">
        <v>0.15409</v>
      </c>
    </row>
    <row r="4489" spans="1:6" x14ac:dyDescent="0.3">
      <c r="A4489" t="s">
        <v>5</v>
      </c>
      <c r="B4489" s="1">
        <v>45845</v>
      </c>
      <c r="C4489">
        <v>1</v>
      </c>
      <c r="D4489">
        <v>6.2E-2</v>
      </c>
      <c r="E4489" t="s">
        <v>6</v>
      </c>
      <c r="F4489">
        <v>0.14915</v>
      </c>
    </row>
    <row r="4490" spans="1:6" x14ac:dyDescent="0.3">
      <c r="A4490" t="s">
        <v>5</v>
      </c>
      <c r="B4490" s="1">
        <v>45845</v>
      </c>
      <c r="C4490">
        <v>2</v>
      </c>
      <c r="D4490">
        <v>7.9000000000000001E-2</v>
      </c>
      <c r="E4490" t="s">
        <v>6</v>
      </c>
      <c r="F4490">
        <v>0.14033000000000001</v>
      </c>
    </row>
    <row r="4491" spans="1:6" x14ac:dyDescent="0.3">
      <c r="A4491" t="s">
        <v>5</v>
      </c>
      <c r="B4491" s="1">
        <v>45845</v>
      </c>
      <c r="C4491">
        <v>3</v>
      </c>
      <c r="D4491">
        <v>8.2000000000000003E-2</v>
      </c>
      <c r="E4491" t="s">
        <v>6</v>
      </c>
      <c r="F4491">
        <v>0.13739999999999999</v>
      </c>
    </row>
    <row r="4492" spans="1:6" x14ac:dyDescent="0.3">
      <c r="A4492" t="s">
        <v>5</v>
      </c>
      <c r="B4492" s="1">
        <v>45845</v>
      </c>
      <c r="C4492">
        <v>4</v>
      </c>
      <c r="D4492">
        <v>6.2E-2</v>
      </c>
      <c r="E4492" t="s">
        <v>6</v>
      </c>
      <c r="F4492">
        <v>0.13391999999999998</v>
      </c>
    </row>
    <row r="4493" spans="1:6" x14ac:dyDescent="0.3">
      <c r="A4493" t="s">
        <v>5</v>
      </c>
      <c r="B4493" s="1">
        <v>45845</v>
      </c>
      <c r="C4493">
        <v>5</v>
      </c>
      <c r="D4493">
        <v>7.8E-2</v>
      </c>
      <c r="E4493" t="s">
        <v>6</v>
      </c>
      <c r="F4493">
        <v>0.13009999999999999</v>
      </c>
    </row>
    <row r="4494" spans="1:6" x14ac:dyDescent="0.3">
      <c r="A4494" t="s">
        <v>5</v>
      </c>
      <c r="B4494" s="1">
        <v>45845</v>
      </c>
      <c r="C4494">
        <v>6</v>
      </c>
      <c r="D4494">
        <v>0.08</v>
      </c>
      <c r="E4494" t="s">
        <v>6</v>
      </c>
      <c r="F4494">
        <v>0.13919999999999999</v>
      </c>
    </row>
    <row r="4495" spans="1:6" x14ac:dyDescent="0.3">
      <c r="A4495" t="s">
        <v>5</v>
      </c>
      <c r="B4495" s="1">
        <v>45845</v>
      </c>
      <c r="C4495">
        <v>7</v>
      </c>
      <c r="D4495">
        <v>6.0999999999999999E-2</v>
      </c>
      <c r="E4495" t="s">
        <v>6</v>
      </c>
      <c r="F4495">
        <v>0.14799000000000001</v>
      </c>
    </row>
    <row r="4496" spans="1:6" x14ac:dyDescent="0.3">
      <c r="A4496" t="s">
        <v>5</v>
      </c>
      <c r="B4496" s="1">
        <v>45845</v>
      </c>
      <c r="C4496">
        <v>8</v>
      </c>
      <c r="D4496">
        <v>7.9000000000000001E-2</v>
      </c>
      <c r="E4496" t="s">
        <v>6</v>
      </c>
      <c r="F4496">
        <v>0.14921999999999999</v>
      </c>
    </row>
    <row r="4497" spans="1:6" x14ac:dyDescent="0.3">
      <c r="A4497" t="s">
        <v>5</v>
      </c>
      <c r="B4497" s="1">
        <v>45845</v>
      </c>
      <c r="C4497">
        <v>9</v>
      </c>
      <c r="D4497">
        <v>7.8E-2</v>
      </c>
      <c r="E4497" t="s">
        <v>6</v>
      </c>
      <c r="F4497">
        <v>0.16069</v>
      </c>
    </row>
    <row r="4498" spans="1:6" x14ac:dyDescent="0.3">
      <c r="A4498" t="s">
        <v>5</v>
      </c>
      <c r="B4498" s="1">
        <v>45845</v>
      </c>
      <c r="C4498">
        <v>10</v>
      </c>
      <c r="D4498">
        <v>0.06</v>
      </c>
      <c r="E4498" t="s">
        <v>6</v>
      </c>
      <c r="F4498">
        <v>0.12415000000000001</v>
      </c>
    </row>
    <row r="4499" spans="1:6" x14ac:dyDescent="0.3">
      <c r="A4499" t="s">
        <v>5</v>
      </c>
      <c r="B4499" s="1">
        <v>45845</v>
      </c>
      <c r="C4499">
        <v>11</v>
      </c>
      <c r="D4499">
        <v>0.08</v>
      </c>
      <c r="E4499" t="s">
        <v>6</v>
      </c>
      <c r="F4499">
        <v>0.16637000000000002</v>
      </c>
    </row>
    <row r="4500" spans="1:6" x14ac:dyDescent="0.3">
      <c r="A4500" t="s">
        <v>5</v>
      </c>
      <c r="B4500" s="1">
        <v>45845</v>
      </c>
      <c r="C4500">
        <v>12</v>
      </c>
      <c r="D4500">
        <v>7.5999999999999998E-2</v>
      </c>
      <c r="E4500" t="s">
        <v>6</v>
      </c>
      <c r="F4500">
        <v>0.14521000000000001</v>
      </c>
    </row>
    <row r="4501" spans="1:6" x14ac:dyDescent="0.3">
      <c r="A4501" t="s">
        <v>5</v>
      </c>
      <c r="B4501" s="1">
        <v>45845</v>
      </c>
      <c r="C4501">
        <v>13</v>
      </c>
      <c r="D4501">
        <v>6.0999999999999999E-2</v>
      </c>
      <c r="E4501" t="s">
        <v>6</v>
      </c>
      <c r="F4501">
        <v>0.14202999999999999</v>
      </c>
    </row>
    <row r="4502" spans="1:6" x14ac:dyDescent="0.3">
      <c r="A4502" t="s">
        <v>5</v>
      </c>
      <c r="B4502" s="1">
        <v>45845</v>
      </c>
      <c r="C4502">
        <v>14</v>
      </c>
      <c r="D4502">
        <v>8.2000000000000003E-2</v>
      </c>
      <c r="E4502" t="s">
        <v>6</v>
      </c>
      <c r="F4502">
        <v>0.12988</v>
      </c>
    </row>
    <row r="4503" spans="1:6" x14ac:dyDescent="0.3">
      <c r="A4503" t="s">
        <v>5</v>
      </c>
      <c r="B4503" s="1">
        <v>45845</v>
      </c>
      <c r="C4503">
        <v>15</v>
      </c>
      <c r="D4503">
        <v>7.3999999999999996E-2</v>
      </c>
      <c r="E4503" t="s">
        <v>6</v>
      </c>
      <c r="F4503">
        <v>6.4510000000000012E-2</v>
      </c>
    </row>
    <row r="4504" spans="1:6" x14ac:dyDescent="0.3">
      <c r="A4504" t="s">
        <v>5</v>
      </c>
      <c r="B4504" s="1">
        <v>45845</v>
      </c>
      <c r="C4504">
        <v>16</v>
      </c>
      <c r="D4504">
        <v>6.0999999999999999E-2</v>
      </c>
      <c r="E4504" t="s">
        <v>6</v>
      </c>
      <c r="F4504">
        <v>6.3270000000000007E-2</v>
      </c>
    </row>
    <row r="4505" spans="1:6" x14ac:dyDescent="0.3">
      <c r="A4505" t="s">
        <v>5</v>
      </c>
      <c r="B4505" s="1">
        <v>45845</v>
      </c>
      <c r="C4505">
        <v>17</v>
      </c>
      <c r="D4505">
        <v>8.4000000000000005E-2</v>
      </c>
      <c r="E4505" t="s">
        <v>6</v>
      </c>
      <c r="F4505">
        <v>6.1069999999999999E-2</v>
      </c>
    </row>
    <row r="4506" spans="1:6" x14ac:dyDescent="0.3">
      <c r="A4506" t="s">
        <v>5</v>
      </c>
      <c r="B4506" s="1">
        <v>45845</v>
      </c>
      <c r="C4506">
        <v>18</v>
      </c>
      <c r="D4506">
        <v>7.3999999999999996E-2</v>
      </c>
      <c r="E4506" t="s">
        <v>6</v>
      </c>
      <c r="F4506">
        <v>6.1950000000000005E-2</v>
      </c>
    </row>
    <row r="4507" spans="1:6" x14ac:dyDescent="0.3">
      <c r="A4507" t="s">
        <v>5</v>
      </c>
      <c r="B4507" s="1">
        <v>45845</v>
      </c>
      <c r="C4507">
        <v>19</v>
      </c>
      <c r="D4507">
        <v>6.2E-2</v>
      </c>
      <c r="E4507" t="s">
        <v>6</v>
      </c>
      <c r="F4507">
        <v>0.13119</v>
      </c>
    </row>
    <row r="4508" spans="1:6" x14ac:dyDescent="0.3">
      <c r="A4508" t="s">
        <v>5</v>
      </c>
      <c r="B4508" s="1">
        <v>45845</v>
      </c>
      <c r="C4508">
        <v>20</v>
      </c>
      <c r="D4508">
        <v>8.5000000000000006E-2</v>
      </c>
      <c r="E4508" t="s">
        <v>6</v>
      </c>
      <c r="F4508">
        <v>0.16913999999999998</v>
      </c>
    </row>
    <row r="4509" spans="1:6" x14ac:dyDescent="0.3">
      <c r="A4509" t="s">
        <v>5</v>
      </c>
      <c r="B4509" s="1">
        <v>45845</v>
      </c>
      <c r="C4509">
        <v>21</v>
      </c>
      <c r="D4509">
        <v>7.1999999999999995E-2</v>
      </c>
      <c r="E4509" t="s">
        <v>6</v>
      </c>
      <c r="F4509">
        <v>0.21537000000000001</v>
      </c>
    </row>
    <row r="4510" spans="1:6" x14ac:dyDescent="0.3">
      <c r="A4510" t="s">
        <v>5</v>
      </c>
      <c r="B4510" s="1">
        <v>45845</v>
      </c>
      <c r="C4510">
        <v>22</v>
      </c>
      <c r="D4510">
        <v>6.3E-2</v>
      </c>
      <c r="E4510" t="s">
        <v>6</v>
      </c>
      <c r="F4510">
        <v>0.24687999999999999</v>
      </c>
    </row>
    <row r="4511" spans="1:6" x14ac:dyDescent="0.3">
      <c r="A4511" t="s">
        <v>5</v>
      </c>
      <c r="B4511" s="1">
        <v>45845</v>
      </c>
      <c r="C4511">
        <v>23</v>
      </c>
      <c r="D4511">
        <v>8.5000000000000006E-2</v>
      </c>
      <c r="E4511" t="s">
        <v>6</v>
      </c>
      <c r="F4511">
        <v>0.18126</v>
      </c>
    </row>
    <row r="4512" spans="1:6" x14ac:dyDescent="0.3">
      <c r="A4512" t="s">
        <v>5</v>
      </c>
      <c r="B4512" s="1">
        <v>45845</v>
      </c>
      <c r="C4512">
        <v>24</v>
      </c>
      <c r="D4512">
        <v>7.2999999999999995E-2</v>
      </c>
      <c r="E4512" t="s">
        <v>6</v>
      </c>
      <c r="F4512">
        <v>0.17351</v>
      </c>
    </row>
    <row r="4513" spans="1:6" x14ac:dyDescent="0.3">
      <c r="A4513" t="s">
        <v>5</v>
      </c>
      <c r="B4513" s="1">
        <v>45846</v>
      </c>
      <c r="C4513">
        <v>1</v>
      </c>
      <c r="D4513">
        <v>6.2E-2</v>
      </c>
      <c r="E4513" t="s">
        <v>6</v>
      </c>
      <c r="F4513">
        <v>0.13159000000000001</v>
      </c>
    </row>
    <row r="4514" spans="1:6" x14ac:dyDescent="0.3">
      <c r="A4514" t="s">
        <v>5</v>
      </c>
      <c r="B4514" s="1">
        <v>45846</v>
      </c>
      <c r="C4514">
        <v>2</v>
      </c>
      <c r="D4514">
        <v>8.4000000000000005E-2</v>
      </c>
      <c r="E4514" t="s">
        <v>6</v>
      </c>
      <c r="F4514">
        <v>0.11459</v>
      </c>
    </row>
    <row r="4515" spans="1:6" x14ac:dyDescent="0.3">
      <c r="A4515" t="s">
        <v>5</v>
      </c>
      <c r="B4515" s="1">
        <v>45846</v>
      </c>
      <c r="C4515">
        <v>3</v>
      </c>
      <c r="D4515">
        <v>7.3999999999999996E-2</v>
      </c>
      <c r="E4515" t="s">
        <v>6</v>
      </c>
      <c r="F4515">
        <v>0.10264</v>
      </c>
    </row>
    <row r="4516" spans="1:6" x14ac:dyDescent="0.3">
      <c r="A4516" t="s">
        <v>5</v>
      </c>
      <c r="B4516" s="1">
        <v>45846</v>
      </c>
      <c r="C4516">
        <v>4</v>
      </c>
      <c r="D4516">
        <v>6.0999999999999999E-2</v>
      </c>
      <c r="E4516" t="s">
        <v>6</v>
      </c>
      <c r="F4516">
        <v>8.3629999999999996E-2</v>
      </c>
    </row>
    <row r="4517" spans="1:6" x14ac:dyDescent="0.3">
      <c r="A4517" t="s">
        <v>5</v>
      </c>
      <c r="B4517" s="1">
        <v>45846</v>
      </c>
      <c r="C4517">
        <v>5</v>
      </c>
      <c r="D4517">
        <v>8.3000000000000004E-2</v>
      </c>
      <c r="E4517" t="s">
        <v>6</v>
      </c>
      <c r="F4517">
        <v>8.3830000000000002E-2</v>
      </c>
    </row>
    <row r="4518" spans="1:6" x14ac:dyDescent="0.3">
      <c r="A4518" t="s">
        <v>5</v>
      </c>
      <c r="B4518" s="1">
        <v>45846</v>
      </c>
      <c r="C4518">
        <v>6</v>
      </c>
      <c r="D4518">
        <v>7.4999999999999997E-2</v>
      </c>
      <c r="E4518" t="s">
        <v>6</v>
      </c>
      <c r="F4518">
        <v>7.8150000000000011E-2</v>
      </c>
    </row>
    <row r="4519" spans="1:6" x14ac:dyDescent="0.3">
      <c r="A4519" t="s">
        <v>5</v>
      </c>
      <c r="B4519" s="1">
        <v>45846</v>
      </c>
      <c r="C4519">
        <v>7</v>
      </c>
      <c r="D4519">
        <v>6.0999999999999999E-2</v>
      </c>
      <c r="E4519" t="s">
        <v>6</v>
      </c>
      <c r="F4519">
        <v>0.11070000000000001</v>
      </c>
    </row>
    <row r="4520" spans="1:6" x14ac:dyDescent="0.3">
      <c r="A4520" t="s">
        <v>5</v>
      </c>
      <c r="B4520" s="1">
        <v>45846</v>
      </c>
      <c r="C4520">
        <v>8</v>
      </c>
      <c r="D4520">
        <v>8.2000000000000003E-2</v>
      </c>
      <c r="E4520" t="s">
        <v>6</v>
      </c>
      <c r="F4520">
        <v>0.12584999999999999</v>
      </c>
    </row>
    <row r="4521" spans="1:6" x14ac:dyDescent="0.3">
      <c r="A4521" t="s">
        <v>5</v>
      </c>
      <c r="B4521" s="1">
        <v>45846</v>
      </c>
      <c r="C4521">
        <v>9</v>
      </c>
      <c r="D4521">
        <v>7.2999999999999995E-2</v>
      </c>
      <c r="E4521" t="s">
        <v>6</v>
      </c>
      <c r="F4521">
        <v>0.13532</v>
      </c>
    </row>
    <row r="4522" spans="1:6" x14ac:dyDescent="0.3">
      <c r="A4522" t="s">
        <v>5</v>
      </c>
      <c r="B4522" s="1">
        <v>45846</v>
      </c>
      <c r="C4522">
        <v>10</v>
      </c>
      <c r="D4522">
        <v>0.06</v>
      </c>
      <c r="E4522" t="s">
        <v>6</v>
      </c>
      <c r="F4522">
        <v>8.7260000000000004E-2</v>
      </c>
    </row>
    <row r="4523" spans="1:6" x14ac:dyDescent="0.3">
      <c r="A4523" t="s">
        <v>5</v>
      </c>
      <c r="B4523" s="1">
        <v>45846</v>
      </c>
      <c r="C4523">
        <v>11</v>
      </c>
      <c r="D4523">
        <v>8.2000000000000003E-2</v>
      </c>
      <c r="E4523" t="s">
        <v>6</v>
      </c>
      <c r="F4523">
        <v>0.13475999999999999</v>
      </c>
    </row>
    <row r="4524" spans="1:6" x14ac:dyDescent="0.3">
      <c r="A4524" t="s">
        <v>5</v>
      </c>
      <c r="B4524" s="1">
        <v>45846</v>
      </c>
      <c r="C4524">
        <v>12</v>
      </c>
      <c r="D4524">
        <v>7.2999999999999995E-2</v>
      </c>
      <c r="E4524" t="s">
        <v>6</v>
      </c>
      <c r="F4524">
        <v>0.13172999999999999</v>
      </c>
    </row>
    <row r="4525" spans="1:6" x14ac:dyDescent="0.3">
      <c r="A4525" t="s">
        <v>5</v>
      </c>
      <c r="B4525" s="1">
        <v>45846</v>
      </c>
      <c r="C4525">
        <v>13</v>
      </c>
      <c r="D4525">
        <v>0.06</v>
      </c>
      <c r="E4525" t="s">
        <v>6</v>
      </c>
      <c r="F4525">
        <v>0.13122</v>
      </c>
    </row>
    <row r="4526" spans="1:6" x14ac:dyDescent="0.3">
      <c r="A4526" t="s">
        <v>5</v>
      </c>
      <c r="B4526" s="1">
        <v>45846</v>
      </c>
      <c r="C4526">
        <v>14</v>
      </c>
      <c r="D4526">
        <v>8.2000000000000003E-2</v>
      </c>
      <c r="E4526" t="s">
        <v>6</v>
      </c>
      <c r="F4526">
        <v>0.13028999999999999</v>
      </c>
    </row>
    <row r="4527" spans="1:6" x14ac:dyDescent="0.3">
      <c r="A4527" t="s">
        <v>5</v>
      </c>
      <c r="B4527" s="1">
        <v>45846</v>
      </c>
      <c r="C4527">
        <v>15</v>
      </c>
      <c r="D4527">
        <v>7.2999999999999995E-2</v>
      </c>
      <c r="E4527" t="s">
        <v>6</v>
      </c>
      <c r="F4527">
        <v>6.5530000000000005E-2</v>
      </c>
    </row>
    <row r="4528" spans="1:6" x14ac:dyDescent="0.3">
      <c r="A4528" t="s">
        <v>5</v>
      </c>
      <c r="B4528" s="1">
        <v>45846</v>
      </c>
      <c r="C4528">
        <v>16</v>
      </c>
      <c r="D4528">
        <v>0.06</v>
      </c>
      <c r="E4528" t="s">
        <v>6</v>
      </c>
      <c r="F4528">
        <v>6.5750000000000003E-2</v>
      </c>
    </row>
    <row r="4529" spans="1:6" x14ac:dyDescent="0.3">
      <c r="A4529" t="s">
        <v>5</v>
      </c>
      <c r="B4529" s="1">
        <v>45846</v>
      </c>
      <c r="C4529">
        <v>17</v>
      </c>
      <c r="D4529">
        <v>8.2000000000000003E-2</v>
      </c>
      <c r="E4529" t="s">
        <v>6</v>
      </c>
      <c r="F4529">
        <v>6.7449999999999996E-2</v>
      </c>
    </row>
    <row r="4530" spans="1:6" x14ac:dyDescent="0.3">
      <c r="A4530" t="s">
        <v>5</v>
      </c>
      <c r="B4530" s="1">
        <v>45846</v>
      </c>
      <c r="C4530">
        <v>18</v>
      </c>
      <c r="D4530">
        <v>7.3999999999999996E-2</v>
      </c>
      <c r="E4530" t="s">
        <v>6</v>
      </c>
      <c r="F4530">
        <v>8.2000000000000003E-2</v>
      </c>
    </row>
    <row r="4531" spans="1:6" x14ac:dyDescent="0.3">
      <c r="A4531" t="s">
        <v>5</v>
      </c>
      <c r="B4531" s="1">
        <v>45846</v>
      </c>
      <c r="C4531">
        <v>19</v>
      </c>
      <c r="D4531">
        <v>0.06</v>
      </c>
      <c r="E4531" t="s">
        <v>6</v>
      </c>
      <c r="F4531">
        <v>0.18287</v>
      </c>
    </row>
    <row r="4532" spans="1:6" x14ac:dyDescent="0.3">
      <c r="A4532" t="s">
        <v>5</v>
      </c>
      <c r="B4532" s="1">
        <v>45846</v>
      </c>
      <c r="C4532">
        <v>20</v>
      </c>
      <c r="D4532">
        <v>8.2000000000000003E-2</v>
      </c>
      <c r="E4532" t="s">
        <v>6</v>
      </c>
      <c r="F4532">
        <v>0.20402000000000001</v>
      </c>
    </row>
    <row r="4533" spans="1:6" x14ac:dyDescent="0.3">
      <c r="A4533" t="s">
        <v>5</v>
      </c>
      <c r="B4533" s="1">
        <v>45846</v>
      </c>
      <c r="C4533">
        <v>21</v>
      </c>
      <c r="D4533">
        <v>7.4999999999999997E-2</v>
      </c>
      <c r="E4533" t="s">
        <v>6</v>
      </c>
      <c r="F4533">
        <v>0.24625999999999998</v>
      </c>
    </row>
    <row r="4534" spans="1:6" x14ac:dyDescent="0.3">
      <c r="A4534" t="s">
        <v>5</v>
      </c>
      <c r="B4534" s="1">
        <v>45846</v>
      </c>
      <c r="C4534">
        <v>22</v>
      </c>
      <c r="D4534">
        <v>6.0999999999999999E-2</v>
      </c>
      <c r="E4534" t="s">
        <v>6</v>
      </c>
      <c r="F4534">
        <v>0.25256000000000001</v>
      </c>
    </row>
    <row r="4535" spans="1:6" x14ac:dyDescent="0.3">
      <c r="A4535" t="s">
        <v>5</v>
      </c>
      <c r="B4535" s="1">
        <v>45846</v>
      </c>
      <c r="C4535">
        <v>23</v>
      </c>
      <c r="D4535">
        <v>0.08</v>
      </c>
      <c r="E4535" t="s">
        <v>6</v>
      </c>
      <c r="F4535">
        <v>0.18797999999999998</v>
      </c>
    </row>
    <row r="4536" spans="1:6" x14ac:dyDescent="0.3">
      <c r="A4536" t="s">
        <v>5</v>
      </c>
      <c r="B4536" s="1">
        <v>45846</v>
      </c>
      <c r="C4536">
        <v>24</v>
      </c>
      <c r="D4536">
        <v>7.5999999999999998E-2</v>
      </c>
      <c r="E4536" t="s">
        <v>6</v>
      </c>
      <c r="F4536">
        <v>0.18531999999999998</v>
      </c>
    </row>
    <row r="4537" spans="1:6" x14ac:dyDescent="0.3">
      <c r="A4537" t="s">
        <v>5</v>
      </c>
      <c r="B4537" s="1">
        <v>45847</v>
      </c>
      <c r="C4537">
        <v>1</v>
      </c>
      <c r="D4537">
        <v>6.0999999999999999E-2</v>
      </c>
      <c r="E4537" t="s">
        <v>6</v>
      </c>
      <c r="F4537">
        <v>0.14119000000000001</v>
      </c>
    </row>
    <row r="4538" spans="1:6" x14ac:dyDescent="0.3">
      <c r="A4538" t="s">
        <v>5</v>
      </c>
      <c r="B4538" s="1">
        <v>45847</v>
      </c>
      <c r="C4538">
        <v>2</v>
      </c>
      <c r="D4538">
        <v>7.9000000000000001E-2</v>
      </c>
      <c r="E4538" t="s">
        <v>6</v>
      </c>
      <c r="F4538">
        <v>0.13508000000000001</v>
      </c>
    </row>
    <row r="4539" spans="1:6" x14ac:dyDescent="0.3">
      <c r="A4539" t="s">
        <v>5</v>
      </c>
      <c r="B4539" s="1">
        <v>45847</v>
      </c>
      <c r="C4539">
        <v>3</v>
      </c>
      <c r="D4539">
        <v>7.6999999999999999E-2</v>
      </c>
      <c r="E4539" t="s">
        <v>6</v>
      </c>
      <c r="F4539">
        <v>0.13288</v>
      </c>
    </row>
    <row r="4540" spans="1:6" x14ac:dyDescent="0.3">
      <c r="A4540" t="s">
        <v>5</v>
      </c>
      <c r="B4540" s="1">
        <v>45847</v>
      </c>
      <c r="C4540">
        <v>4</v>
      </c>
      <c r="D4540">
        <v>6.0999999999999999E-2</v>
      </c>
      <c r="E4540" t="s">
        <v>6</v>
      </c>
      <c r="F4540">
        <v>0.13143000000000002</v>
      </c>
    </row>
    <row r="4541" spans="1:6" x14ac:dyDescent="0.3">
      <c r="A4541" t="s">
        <v>5</v>
      </c>
      <c r="B4541" s="1">
        <v>45847</v>
      </c>
      <c r="C4541">
        <v>5</v>
      </c>
      <c r="D4541">
        <v>7.8E-2</v>
      </c>
      <c r="E4541" t="s">
        <v>6</v>
      </c>
      <c r="F4541">
        <v>0.13713999999999998</v>
      </c>
    </row>
    <row r="4542" spans="1:6" x14ac:dyDescent="0.3">
      <c r="A4542" t="s">
        <v>5</v>
      </c>
      <c r="B4542" s="1">
        <v>45847</v>
      </c>
      <c r="C4542">
        <v>6</v>
      </c>
      <c r="D4542">
        <v>7.8E-2</v>
      </c>
      <c r="E4542" t="s">
        <v>6</v>
      </c>
      <c r="F4542">
        <v>0.13800999999999999</v>
      </c>
    </row>
    <row r="4543" spans="1:6" x14ac:dyDescent="0.3">
      <c r="A4543" t="s">
        <v>5</v>
      </c>
      <c r="B4543" s="1">
        <v>45847</v>
      </c>
      <c r="C4543">
        <v>7</v>
      </c>
      <c r="D4543">
        <v>0.06</v>
      </c>
      <c r="E4543" t="s">
        <v>6</v>
      </c>
      <c r="F4543">
        <v>0.13678999999999999</v>
      </c>
    </row>
    <row r="4544" spans="1:6" x14ac:dyDescent="0.3">
      <c r="A4544" t="s">
        <v>5</v>
      </c>
      <c r="B4544" s="1">
        <v>45847</v>
      </c>
      <c r="C4544">
        <v>8</v>
      </c>
      <c r="D4544">
        <v>7.6999999999999999E-2</v>
      </c>
      <c r="E4544" t="s">
        <v>6</v>
      </c>
      <c r="F4544">
        <v>0.14077999999999999</v>
      </c>
    </row>
    <row r="4545" spans="1:6" x14ac:dyDescent="0.3">
      <c r="A4545" t="s">
        <v>5</v>
      </c>
      <c r="B4545" s="1">
        <v>45847</v>
      </c>
      <c r="C4545">
        <v>9</v>
      </c>
      <c r="D4545">
        <v>7.6999999999999999E-2</v>
      </c>
      <c r="E4545" t="s">
        <v>6</v>
      </c>
      <c r="F4545">
        <v>0.16200000000000001</v>
      </c>
    </row>
    <row r="4546" spans="1:6" x14ac:dyDescent="0.3">
      <c r="A4546" t="s">
        <v>5</v>
      </c>
      <c r="B4546" s="1">
        <v>45847</v>
      </c>
      <c r="C4546">
        <v>10</v>
      </c>
      <c r="D4546">
        <v>0.06</v>
      </c>
      <c r="E4546" t="s">
        <v>6</v>
      </c>
      <c r="F4546">
        <v>0.156</v>
      </c>
    </row>
    <row r="4547" spans="1:6" x14ac:dyDescent="0.3">
      <c r="A4547" t="s">
        <v>5</v>
      </c>
      <c r="B4547" s="1">
        <v>45847</v>
      </c>
      <c r="C4547">
        <v>11</v>
      </c>
      <c r="D4547">
        <v>7.6999999999999999E-2</v>
      </c>
      <c r="E4547" t="s">
        <v>6</v>
      </c>
      <c r="F4547">
        <v>0.17604</v>
      </c>
    </row>
    <row r="4548" spans="1:6" x14ac:dyDescent="0.3">
      <c r="A4548" t="s">
        <v>5</v>
      </c>
      <c r="B4548" s="1">
        <v>45847</v>
      </c>
      <c r="C4548">
        <v>12</v>
      </c>
      <c r="D4548">
        <v>7.8E-2</v>
      </c>
      <c r="E4548" t="s">
        <v>6</v>
      </c>
      <c r="F4548">
        <v>0.15806999999999999</v>
      </c>
    </row>
    <row r="4549" spans="1:6" x14ac:dyDescent="0.3">
      <c r="A4549" t="s">
        <v>5</v>
      </c>
      <c r="B4549" s="1">
        <v>45847</v>
      </c>
      <c r="C4549">
        <v>13</v>
      </c>
      <c r="D4549">
        <v>5.8999999999999997E-2</v>
      </c>
      <c r="E4549" t="s">
        <v>6</v>
      </c>
      <c r="F4549">
        <v>0.15430000000000002</v>
      </c>
    </row>
    <row r="4550" spans="1:6" x14ac:dyDescent="0.3">
      <c r="A4550" t="s">
        <v>5</v>
      </c>
      <c r="B4550" s="1">
        <v>45847</v>
      </c>
      <c r="C4550">
        <v>14</v>
      </c>
      <c r="D4550">
        <v>7.6999999999999999E-2</v>
      </c>
      <c r="E4550" t="s">
        <v>6</v>
      </c>
      <c r="F4550">
        <v>0.15278999999999998</v>
      </c>
    </row>
    <row r="4551" spans="1:6" x14ac:dyDescent="0.3">
      <c r="A4551" t="s">
        <v>5</v>
      </c>
      <c r="B4551" s="1">
        <v>45847</v>
      </c>
      <c r="C4551">
        <v>15</v>
      </c>
      <c r="D4551">
        <v>7.4999999999999997E-2</v>
      </c>
      <c r="E4551" t="s">
        <v>6</v>
      </c>
      <c r="F4551">
        <v>8.7510000000000004E-2</v>
      </c>
    </row>
    <row r="4552" spans="1:6" x14ac:dyDescent="0.3">
      <c r="A4552" t="s">
        <v>5</v>
      </c>
      <c r="B4552" s="1">
        <v>45847</v>
      </c>
      <c r="C4552">
        <v>16</v>
      </c>
      <c r="D4552">
        <v>0.128</v>
      </c>
      <c r="E4552" t="s">
        <v>6</v>
      </c>
      <c r="F4552">
        <v>8.924E-2</v>
      </c>
    </row>
    <row r="4553" spans="1:6" x14ac:dyDescent="0.3">
      <c r="A4553" t="s">
        <v>5</v>
      </c>
      <c r="B4553" s="1">
        <v>45847</v>
      </c>
      <c r="C4553">
        <v>17</v>
      </c>
      <c r="D4553">
        <v>1.3720000000000001</v>
      </c>
      <c r="E4553" t="s">
        <v>6</v>
      </c>
      <c r="F4553">
        <v>0.10206</v>
      </c>
    </row>
    <row r="4554" spans="1:6" x14ac:dyDescent="0.3">
      <c r="A4554" t="s">
        <v>5</v>
      </c>
      <c r="B4554" s="1">
        <v>45847</v>
      </c>
      <c r="C4554">
        <v>18</v>
      </c>
      <c r="D4554">
        <v>0.157</v>
      </c>
      <c r="E4554" t="s">
        <v>6</v>
      </c>
      <c r="F4554">
        <v>0.12633</v>
      </c>
    </row>
    <row r="4555" spans="1:6" x14ac:dyDescent="0.3">
      <c r="A4555" t="s">
        <v>5</v>
      </c>
      <c r="B4555" s="1">
        <v>45847</v>
      </c>
      <c r="C4555">
        <v>19</v>
      </c>
      <c r="D4555">
        <v>0.56200000000000006</v>
      </c>
      <c r="E4555" t="s">
        <v>6</v>
      </c>
      <c r="F4555">
        <v>0.19608</v>
      </c>
    </row>
    <row r="4556" spans="1:6" x14ac:dyDescent="0.3">
      <c r="A4556" t="s">
        <v>5</v>
      </c>
      <c r="B4556" s="1">
        <v>45847</v>
      </c>
      <c r="C4556">
        <v>20</v>
      </c>
      <c r="D4556">
        <v>0.08</v>
      </c>
      <c r="E4556" t="s">
        <v>6</v>
      </c>
      <c r="F4556">
        <v>0.23166</v>
      </c>
    </row>
    <row r="4557" spans="1:6" x14ac:dyDescent="0.3">
      <c r="A4557" t="s">
        <v>5</v>
      </c>
      <c r="B4557" s="1">
        <v>45847</v>
      </c>
      <c r="C4557">
        <v>21</v>
      </c>
      <c r="D4557">
        <v>7.3999999999999996E-2</v>
      </c>
      <c r="E4557" t="s">
        <v>6</v>
      </c>
      <c r="F4557">
        <v>0.23636000000000001</v>
      </c>
    </row>
    <row r="4558" spans="1:6" x14ac:dyDescent="0.3">
      <c r="A4558" t="s">
        <v>5</v>
      </c>
      <c r="B4558" s="1">
        <v>45847</v>
      </c>
      <c r="C4558">
        <v>22</v>
      </c>
      <c r="D4558">
        <v>5.8999999999999997E-2</v>
      </c>
      <c r="E4558" t="s">
        <v>6</v>
      </c>
      <c r="F4558">
        <v>0.28492000000000001</v>
      </c>
    </row>
    <row r="4559" spans="1:6" x14ac:dyDescent="0.3">
      <c r="A4559" t="s">
        <v>5</v>
      </c>
      <c r="B4559" s="1">
        <v>45847</v>
      </c>
      <c r="C4559">
        <v>23</v>
      </c>
      <c r="D4559">
        <v>8.1000000000000003E-2</v>
      </c>
      <c r="E4559" t="s">
        <v>6</v>
      </c>
      <c r="F4559">
        <v>0.20684</v>
      </c>
    </row>
    <row r="4560" spans="1:6" x14ac:dyDescent="0.3">
      <c r="A4560" t="s">
        <v>5</v>
      </c>
      <c r="B4560" s="1">
        <v>45847</v>
      </c>
      <c r="C4560">
        <v>24</v>
      </c>
      <c r="D4560">
        <v>7.1999999999999995E-2</v>
      </c>
      <c r="E4560" t="s">
        <v>6</v>
      </c>
      <c r="F4560">
        <v>0.17899000000000001</v>
      </c>
    </row>
    <row r="4561" spans="1:6" x14ac:dyDescent="0.3">
      <c r="A4561" t="s">
        <v>5</v>
      </c>
      <c r="B4561" s="1">
        <v>45848</v>
      </c>
      <c r="C4561">
        <v>1</v>
      </c>
      <c r="D4561">
        <v>5.8999999999999997E-2</v>
      </c>
      <c r="E4561" t="s">
        <v>6</v>
      </c>
      <c r="F4561">
        <v>0.14812</v>
      </c>
    </row>
    <row r="4562" spans="1:6" x14ac:dyDescent="0.3">
      <c r="A4562" t="s">
        <v>5</v>
      </c>
      <c r="B4562" s="1">
        <v>45848</v>
      </c>
      <c r="C4562">
        <v>2</v>
      </c>
      <c r="D4562">
        <v>0.08</v>
      </c>
      <c r="E4562" t="s">
        <v>6</v>
      </c>
      <c r="F4562">
        <v>0.13963</v>
      </c>
    </row>
    <row r="4563" spans="1:6" x14ac:dyDescent="0.3">
      <c r="A4563" t="s">
        <v>5</v>
      </c>
      <c r="B4563" s="1">
        <v>45848</v>
      </c>
      <c r="C4563">
        <v>3</v>
      </c>
      <c r="D4563">
        <v>7.1999999999999995E-2</v>
      </c>
      <c r="E4563" t="s">
        <v>6</v>
      </c>
      <c r="F4563">
        <v>0.13643</v>
      </c>
    </row>
    <row r="4564" spans="1:6" x14ac:dyDescent="0.3">
      <c r="A4564" t="s">
        <v>5</v>
      </c>
      <c r="B4564" s="1">
        <v>45848</v>
      </c>
      <c r="C4564">
        <v>4</v>
      </c>
      <c r="D4564">
        <v>5.8000000000000003E-2</v>
      </c>
      <c r="E4564" t="s">
        <v>6</v>
      </c>
      <c r="F4564">
        <v>0.13303999999999999</v>
      </c>
    </row>
    <row r="4565" spans="1:6" x14ac:dyDescent="0.3">
      <c r="A4565" t="s">
        <v>5</v>
      </c>
      <c r="B4565" s="1">
        <v>45848</v>
      </c>
      <c r="C4565">
        <v>5</v>
      </c>
      <c r="D4565">
        <v>8.2000000000000003E-2</v>
      </c>
      <c r="E4565" t="s">
        <v>6</v>
      </c>
      <c r="F4565">
        <v>0.13263999999999998</v>
      </c>
    </row>
    <row r="4566" spans="1:6" x14ac:dyDescent="0.3">
      <c r="A4566" t="s">
        <v>5</v>
      </c>
      <c r="B4566" s="1">
        <v>45848</v>
      </c>
      <c r="C4566">
        <v>6</v>
      </c>
      <c r="D4566">
        <v>7.0000000000000007E-2</v>
      </c>
      <c r="E4566" t="s">
        <v>6</v>
      </c>
      <c r="F4566">
        <v>0.13338</v>
      </c>
    </row>
    <row r="4567" spans="1:6" x14ac:dyDescent="0.3">
      <c r="A4567" t="s">
        <v>5</v>
      </c>
      <c r="B4567" s="1">
        <v>45848</v>
      </c>
      <c r="C4567">
        <v>7</v>
      </c>
      <c r="D4567">
        <v>5.8999999999999997E-2</v>
      </c>
      <c r="E4567" t="s">
        <v>6</v>
      </c>
      <c r="F4567">
        <v>0.14069999999999999</v>
      </c>
    </row>
    <row r="4568" spans="1:6" x14ac:dyDescent="0.3">
      <c r="A4568" t="s">
        <v>5</v>
      </c>
      <c r="B4568" s="1">
        <v>45848</v>
      </c>
      <c r="C4568">
        <v>8</v>
      </c>
      <c r="D4568">
        <v>8.3000000000000004E-2</v>
      </c>
      <c r="E4568" t="s">
        <v>6</v>
      </c>
      <c r="F4568">
        <v>0.14690999999999999</v>
      </c>
    </row>
    <row r="4569" spans="1:6" x14ac:dyDescent="0.3">
      <c r="A4569" t="s">
        <v>5</v>
      </c>
      <c r="B4569" s="1">
        <v>45848</v>
      </c>
      <c r="C4569">
        <v>9</v>
      </c>
      <c r="D4569">
        <v>6.7000000000000004E-2</v>
      </c>
      <c r="E4569" t="s">
        <v>6</v>
      </c>
      <c r="F4569">
        <v>0.15528</v>
      </c>
    </row>
    <row r="4570" spans="1:6" x14ac:dyDescent="0.3">
      <c r="A4570" t="s">
        <v>5</v>
      </c>
      <c r="B4570" s="1">
        <v>45848</v>
      </c>
      <c r="C4570">
        <v>10</v>
      </c>
      <c r="D4570">
        <v>5.8000000000000003E-2</v>
      </c>
      <c r="E4570" t="s">
        <v>6</v>
      </c>
      <c r="F4570">
        <v>0.15447999999999998</v>
      </c>
    </row>
    <row r="4571" spans="1:6" x14ac:dyDescent="0.3">
      <c r="A4571" t="s">
        <v>5</v>
      </c>
      <c r="B4571" s="1">
        <v>45848</v>
      </c>
      <c r="C4571">
        <v>11</v>
      </c>
      <c r="D4571">
        <v>8.5000000000000006E-2</v>
      </c>
      <c r="E4571" t="s">
        <v>6</v>
      </c>
      <c r="F4571">
        <v>0.21731</v>
      </c>
    </row>
    <row r="4572" spans="1:6" x14ac:dyDescent="0.3">
      <c r="A4572" t="s">
        <v>5</v>
      </c>
      <c r="B4572" s="1">
        <v>45848</v>
      </c>
      <c r="C4572">
        <v>12</v>
      </c>
      <c r="D4572">
        <v>6.5000000000000002E-2</v>
      </c>
      <c r="E4572" t="s">
        <v>6</v>
      </c>
      <c r="F4572">
        <v>0.2223</v>
      </c>
    </row>
    <row r="4573" spans="1:6" x14ac:dyDescent="0.3">
      <c r="A4573" t="s">
        <v>5</v>
      </c>
      <c r="B4573" s="1">
        <v>45848</v>
      </c>
      <c r="C4573">
        <v>13</v>
      </c>
      <c r="D4573">
        <v>0.06</v>
      </c>
      <c r="E4573" t="s">
        <v>6</v>
      </c>
      <c r="F4573">
        <v>0.18687000000000001</v>
      </c>
    </row>
    <row r="4574" spans="1:6" x14ac:dyDescent="0.3">
      <c r="A4574" t="s">
        <v>5</v>
      </c>
      <c r="B4574" s="1">
        <v>45848</v>
      </c>
      <c r="C4574">
        <v>14</v>
      </c>
      <c r="D4574">
        <v>8.4000000000000005E-2</v>
      </c>
      <c r="E4574" t="s">
        <v>6</v>
      </c>
      <c r="F4574">
        <v>0.18330000000000002</v>
      </c>
    </row>
    <row r="4575" spans="1:6" x14ac:dyDescent="0.3">
      <c r="A4575" t="s">
        <v>5</v>
      </c>
      <c r="B4575" s="1">
        <v>45848</v>
      </c>
      <c r="C4575">
        <v>15</v>
      </c>
      <c r="D4575">
        <v>6.5000000000000002E-2</v>
      </c>
      <c r="E4575" t="s">
        <v>6</v>
      </c>
      <c r="F4575">
        <v>0.11912</v>
      </c>
    </row>
    <row r="4576" spans="1:6" x14ac:dyDescent="0.3">
      <c r="A4576" t="s">
        <v>5</v>
      </c>
      <c r="B4576" s="1">
        <v>45848</v>
      </c>
      <c r="C4576">
        <v>16</v>
      </c>
      <c r="D4576">
        <v>0.06</v>
      </c>
      <c r="E4576" t="s">
        <v>6</v>
      </c>
      <c r="F4576">
        <v>0.11928</v>
      </c>
    </row>
    <row r="4577" spans="1:6" x14ac:dyDescent="0.3">
      <c r="A4577" t="s">
        <v>5</v>
      </c>
      <c r="B4577" s="1">
        <v>45848</v>
      </c>
      <c r="C4577">
        <v>17</v>
      </c>
      <c r="D4577">
        <v>8.5000000000000006E-2</v>
      </c>
      <c r="E4577" t="s">
        <v>6</v>
      </c>
      <c r="F4577">
        <v>0.11883000000000001</v>
      </c>
    </row>
    <row r="4578" spans="1:6" x14ac:dyDescent="0.3">
      <c r="A4578" t="s">
        <v>5</v>
      </c>
      <c r="B4578" s="1">
        <v>45848</v>
      </c>
      <c r="C4578">
        <v>18</v>
      </c>
      <c r="D4578">
        <v>6.3E-2</v>
      </c>
      <c r="E4578" t="s">
        <v>6</v>
      </c>
      <c r="F4578">
        <v>0.12051000000000001</v>
      </c>
    </row>
    <row r="4579" spans="1:6" x14ac:dyDescent="0.3">
      <c r="A4579" t="s">
        <v>5</v>
      </c>
      <c r="B4579" s="1">
        <v>45848</v>
      </c>
      <c r="C4579">
        <v>19</v>
      </c>
      <c r="D4579">
        <v>6.3E-2</v>
      </c>
      <c r="E4579" t="s">
        <v>6</v>
      </c>
      <c r="F4579">
        <v>0.19899</v>
      </c>
    </row>
    <row r="4580" spans="1:6" x14ac:dyDescent="0.3">
      <c r="A4580" t="s">
        <v>5</v>
      </c>
      <c r="B4580" s="1">
        <v>45848</v>
      </c>
      <c r="C4580">
        <v>20</v>
      </c>
      <c r="D4580">
        <v>8.4000000000000005E-2</v>
      </c>
      <c r="E4580" t="s">
        <v>6</v>
      </c>
      <c r="F4580">
        <v>0.21788999999999997</v>
      </c>
    </row>
    <row r="4581" spans="1:6" x14ac:dyDescent="0.3">
      <c r="A4581" t="s">
        <v>5</v>
      </c>
      <c r="B4581" s="1">
        <v>45848</v>
      </c>
      <c r="C4581">
        <v>21</v>
      </c>
      <c r="D4581">
        <v>6.2E-2</v>
      </c>
      <c r="E4581" t="s">
        <v>6</v>
      </c>
      <c r="F4581">
        <v>0.23291000000000001</v>
      </c>
    </row>
    <row r="4582" spans="1:6" x14ac:dyDescent="0.3">
      <c r="A4582" t="s">
        <v>5</v>
      </c>
      <c r="B4582" s="1">
        <v>45848</v>
      </c>
      <c r="C4582">
        <v>22</v>
      </c>
      <c r="D4582">
        <v>6.4000000000000001E-2</v>
      </c>
      <c r="E4582" t="s">
        <v>6</v>
      </c>
      <c r="F4582">
        <v>0.27294000000000002</v>
      </c>
    </row>
    <row r="4583" spans="1:6" x14ac:dyDescent="0.3">
      <c r="A4583" t="s">
        <v>5</v>
      </c>
      <c r="B4583" s="1">
        <v>45848</v>
      </c>
      <c r="C4583">
        <v>23</v>
      </c>
      <c r="D4583">
        <v>8.5000000000000006E-2</v>
      </c>
      <c r="E4583" t="s">
        <v>6</v>
      </c>
      <c r="F4583">
        <v>0.22765000000000002</v>
      </c>
    </row>
    <row r="4584" spans="1:6" x14ac:dyDescent="0.3">
      <c r="A4584" t="s">
        <v>5</v>
      </c>
      <c r="B4584" s="1">
        <v>45848</v>
      </c>
      <c r="C4584">
        <v>24</v>
      </c>
      <c r="D4584">
        <v>0.06</v>
      </c>
      <c r="E4584" t="s">
        <v>6</v>
      </c>
      <c r="F4584">
        <v>0.18187</v>
      </c>
    </row>
    <row r="4585" spans="1:6" x14ac:dyDescent="0.3">
      <c r="A4585" t="s">
        <v>5</v>
      </c>
      <c r="B4585" s="1">
        <v>45849</v>
      </c>
      <c r="C4585">
        <v>1</v>
      </c>
      <c r="D4585">
        <v>6.6000000000000003E-2</v>
      </c>
      <c r="E4585" t="s">
        <v>6</v>
      </c>
      <c r="F4585">
        <v>0.14876</v>
      </c>
    </row>
    <row r="4586" spans="1:6" x14ac:dyDescent="0.3">
      <c r="A4586" t="s">
        <v>5</v>
      </c>
      <c r="B4586" s="1">
        <v>45849</v>
      </c>
      <c r="C4586">
        <v>2</v>
      </c>
      <c r="D4586">
        <v>8.4000000000000005E-2</v>
      </c>
      <c r="E4586" t="s">
        <v>6</v>
      </c>
      <c r="F4586">
        <v>0.14166000000000001</v>
      </c>
    </row>
    <row r="4587" spans="1:6" x14ac:dyDescent="0.3">
      <c r="A4587" t="s">
        <v>5</v>
      </c>
      <c r="B4587" s="1">
        <v>45849</v>
      </c>
      <c r="C4587">
        <v>3</v>
      </c>
      <c r="D4587">
        <v>5.8999999999999997E-2</v>
      </c>
      <c r="E4587" t="s">
        <v>6</v>
      </c>
      <c r="F4587">
        <v>0.14002999999999999</v>
      </c>
    </row>
    <row r="4588" spans="1:6" x14ac:dyDescent="0.3">
      <c r="A4588" t="s">
        <v>5</v>
      </c>
      <c r="B4588" s="1">
        <v>45849</v>
      </c>
      <c r="C4588">
        <v>4</v>
      </c>
      <c r="D4588">
        <v>6.7000000000000004E-2</v>
      </c>
      <c r="E4588" t="s">
        <v>6</v>
      </c>
      <c r="F4588">
        <v>0.13603999999999999</v>
      </c>
    </row>
    <row r="4589" spans="1:6" x14ac:dyDescent="0.3">
      <c r="A4589" t="s">
        <v>5</v>
      </c>
      <c r="B4589" s="1">
        <v>45849</v>
      </c>
      <c r="C4589">
        <v>5</v>
      </c>
      <c r="D4589">
        <v>8.3000000000000004E-2</v>
      </c>
      <c r="E4589" t="s">
        <v>6</v>
      </c>
      <c r="F4589">
        <v>0.13593</v>
      </c>
    </row>
    <row r="4590" spans="1:6" x14ac:dyDescent="0.3">
      <c r="A4590" t="s">
        <v>5</v>
      </c>
      <c r="B4590" s="1">
        <v>45849</v>
      </c>
      <c r="C4590">
        <v>6</v>
      </c>
      <c r="D4590">
        <v>5.8999999999999997E-2</v>
      </c>
      <c r="E4590" t="s">
        <v>6</v>
      </c>
      <c r="F4590">
        <v>0.13611999999999999</v>
      </c>
    </row>
    <row r="4591" spans="1:6" x14ac:dyDescent="0.3">
      <c r="A4591" t="s">
        <v>5</v>
      </c>
      <c r="B4591" s="1">
        <v>45849</v>
      </c>
      <c r="C4591">
        <v>7</v>
      </c>
      <c r="D4591">
        <v>9.1999999999999998E-2</v>
      </c>
      <c r="E4591" t="s">
        <v>6</v>
      </c>
      <c r="F4591">
        <v>0.14427000000000001</v>
      </c>
    </row>
    <row r="4592" spans="1:6" x14ac:dyDescent="0.3">
      <c r="A4592" t="s">
        <v>5</v>
      </c>
      <c r="B4592" s="1">
        <v>45849</v>
      </c>
      <c r="C4592">
        <v>8</v>
      </c>
      <c r="D4592">
        <v>0.125</v>
      </c>
      <c r="E4592" t="s">
        <v>6</v>
      </c>
      <c r="F4592">
        <v>0.15183000000000002</v>
      </c>
    </row>
    <row r="4593" spans="1:6" x14ac:dyDescent="0.3">
      <c r="A4593" t="s">
        <v>5</v>
      </c>
      <c r="B4593" s="1">
        <v>45849</v>
      </c>
      <c r="C4593">
        <v>9</v>
      </c>
      <c r="D4593">
        <v>0.09</v>
      </c>
      <c r="E4593" t="s">
        <v>6</v>
      </c>
      <c r="F4593">
        <v>0.16018000000000002</v>
      </c>
    </row>
    <row r="4594" spans="1:6" x14ac:dyDescent="0.3">
      <c r="A4594" t="s">
        <v>5</v>
      </c>
      <c r="B4594" s="1">
        <v>45849</v>
      </c>
      <c r="C4594">
        <v>10</v>
      </c>
      <c r="D4594">
        <v>8.6999999999999994E-2</v>
      </c>
      <c r="E4594" t="s">
        <v>6</v>
      </c>
      <c r="F4594">
        <v>0.15406</v>
      </c>
    </row>
    <row r="4595" spans="1:6" x14ac:dyDescent="0.3">
      <c r="A4595" t="s">
        <v>5</v>
      </c>
      <c r="B4595" s="1">
        <v>45849</v>
      </c>
      <c r="C4595">
        <v>11</v>
      </c>
      <c r="D4595">
        <v>6.6000000000000003E-2</v>
      </c>
      <c r="E4595" t="s">
        <v>6</v>
      </c>
      <c r="F4595">
        <v>0.17352999999999999</v>
      </c>
    </row>
    <row r="4596" spans="1:6" x14ac:dyDescent="0.3">
      <c r="A4596" t="s">
        <v>5</v>
      </c>
      <c r="B4596" s="1">
        <v>45849</v>
      </c>
      <c r="C4596">
        <v>12</v>
      </c>
      <c r="D4596">
        <v>6.5000000000000002E-2</v>
      </c>
      <c r="E4596" t="s">
        <v>6</v>
      </c>
      <c r="F4596">
        <v>0.18947999999999998</v>
      </c>
    </row>
    <row r="4597" spans="1:6" x14ac:dyDescent="0.3">
      <c r="A4597" t="s">
        <v>5</v>
      </c>
      <c r="B4597" s="1">
        <v>45849</v>
      </c>
      <c r="C4597">
        <v>13</v>
      </c>
      <c r="D4597">
        <v>8.1000000000000003E-2</v>
      </c>
      <c r="E4597" t="s">
        <v>6</v>
      </c>
      <c r="F4597">
        <v>0.19399</v>
      </c>
    </row>
    <row r="4598" spans="1:6" x14ac:dyDescent="0.3">
      <c r="A4598" t="s">
        <v>5</v>
      </c>
      <c r="B4598" s="1">
        <v>45849</v>
      </c>
      <c r="C4598">
        <v>14</v>
      </c>
      <c r="D4598">
        <v>5.8000000000000003E-2</v>
      </c>
      <c r="E4598" t="s">
        <v>6</v>
      </c>
      <c r="F4598">
        <v>0.18593000000000001</v>
      </c>
    </row>
    <row r="4599" spans="1:6" x14ac:dyDescent="0.3">
      <c r="A4599" t="s">
        <v>5</v>
      </c>
      <c r="B4599" s="1">
        <v>45849</v>
      </c>
      <c r="C4599">
        <v>15</v>
      </c>
      <c r="D4599">
        <v>7.5999999999999998E-2</v>
      </c>
      <c r="E4599" t="s">
        <v>6</v>
      </c>
      <c r="F4599">
        <v>0.10843999999999999</v>
      </c>
    </row>
    <row r="4600" spans="1:6" x14ac:dyDescent="0.3">
      <c r="A4600" t="s">
        <v>5</v>
      </c>
      <c r="B4600" s="1">
        <v>45849</v>
      </c>
      <c r="C4600">
        <v>16</v>
      </c>
      <c r="D4600">
        <v>7.0000000000000007E-2</v>
      </c>
      <c r="E4600" t="s">
        <v>6</v>
      </c>
      <c r="F4600">
        <v>0.10664</v>
      </c>
    </row>
    <row r="4601" spans="1:6" x14ac:dyDescent="0.3">
      <c r="A4601" t="s">
        <v>5</v>
      </c>
      <c r="B4601" s="1">
        <v>45849</v>
      </c>
      <c r="C4601">
        <v>17</v>
      </c>
      <c r="D4601">
        <v>0.06</v>
      </c>
      <c r="E4601" t="s">
        <v>6</v>
      </c>
      <c r="F4601">
        <v>0.10163999999999999</v>
      </c>
    </row>
    <row r="4602" spans="1:6" x14ac:dyDescent="0.3">
      <c r="A4602" t="s">
        <v>5</v>
      </c>
      <c r="B4602" s="1">
        <v>45849</v>
      </c>
      <c r="C4602">
        <v>18</v>
      </c>
      <c r="D4602">
        <v>8.5000000000000006E-2</v>
      </c>
      <c r="E4602" t="s">
        <v>6</v>
      </c>
      <c r="F4602">
        <v>0.10809999999999999</v>
      </c>
    </row>
    <row r="4603" spans="1:6" x14ac:dyDescent="0.3">
      <c r="A4603" t="s">
        <v>5</v>
      </c>
      <c r="B4603" s="1">
        <v>45849</v>
      </c>
      <c r="C4603">
        <v>19</v>
      </c>
      <c r="D4603">
        <v>5.8000000000000003E-2</v>
      </c>
      <c r="E4603" t="s">
        <v>6</v>
      </c>
      <c r="F4603">
        <v>0.18065999999999999</v>
      </c>
    </row>
    <row r="4604" spans="1:6" x14ac:dyDescent="0.3">
      <c r="A4604" t="s">
        <v>5</v>
      </c>
      <c r="B4604" s="1">
        <v>45849</v>
      </c>
      <c r="C4604">
        <v>20</v>
      </c>
      <c r="D4604">
        <v>7.1999999999999995E-2</v>
      </c>
      <c r="E4604" t="s">
        <v>6</v>
      </c>
      <c r="F4604">
        <v>0.21572999999999998</v>
      </c>
    </row>
    <row r="4605" spans="1:6" x14ac:dyDescent="0.3">
      <c r="A4605" t="s">
        <v>5</v>
      </c>
      <c r="B4605" s="1">
        <v>45849</v>
      </c>
      <c r="C4605">
        <v>21</v>
      </c>
      <c r="D4605">
        <v>7.3999999999999996E-2</v>
      </c>
      <c r="E4605" t="s">
        <v>6</v>
      </c>
      <c r="F4605">
        <v>0.23124</v>
      </c>
    </row>
    <row r="4606" spans="1:6" x14ac:dyDescent="0.3">
      <c r="A4606" t="s">
        <v>5</v>
      </c>
      <c r="B4606" s="1">
        <v>45849</v>
      </c>
      <c r="C4606">
        <v>22</v>
      </c>
      <c r="D4606">
        <v>5.8000000000000003E-2</v>
      </c>
      <c r="E4606" t="s">
        <v>6</v>
      </c>
      <c r="F4606">
        <v>0.2429</v>
      </c>
    </row>
    <row r="4607" spans="1:6" x14ac:dyDescent="0.3">
      <c r="A4607" t="s">
        <v>5</v>
      </c>
      <c r="B4607" s="1">
        <v>45849</v>
      </c>
      <c r="C4607">
        <v>23</v>
      </c>
      <c r="D4607">
        <v>8.3000000000000004E-2</v>
      </c>
      <c r="E4607" t="s">
        <v>6</v>
      </c>
      <c r="F4607">
        <v>0.19172</v>
      </c>
    </row>
    <row r="4608" spans="1:6" x14ac:dyDescent="0.3">
      <c r="A4608" t="s">
        <v>5</v>
      </c>
      <c r="B4608" s="1">
        <v>45849</v>
      </c>
      <c r="C4608">
        <v>24</v>
      </c>
      <c r="D4608">
        <v>6.3E-2</v>
      </c>
      <c r="E4608" t="s">
        <v>6</v>
      </c>
      <c r="F4608">
        <v>0.18278999999999998</v>
      </c>
    </row>
    <row r="4609" spans="1:6" x14ac:dyDescent="0.3">
      <c r="A4609" t="s">
        <v>5</v>
      </c>
      <c r="B4609" s="1">
        <v>45850</v>
      </c>
      <c r="C4609">
        <v>1</v>
      </c>
      <c r="D4609">
        <v>6.7000000000000004E-2</v>
      </c>
      <c r="E4609" t="s">
        <v>6</v>
      </c>
      <c r="F4609">
        <v>0.15678</v>
      </c>
    </row>
    <row r="4610" spans="1:6" x14ac:dyDescent="0.3">
      <c r="A4610" t="s">
        <v>5</v>
      </c>
      <c r="B4610" s="1">
        <v>45850</v>
      </c>
      <c r="C4610">
        <v>2</v>
      </c>
      <c r="D4610">
        <v>7.9000000000000001E-2</v>
      </c>
      <c r="E4610" t="s">
        <v>6</v>
      </c>
      <c r="F4610">
        <v>0.1535</v>
      </c>
    </row>
    <row r="4611" spans="1:6" x14ac:dyDescent="0.3">
      <c r="A4611" t="s">
        <v>5</v>
      </c>
      <c r="B4611" s="1">
        <v>45850</v>
      </c>
      <c r="C4611">
        <v>3</v>
      </c>
      <c r="D4611">
        <v>5.8000000000000003E-2</v>
      </c>
      <c r="E4611" t="s">
        <v>6</v>
      </c>
      <c r="F4611">
        <v>0.14915999999999999</v>
      </c>
    </row>
    <row r="4612" spans="1:6" x14ac:dyDescent="0.3">
      <c r="A4612" t="s">
        <v>5</v>
      </c>
      <c r="B4612" s="1">
        <v>45850</v>
      </c>
      <c r="C4612">
        <v>4</v>
      </c>
      <c r="D4612">
        <v>7.8E-2</v>
      </c>
      <c r="E4612" t="s">
        <v>6</v>
      </c>
      <c r="F4612">
        <v>0.14129</v>
      </c>
    </row>
    <row r="4613" spans="1:6" x14ac:dyDescent="0.3">
      <c r="A4613" t="s">
        <v>5</v>
      </c>
      <c r="B4613" s="1">
        <v>45850</v>
      </c>
      <c r="C4613">
        <v>5</v>
      </c>
      <c r="D4613">
        <v>6.8000000000000005E-2</v>
      </c>
      <c r="E4613" t="s">
        <v>6</v>
      </c>
      <c r="F4613">
        <v>0.13879</v>
      </c>
    </row>
    <row r="4614" spans="1:6" x14ac:dyDescent="0.3">
      <c r="A4614" t="s">
        <v>5</v>
      </c>
      <c r="B4614" s="1">
        <v>45850</v>
      </c>
      <c r="C4614">
        <v>6</v>
      </c>
      <c r="D4614">
        <v>6.0999999999999999E-2</v>
      </c>
      <c r="E4614" t="s">
        <v>6</v>
      </c>
      <c r="F4614">
        <v>0.13708000000000001</v>
      </c>
    </row>
    <row r="4615" spans="1:6" x14ac:dyDescent="0.3">
      <c r="A4615" t="s">
        <v>5</v>
      </c>
      <c r="B4615" s="1">
        <v>45850</v>
      </c>
      <c r="C4615">
        <v>7</v>
      </c>
      <c r="D4615">
        <v>8.5999999999999993E-2</v>
      </c>
      <c r="E4615" t="s">
        <v>6</v>
      </c>
      <c r="F4615">
        <v>0.14424999999999999</v>
      </c>
    </row>
    <row r="4616" spans="1:6" x14ac:dyDescent="0.3">
      <c r="A4616" t="s">
        <v>5</v>
      </c>
      <c r="B4616" s="1">
        <v>45850</v>
      </c>
      <c r="C4616">
        <v>8</v>
      </c>
      <c r="D4616">
        <v>5.7000000000000002E-2</v>
      </c>
      <c r="E4616" t="s">
        <v>6</v>
      </c>
      <c r="F4616">
        <v>0.15611000000000003</v>
      </c>
    </row>
    <row r="4617" spans="1:6" x14ac:dyDescent="0.3">
      <c r="A4617" t="s">
        <v>5</v>
      </c>
      <c r="B4617" s="1">
        <v>45850</v>
      </c>
      <c r="C4617">
        <v>9</v>
      </c>
      <c r="D4617">
        <v>7.1999999999999995E-2</v>
      </c>
      <c r="E4617" t="s">
        <v>6</v>
      </c>
      <c r="F4617">
        <v>0.14244000000000001</v>
      </c>
    </row>
    <row r="4618" spans="1:6" x14ac:dyDescent="0.3">
      <c r="A4618" t="s">
        <v>5</v>
      </c>
      <c r="B4618" s="1">
        <v>45850</v>
      </c>
      <c r="C4618">
        <v>10</v>
      </c>
      <c r="D4618">
        <v>7.2999999999999995E-2</v>
      </c>
      <c r="E4618" t="s">
        <v>6</v>
      </c>
      <c r="F4618">
        <v>0.11044</v>
      </c>
    </row>
    <row r="4619" spans="1:6" x14ac:dyDescent="0.3">
      <c r="A4619" t="s">
        <v>5</v>
      </c>
      <c r="B4619" s="1">
        <v>45850</v>
      </c>
      <c r="C4619">
        <v>11</v>
      </c>
      <c r="D4619">
        <v>5.7000000000000002E-2</v>
      </c>
      <c r="E4619" t="s">
        <v>6</v>
      </c>
      <c r="F4619">
        <v>7.535E-2</v>
      </c>
    </row>
    <row r="4620" spans="1:6" x14ac:dyDescent="0.3">
      <c r="A4620" t="s">
        <v>5</v>
      </c>
      <c r="B4620" s="1">
        <v>45850</v>
      </c>
      <c r="C4620">
        <v>12</v>
      </c>
      <c r="D4620">
        <v>8.3000000000000004E-2</v>
      </c>
      <c r="E4620" t="s">
        <v>6</v>
      </c>
      <c r="F4620">
        <v>4.845E-2</v>
      </c>
    </row>
    <row r="4621" spans="1:6" x14ac:dyDescent="0.3">
      <c r="A4621" t="s">
        <v>5</v>
      </c>
      <c r="B4621" s="1">
        <v>45850</v>
      </c>
      <c r="C4621">
        <v>13</v>
      </c>
      <c r="D4621">
        <v>6.4000000000000001E-2</v>
      </c>
      <c r="E4621" t="s">
        <v>6</v>
      </c>
      <c r="F4621">
        <v>4.2819999999999997E-2</v>
      </c>
    </row>
    <row r="4622" spans="1:6" x14ac:dyDescent="0.3">
      <c r="A4622" t="s">
        <v>5</v>
      </c>
      <c r="B4622" s="1">
        <v>45850</v>
      </c>
      <c r="C4622">
        <v>14</v>
      </c>
      <c r="D4622">
        <v>6.7000000000000004E-2</v>
      </c>
      <c r="E4622" t="s">
        <v>6</v>
      </c>
      <c r="F4622">
        <v>3.1219999999999998E-2</v>
      </c>
    </row>
    <row r="4623" spans="1:6" x14ac:dyDescent="0.3">
      <c r="A4623" t="s">
        <v>5</v>
      </c>
      <c r="B4623" s="1">
        <v>45850</v>
      </c>
      <c r="C4623">
        <v>15</v>
      </c>
      <c r="D4623">
        <v>8.1000000000000003E-2</v>
      </c>
      <c r="E4623" t="s">
        <v>6</v>
      </c>
      <c r="F4623">
        <v>2.9569999999999999E-2</v>
      </c>
    </row>
    <row r="4624" spans="1:6" x14ac:dyDescent="0.3">
      <c r="A4624" t="s">
        <v>5</v>
      </c>
      <c r="B4624" s="1">
        <v>45850</v>
      </c>
      <c r="C4624">
        <v>16</v>
      </c>
      <c r="D4624">
        <v>5.7000000000000002E-2</v>
      </c>
      <c r="E4624" t="s">
        <v>6</v>
      </c>
      <c r="F4624">
        <v>2.6260000000000002E-2</v>
      </c>
    </row>
    <row r="4625" spans="1:6" x14ac:dyDescent="0.3">
      <c r="A4625" t="s">
        <v>5</v>
      </c>
      <c r="B4625" s="1">
        <v>45850</v>
      </c>
      <c r="C4625">
        <v>17</v>
      </c>
      <c r="D4625">
        <v>7.8E-2</v>
      </c>
      <c r="E4625" t="s">
        <v>6</v>
      </c>
      <c r="F4625">
        <v>5.1459999999999999E-2</v>
      </c>
    </row>
    <row r="4626" spans="1:6" x14ac:dyDescent="0.3">
      <c r="A4626" t="s">
        <v>5</v>
      </c>
      <c r="B4626" s="1">
        <v>45850</v>
      </c>
      <c r="C4626">
        <v>18</v>
      </c>
      <c r="D4626">
        <v>6.9000000000000006E-2</v>
      </c>
      <c r="E4626" t="s">
        <v>6</v>
      </c>
      <c r="F4626">
        <v>7.8280000000000002E-2</v>
      </c>
    </row>
    <row r="4627" spans="1:6" x14ac:dyDescent="0.3">
      <c r="A4627" t="s">
        <v>5</v>
      </c>
      <c r="B4627" s="1">
        <v>45850</v>
      </c>
      <c r="C4627">
        <v>19</v>
      </c>
      <c r="D4627">
        <v>0.06</v>
      </c>
      <c r="E4627" t="s">
        <v>6</v>
      </c>
      <c r="F4627">
        <v>9.5519999999999994E-2</v>
      </c>
    </row>
    <row r="4628" spans="1:6" x14ac:dyDescent="0.3">
      <c r="A4628" t="s">
        <v>5</v>
      </c>
      <c r="B4628" s="1">
        <v>45850</v>
      </c>
      <c r="C4628">
        <v>20</v>
      </c>
      <c r="D4628">
        <v>8.5000000000000006E-2</v>
      </c>
      <c r="E4628" t="s">
        <v>6</v>
      </c>
      <c r="F4628">
        <v>0.11329</v>
      </c>
    </row>
    <row r="4629" spans="1:6" x14ac:dyDescent="0.3">
      <c r="A4629" t="s">
        <v>5</v>
      </c>
      <c r="B4629" s="1">
        <v>45850</v>
      </c>
      <c r="C4629">
        <v>21</v>
      </c>
      <c r="D4629">
        <v>5.8000000000000003E-2</v>
      </c>
      <c r="E4629" t="s">
        <v>6</v>
      </c>
      <c r="F4629">
        <v>0.14216999999999999</v>
      </c>
    </row>
    <row r="4630" spans="1:6" x14ac:dyDescent="0.3">
      <c r="A4630" t="s">
        <v>5</v>
      </c>
      <c r="B4630" s="1">
        <v>45850</v>
      </c>
      <c r="C4630">
        <v>22</v>
      </c>
      <c r="D4630">
        <v>7.0999999999999994E-2</v>
      </c>
      <c r="E4630" t="s">
        <v>6</v>
      </c>
      <c r="F4630">
        <v>0.16383</v>
      </c>
    </row>
    <row r="4631" spans="1:6" x14ac:dyDescent="0.3">
      <c r="A4631" t="s">
        <v>5</v>
      </c>
      <c r="B4631" s="1">
        <v>45850</v>
      </c>
      <c r="C4631">
        <v>23</v>
      </c>
      <c r="D4631">
        <v>7.4999999999999997E-2</v>
      </c>
      <c r="E4631" t="s">
        <v>6</v>
      </c>
      <c r="F4631">
        <v>0.17244000000000001</v>
      </c>
    </row>
    <row r="4632" spans="1:6" x14ac:dyDescent="0.3">
      <c r="A4632" t="s">
        <v>5</v>
      </c>
      <c r="B4632" s="1">
        <v>45850</v>
      </c>
      <c r="C4632">
        <v>24</v>
      </c>
      <c r="D4632">
        <v>5.6000000000000001E-2</v>
      </c>
      <c r="E4632" t="s">
        <v>6</v>
      </c>
      <c r="F4632">
        <v>0.15981999999999999</v>
      </c>
    </row>
    <row r="4633" spans="1:6" x14ac:dyDescent="0.3">
      <c r="A4633" t="s">
        <v>5</v>
      </c>
      <c r="B4633" s="1">
        <v>45851</v>
      </c>
      <c r="C4633">
        <v>1</v>
      </c>
      <c r="D4633">
        <v>8.4000000000000005E-2</v>
      </c>
      <c r="E4633" t="s">
        <v>6</v>
      </c>
      <c r="F4633">
        <v>0.1613</v>
      </c>
    </row>
    <row r="4634" spans="1:6" x14ac:dyDescent="0.3">
      <c r="A4634" t="s">
        <v>5</v>
      </c>
      <c r="B4634" s="1">
        <v>45851</v>
      </c>
      <c r="C4634">
        <v>2</v>
      </c>
      <c r="D4634">
        <v>6.4000000000000001E-2</v>
      </c>
      <c r="E4634" t="s">
        <v>6</v>
      </c>
      <c r="F4634">
        <v>0.15940000000000001</v>
      </c>
    </row>
    <row r="4635" spans="1:6" x14ac:dyDescent="0.3">
      <c r="A4635" t="s">
        <v>5</v>
      </c>
      <c r="B4635" s="1">
        <v>45851</v>
      </c>
      <c r="C4635">
        <v>3</v>
      </c>
      <c r="D4635">
        <v>6.4000000000000001E-2</v>
      </c>
      <c r="E4635" t="s">
        <v>6</v>
      </c>
      <c r="F4635">
        <v>0.15672</v>
      </c>
    </row>
    <row r="4636" spans="1:6" x14ac:dyDescent="0.3">
      <c r="A4636" t="s">
        <v>5</v>
      </c>
      <c r="B4636" s="1">
        <v>45851</v>
      </c>
      <c r="C4636">
        <v>4</v>
      </c>
      <c r="D4636">
        <v>8.1000000000000003E-2</v>
      </c>
      <c r="E4636" t="s">
        <v>6</v>
      </c>
      <c r="F4636">
        <v>0.15803</v>
      </c>
    </row>
    <row r="4637" spans="1:6" x14ac:dyDescent="0.3">
      <c r="A4637" t="s">
        <v>5</v>
      </c>
      <c r="B4637" s="1">
        <v>45851</v>
      </c>
      <c r="C4637">
        <v>5</v>
      </c>
      <c r="D4637">
        <v>5.7000000000000002E-2</v>
      </c>
      <c r="E4637" t="s">
        <v>6</v>
      </c>
      <c r="F4637">
        <v>0.15218999999999999</v>
      </c>
    </row>
    <row r="4638" spans="1:6" x14ac:dyDescent="0.3">
      <c r="A4638" t="s">
        <v>5</v>
      </c>
      <c r="B4638" s="1">
        <v>45851</v>
      </c>
      <c r="C4638">
        <v>6</v>
      </c>
      <c r="D4638">
        <v>7.3999999999999996E-2</v>
      </c>
      <c r="E4638" t="s">
        <v>6</v>
      </c>
      <c r="F4638">
        <v>0.14792</v>
      </c>
    </row>
    <row r="4639" spans="1:6" x14ac:dyDescent="0.3">
      <c r="A4639" t="s">
        <v>5</v>
      </c>
      <c r="B4639" s="1">
        <v>45851</v>
      </c>
      <c r="C4639">
        <v>7</v>
      </c>
      <c r="D4639">
        <v>7.1999999999999995E-2</v>
      </c>
      <c r="E4639" t="s">
        <v>6</v>
      </c>
      <c r="F4639">
        <v>0.14939</v>
      </c>
    </row>
    <row r="4640" spans="1:6" x14ac:dyDescent="0.3">
      <c r="A4640" t="s">
        <v>5</v>
      </c>
      <c r="B4640" s="1">
        <v>45851</v>
      </c>
      <c r="C4640">
        <v>8</v>
      </c>
      <c r="D4640">
        <v>5.6000000000000001E-2</v>
      </c>
      <c r="E4640" t="s">
        <v>6</v>
      </c>
      <c r="F4640">
        <v>0.15305000000000002</v>
      </c>
    </row>
    <row r="4641" spans="1:6" x14ac:dyDescent="0.3">
      <c r="A4641" t="s">
        <v>5</v>
      </c>
      <c r="B4641" s="1">
        <v>45851</v>
      </c>
      <c r="C4641">
        <v>9</v>
      </c>
      <c r="D4641">
        <v>8.4000000000000005E-2</v>
      </c>
      <c r="E4641" t="s">
        <v>6</v>
      </c>
      <c r="F4641">
        <v>0.10396</v>
      </c>
    </row>
    <row r="4642" spans="1:6" x14ac:dyDescent="0.3">
      <c r="A4642" t="s">
        <v>5</v>
      </c>
      <c r="B4642" s="1">
        <v>45851</v>
      </c>
      <c r="C4642">
        <v>10</v>
      </c>
      <c r="D4642">
        <v>6.0999999999999999E-2</v>
      </c>
      <c r="E4642" t="s">
        <v>6</v>
      </c>
      <c r="F4642">
        <v>5.7479999999999996E-2</v>
      </c>
    </row>
    <row r="4643" spans="1:6" x14ac:dyDescent="0.3">
      <c r="A4643" t="s">
        <v>5</v>
      </c>
      <c r="B4643" s="1">
        <v>45851</v>
      </c>
      <c r="C4643">
        <v>11</v>
      </c>
      <c r="D4643">
        <v>6.6000000000000003E-2</v>
      </c>
      <c r="E4643" t="s">
        <v>6</v>
      </c>
      <c r="F4643">
        <v>4.1090000000000002E-2</v>
      </c>
    </row>
    <row r="4644" spans="1:6" x14ac:dyDescent="0.3">
      <c r="A4644" t="s">
        <v>5</v>
      </c>
      <c r="B4644" s="1">
        <v>45851</v>
      </c>
      <c r="C4644">
        <v>12</v>
      </c>
      <c r="D4644">
        <v>7.8E-2</v>
      </c>
      <c r="E4644" t="s">
        <v>6</v>
      </c>
      <c r="F4644">
        <v>3.5610000000000003E-2</v>
      </c>
    </row>
    <row r="4645" spans="1:6" x14ac:dyDescent="0.3">
      <c r="A4645" t="s">
        <v>5</v>
      </c>
      <c r="B4645" s="1">
        <v>45851</v>
      </c>
      <c r="C4645">
        <v>13</v>
      </c>
      <c r="D4645">
        <v>5.7000000000000002E-2</v>
      </c>
      <c r="E4645" t="s">
        <v>6</v>
      </c>
      <c r="F4645">
        <v>3.4770000000000002E-2</v>
      </c>
    </row>
    <row r="4646" spans="1:6" x14ac:dyDescent="0.3">
      <c r="A4646" t="s">
        <v>5</v>
      </c>
      <c r="B4646" s="1">
        <v>45851</v>
      </c>
      <c r="C4646">
        <v>14</v>
      </c>
      <c r="D4646">
        <v>7.6999999999999999E-2</v>
      </c>
      <c r="E4646" t="s">
        <v>6</v>
      </c>
      <c r="F4646">
        <v>3.4049999999999997E-2</v>
      </c>
    </row>
    <row r="4647" spans="1:6" x14ac:dyDescent="0.3">
      <c r="A4647" t="s">
        <v>5</v>
      </c>
      <c r="B4647" s="1">
        <v>45851</v>
      </c>
      <c r="C4647">
        <v>15</v>
      </c>
      <c r="D4647">
        <v>6.9000000000000006E-2</v>
      </c>
      <c r="E4647" t="s">
        <v>6</v>
      </c>
      <c r="F4647">
        <v>3.356E-2</v>
      </c>
    </row>
    <row r="4648" spans="1:6" x14ac:dyDescent="0.3">
      <c r="A4648" t="s">
        <v>5</v>
      </c>
      <c r="B4648" s="1">
        <v>45851</v>
      </c>
      <c r="C4648">
        <v>16</v>
      </c>
      <c r="D4648">
        <v>5.7000000000000002E-2</v>
      </c>
      <c r="E4648" t="s">
        <v>6</v>
      </c>
      <c r="F4648">
        <v>3.3960000000000004E-2</v>
      </c>
    </row>
    <row r="4649" spans="1:6" x14ac:dyDescent="0.3">
      <c r="A4649" t="s">
        <v>5</v>
      </c>
      <c r="B4649" s="1">
        <v>45851</v>
      </c>
      <c r="C4649">
        <v>17</v>
      </c>
      <c r="D4649">
        <v>8.3000000000000004E-2</v>
      </c>
      <c r="E4649" t="s">
        <v>6</v>
      </c>
      <c r="F4649">
        <v>3.5499999999999997E-2</v>
      </c>
    </row>
    <row r="4650" spans="1:6" x14ac:dyDescent="0.3">
      <c r="A4650" t="s">
        <v>5</v>
      </c>
      <c r="B4650" s="1">
        <v>45851</v>
      </c>
      <c r="C4650">
        <v>18</v>
      </c>
      <c r="D4650">
        <v>0.06</v>
      </c>
      <c r="E4650" t="s">
        <v>6</v>
      </c>
      <c r="F4650">
        <v>4.0989999999999999E-2</v>
      </c>
    </row>
    <row r="4651" spans="1:6" x14ac:dyDescent="0.3">
      <c r="A4651" t="s">
        <v>5</v>
      </c>
      <c r="B4651" s="1">
        <v>45851</v>
      </c>
      <c r="C4651">
        <v>19</v>
      </c>
      <c r="D4651">
        <v>6.7000000000000004E-2</v>
      </c>
      <c r="E4651" t="s">
        <v>6</v>
      </c>
      <c r="F4651">
        <v>6.9989999999999997E-2</v>
      </c>
    </row>
    <row r="4652" spans="1:6" x14ac:dyDescent="0.3">
      <c r="A4652" t="s">
        <v>5</v>
      </c>
      <c r="B4652" s="1">
        <v>45851</v>
      </c>
      <c r="C4652">
        <v>20</v>
      </c>
      <c r="D4652">
        <v>7.6999999999999999E-2</v>
      </c>
      <c r="E4652" t="s">
        <v>6</v>
      </c>
      <c r="F4652">
        <v>0.11537</v>
      </c>
    </row>
    <row r="4653" spans="1:6" x14ac:dyDescent="0.3">
      <c r="A4653" t="s">
        <v>5</v>
      </c>
      <c r="B4653" s="1">
        <v>45851</v>
      </c>
      <c r="C4653">
        <v>21</v>
      </c>
      <c r="D4653">
        <v>5.7000000000000002E-2</v>
      </c>
      <c r="E4653" t="s">
        <v>6</v>
      </c>
      <c r="F4653">
        <v>0.15465000000000001</v>
      </c>
    </row>
    <row r="4654" spans="1:6" x14ac:dyDescent="0.3">
      <c r="A4654" t="s">
        <v>5</v>
      </c>
      <c r="B4654" s="1">
        <v>45851</v>
      </c>
      <c r="C4654">
        <v>22</v>
      </c>
      <c r="D4654">
        <v>7.6999999999999999E-2</v>
      </c>
      <c r="E4654" t="s">
        <v>6</v>
      </c>
      <c r="F4654">
        <v>0.17227999999999999</v>
      </c>
    </row>
    <row r="4655" spans="1:6" x14ac:dyDescent="0.3">
      <c r="A4655" t="s">
        <v>5</v>
      </c>
      <c r="B4655" s="1">
        <v>45851</v>
      </c>
      <c r="C4655">
        <v>23</v>
      </c>
      <c r="D4655">
        <v>6.8000000000000005E-2</v>
      </c>
      <c r="E4655" t="s">
        <v>6</v>
      </c>
      <c r="F4655">
        <v>0.17890999999999999</v>
      </c>
    </row>
    <row r="4656" spans="1:6" x14ac:dyDescent="0.3">
      <c r="A4656" t="s">
        <v>5</v>
      </c>
      <c r="B4656" s="1">
        <v>45851</v>
      </c>
      <c r="C4656">
        <v>24</v>
      </c>
      <c r="D4656">
        <v>5.8000000000000003E-2</v>
      </c>
      <c r="E4656" t="s">
        <v>6</v>
      </c>
      <c r="F4656">
        <v>0.16502</v>
      </c>
    </row>
    <row r="4657" spans="1:6" x14ac:dyDescent="0.3">
      <c r="A4657" t="s">
        <v>5</v>
      </c>
      <c r="B4657" s="1">
        <v>45852</v>
      </c>
      <c r="C4657">
        <v>1</v>
      </c>
      <c r="D4657">
        <v>8.5000000000000006E-2</v>
      </c>
      <c r="E4657" t="s">
        <v>6</v>
      </c>
      <c r="F4657">
        <v>0.15106</v>
      </c>
    </row>
    <row r="4658" spans="1:6" x14ac:dyDescent="0.3">
      <c r="A4658" t="s">
        <v>5</v>
      </c>
      <c r="B4658" s="1">
        <v>45852</v>
      </c>
      <c r="C4658">
        <v>2</v>
      </c>
      <c r="D4658">
        <v>0.06</v>
      </c>
      <c r="E4658" t="s">
        <v>6</v>
      </c>
      <c r="F4658">
        <v>0.14549000000000001</v>
      </c>
    </row>
    <row r="4659" spans="1:6" x14ac:dyDescent="0.3">
      <c r="A4659" t="s">
        <v>5</v>
      </c>
      <c r="B4659" s="1">
        <v>45852</v>
      </c>
      <c r="C4659">
        <v>3</v>
      </c>
      <c r="D4659">
        <v>6.7000000000000004E-2</v>
      </c>
      <c r="E4659" t="s">
        <v>6</v>
      </c>
      <c r="F4659">
        <v>0.14318999999999998</v>
      </c>
    </row>
    <row r="4660" spans="1:6" x14ac:dyDescent="0.3">
      <c r="A4660" t="s">
        <v>5</v>
      </c>
      <c r="B4660" s="1">
        <v>45852</v>
      </c>
      <c r="C4660">
        <v>4</v>
      </c>
      <c r="D4660">
        <v>7.9000000000000001E-2</v>
      </c>
      <c r="E4660" t="s">
        <v>6</v>
      </c>
      <c r="F4660">
        <v>0.14271999999999999</v>
      </c>
    </row>
    <row r="4661" spans="1:6" x14ac:dyDescent="0.3">
      <c r="A4661" t="s">
        <v>5</v>
      </c>
      <c r="B4661" s="1">
        <v>45852</v>
      </c>
      <c r="C4661">
        <v>5</v>
      </c>
      <c r="D4661">
        <v>5.7000000000000002E-2</v>
      </c>
      <c r="E4661" t="s">
        <v>6</v>
      </c>
      <c r="F4661">
        <v>0.14258999999999999</v>
      </c>
    </row>
    <row r="4662" spans="1:6" x14ac:dyDescent="0.3">
      <c r="A4662" t="s">
        <v>5</v>
      </c>
      <c r="B4662" s="1">
        <v>45852</v>
      </c>
      <c r="C4662">
        <v>6</v>
      </c>
      <c r="D4662">
        <v>7.5999999999999998E-2</v>
      </c>
      <c r="E4662" t="s">
        <v>6</v>
      </c>
      <c r="F4662">
        <v>0.14316999999999999</v>
      </c>
    </row>
    <row r="4663" spans="1:6" x14ac:dyDescent="0.3">
      <c r="A4663" t="s">
        <v>5</v>
      </c>
      <c r="B4663" s="1">
        <v>45852</v>
      </c>
      <c r="C4663">
        <v>7</v>
      </c>
      <c r="D4663">
        <v>6.9000000000000006E-2</v>
      </c>
      <c r="E4663" t="s">
        <v>6</v>
      </c>
      <c r="F4663">
        <v>0.15272999999999998</v>
      </c>
    </row>
    <row r="4664" spans="1:6" x14ac:dyDescent="0.3">
      <c r="A4664" t="s">
        <v>5</v>
      </c>
      <c r="B4664" s="1">
        <v>45852</v>
      </c>
      <c r="C4664">
        <v>8</v>
      </c>
      <c r="D4664">
        <v>5.7000000000000002E-2</v>
      </c>
      <c r="E4664" t="s">
        <v>6</v>
      </c>
      <c r="F4664">
        <v>0.15661000000000003</v>
      </c>
    </row>
    <row r="4665" spans="1:6" x14ac:dyDescent="0.3">
      <c r="A4665" t="s">
        <v>5</v>
      </c>
      <c r="B4665" s="1">
        <v>45852</v>
      </c>
      <c r="C4665">
        <v>9</v>
      </c>
      <c r="D4665">
        <v>8.3000000000000004E-2</v>
      </c>
      <c r="E4665" t="s">
        <v>6</v>
      </c>
      <c r="F4665">
        <v>0.17185</v>
      </c>
    </row>
    <row r="4666" spans="1:6" x14ac:dyDescent="0.3">
      <c r="A4666" t="s">
        <v>5</v>
      </c>
      <c r="B4666" s="1">
        <v>45852</v>
      </c>
      <c r="C4666">
        <v>10</v>
      </c>
      <c r="D4666">
        <v>0.06</v>
      </c>
      <c r="E4666" t="s">
        <v>6</v>
      </c>
      <c r="F4666">
        <v>0.12872999999999998</v>
      </c>
    </row>
    <row r="4667" spans="1:6" x14ac:dyDescent="0.3">
      <c r="A4667" t="s">
        <v>5</v>
      </c>
      <c r="B4667" s="1">
        <v>45852</v>
      </c>
      <c r="C4667">
        <v>11</v>
      </c>
      <c r="D4667">
        <v>6.5000000000000002E-2</v>
      </c>
      <c r="E4667" t="s">
        <v>6</v>
      </c>
      <c r="F4667">
        <v>0.18062999999999999</v>
      </c>
    </row>
    <row r="4668" spans="1:6" x14ac:dyDescent="0.3">
      <c r="A4668" t="s">
        <v>5</v>
      </c>
      <c r="B4668" s="1">
        <v>45852</v>
      </c>
      <c r="C4668">
        <v>12</v>
      </c>
      <c r="D4668">
        <v>7.8E-2</v>
      </c>
      <c r="E4668" t="s">
        <v>6</v>
      </c>
      <c r="F4668">
        <v>0.14609</v>
      </c>
    </row>
    <row r="4669" spans="1:6" x14ac:dyDescent="0.3">
      <c r="A4669" t="s">
        <v>5</v>
      </c>
      <c r="B4669" s="1">
        <v>45852</v>
      </c>
      <c r="C4669">
        <v>13</v>
      </c>
      <c r="D4669">
        <v>5.7000000000000002E-2</v>
      </c>
      <c r="E4669" t="s">
        <v>6</v>
      </c>
      <c r="F4669">
        <v>0.14596999999999999</v>
      </c>
    </row>
    <row r="4670" spans="1:6" x14ac:dyDescent="0.3">
      <c r="A4670" t="s">
        <v>5</v>
      </c>
      <c r="B4670" s="1">
        <v>45852</v>
      </c>
      <c r="C4670">
        <v>14</v>
      </c>
      <c r="D4670">
        <v>7.2999999999999995E-2</v>
      </c>
      <c r="E4670" t="s">
        <v>6</v>
      </c>
      <c r="F4670">
        <v>0.14853</v>
      </c>
    </row>
    <row r="4671" spans="1:6" x14ac:dyDescent="0.3">
      <c r="A4671" t="s">
        <v>5</v>
      </c>
      <c r="B4671" s="1">
        <v>45852</v>
      </c>
      <c r="C4671">
        <v>15</v>
      </c>
      <c r="D4671">
        <v>7.0999999999999994E-2</v>
      </c>
      <c r="E4671" t="s">
        <v>6</v>
      </c>
      <c r="F4671">
        <v>7.5420000000000001E-2</v>
      </c>
    </row>
    <row r="4672" spans="1:6" x14ac:dyDescent="0.3">
      <c r="A4672" t="s">
        <v>5</v>
      </c>
      <c r="B4672" s="1">
        <v>45852</v>
      </c>
      <c r="C4672">
        <v>16</v>
      </c>
      <c r="D4672">
        <v>5.6000000000000001E-2</v>
      </c>
      <c r="E4672" t="s">
        <v>6</v>
      </c>
      <c r="F4672">
        <v>6.1069999999999999E-2</v>
      </c>
    </row>
    <row r="4673" spans="1:6" x14ac:dyDescent="0.3">
      <c r="A4673" t="s">
        <v>5</v>
      </c>
      <c r="B4673" s="1">
        <v>45852</v>
      </c>
      <c r="C4673">
        <v>17</v>
      </c>
      <c r="D4673">
        <v>8.2000000000000003E-2</v>
      </c>
      <c r="E4673" t="s">
        <v>6</v>
      </c>
      <c r="F4673">
        <v>7.0970000000000005E-2</v>
      </c>
    </row>
    <row r="4674" spans="1:6" x14ac:dyDescent="0.3">
      <c r="A4674" t="s">
        <v>5</v>
      </c>
      <c r="B4674" s="1">
        <v>45852</v>
      </c>
      <c r="C4674">
        <v>18</v>
      </c>
      <c r="D4674">
        <v>6.4000000000000001E-2</v>
      </c>
      <c r="E4674" t="s">
        <v>6</v>
      </c>
      <c r="F4674">
        <v>9.3150000000000011E-2</v>
      </c>
    </row>
    <row r="4675" spans="1:6" x14ac:dyDescent="0.3">
      <c r="A4675" t="s">
        <v>5</v>
      </c>
      <c r="B4675" s="1">
        <v>45852</v>
      </c>
      <c r="C4675">
        <v>19</v>
      </c>
      <c r="D4675">
        <v>6.2E-2</v>
      </c>
      <c r="E4675" t="s">
        <v>6</v>
      </c>
      <c r="F4675">
        <v>0.17596000000000001</v>
      </c>
    </row>
    <row r="4676" spans="1:6" x14ac:dyDescent="0.3">
      <c r="A4676" t="s">
        <v>5</v>
      </c>
      <c r="B4676" s="1">
        <v>45852</v>
      </c>
      <c r="C4676">
        <v>20</v>
      </c>
      <c r="D4676">
        <v>8.4000000000000005E-2</v>
      </c>
      <c r="E4676" t="s">
        <v>6</v>
      </c>
      <c r="F4676">
        <v>0.19716</v>
      </c>
    </row>
    <row r="4677" spans="1:6" x14ac:dyDescent="0.3">
      <c r="A4677" t="s">
        <v>5</v>
      </c>
      <c r="B4677" s="1">
        <v>45852</v>
      </c>
      <c r="C4677">
        <v>21</v>
      </c>
      <c r="D4677">
        <v>5.7000000000000002E-2</v>
      </c>
      <c r="E4677" t="s">
        <v>6</v>
      </c>
      <c r="F4677">
        <v>0.23905000000000001</v>
      </c>
    </row>
    <row r="4678" spans="1:6" x14ac:dyDescent="0.3">
      <c r="A4678" t="s">
        <v>5</v>
      </c>
      <c r="B4678" s="1">
        <v>45852</v>
      </c>
      <c r="C4678">
        <v>22</v>
      </c>
      <c r="D4678">
        <v>6.9000000000000006E-2</v>
      </c>
      <c r="E4678" t="s">
        <v>6</v>
      </c>
      <c r="F4678">
        <v>0.25314999999999999</v>
      </c>
    </row>
    <row r="4679" spans="1:6" x14ac:dyDescent="0.3">
      <c r="A4679" t="s">
        <v>5</v>
      </c>
      <c r="B4679" s="1">
        <v>45852</v>
      </c>
      <c r="C4679">
        <v>23</v>
      </c>
      <c r="D4679">
        <v>7.8E-2</v>
      </c>
      <c r="E4679" t="s">
        <v>6</v>
      </c>
      <c r="F4679">
        <v>0.18565999999999999</v>
      </c>
    </row>
    <row r="4680" spans="1:6" x14ac:dyDescent="0.3">
      <c r="A4680" t="s">
        <v>5</v>
      </c>
      <c r="B4680" s="1">
        <v>45852</v>
      </c>
      <c r="C4680">
        <v>24</v>
      </c>
      <c r="D4680">
        <v>5.7000000000000002E-2</v>
      </c>
      <c r="E4680" t="s">
        <v>6</v>
      </c>
      <c r="F4680">
        <v>0.17996000000000001</v>
      </c>
    </row>
    <row r="4681" spans="1:6" x14ac:dyDescent="0.3">
      <c r="A4681" t="s">
        <v>5</v>
      </c>
      <c r="B4681" s="1">
        <v>45853</v>
      </c>
      <c r="C4681">
        <v>1</v>
      </c>
      <c r="D4681">
        <v>7.4999999999999997E-2</v>
      </c>
      <c r="E4681" t="s">
        <v>6</v>
      </c>
      <c r="F4681">
        <v>0.14818000000000001</v>
      </c>
    </row>
    <row r="4682" spans="1:6" x14ac:dyDescent="0.3">
      <c r="A4682" t="s">
        <v>5</v>
      </c>
      <c r="B4682" s="1">
        <v>45853</v>
      </c>
      <c r="C4682">
        <v>2</v>
      </c>
      <c r="D4682">
        <v>7.0999999999999994E-2</v>
      </c>
      <c r="E4682" t="s">
        <v>6</v>
      </c>
      <c r="F4682">
        <v>0.14537</v>
      </c>
    </row>
    <row r="4683" spans="1:6" x14ac:dyDescent="0.3">
      <c r="A4683" t="s">
        <v>5</v>
      </c>
      <c r="B4683" s="1">
        <v>45853</v>
      </c>
      <c r="C4683">
        <v>3</v>
      </c>
      <c r="D4683">
        <v>5.7000000000000002E-2</v>
      </c>
      <c r="E4683" t="s">
        <v>6</v>
      </c>
      <c r="F4683">
        <v>0.14318</v>
      </c>
    </row>
    <row r="4684" spans="1:6" x14ac:dyDescent="0.3">
      <c r="A4684" t="s">
        <v>5</v>
      </c>
      <c r="B4684" s="1">
        <v>45853</v>
      </c>
      <c r="C4684">
        <v>4</v>
      </c>
      <c r="D4684">
        <v>8.1000000000000003E-2</v>
      </c>
      <c r="E4684" t="s">
        <v>6</v>
      </c>
      <c r="F4684">
        <v>0.14043</v>
      </c>
    </row>
    <row r="4685" spans="1:6" x14ac:dyDescent="0.3">
      <c r="A4685" t="s">
        <v>5</v>
      </c>
      <c r="B4685" s="1">
        <v>45853</v>
      </c>
      <c r="C4685">
        <v>5</v>
      </c>
      <c r="D4685">
        <v>6.6000000000000003E-2</v>
      </c>
      <c r="E4685" t="s">
        <v>6</v>
      </c>
      <c r="F4685">
        <v>0.13836999999999999</v>
      </c>
    </row>
    <row r="4686" spans="1:6" x14ac:dyDescent="0.3">
      <c r="A4686" t="s">
        <v>5</v>
      </c>
      <c r="B4686" s="1">
        <v>45853</v>
      </c>
      <c r="C4686">
        <v>6</v>
      </c>
      <c r="D4686">
        <v>0.06</v>
      </c>
      <c r="E4686" t="s">
        <v>6</v>
      </c>
      <c r="F4686">
        <v>0.14008999999999999</v>
      </c>
    </row>
    <row r="4687" spans="1:6" x14ac:dyDescent="0.3">
      <c r="A4687" t="s">
        <v>5</v>
      </c>
      <c r="B4687" s="1">
        <v>45853</v>
      </c>
      <c r="C4687">
        <v>7</v>
      </c>
      <c r="D4687">
        <v>8.3000000000000004E-2</v>
      </c>
      <c r="E4687" t="s">
        <v>6</v>
      </c>
      <c r="F4687">
        <v>0.14884</v>
      </c>
    </row>
    <row r="4688" spans="1:6" x14ac:dyDescent="0.3">
      <c r="A4688" t="s">
        <v>5</v>
      </c>
      <c r="B4688" s="1">
        <v>45853</v>
      </c>
      <c r="C4688">
        <v>8</v>
      </c>
      <c r="D4688">
        <v>5.8999999999999997E-2</v>
      </c>
      <c r="E4688" t="s">
        <v>6</v>
      </c>
      <c r="F4688">
        <v>0.15471000000000001</v>
      </c>
    </row>
    <row r="4689" spans="1:6" x14ac:dyDescent="0.3">
      <c r="A4689" t="s">
        <v>5</v>
      </c>
      <c r="B4689" s="1">
        <v>45853</v>
      </c>
      <c r="C4689">
        <v>9</v>
      </c>
      <c r="D4689">
        <v>6.6000000000000003E-2</v>
      </c>
      <c r="E4689" t="s">
        <v>6</v>
      </c>
      <c r="F4689">
        <v>0.16978000000000001</v>
      </c>
    </row>
    <row r="4690" spans="1:6" x14ac:dyDescent="0.3">
      <c r="A4690" t="s">
        <v>5</v>
      </c>
      <c r="B4690" s="1">
        <v>45853</v>
      </c>
      <c r="C4690">
        <v>10</v>
      </c>
      <c r="D4690">
        <v>0.08</v>
      </c>
      <c r="E4690" t="s">
        <v>6</v>
      </c>
      <c r="F4690">
        <v>0.13063</v>
      </c>
    </row>
    <row r="4691" spans="1:6" x14ac:dyDescent="0.3">
      <c r="A4691" t="s">
        <v>5</v>
      </c>
      <c r="B4691" s="1">
        <v>45853</v>
      </c>
      <c r="C4691">
        <v>11</v>
      </c>
      <c r="D4691">
        <v>5.7000000000000002E-2</v>
      </c>
      <c r="E4691" t="s">
        <v>6</v>
      </c>
      <c r="F4691">
        <v>0.14749999999999999</v>
      </c>
    </row>
    <row r="4692" spans="1:6" x14ac:dyDescent="0.3">
      <c r="A4692" t="s">
        <v>5</v>
      </c>
      <c r="B4692" s="1">
        <v>45853</v>
      </c>
      <c r="C4692">
        <v>12</v>
      </c>
      <c r="D4692">
        <v>7.1999999999999995E-2</v>
      </c>
      <c r="E4692" t="s">
        <v>6</v>
      </c>
      <c r="F4692">
        <v>0.15975</v>
      </c>
    </row>
    <row r="4693" spans="1:6" x14ac:dyDescent="0.3">
      <c r="A4693" t="s">
        <v>5</v>
      </c>
      <c r="B4693" s="1">
        <v>45853</v>
      </c>
      <c r="C4693">
        <v>13</v>
      </c>
      <c r="D4693">
        <v>7.3999999999999996E-2</v>
      </c>
      <c r="E4693" t="s">
        <v>6</v>
      </c>
      <c r="F4693">
        <v>0.16678000000000001</v>
      </c>
    </row>
    <row r="4694" spans="1:6" x14ac:dyDescent="0.3">
      <c r="A4694" t="s">
        <v>5</v>
      </c>
      <c r="B4694" s="1">
        <v>45853</v>
      </c>
      <c r="C4694">
        <v>14</v>
      </c>
      <c r="D4694">
        <v>5.7000000000000002E-2</v>
      </c>
      <c r="E4694" t="s">
        <v>6</v>
      </c>
      <c r="F4694">
        <v>0.16316999999999998</v>
      </c>
    </row>
    <row r="4695" spans="1:6" x14ac:dyDescent="0.3">
      <c r="A4695" t="s">
        <v>5</v>
      </c>
      <c r="B4695" s="1">
        <v>45853</v>
      </c>
      <c r="C4695">
        <v>15</v>
      </c>
      <c r="D4695">
        <v>7.6999999999999999E-2</v>
      </c>
      <c r="E4695" t="s">
        <v>6</v>
      </c>
      <c r="F4695">
        <v>8.7660000000000002E-2</v>
      </c>
    </row>
    <row r="4696" spans="1:6" x14ac:dyDescent="0.3">
      <c r="A4696" t="s">
        <v>5</v>
      </c>
      <c r="B4696" s="1">
        <v>45853</v>
      </c>
      <c r="C4696">
        <v>16</v>
      </c>
      <c r="D4696">
        <v>6.8000000000000005E-2</v>
      </c>
      <c r="E4696" t="s">
        <v>6</v>
      </c>
      <c r="F4696">
        <v>7.893E-2</v>
      </c>
    </row>
    <row r="4697" spans="1:6" x14ac:dyDescent="0.3">
      <c r="A4697" t="s">
        <v>5</v>
      </c>
      <c r="B4697" s="1">
        <v>45853</v>
      </c>
      <c r="C4697">
        <v>17</v>
      </c>
      <c r="D4697">
        <v>5.7000000000000002E-2</v>
      </c>
      <c r="E4697" t="s">
        <v>6</v>
      </c>
      <c r="F4697">
        <v>7.8230000000000008E-2</v>
      </c>
    </row>
    <row r="4698" spans="1:6" x14ac:dyDescent="0.3">
      <c r="A4698" t="s">
        <v>5</v>
      </c>
      <c r="B4698" s="1">
        <v>45853</v>
      </c>
      <c r="C4698">
        <v>18</v>
      </c>
      <c r="D4698">
        <v>8.2000000000000003E-2</v>
      </c>
      <c r="E4698" t="s">
        <v>6</v>
      </c>
      <c r="F4698">
        <v>9.894E-2</v>
      </c>
    </row>
    <row r="4699" spans="1:6" x14ac:dyDescent="0.3">
      <c r="A4699" t="s">
        <v>5</v>
      </c>
      <c r="B4699" s="1">
        <v>45853</v>
      </c>
      <c r="C4699">
        <v>19</v>
      </c>
      <c r="D4699">
        <v>6.4000000000000001E-2</v>
      </c>
      <c r="E4699" t="s">
        <v>6</v>
      </c>
      <c r="F4699">
        <v>0.17066999999999999</v>
      </c>
    </row>
    <row r="4700" spans="1:6" x14ac:dyDescent="0.3">
      <c r="A4700" t="s">
        <v>5</v>
      </c>
      <c r="B4700" s="1">
        <v>45853</v>
      </c>
      <c r="C4700">
        <v>20</v>
      </c>
      <c r="D4700">
        <v>6.2E-2</v>
      </c>
      <c r="E4700" t="s">
        <v>6</v>
      </c>
      <c r="F4700">
        <v>0.19646</v>
      </c>
    </row>
    <row r="4701" spans="1:6" x14ac:dyDescent="0.3">
      <c r="A4701" t="s">
        <v>5</v>
      </c>
      <c r="B4701" s="1">
        <v>45853</v>
      </c>
      <c r="C4701">
        <v>21</v>
      </c>
      <c r="D4701">
        <v>8.4000000000000005E-2</v>
      </c>
      <c r="E4701" t="s">
        <v>6</v>
      </c>
      <c r="F4701">
        <v>0.23837</v>
      </c>
    </row>
    <row r="4702" spans="1:6" x14ac:dyDescent="0.3">
      <c r="A4702" t="s">
        <v>5</v>
      </c>
      <c r="B4702" s="1">
        <v>45853</v>
      </c>
      <c r="C4702">
        <v>22</v>
      </c>
      <c r="D4702">
        <v>0.06</v>
      </c>
      <c r="E4702" t="s">
        <v>6</v>
      </c>
      <c r="F4702">
        <v>0.26833999999999997</v>
      </c>
    </row>
    <row r="4703" spans="1:6" x14ac:dyDescent="0.3">
      <c r="A4703" t="s">
        <v>5</v>
      </c>
      <c r="B4703" s="1">
        <v>45853</v>
      </c>
      <c r="C4703">
        <v>23</v>
      </c>
      <c r="D4703">
        <v>6.6000000000000003E-2</v>
      </c>
      <c r="E4703" t="s">
        <v>6</v>
      </c>
      <c r="F4703">
        <v>0.20221</v>
      </c>
    </row>
    <row r="4704" spans="1:6" x14ac:dyDescent="0.3">
      <c r="A4704" t="s">
        <v>5</v>
      </c>
      <c r="B4704" s="1">
        <v>45853</v>
      </c>
      <c r="C4704">
        <v>24</v>
      </c>
      <c r="D4704">
        <v>8.2000000000000003E-2</v>
      </c>
      <c r="E4704" t="s">
        <v>6</v>
      </c>
      <c r="F4704">
        <v>0.18674000000000002</v>
      </c>
    </row>
    <row r="4705" spans="1:6" x14ac:dyDescent="0.3">
      <c r="A4705" t="s">
        <v>5</v>
      </c>
      <c r="B4705" s="1">
        <v>45854</v>
      </c>
      <c r="C4705">
        <v>1</v>
      </c>
      <c r="D4705">
        <v>5.8000000000000003E-2</v>
      </c>
      <c r="E4705" t="s">
        <v>6</v>
      </c>
      <c r="F4705">
        <v>0.13841999999999999</v>
      </c>
    </row>
    <row r="4706" spans="1:6" x14ac:dyDescent="0.3">
      <c r="A4706" t="s">
        <v>5</v>
      </c>
      <c r="B4706" s="1">
        <v>45854</v>
      </c>
      <c r="C4706">
        <v>2</v>
      </c>
      <c r="D4706">
        <v>7.0000000000000007E-2</v>
      </c>
      <c r="E4706" t="s">
        <v>6</v>
      </c>
      <c r="F4706">
        <v>0.13295999999999999</v>
      </c>
    </row>
    <row r="4707" spans="1:6" x14ac:dyDescent="0.3">
      <c r="A4707" t="s">
        <v>5</v>
      </c>
      <c r="B4707" s="1">
        <v>45854</v>
      </c>
      <c r="C4707">
        <v>3</v>
      </c>
      <c r="D4707">
        <v>7.8E-2</v>
      </c>
      <c r="E4707" t="s">
        <v>6</v>
      </c>
      <c r="F4707">
        <v>0.13238</v>
      </c>
    </row>
    <row r="4708" spans="1:6" x14ac:dyDescent="0.3">
      <c r="A4708" t="s">
        <v>5</v>
      </c>
      <c r="B4708" s="1">
        <v>45854</v>
      </c>
      <c r="C4708">
        <v>4</v>
      </c>
      <c r="D4708">
        <v>0.12</v>
      </c>
      <c r="E4708" t="s">
        <v>6</v>
      </c>
      <c r="F4708">
        <v>0.12859999999999999</v>
      </c>
    </row>
    <row r="4709" spans="1:6" x14ac:dyDescent="0.3">
      <c r="A4709" t="s">
        <v>5</v>
      </c>
      <c r="B4709" s="1">
        <v>45854</v>
      </c>
      <c r="C4709">
        <v>5</v>
      </c>
      <c r="D4709">
        <v>0.122</v>
      </c>
      <c r="E4709" t="s">
        <v>6</v>
      </c>
      <c r="F4709">
        <v>0.12897999999999998</v>
      </c>
    </row>
    <row r="4710" spans="1:6" x14ac:dyDescent="0.3">
      <c r="A4710" t="s">
        <v>5</v>
      </c>
      <c r="B4710" s="1">
        <v>45854</v>
      </c>
      <c r="C4710">
        <v>6</v>
      </c>
      <c r="D4710">
        <v>6.5000000000000002E-2</v>
      </c>
      <c r="E4710" t="s">
        <v>6</v>
      </c>
      <c r="F4710">
        <v>0.13247999999999999</v>
      </c>
    </row>
    <row r="4711" spans="1:6" x14ac:dyDescent="0.3">
      <c r="A4711" t="s">
        <v>5</v>
      </c>
      <c r="B4711" s="1">
        <v>45854</v>
      </c>
      <c r="C4711">
        <v>7</v>
      </c>
      <c r="D4711">
        <v>7.2999999999999995E-2</v>
      </c>
      <c r="E4711" t="s">
        <v>6</v>
      </c>
      <c r="F4711">
        <v>0.14280000000000001</v>
      </c>
    </row>
    <row r="4712" spans="1:6" x14ac:dyDescent="0.3">
      <c r="A4712" t="s">
        <v>5</v>
      </c>
      <c r="B4712" s="1">
        <v>45854</v>
      </c>
      <c r="C4712">
        <v>8</v>
      </c>
      <c r="D4712">
        <v>7.5999999999999998E-2</v>
      </c>
      <c r="E4712" t="s">
        <v>6</v>
      </c>
      <c r="F4712">
        <v>0.152</v>
      </c>
    </row>
    <row r="4713" spans="1:6" x14ac:dyDescent="0.3">
      <c r="A4713" t="s">
        <v>5</v>
      </c>
      <c r="B4713" s="1">
        <v>45854</v>
      </c>
      <c r="C4713">
        <v>9</v>
      </c>
      <c r="D4713">
        <v>5.7000000000000002E-2</v>
      </c>
      <c r="E4713" t="s">
        <v>6</v>
      </c>
      <c r="F4713">
        <v>0.15613999999999997</v>
      </c>
    </row>
    <row r="4714" spans="1:6" x14ac:dyDescent="0.3">
      <c r="A4714" t="s">
        <v>5</v>
      </c>
      <c r="B4714" s="1">
        <v>45854</v>
      </c>
      <c r="C4714">
        <v>10</v>
      </c>
      <c r="D4714">
        <v>8.2000000000000003E-2</v>
      </c>
      <c r="E4714" t="s">
        <v>6</v>
      </c>
      <c r="F4714">
        <v>0.13561000000000001</v>
      </c>
    </row>
    <row r="4715" spans="1:6" x14ac:dyDescent="0.3">
      <c r="A4715" t="s">
        <v>5</v>
      </c>
      <c r="B4715" s="1">
        <v>45854</v>
      </c>
      <c r="C4715">
        <v>11</v>
      </c>
      <c r="D4715">
        <v>6.3E-2</v>
      </c>
      <c r="E4715" t="s">
        <v>6</v>
      </c>
      <c r="F4715">
        <v>0.18634000000000001</v>
      </c>
    </row>
    <row r="4716" spans="1:6" x14ac:dyDescent="0.3">
      <c r="A4716" t="s">
        <v>5</v>
      </c>
      <c r="B4716" s="1">
        <v>45854</v>
      </c>
      <c r="C4716">
        <v>12</v>
      </c>
      <c r="D4716">
        <v>6.7000000000000004E-2</v>
      </c>
      <c r="E4716" t="s">
        <v>6</v>
      </c>
      <c r="F4716">
        <v>0.18078</v>
      </c>
    </row>
    <row r="4717" spans="1:6" x14ac:dyDescent="0.3">
      <c r="A4717" t="s">
        <v>5</v>
      </c>
      <c r="B4717" s="1">
        <v>45854</v>
      </c>
      <c r="C4717">
        <v>13</v>
      </c>
      <c r="D4717">
        <v>7.9000000000000001E-2</v>
      </c>
      <c r="E4717" t="s">
        <v>6</v>
      </c>
      <c r="F4717">
        <v>0.18034</v>
      </c>
    </row>
    <row r="4718" spans="1:6" x14ac:dyDescent="0.3">
      <c r="A4718" t="s">
        <v>5</v>
      </c>
      <c r="B4718" s="1">
        <v>45854</v>
      </c>
      <c r="C4718">
        <v>14</v>
      </c>
      <c r="D4718">
        <v>5.7000000000000002E-2</v>
      </c>
      <c r="E4718" t="s">
        <v>6</v>
      </c>
      <c r="F4718">
        <v>0.17796000000000001</v>
      </c>
    </row>
    <row r="4719" spans="1:6" x14ac:dyDescent="0.3">
      <c r="A4719" t="s">
        <v>5</v>
      </c>
      <c r="B4719" s="1">
        <v>45854</v>
      </c>
      <c r="C4719">
        <v>15</v>
      </c>
      <c r="D4719">
        <v>7.9000000000000001E-2</v>
      </c>
      <c r="E4719" t="s">
        <v>6</v>
      </c>
      <c r="F4719">
        <v>0.11241</v>
      </c>
    </row>
    <row r="4720" spans="1:6" x14ac:dyDescent="0.3">
      <c r="A4720" t="s">
        <v>5</v>
      </c>
      <c r="B4720" s="1">
        <v>45854</v>
      </c>
      <c r="C4720">
        <v>16</v>
      </c>
      <c r="D4720">
        <v>6.5000000000000002E-2</v>
      </c>
      <c r="E4720" t="s">
        <v>6</v>
      </c>
      <c r="F4720">
        <v>0.11243</v>
      </c>
    </row>
    <row r="4721" spans="1:6" x14ac:dyDescent="0.3">
      <c r="A4721" t="s">
        <v>5</v>
      </c>
      <c r="B4721" s="1">
        <v>45854</v>
      </c>
      <c r="C4721">
        <v>17</v>
      </c>
      <c r="D4721">
        <v>7.0999999999999994E-2</v>
      </c>
      <c r="E4721" t="s">
        <v>6</v>
      </c>
      <c r="F4721">
        <v>0.11308</v>
      </c>
    </row>
    <row r="4722" spans="1:6" x14ac:dyDescent="0.3">
      <c r="A4722" t="s">
        <v>5</v>
      </c>
      <c r="B4722" s="1">
        <v>45854</v>
      </c>
      <c r="C4722">
        <v>18</v>
      </c>
      <c r="D4722">
        <v>8.1000000000000003E-2</v>
      </c>
      <c r="E4722" t="s">
        <v>6</v>
      </c>
      <c r="F4722">
        <v>0.11323999999999999</v>
      </c>
    </row>
    <row r="4723" spans="1:6" x14ac:dyDescent="0.3">
      <c r="A4723" t="s">
        <v>5</v>
      </c>
      <c r="B4723" s="1">
        <v>45854</v>
      </c>
      <c r="C4723">
        <v>19</v>
      </c>
      <c r="D4723">
        <v>5.7000000000000002E-2</v>
      </c>
      <c r="E4723" t="s">
        <v>6</v>
      </c>
      <c r="F4723">
        <v>0.19119999999999998</v>
      </c>
    </row>
    <row r="4724" spans="1:6" x14ac:dyDescent="0.3">
      <c r="A4724" t="s">
        <v>5</v>
      </c>
      <c r="B4724" s="1">
        <v>45854</v>
      </c>
      <c r="C4724">
        <v>20</v>
      </c>
      <c r="D4724">
        <v>7.8E-2</v>
      </c>
      <c r="E4724" t="s">
        <v>6</v>
      </c>
      <c r="F4724">
        <v>0.22518000000000002</v>
      </c>
    </row>
    <row r="4725" spans="1:6" x14ac:dyDescent="0.3">
      <c r="A4725" t="s">
        <v>5</v>
      </c>
      <c r="B4725" s="1">
        <v>45854</v>
      </c>
      <c r="C4725">
        <v>21</v>
      </c>
      <c r="D4725">
        <v>6.8000000000000005E-2</v>
      </c>
      <c r="E4725" t="s">
        <v>6</v>
      </c>
      <c r="F4725">
        <v>0.24152999999999999</v>
      </c>
    </row>
    <row r="4726" spans="1:6" x14ac:dyDescent="0.3">
      <c r="A4726" t="s">
        <v>5</v>
      </c>
      <c r="B4726" s="1">
        <v>45854</v>
      </c>
      <c r="C4726">
        <v>22</v>
      </c>
      <c r="D4726">
        <v>6.2E-2</v>
      </c>
      <c r="E4726" t="s">
        <v>6</v>
      </c>
      <c r="F4726">
        <v>0.30510000000000004</v>
      </c>
    </row>
    <row r="4727" spans="1:6" x14ac:dyDescent="0.3">
      <c r="A4727" t="s">
        <v>5</v>
      </c>
      <c r="B4727" s="1">
        <v>45854</v>
      </c>
      <c r="C4727">
        <v>23</v>
      </c>
      <c r="D4727">
        <v>8.4000000000000005E-2</v>
      </c>
      <c r="E4727" t="s">
        <v>6</v>
      </c>
      <c r="F4727">
        <v>0.23191000000000001</v>
      </c>
    </row>
    <row r="4728" spans="1:6" x14ac:dyDescent="0.3">
      <c r="A4728" t="s">
        <v>5</v>
      </c>
      <c r="B4728" s="1">
        <v>45854</v>
      </c>
      <c r="C4728">
        <v>24</v>
      </c>
      <c r="D4728">
        <v>5.7000000000000002E-2</v>
      </c>
      <c r="E4728" t="s">
        <v>6</v>
      </c>
      <c r="F4728">
        <v>0.18578999999999998</v>
      </c>
    </row>
    <row r="4729" spans="1:6" x14ac:dyDescent="0.3">
      <c r="A4729" t="s">
        <v>5</v>
      </c>
      <c r="B4729" s="1">
        <v>45855</v>
      </c>
      <c r="C4729">
        <v>1</v>
      </c>
      <c r="D4729">
        <v>7.4999999999999997E-2</v>
      </c>
      <c r="E4729" t="s">
        <v>6</v>
      </c>
      <c r="F4729">
        <v>0.1459</v>
      </c>
    </row>
    <row r="4730" spans="1:6" x14ac:dyDescent="0.3">
      <c r="A4730" t="s">
        <v>5</v>
      </c>
      <c r="B4730" s="1">
        <v>45855</v>
      </c>
      <c r="C4730">
        <v>2</v>
      </c>
      <c r="D4730">
        <v>7.1999999999999995E-2</v>
      </c>
      <c r="E4730" t="s">
        <v>6</v>
      </c>
      <c r="F4730">
        <v>0.14091000000000001</v>
      </c>
    </row>
    <row r="4731" spans="1:6" x14ac:dyDescent="0.3">
      <c r="A4731" t="s">
        <v>5</v>
      </c>
      <c r="B4731" s="1">
        <v>45855</v>
      </c>
      <c r="C4731">
        <v>3</v>
      </c>
      <c r="D4731">
        <v>5.8000000000000003E-2</v>
      </c>
      <c r="E4731" t="s">
        <v>6</v>
      </c>
      <c r="F4731">
        <v>0.13941000000000001</v>
      </c>
    </row>
    <row r="4732" spans="1:6" x14ac:dyDescent="0.3">
      <c r="A4732" t="s">
        <v>5</v>
      </c>
      <c r="B4732" s="1">
        <v>45855</v>
      </c>
      <c r="C4732">
        <v>4</v>
      </c>
      <c r="D4732">
        <v>8.5999999999999993E-2</v>
      </c>
      <c r="E4732" t="s">
        <v>6</v>
      </c>
      <c r="F4732">
        <v>0.13061</v>
      </c>
    </row>
    <row r="4733" spans="1:6" x14ac:dyDescent="0.3">
      <c r="A4733" t="s">
        <v>5</v>
      </c>
      <c r="B4733" s="1">
        <v>45855</v>
      </c>
      <c r="C4733">
        <v>5</v>
      </c>
      <c r="D4733">
        <v>5.8000000000000003E-2</v>
      </c>
      <c r="E4733" t="s">
        <v>6</v>
      </c>
      <c r="F4733">
        <v>0.13034000000000001</v>
      </c>
    </row>
    <row r="4734" spans="1:6" x14ac:dyDescent="0.3">
      <c r="A4734" t="s">
        <v>5</v>
      </c>
      <c r="B4734" s="1">
        <v>45855</v>
      </c>
      <c r="C4734">
        <v>6</v>
      </c>
      <c r="D4734">
        <v>7.1999999999999995E-2</v>
      </c>
      <c r="E4734" t="s">
        <v>6</v>
      </c>
      <c r="F4734">
        <v>0.13556000000000001</v>
      </c>
    </row>
    <row r="4735" spans="1:6" x14ac:dyDescent="0.3">
      <c r="A4735" t="s">
        <v>5</v>
      </c>
      <c r="B4735" s="1">
        <v>45855</v>
      </c>
      <c r="C4735">
        <v>7</v>
      </c>
      <c r="D4735">
        <v>7.3999999999999996E-2</v>
      </c>
      <c r="E4735" t="s">
        <v>6</v>
      </c>
      <c r="F4735">
        <v>0.14346</v>
      </c>
    </row>
    <row r="4736" spans="1:6" x14ac:dyDescent="0.3">
      <c r="A4736" t="s">
        <v>5</v>
      </c>
      <c r="B4736" s="1">
        <v>45855</v>
      </c>
      <c r="C4736">
        <v>8</v>
      </c>
      <c r="D4736">
        <v>5.7000000000000002E-2</v>
      </c>
      <c r="E4736" t="s">
        <v>6</v>
      </c>
      <c r="F4736">
        <v>0.15089</v>
      </c>
    </row>
    <row r="4737" spans="1:6" x14ac:dyDescent="0.3">
      <c r="A4737" t="s">
        <v>5</v>
      </c>
      <c r="B4737" s="1">
        <v>45855</v>
      </c>
      <c r="C4737">
        <v>9</v>
      </c>
      <c r="D4737">
        <v>8.2000000000000003E-2</v>
      </c>
      <c r="E4737" t="s">
        <v>6</v>
      </c>
      <c r="F4737">
        <v>0.16316</v>
      </c>
    </row>
    <row r="4738" spans="1:6" x14ac:dyDescent="0.3">
      <c r="A4738" t="s">
        <v>5</v>
      </c>
      <c r="B4738" s="1">
        <v>45855</v>
      </c>
      <c r="C4738">
        <v>10</v>
      </c>
      <c r="D4738">
        <v>6.4000000000000001E-2</v>
      </c>
      <c r="E4738" t="s">
        <v>6</v>
      </c>
      <c r="F4738">
        <v>0.15252000000000002</v>
      </c>
    </row>
    <row r="4739" spans="1:6" x14ac:dyDescent="0.3">
      <c r="A4739" t="s">
        <v>5</v>
      </c>
      <c r="B4739" s="1">
        <v>45855</v>
      </c>
      <c r="C4739">
        <v>11</v>
      </c>
      <c r="D4739">
        <v>6.5000000000000002E-2</v>
      </c>
      <c r="E4739" t="s">
        <v>6</v>
      </c>
      <c r="F4739">
        <v>0.19681999999999999</v>
      </c>
    </row>
    <row r="4740" spans="1:6" x14ac:dyDescent="0.3">
      <c r="A4740" t="s">
        <v>5</v>
      </c>
      <c r="B4740" s="1">
        <v>45855</v>
      </c>
      <c r="C4740">
        <v>12</v>
      </c>
      <c r="D4740">
        <v>0.08</v>
      </c>
      <c r="E4740" t="s">
        <v>6</v>
      </c>
      <c r="F4740">
        <v>0.18956000000000001</v>
      </c>
    </row>
    <row r="4741" spans="1:6" x14ac:dyDescent="0.3">
      <c r="A4741" t="s">
        <v>5</v>
      </c>
      <c r="B4741" s="1">
        <v>45855</v>
      </c>
      <c r="C4741">
        <v>13</v>
      </c>
      <c r="D4741">
        <v>5.7000000000000002E-2</v>
      </c>
      <c r="E4741" t="s">
        <v>6</v>
      </c>
      <c r="F4741">
        <v>0.19075</v>
      </c>
    </row>
    <row r="4742" spans="1:6" x14ac:dyDescent="0.3">
      <c r="A4742" t="s">
        <v>5</v>
      </c>
      <c r="B4742" s="1">
        <v>45855</v>
      </c>
      <c r="C4742">
        <v>14</v>
      </c>
      <c r="D4742">
        <v>7.6999999999999999E-2</v>
      </c>
      <c r="E4742" t="s">
        <v>6</v>
      </c>
      <c r="F4742">
        <v>0.18831999999999999</v>
      </c>
    </row>
    <row r="4743" spans="1:6" x14ac:dyDescent="0.3">
      <c r="A4743" t="s">
        <v>5</v>
      </c>
      <c r="B4743" s="1">
        <v>45855</v>
      </c>
      <c r="C4743">
        <v>15</v>
      </c>
      <c r="D4743">
        <v>6.8000000000000005E-2</v>
      </c>
      <c r="E4743" t="s">
        <v>6</v>
      </c>
      <c r="F4743">
        <v>0.12127</v>
      </c>
    </row>
    <row r="4744" spans="1:6" x14ac:dyDescent="0.3">
      <c r="A4744" t="s">
        <v>5</v>
      </c>
      <c r="B4744" s="1">
        <v>45855</v>
      </c>
      <c r="C4744">
        <v>16</v>
      </c>
      <c r="D4744">
        <v>6.0999999999999999E-2</v>
      </c>
      <c r="E4744" t="s">
        <v>6</v>
      </c>
      <c r="F4744">
        <v>0.11878</v>
      </c>
    </row>
    <row r="4745" spans="1:6" x14ac:dyDescent="0.3">
      <c r="A4745" t="s">
        <v>5</v>
      </c>
      <c r="B4745" s="1">
        <v>45855</v>
      </c>
      <c r="C4745">
        <v>17</v>
      </c>
      <c r="D4745">
        <v>8.5000000000000006E-2</v>
      </c>
      <c r="E4745" t="s">
        <v>6</v>
      </c>
      <c r="F4745">
        <v>0.12358</v>
      </c>
    </row>
    <row r="4746" spans="1:6" x14ac:dyDescent="0.3">
      <c r="A4746" t="s">
        <v>5</v>
      </c>
      <c r="B4746" s="1">
        <v>45855</v>
      </c>
      <c r="C4746">
        <v>18</v>
      </c>
      <c r="D4746">
        <v>5.8000000000000003E-2</v>
      </c>
      <c r="E4746" t="s">
        <v>6</v>
      </c>
      <c r="F4746">
        <v>0.13091999999999998</v>
      </c>
    </row>
    <row r="4747" spans="1:6" x14ac:dyDescent="0.3">
      <c r="A4747" t="s">
        <v>5</v>
      </c>
      <c r="B4747" s="1">
        <v>45855</v>
      </c>
      <c r="C4747">
        <v>19</v>
      </c>
      <c r="D4747">
        <v>7.0999999999999994E-2</v>
      </c>
      <c r="E4747" t="s">
        <v>6</v>
      </c>
      <c r="F4747">
        <v>0.20537</v>
      </c>
    </row>
    <row r="4748" spans="1:6" x14ac:dyDescent="0.3">
      <c r="A4748" t="s">
        <v>5</v>
      </c>
      <c r="B4748" s="1">
        <v>45855</v>
      </c>
      <c r="C4748">
        <v>20</v>
      </c>
      <c r="D4748">
        <v>7.8E-2</v>
      </c>
      <c r="E4748" t="s">
        <v>6</v>
      </c>
      <c r="F4748">
        <v>0.22359000000000001</v>
      </c>
    </row>
    <row r="4749" spans="1:6" x14ac:dyDescent="0.3">
      <c r="A4749" t="s">
        <v>5</v>
      </c>
      <c r="B4749" s="1">
        <v>45855</v>
      </c>
      <c r="C4749">
        <v>21</v>
      </c>
      <c r="D4749">
        <v>5.8000000000000003E-2</v>
      </c>
      <c r="E4749" t="s">
        <v>6</v>
      </c>
      <c r="F4749">
        <v>0.23711000000000002</v>
      </c>
    </row>
    <row r="4750" spans="1:6" x14ac:dyDescent="0.3">
      <c r="A4750" t="s">
        <v>5</v>
      </c>
      <c r="B4750" s="1">
        <v>45855</v>
      </c>
      <c r="C4750">
        <v>22</v>
      </c>
      <c r="D4750">
        <v>7.9000000000000001E-2</v>
      </c>
      <c r="E4750" t="s">
        <v>6</v>
      </c>
      <c r="F4750">
        <v>0.24668000000000001</v>
      </c>
    </row>
    <row r="4751" spans="1:6" x14ac:dyDescent="0.3">
      <c r="A4751" t="s">
        <v>5</v>
      </c>
      <c r="B4751" s="1">
        <v>45855</v>
      </c>
      <c r="C4751">
        <v>23</v>
      </c>
      <c r="D4751">
        <v>6.9000000000000006E-2</v>
      </c>
      <c r="E4751" t="s">
        <v>6</v>
      </c>
      <c r="F4751">
        <v>0.18271000000000001</v>
      </c>
    </row>
    <row r="4752" spans="1:6" x14ac:dyDescent="0.3">
      <c r="A4752" t="s">
        <v>5</v>
      </c>
      <c r="B4752" s="1">
        <v>45855</v>
      </c>
      <c r="C4752">
        <v>24</v>
      </c>
      <c r="D4752">
        <v>6.2E-2</v>
      </c>
      <c r="E4752" t="s">
        <v>6</v>
      </c>
      <c r="F4752">
        <v>0.17327999999999999</v>
      </c>
    </row>
    <row r="4753" spans="1:6" x14ac:dyDescent="0.3">
      <c r="A4753" t="s">
        <v>5</v>
      </c>
      <c r="B4753" s="1">
        <v>45856</v>
      </c>
      <c r="C4753">
        <v>1</v>
      </c>
      <c r="D4753">
        <v>8.5000000000000006E-2</v>
      </c>
      <c r="E4753" t="s">
        <v>6</v>
      </c>
      <c r="F4753">
        <v>0.14177000000000001</v>
      </c>
    </row>
    <row r="4754" spans="1:6" x14ac:dyDescent="0.3">
      <c r="A4754" t="s">
        <v>5</v>
      </c>
      <c r="B4754" s="1">
        <v>45856</v>
      </c>
      <c r="C4754">
        <v>2</v>
      </c>
      <c r="D4754">
        <v>0.06</v>
      </c>
      <c r="E4754" t="s">
        <v>6</v>
      </c>
      <c r="F4754">
        <v>0.13463</v>
      </c>
    </row>
    <row r="4755" spans="1:6" x14ac:dyDescent="0.3">
      <c r="A4755" t="s">
        <v>5</v>
      </c>
      <c r="B4755" s="1">
        <v>45856</v>
      </c>
      <c r="C4755">
        <v>3</v>
      </c>
      <c r="D4755">
        <v>7.0000000000000007E-2</v>
      </c>
      <c r="E4755" t="s">
        <v>6</v>
      </c>
      <c r="F4755">
        <v>0.13508000000000001</v>
      </c>
    </row>
    <row r="4756" spans="1:6" x14ac:dyDescent="0.3">
      <c r="A4756" t="s">
        <v>5</v>
      </c>
      <c r="B4756" s="1">
        <v>45856</v>
      </c>
      <c r="C4756">
        <v>4</v>
      </c>
      <c r="D4756">
        <v>7.9000000000000001E-2</v>
      </c>
      <c r="E4756" t="s">
        <v>6</v>
      </c>
      <c r="F4756">
        <v>0.13086</v>
      </c>
    </row>
    <row r="4757" spans="1:6" x14ac:dyDescent="0.3">
      <c r="A4757" t="s">
        <v>5</v>
      </c>
      <c r="B4757" s="1">
        <v>45856</v>
      </c>
      <c r="C4757">
        <v>5</v>
      </c>
      <c r="D4757">
        <v>5.7000000000000002E-2</v>
      </c>
      <c r="E4757" t="s">
        <v>6</v>
      </c>
      <c r="F4757">
        <v>0.12934999999999999</v>
      </c>
    </row>
    <row r="4758" spans="1:6" x14ac:dyDescent="0.3">
      <c r="A4758" t="s">
        <v>5</v>
      </c>
      <c r="B4758" s="1">
        <v>45856</v>
      </c>
      <c r="C4758">
        <v>6</v>
      </c>
      <c r="D4758">
        <v>7.8E-2</v>
      </c>
      <c r="E4758" t="s">
        <v>6</v>
      </c>
      <c r="F4758">
        <v>0.13128999999999999</v>
      </c>
    </row>
    <row r="4759" spans="1:6" x14ac:dyDescent="0.3">
      <c r="A4759" t="s">
        <v>5</v>
      </c>
      <c r="B4759" s="1">
        <v>45856</v>
      </c>
      <c r="C4759">
        <v>7</v>
      </c>
      <c r="D4759">
        <v>7.0000000000000007E-2</v>
      </c>
      <c r="E4759" t="s">
        <v>6</v>
      </c>
      <c r="F4759">
        <v>0.13832</v>
      </c>
    </row>
    <row r="4760" spans="1:6" x14ac:dyDescent="0.3">
      <c r="A4760" t="s">
        <v>5</v>
      </c>
      <c r="B4760" s="1">
        <v>45856</v>
      </c>
      <c r="C4760">
        <v>8</v>
      </c>
      <c r="D4760">
        <v>5.8000000000000003E-2</v>
      </c>
      <c r="E4760" t="s">
        <v>6</v>
      </c>
      <c r="F4760">
        <v>0.14283999999999999</v>
      </c>
    </row>
    <row r="4761" spans="1:6" x14ac:dyDescent="0.3">
      <c r="A4761" t="s">
        <v>5</v>
      </c>
      <c r="B4761" s="1">
        <v>45856</v>
      </c>
      <c r="C4761">
        <v>9</v>
      </c>
      <c r="D4761">
        <v>8.5000000000000006E-2</v>
      </c>
      <c r="E4761" t="s">
        <v>6</v>
      </c>
      <c r="F4761">
        <v>0.15887000000000001</v>
      </c>
    </row>
    <row r="4762" spans="1:6" x14ac:dyDescent="0.3">
      <c r="A4762" t="s">
        <v>5</v>
      </c>
      <c r="B4762" s="1">
        <v>45856</v>
      </c>
      <c r="C4762">
        <v>10</v>
      </c>
      <c r="D4762">
        <v>6.2E-2</v>
      </c>
      <c r="E4762" t="s">
        <v>6</v>
      </c>
      <c r="F4762">
        <v>0.14246999999999999</v>
      </c>
    </row>
    <row r="4763" spans="1:6" x14ac:dyDescent="0.3">
      <c r="A4763" t="s">
        <v>5</v>
      </c>
      <c r="B4763" s="1">
        <v>45856</v>
      </c>
      <c r="C4763">
        <v>11</v>
      </c>
      <c r="D4763">
        <v>6.7000000000000004E-2</v>
      </c>
      <c r="E4763" t="s">
        <v>6</v>
      </c>
      <c r="F4763">
        <v>0.19587000000000002</v>
      </c>
    </row>
    <row r="4764" spans="1:6" x14ac:dyDescent="0.3">
      <c r="A4764" t="s">
        <v>5</v>
      </c>
      <c r="B4764" s="1">
        <v>45856</v>
      </c>
      <c r="C4764">
        <v>12</v>
      </c>
      <c r="D4764">
        <v>8.1000000000000003E-2</v>
      </c>
      <c r="E4764" t="s">
        <v>6</v>
      </c>
      <c r="F4764">
        <v>0.19907</v>
      </c>
    </row>
    <row r="4765" spans="1:6" x14ac:dyDescent="0.3">
      <c r="A4765" t="s">
        <v>5</v>
      </c>
      <c r="B4765" s="1">
        <v>45856</v>
      </c>
      <c r="C4765">
        <v>13</v>
      </c>
      <c r="D4765">
        <v>5.7000000000000002E-2</v>
      </c>
      <c r="E4765" t="s">
        <v>6</v>
      </c>
      <c r="F4765">
        <v>0.19652</v>
      </c>
    </row>
    <row r="4766" spans="1:6" x14ac:dyDescent="0.3">
      <c r="A4766" t="s">
        <v>5</v>
      </c>
      <c r="B4766" s="1">
        <v>45856</v>
      </c>
      <c r="C4766">
        <v>14</v>
      </c>
      <c r="D4766">
        <v>7.3999999999999996E-2</v>
      </c>
      <c r="E4766" t="s">
        <v>6</v>
      </c>
      <c r="F4766">
        <v>0.18749000000000002</v>
      </c>
    </row>
    <row r="4767" spans="1:6" x14ac:dyDescent="0.3">
      <c r="A4767" t="s">
        <v>5</v>
      </c>
      <c r="B4767" s="1">
        <v>45856</v>
      </c>
      <c r="C4767">
        <v>15</v>
      </c>
      <c r="D4767">
        <v>7.2999999999999995E-2</v>
      </c>
      <c r="E4767" t="s">
        <v>6</v>
      </c>
      <c r="F4767">
        <v>0.11993000000000001</v>
      </c>
    </row>
    <row r="4768" spans="1:6" x14ac:dyDescent="0.3">
      <c r="A4768" t="s">
        <v>5</v>
      </c>
      <c r="B4768" s="1">
        <v>45856</v>
      </c>
      <c r="C4768">
        <v>16</v>
      </c>
      <c r="D4768">
        <v>5.7000000000000002E-2</v>
      </c>
      <c r="E4768" t="s">
        <v>6</v>
      </c>
      <c r="F4768">
        <v>0.12307999999999999</v>
      </c>
    </row>
    <row r="4769" spans="1:6" x14ac:dyDescent="0.3">
      <c r="A4769" t="s">
        <v>5</v>
      </c>
      <c r="B4769" s="1">
        <v>45856</v>
      </c>
      <c r="C4769">
        <v>17</v>
      </c>
      <c r="D4769">
        <v>8.4000000000000005E-2</v>
      </c>
      <c r="E4769" t="s">
        <v>6</v>
      </c>
      <c r="F4769">
        <v>0.12301000000000001</v>
      </c>
    </row>
    <row r="4770" spans="1:6" x14ac:dyDescent="0.3">
      <c r="A4770" t="s">
        <v>5</v>
      </c>
      <c r="B4770" s="1">
        <v>45856</v>
      </c>
      <c r="C4770">
        <v>18</v>
      </c>
      <c r="D4770">
        <v>6.5000000000000002E-2</v>
      </c>
      <c r="E4770" t="s">
        <v>6</v>
      </c>
      <c r="F4770">
        <v>0.12444</v>
      </c>
    </row>
    <row r="4771" spans="1:6" x14ac:dyDescent="0.3">
      <c r="A4771" t="s">
        <v>5</v>
      </c>
      <c r="B4771" s="1">
        <v>45856</v>
      </c>
      <c r="C4771">
        <v>19</v>
      </c>
      <c r="D4771">
        <v>6.5000000000000002E-2</v>
      </c>
      <c r="E4771" t="s">
        <v>6</v>
      </c>
      <c r="F4771">
        <v>0.18865000000000001</v>
      </c>
    </row>
    <row r="4772" spans="1:6" x14ac:dyDescent="0.3">
      <c r="A4772" t="s">
        <v>5</v>
      </c>
      <c r="B4772" s="1">
        <v>45856</v>
      </c>
      <c r="C4772">
        <v>20</v>
      </c>
      <c r="D4772">
        <v>8.5000000000000006E-2</v>
      </c>
      <c r="E4772" t="s">
        <v>6</v>
      </c>
      <c r="F4772">
        <v>0.19119</v>
      </c>
    </row>
    <row r="4773" spans="1:6" x14ac:dyDescent="0.3">
      <c r="A4773" t="s">
        <v>5</v>
      </c>
      <c r="B4773" s="1">
        <v>45856</v>
      </c>
      <c r="C4773">
        <v>21</v>
      </c>
      <c r="D4773">
        <v>5.8999999999999997E-2</v>
      </c>
      <c r="E4773" t="s">
        <v>6</v>
      </c>
      <c r="F4773">
        <v>0.22852</v>
      </c>
    </row>
    <row r="4774" spans="1:6" x14ac:dyDescent="0.3">
      <c r="A4774" t="s">
        <v>5</v>
      </c>
      <c r="B4774" s="1">
        <v>45856</v>
      </c>
      <c r="C4774">
        <v>22</v>
      </c>
      <c r="D4774">
        <v>7.0000000000000007E-2</v>
      </c>
      <c r="E4774" t="s">
        <v>6</v>
      </c>
      <c r="F4774">
        <v>0.23958000000000002</v>
      </c>
    </row>
    <row r="4775" spans="1:6" x14ac:dyDescent="0.3">
      <c r="A4775" t="s">
        <v>5</v>
      </c>
      <c r="B4775" s="1">
        <v>45856</v>
      </c>
      <c r="C4775">
        <v>23</v>
      </c>
      <c r="D4775">
        <v>7.9000000000000001E-2</v>
      </c>
      <c r="E4775" t="s">
        <v>6</v>
      </c>
      <c r="F4775">
        <v>0.17316000000000001</v>
      </c>
    </row>
    <row r="4776" spans="1:6" x14ac:dyDescent="0.3">
      <c r="A4776" t="s">
        <v>5</v>
      </c>
      <c r="B4776" s="1">
        <v>45856</v>
      </c>
      <c r="C4776">
        <v>24</v>
      </c>
      <c r="D4776">
        <v>5.8999999999999997E-2</v>
      </c>
      <c r="E4776" t="s">
        <v>6</v>
      </c>
      <c r="F4776">
        <v>0.16528999999999999</v>
      </c>
    </row>
    <row r="4777" spans="1:6" x14ac:dyDescent="0.3">
      <c r="A4777" t="s">
        <v>5</v>
      </c>
      <c r="B4777" s="1">
        <v>45857</v>
      </c>
      <c r="C4777">
        <v>1</v>
      </c>
      <c r="D4777">
        <v>7.6999999999999999E-2</v>
      </c>
      <c r="E4777" t="s">
        <v>6</v>
      </c>
      <c r="F4777">
        <v>0.15098</v>
      </c>
    </row>
    <row r="4778" spans="1:6" x14ac:dyDescent="0.3">
      <c r="A4778" t="s">
        <v>5</v>
      </c>
      <c r="B4778" s="1">
        <v>45857</v>
      </c>
      <c r="C4778">
        <v>2</v>
      </c>
      <c r="D4778">
        <v>7.1999999999999995E-2</v>
      </c>
      <c r="E4778" t="s">
        <v>6</v>
      </c>
      <c r="F4778">
        <v>0.14861000000000002</v>
      </c>
    </row>
    <row r="4779" spans="1:6" x14ac:dyDescent="0.3">
      <c r="A4779" t="s">
        <v>5</v>
      </c>
      <c r="B4779" s="1">
        <v>45857</v>
      </c>
      <c r="C4779">
        <v>3</v>
      </c>
      <c r="D4779">
        <v>5.8999999999999997E-2</v>
      </c>
      <c r="E4779" t="s">
        <v>6</v>
      </c>
      <c r="F4779">
        <v>0.14199999999999999</v>
      </c>
    </row>
    <row r="4780" spans="1:6" x14ac:dyDescent="0.3">
      <c r="A4780" t="s">
        <v>5</v>
      </c>
      <c r="B4780" s="1">
        <v>45857</v>
      </c>
      <c r="C4780">
        <v>4</v>
      </c>
      <c r="D4780">
        <v>8.4000000000000005E-2</v>
      </c>
      <c r="E4780" t="s">
        <v>6</v>
      </c>
      <c r="F4780">
        <v>0.13216</v>
      </c>
    </row>
    <row r="4781" spans="1:6" x14ac:dyDescent="0.3">
      <c r="A4781" t="s">
        <v>5</v>
      </c>
      <c r="B4781" s="1">
        <v>45857</v>
      </c>
      <c r="C4781">
        <v>5</v>
      </c>
      <c r="D4781">
        <v>6.7000000000000004E-2</v>
      </c>
      <c r="E4781" t="s">
        <v>6</v>
      </c>
      <c r="F4781">
        <v>0.13000999999999999</v>
      </c>
    </row>
    <row r="4782" spans="1:6" x14ac:dyDescent="0.3">
      <c r="A4782" t="s">
        <v>5</v>
      </c>
      <c r="B4782" s="1">
        <v>45857</v>
      </c>
      <c r="C4782">
        <v>6</v>
      </c>
      <c r="D4782">
        <v>6.2E-2</v>
      </c>
      <c r="E4782" t="s">
        <v>6</v>
      </c>
      <c r="F4782">
        <v>0.13188999999999998</v>
      </c>
    </row>
    <row r="4783" spans="1:6" x14ac:dyDescent="0.3">
      <c r="A4783" t="s">
        <v>5</v>
      </c>
      <c r="B4783" s="1">
        <v>45857</v>
      </c>
      <c r="C4783">
        <v>7</v>
      </c>
      <c r="D4783">
        <v>8.4000000000000005E-2</v>
      </c>
      <c r="E4783" t="s">
        <v>6</v>
      </c>
      <c r="F4783">
        <v>0.13769000000000001</v>
      </c>
    </row>
    <row r="4784" spans="1:6" x14ac:dyDescent="0.3">
      <c r="A4784" t="s">
        <v>5</v>
      </c>
      <c r="B4784" s="1">
        <v>45857</v>
      </c>
      <c r="C4784">
        <v>8</v>
      </c>
      <c r="D4784">
        <v>6.2E-2</v>
      </c>
      <c r="E4784" t="s">
        <v>6</v>
      </c>
      <c r="F4784">
        <v>0.13991000000000001</v>
      </c>
    </row>
    <row r="4785" spans="1:6" x14ac:dyDescent="0.3">
      <c r="A4785" t="s">
        <v>5</v>
      </c>
      <c r="B4785" s="1">
        <v>45857</v>
      </c>
      <c r="C4785">
        <v>9</v>
      </c>
      <c r="D4785">
        <v>6.8000000000000005E-2</v>
      </c>
      <c r="E4785" t="s">
        <v>6</v>
      </c>
      <c r="F4785">
        <v>0.10482999999999999</v>
      </c>
    </row>
    <row r="4786" spans="1:6" x14ac:dyDescent="0.3">
      <c r="A4786" t="s">
        <v>5</v>
      </c>
      <c r="B4786" s="1">
        <v>45857</v>
      </c>
      <c r="C4786">
        <v>10</v>
      </c>
      <c r="D4786">
        <v>8.1000000000000003E-2</v>
      </c>
      <c r="E4786" t="s">
        <v>6</v>
      </c>
      <c r="F4786">
        <v>5.6750000000000002E-2</v>
      </c>
    </row>
    <row r="4787" spans="1:6" x14ac:dyDescent="0.3">
      <c r="A4787" t="s">
        <v>5</v>
      </c>
      <c r="B4787" s="1">
        <v>45857</v>
      </c>
      <c r="C4787">
        <v>11</v>
      </c>
      <c r="D4787">
        <v>5.8999999999999997E-2</v>
      </c>
      <c r="E4787" t="s">
        <v>6</v>
      </c>
      <c r="F4787">
        <v>4.7200000000000006E-2</v>
      </c>
    </row>
    <row r="4788" spans="1:6" x14ac:dyDescent="0.3">
      <c r="A4788" t="s">
        <v>5</v>
      </c>
      <c r="B4788" s="1">
        <v>45857</v>
      </c>
      <c r="C4788">
        <v>12</v>
      </c>
      <c r="D4788">
        <v>7.1999999999999995E-2</v>
      </c>
      <c r="E4788" t="s">
        <v>6</v>
      </c>
      <c r="F4788">
        <v>4.2520000000000002E-2</v>
      </c>
    </row>
    <row r="4789" spans="1:6" x14ac:dyDescent="0.3">
      <c r="A4789" t="s">
        <v>5</v>
      </c>
      <c r="B4789" s="1">
        <v>45857</v>
      </c>
      <c r="C4789">
        <v>13</v>
      </c>
      <c r="D4789">
        <v>7.8E-2</v>
      </c>
      <c r="E4789" t="s">
        <v>6</v>
      </c>
      <c r="F4789">
        <v>4.1329999999999999E-2</v>
      </c>
    </row>
    <row r="4790" spans="1:6" x14ac:dyDescent="0.3">
      <c r="A4790" t="s">
        <v>5</v>
      </c>
      <c r="B4790" s="1">
        <v>45857</v>
      </c>
      <c r="C4790">
        <v>14</v>
      </c>
      <c r="D4790">
        <v>5.8000000000000003E-2</v>
      </c>
      <c r="E4790" t="s">
        <v>6</v>
      </c>
      <c r="F4790">
        <v>4.0629999999999999E-2</v>
      </c>
    </row>
    <row r="4791" spans="1:6" x14ac:dyDescent="0.3">
      <c r="A4791" t="s">
        <v>5</v>
      </c>
      <c r="B4791" s="1">
        <v>45857</v>
      </c>
      <c r="C4791">
        <v>15</v>
      </c>
      <c r="D4791">
        <v>7.8E-2</v>
      </c>
      <c r="E4791" t="s">
        <v>6</v>
      </c>
      <c r="F4791">
        <v>4.0559999999999999E-2</v>
      </c>
    </row>
    <row r="4792" spans="1:6" x14ac:dyDescent="0.3">
      <c r="A4792" t="s">
        <v>5</v>
      </c>
      <c r="B4792" s="1">
        <v>45857</v>
      </c>
      <c r="C4792">
        <v>16</v>
      </c>
      <c r="D4792">
        <v>7.1999999999999995E-2</v>
      </c>
      <c r="E4792" t="s">
        <v>6</v>
      </c>
      <c r="F4792">
        <v>4.1390000000000003E-2</v>
      </c>
    </row>
    <row r="4793" spans="1:6" x14ac:dyDescent="0.3">
      <c r="A4793" t="s">
        <v>5</v>
      </c>
      <c r="B4793" s="1">
        <v>45857</v>
      </c>
      <c r="C4793">
        <v>17</v>
      </c>
      <c r="D4793">
        <v>5.8999999999999997E-2</v>
      </c>
      <c r="E4793" t="s">
        <v>6</v>
      </c>
      <c r="F4793">
        <v>4.3029999999999999E-2</v>
      </c>
    </row>
    <row r="4794" spans="1:6" x14ac:dyDescent="0.3">
      <c r="A4794" t="s">
        <v>5</v>
      </c>
      <c r="B4794" s="1">
        <v>45857</v>
      </c>
      <c r="C4794">
        <v>18</v>
      </c>
      <c r="D4794">
        <v>8.2000000000000003E-2</v>
      </c>
      <c r="E4794" t="s">
        <v>6</v>
      </c>
      <c r="F4794">
        <v>4.2389999999999997E-2</v>
      </c>
    </row>
    <row r="4795" spans="1:6" x14ac:dyDescent="0.3">
      <c r="A4795" t="s">
        <v>5</v>
      </c>
      <c r="B4795" s="1">
        <v>45857</v>
      </c>
      <c r="C4795">
        <v>19</v>
      </c>
      <c r="D4795">
        <v>6.8000000000000005E-2</v>
      </c>
      <c r="E4795" t="s">
        <v>6</v>
      </c>
      <c r="F4795">
        <v>4.4479999999999999E-2</v>
      </c>
    </row>
    <row r="4796" spans="1:6" x14ac:dyDescent="0.3">
      <c r="A4796" t="s">
        <v>5</v>
      </c>
      <c r="B4796" s="1">
        <v>45857</v>
      </c>
      <c r="C4796">
        <v>20</v>
      </c>
      <c r="D4796">
        <v>6.0999999999999999E-2</v>
      </c>
      <c r="E4796" t="s">
        <v>6</v>
      </c>
      <c r="F4796">
        <v>8.6749999999999994E-2</v>
      </c>
    </row>
    <row r="4797" spans="1:6" x14ac:dyDescent="0.3">
      <c r="A4797" t="s">
        <v>5</v>
      </c>
      <c r="B4797" s="1">
        <v>45857</v>
      </c>
      <c r="C4797">
        <v>21</v>
      </c>
      <c r="D4797">
        <v>8.5000000000000006E-2</v>
      </c>
      <c r="E4797" t="s">
        <v>6</v>
      </c>
      <c r="F4797">
        <v>0.11784</v>
      </c>
    </row>
    <row r="4798" spans="1:6" x14ac:dyDescent="0.3">
      <c r="A4798" t="s">
        <v>5</v>
      </c>
      <c r="B4798" s="1">
        <v>45857</v>
      </c>
      <c r="C4798">
        <v>22</v>
      </c>
      <c r="D4798">
        <v>6.5000000000000002E-2</v>
      </c>
      <c r="E4798" t="s">
        <v>6</v>
      </c>
      <c r="F4798">
        <v>0.15175999999999998</v>
      </c>
    </row>
    <row r="4799" spans="1:6" x14ac:dyDescent="0.3">
      <c r="A4799" t="s">
        <v>5</v>
      </c>
      <c r="B4799" s="1">
        <v>45857</v>
      </c>
      <c r="C4799">
        <v>23</v>
      </c>
      <c r="D4799">
        <v>6.3E-2</v>
      </c>
      <c r="E4799" t="s">
        <v>6</v>
      </c>
      <c r="F4799">
        <v>0.15908</v>
      </c>
    </row>
    <row r="4800" spans="1:6" x14ac:dyDescent="0.3">
      <c r="A4800" t="s">
        <v>5</v>
      </c>
      <c r="B4800" s="1">
        <v>45857</v>
      </c>
      <c r="C4800">
        <v>24</v>
      </c>
      <c r="D4800">
        <v>8.5999999999999993E-2</v>
      </c>
      <c r="E4800" t="s">
        <v>6</v>
      </c>
      <c r="F4800">
        <v>0.14743000000000001</v>
      </c>
    </row>
    <row r="4801" spans="1:6" x14ac:dyDescent="0.3">
      <c r="A4801" t="s">
        <v>5</v>
      </c>
      <c r="B4801" s="1">
        <v>45858</v>
      </c>
      <c r="C4801">
        <v>1</v>
      </c>
      <c r="D4801">
        <v>6.3E-2</v>
      </c>
      <c r="E4801" t="s">
        <v>6</v>
      </c>
      <c r="F4801">
        <v>0.11136</v>
      </c>
    </row>
    <row r="4802" spans="1:6" x14ac:dyDescent="0.3">
      <c r="A4802" t="s">
        <v>5</v>
      </c>
      <c r="B4802" s="1">
        <v>45858</v>
      </c>
      <c r="C4802">
        <v>2</v>
      </c>
      <c r="D4802">
        <v>6.6000000000000003E-2</v>
      </c>
      <c r="E4802" t="s">
        <v>6</v>
      </c>
      <c r="F4802">
        <v>9.8530000000000006E-2</v>
      </c>
    </row>
    <row r="4803" spans="1:6" x14ac:dyDescent="0.3">
      <c r="A4803" t="s">
        <v>5</v>
      </c>
      <c r="B4803" s="1">
        <v>45858</v>
      </c>
      <c r="C4803">
        <v>3</v>
      </c>
      <c r="D4803">
        <v>8.5000000000000006E-2</v>
      </c>
      <c r="E4803" t="s">
        <v>6</v>
      </c>
      <c r="F4803">
        <v>0.10025000000000001</v>
      </c>
    </row>
    <row r="4804" spans="1:6" x14ac:dyDescent="0.3">
      <c r="A4804" t="s">
        <v>5</v>
      </c>
      <c r="B4804" s="1">
        <v>45858</v>
      </c>
      <c r="C4804">
        <v>4</v>
      </c>
      <c r="D4804">
        <v>0.06</v>
      </c>
      <c r="E4804" t="s">
        <v>6</v>
      </c>
      <c r="F4804">
        <v>0.10136000000000001</v>
      </c>
    </row>
    <row r="4805" spans="1:6" x14ac:dyDescent="0.3">
      <c r="A4805" t="s">
        <v>5</v>
      </c>
      <c r="B4805" s="1">
        <v>45858</v>
      </c>
      <c r="C4805">
        <v>5</v>
      </c>
      <c r="D4805">
        <v>6.9000000000000006E-2</v>
      </c>
      <c r="E4805" t="s">
        <v>6</v>
      </c>
      <c r="F4805">
        <v>0.10145999999999999</v>
      </c>
    </row>
    <row r="4806" spans="1:6" x14ac:dyDescent="0.3">
      <c r="A4806" t="s">
        <v>5</v>
      </c>
      <c r="B4806" s="1">
        <v>45858</v>
      </c>
      <c r="C4806">
        <v>6</v>
      </c>
      <c r="D4806">
        <v>8.3000000000000004E-2</v>
      </c>
      <c r="E4806" t="s">
        <v>6</v>
      </c>
      <c r="F4806">
        <v>0.10318000000000001</v>
      </c>
    </row>
    <row r="4807" spans="1:6" x14ac:dyDescent="0.3">
      <c r="A4807" t="s">
        <v>5</v>
      </c>
      <c r="B4807" s="1">
        <v>45858</v>
      </c>
      <c r="C4807">
        <v>7</v>
      </c>
      <c r="D4807">
        <v>0.06</v>
      </c>
      <c r="E4807" t="s">
        <v>6</v>
      </c>
      <c r="F4807">
        <v>0.10893000000000001</v>
      </c>
    </row>
    <row r="4808" spans="1:6" x14ac:dyDescent="0.3">
      <c r="A4808" t="s">
        <v>5</v>
      </c>
      <c r="B4808" s="1">
        <v>45858</v>
      </c>
      <c r="C4808">
        <v>8</v>
      </c>
      <c r="D4808">
        <v>7.1999999999999995E-2</v>
      </c>
      <c r="E4808" t="s">
        <v>6</v>
      </c>
      <c r="F4808">
        <v>0.15566999999999998</v>
      </c>
    </row>
    <row r="4809" spans="1:6" x14ac:dyDescent="0.3">
      <c r="A4809" t="s">
        <v>5</v>
      </c>
      <c r="B4809" s="1">
        <v>45858</v>
      </c>
      <c r="C4809">
        <v>9</v>
      </c>
      <c r="D4809">
        <v>7.9000000000000001E-2</v>
      </c>
      <c r="E4809" t="s">
        <v>6</v>
      </c>
      <c r="F4809">
        <v>8.6019999999999999E-2</v>
      </c>
    </row>
    <row r="4810" spans="1:6" x14ac:dyDescent="0.3">
      <c r="A4810" t="s">
        <v>5</v>
      </c>
      <c r="B4810" s="1">
        <v>45858</v>
      </c>
      <c r="C4810">
        <v>10</v>
      </c>
      <c r="D4810">
        <v>5.8999999999999997E-2</v>
      </c>
      <c r="E4810" t="s">
        <v>6</v>
      </c>
      <c r="F4810">
        <v>5.4850000000000003E-2</v>
      </c>
    </row>
    <row r="4811" spans="1:6" x14ac:dyDescent="0.3">
      <c r="A4811" t="s">
        <v>5</v>
      </c>
      <c r="B4811" s="1">
        <v>45858</v>
      </c>
      <c r="C4811">
        <v>11</v>
      </c>
      <c r="D4811">
        <v>7.2999999999999995E-2</v>
      </c>
      <c r="E4811" t="s">
        <v>6</v>
      </c>
      <c r="F4811">
        <v>5.7630000000000001E-2</v>
      </c>
    </row>
    <row r="4812" spans="1:6" x14ac:dyDescent="0.3">
      <c r="A4812" t="s">
        <v>5</v>
      </c>
      <c r="B4812" s="1">
        <v>45858</v>
      </c>
      <c r="C4812">
        <v>12</v>
      </c>
      <c r="D4812">
        <v>7.8E-2</v>
      </c>
      <c r="E4812" t="s">
        <v>6</v>
      </c>
      <c r="F4812">
        <v>5.8389999999999997E-2</v>
      </c>
    </row>
    <row r="4813" spans="1:6" x14ac:dyDescent="0.3">
      <c r="A4813" t="s">
        <v>5</v>
      </c>
      <c r="B4813" s="1">
        <v>45858</v>
      </c>
      <c r="C4813">
        <v>13</v>
      </c>
      <c r="D4813">
        <v>5.8000000000000003E-2</v>
      </c>
      <c r="E4813" t="s">
        <v>6</v>
      </c>
      <c r="F4813">
        <v>5.8159999999999996E-2</v>
      </c>
    </row>
    <row r="4814" spans="1:6" x14ac:dyDescent="0.3">
      <c r="A4814" t="s">
        <v>5</v>
      </c>
      <c r="B4814" s="1">
        <v>45858</v>
      </c>
      <c r="C4814">
        <v>14</v>
      </c>
      <c r="D4814">
        <v>7.4999999999999997E-2</v>
      </c>
      <c r="E4814" t="s">
        <v>6</v>
      </c>
      <c r="F4814">
        <v>5.7439999999999998E-2</v>
      </c>
    </row>
    <row r="4815" spans="1:6" x14ac:dyDescent="0.3">
      <c r="A4815" t="s">
        <v>5</v>
      </c>
      <c r="B4815" s="1">
        <v>45858</v>
      </c>
      <c r="C4815">
        <v>15</v>
      </c>
      <c r="D4815">
        <v>7.4999999999999997E-2</v>
      </c>
      <c r="E4815" t="s">
        <v>6</v>
      </c>
      <c r="F4815">
        <v>5.6659999999999995E-2</v>
      </c>
    </row>
    <row r="4816" spans="1:6" x14ac:dyDescent="0.3">
      <c r="A4816" t="s">
        <v>5</v>
      </c>
      <c r="B4816" s="1">
        <v>45858</v>
      </c>
      <c r="C4816">
        <v>16</v>
      </c>
      <c r="D4816">
        <v>5.8999999999999997E-2</v>
      </c>
      <c r="E4816" t="s">
        <v>6</v>
      </c>
      <c r="F4816">
        <v>5.6240000000000005E-2</v>
      </c>
    </row>
    <row r="4817" spans="1:6" x14ac:dyDescent="0.3">
      <c r="A4817" t="s">
        <v>5</v>
      </c>
      <c r="B4817" s="1">
        <v>45858</v>
      </c>
      <c r="C4817">
        <v>17</v>
      </c>
      <c r="D4817">
        <v>7.6999999999999999E-2</v>
      </c>
      <c r="E4817" t="s">
        <v>6</v>
      </c>
      <c r="F4817">
        <v>5.6530000000000004E-2</v>
      </c>
    </row>
    <row r="4818" spans="1:6" x14ac:dyDescent="0.3">
      <c r="A4818" t="s">
        <v>5</v>
      </c>
      <c r="B4818" s="1">
        <v>45858</v>
      </c>
      <c r="C4818">
        <v>18</v>
      </c>
      <c r="D4818">
        <v>7.2999999999999995E-2</v>
      </c>
      <c r="E4818" t="s">
        <v>6</v>
      </c>
      <c r="F4818">
        <v>5.6149999999999999E-2</v>
      </c>
    </row>
    <row r="4819" spans="1:6" x14ac:dyDescent="0.3">
      <c r="A4819" t="s">
        <v>5</v>
      </c>
      <c r="B4819" s="1">
        <v>45858</v>
      </c>
      <c r="C4819">
        <v>19</v>
      </c>
      <c r="D4819">
        <v>5.8999999999999997E-2</v>
      </c>
      <c r="E4819" t="s">
        <v>6</v>
      </c>
      <c r="F4819">
        <v>5.6460000000000003E-2</v>
      </c>
    </row>
    <row r="4820" spans="1:6" x14ac:dyDescent="0.3">
      <c r="A4820" t="s">
        <v>5</v>
      </c>
      <c r="B4820" s="1">
        <v>45858</v>
      </c>
      <c r="C4820">
        <v>20</v>
      </c>
      <c r="D4820">
        <v>8.1000000000000003E-2</v>
      </c>
      <c r="E4820" t="s">
        <v>6</v>
      </c>
      <c r="F4820">
        <v>6.1409999999999999E-2</v>
      </c>
    </row>
    <row r="4821" spans="1:6" x14ac:dyDescent="0.3">
      <c r="A4821" t="s">
        <v>5</v>
      </c>
      <c r="B4821" s="1">
        <v>45858</v>
      </c>
      <c r="C4821">
        <v>21</v>
      </c>
      <c r="D4821">
        <v>7.2999999999999995E-2</v>
      </c>
      <c r="E4821" t="s">
        <v>6</v>
      </c>
      <c r="F4821">
        <v>0.10513</v>
      </c>
    </row>
    <row r="4822" spans="1:6" x14ac:dyDescent="0.3">
      <c r="A4822" t="s">
        <v>5</v>
      </c>
      <c r="B4822" s="1">
        <v>45858</v>
      </c>
      <c r="C4822">
        <v>22</v>
      </c>
      <c r="D4822">
        <v>0.11799999999999999</v>
      </c>
      <c r="E4822" t="s">
        <v>6</v>
      </c>
      <c r="F4822">
        <v>0.13293000000000002</v>
      </c>
    </row>
    <row r="4823" spans="1:6" x14ac:dyDescent="0.3">
      <c r="A4823" t="s">
        <v>5</v>
      </c>
      <c r="B4823" s="1">
        <v>45858</v>
      </c>
      <c r="C4823">
        <v>23</v>
      </c>
      <c r="D4823">
        <v>0.123</v>
      </c>
      <c r="E4823" t="s">
        <v>6</v>
      </c>
      <c r="F4823">
        <v>0.15068000000000001</v>
      </c>
    </row>
    <row r="4824" spans="1:6" x14ac:dyDescent="0.3">
      <c r="A4824" t="s">
        <v>5</v>
      </c>
      <c r="B4824" s="1">
        <v>45858</v>
      </c>
      <c r="C4824">
        <v>24</v>
      </c>
      <c r="D4824">
        <v>6.8000000000000005E-2</v>
      </c>
      <c r="E4824" t="s">
        <v>6</v>
      </c>
      <c r="F4824">
        <v>0.13494999999999999</v>
      </c>
    </row>
    <row r="4825" spans="1:6" x14ac:dyDescent="0.3">
      <c r="A4825" t="s">
        <v>5</v>
      </c>
      <c r="B4825" s="1">
        <v>45859</v>
      </c>
      <c r="C4825">
        <v>1</v>
      </c>
      <c r="D4825">
        <v>7.3999999999999996E-2</v>
      </c>
      <c r="E4825" t="s">
        <v>6</v>
      </c>
      <c r="F4825">
        <v>0.10731</v>
      </c>
    </row>
    <row r="4826" spans="1:6" x14ac:dyDescent="0.3">
      <c r="A4826" t="s">
        <v>5</v>
      </c>
      <c r="B4826" s="1">
        <v>45859</v>
      </c>
      <c r="C4826">
        <v>2</v>
      </c>
      <c r="D4826">
        <v>8.1000000000000003E-2</v>
      </c>
      <c r="E4826" t="s">
        <v>6</v>
      </c>
      <c r="F4826">
        <v>9.4319999999999987E-2</v>
      </c>
    </row>
    <row r="4827" spans="1:6" x14ac:dyDescent="0.3">
      <c r="A4827" t="s">
        <v>5</v>
      </c>
      <c r="B4827" s="1">
        <v>45859</v>
      </c>
      <c r="C4827">
        <v>3</v>
      </c>
      <c r="D4827">
        <v>5.8999999999999997E-2</v>
      </c>
      <c r="E4827" t="s">
        <v>6</v>
      </c>
      <c r="F4827">
        <v>9.0639999999999998E-2</v>
      </c>
    </row>
    <row r="4828" spans="1:6" x14ac:dyDescent="0.3">
      <c r="A4828" t="s">
        <v>5</v>
      </c>
      <c r="B4828" s="1">
        <v>45859</v>
      </c>
      <c r="C4828">
        <v>4</v>
      </c>
      <c r="D4828">
        <v>0.08</v>
      </c>
      <c r="E4828" t="s">
        <v>6</v>
      </c>
      <c r="F4828">
        <v>8.652E-2</v>
      </c>
    </row>
    <row r="4829" spans="1:6" x14ac:dyDescent="0.3">
      <c r="A4829" t="s">
        <v>5</v>
      </c>
      <c r="B4829" s="1">
        <v>45859</v>
      </c>
      <c r="C4829">
        <v>5</v>
      </c>
      <c r="D4829">
        <v>7.0000000000000007E-2</v>
      </c>
      <c r="E4829" t="s">
        <v>6</v>
      </c>
      <c r="F4829">
        <v>6.0759999999999995E-2</v>
      </c>
    </row>
    <row r="4830" spans="1:6" x14ac:dyDescent="0.3">
      <c r="A4830" t="s">
        <v>5</v>
      </c>
      <c r="B4830" s="1">
        <v>45859</v>
      </c>
      <c r="C4830">
        <v>6</v>
      </c>
      <c r="D4830">
        <v>6.3E-2</v>
      </c>
      <c r="E4830" t="s">
        <v>6</v>
      </c>
      <c r="F4830">
        <v>9.3319999999999986E-2</v>
      </c>
    </row>
    <row r="4831" spans="1:6" x14ac:dyDescent="0.3">
      <c r="A4831" t="s">
        <v>5</v>
      </c>
      <c r="B4831" s="1">
        <v>45859</v>
      </c>
      <c r="C4831">
        <v>7</v>
      </c>
      <c r="D4831">
        <v>8.5999999999999993E-2</v>
      </c>
      <c r="E4831" t="s">
        <v>6</v>
      </c>
      <c r="F4831">
        <v>0.11992</v>
      </c>
    </row>
    <row r="4832" spans="1:6" x14ac:dyDescent="0.3">
      <c r="A4832" t="s">
        <v>5</v>
      </c>
      <c r="B4832" s="1">
        <v>45859</v>
      </c>
      <c r="C4832">
        <v>8</v>
      </c>
      <c r="D4832">
        <v>5.8999999999999997E-2</v>
      </c>
      <c r="E4832" t="s">
        <v>6</v>
      </c>
      <c r="F4832">
        <v>0.15662999999999999</v>
      </c>
    </row>
    <row r="4833" spans="1:6" x14ac:dyDescent="0.3">
      <c r="A4833" t="s">
        <v>5</v>
      </c>
      <c r="B4833" s="1">
        <v>45859</v>
      </c>
      <c r="C4833">
        <v>9</v>
      </c>
      <c r="D4833">
        <v>7.2999999999999995E-2</v>
      </c>
      <c r="E4833" t="s">
        <v>6</v>
      </c>
      <c r="F4833">
        <v>0.14565</v>
      </c>
    </row>
    <row r="4834" spans="1:6" x14ac:dyDescent="0.3">
      <c r="A4834" t="s">
        <v>5</v>
      </c>
      <c r="B4834" s="1">
        <v>45859</v>
      </c>
      <c r="C4834">
        <v>10</v>
      </c>
      <c r="D4834">
        <v>7.4999999999999997E-2</v>
      </c>
      <c r="E4834" t="s">
        <v>6</v>
      </c>
      <c r="F4834">
        <v>0.10326</v>
      </c>
    </row>
    <row r="4835" spans="1:6" x14ac:dyDescent="0.3">
      <c r="A4835" t="s">
        <v>5</v>
      </c>
      <c r="B4835" s="1">
        <v>45859</v>
      </c>
      <c r="C4835">
        <v>11</v>
      </c>
      <c r="D4835">
        <v>5.8000000000000003E-2</v>
      </c>
      <c r="E4835" t="s">
        <v>6</v>
      </c>
      <c r="F4835">
        <v>0.13025</v>
      </c>
    </row>
    <row r="4836" spans="1:6" x14ac:dyDescent="0.3">
      <c r="A4836" t="s">
        <v>5</v>
      </c>
      <c r="B4836" s="1">
        <v>45859</v>
      </c>
      <c r="C4836">
        <v>12</v>
      </c>
      <c r="D4836">
        <v>8.3000000000000004E-2</v>
      </c>
      <c r="E4836" t="s">
        <v>6</v>
      </c>
      <c r="F4836">
        <v>0.13218000000000002</v>
      </c>
    </row>
    <row r="4837" spans="1:6" x14ac:dyDescent="0.3">
      <c r="A4837" t="s">
        <v>5</v>
      </c>
      <c r="B4837" s="1">
        <v>45859</v>
      </c>
      <c r="C4837">
        <v>13</v>
      </c>
      <c r="D4837">
        <v>6.5000000000000002E-2</v>
      </c>
      <c r="E4837" t="s">
        <v>6</v>
      </c>
      <c r="F4837">
        <v>0.14166000000000001</v>
      </c>
    </row>
    <row r="4838" spans="1:6" x14ac:dyDescent="0.3">
      <c r="A4838" t="s">
        <v>5</v>
      </c>
      <c r="B4838" s="1">
        <v>45859</v>
      </c>
      <c r="C4838">
        <v>14</v>
      </c>
      <c r="D4838">
        <v>6.6000000000000003E-2</v>
      </c>
      <c r="E4838" t="s">
        <v>6</v>
      </c>
      <c r="F4838">
        <v>0.14729</v>
      </c>
    </row>
    <row r="4839" spans="1:6" x14ac:dyDescent="0.3">
      <c r="A4839" t="s">
        <v>5</v>
      </c>
      <c r="B4839" s="1">
        <v>45859</v>
      </c>
      <c r="C4839">
        <v>15</v>
      </c>
      <c r="D4839">
        <v>8.2000000000000003E-2</v>
      </c>
      <c r="E4839" t="s">
        <v>6</v>
      </c>
      <c r="F4839">
        <v>7.6060000000000003E-2</v>
      </c>
    </row>
    <row r="4840" spans="1:6" x14ac:dyDescent="0.3">
      <c r="A4840" t="s">
        <v>5</v>
      </c>
      <c r="B4840" s="1">
        <v>45859</v>
      </c>
      <c r="C4840">
        <v>16</v>
      </c>
      <c r="D4840">
        <v>5.8000000000000003E-2</v>
      </c>
      <c r="E4840" t="s">
        <v>6</v>
      </c>
      <c r="F4840">
        <v>7.492E-2</v>
      </c>
    </row>
    <row r="4841" spans="1:6" x14ac:dyDescent="0.3">
      <c r="A4841" t="s">
        <v>5</v>
      </c>
      <c r="B4841" s="1">
        <v>45859</v>
      </c>
      <c r="C4841">
        <v>17</v>
      </c>
      <c r="D4841">
        <v>7.6999999999999999E-2</v>
      </c>
      <c r="E4841" t="s">
        <v>6</v>
      </c>
      <c r="F4841">
        <v>6.7540000000000003E-2</v>
      </c>
    </row>
    <row r="4842" spans="1:6" x14ac:dyDescent="0.3">
      <c r="A4842" t="s">
        <v>5</v>
      </c>
      <c r="B4842" s="1">
        <v>45859</v>
      </c>
      <c r="C4842">
        <v>18</v>
      </c>
      <c r="D4842">
        <v>7.0999999999999994E-2</v>
      </c>
      <c r="E4842" t="s">
        <v>6</v>
      </c>
      <c r="F4842">
        <v>9.1109999999999997E-2</v>
      </c>
    </row>
    <row r="4843" spans="1:6" x14ac:dyDescent="0.3">
      <c r="A4843" t="s">
        <v>5</v>
      </c>
      <c r="B4843" s="1">
        <v>45859</v>
      </c>
      <c r="C4843">
        <v>19</v>
      </c>
      <c r="D4843">
        <v>6.0999999999999999E-2</v>
      </c>
      <c r="E4843" t="s">
        <v>6</v>
      </c>
      <c r="F4843">
        <v>0.17532</v>
      </c>
    </row>
    <row r="4844" spans="1:6" x14ac:dyDescent="0.3">
      <c r="A4844" t="s">
        <v>5</v>
      </c>
      <c r="B4844" s="1">
        <v>45859</v>
      </c>
      <c r="C4844">
        <v>20</v>
      </c>
      <c r="D4844">
        <v>8.5999999999999993E-2</v>
      </c>
      <c r="E4844" t="s">
        <v>6</v>
      </c>
      <c r="F4844">
        <v>0.20855000000000001</v>
      </c>
    </row>
    <row r="4845" spans="1:6" x14ac:dyDescent="0.3">
      <c r="A4845" t="s">
        <v>5</v>
      </c>
      <c r="B4845" s="1">
        <v>45859</v>
      </c>
      <c r="C4845">
        <v>21</v>
      </c>
      <c r="D4845">
        <v>6.0999999999999999E-2</v>
      </c>
      <c r="E4845" t="s">
        <v>6</v>
      </c>
      <c r="F4845">
        <v>0.25119999999999998</v>
      </c>
    </row>
    <row r="4846" spans="1:6" x14ac:dyDescent="0.3">
      <c r="A4846" t="s">
        <v>5</v>
      </c>
      <c r="B4846" s="1">
        <v>45859</v>
      </c>
      <c r="C4846">
        <v>22</v>
      </c>
      <c r="D4846">
        <v>7.0999999999999994E-2</v>
      </c>
      <c r="E4846" t="s">
        <v>6</v>
      </c>
      <c r="F4846">
        <v>0.31262000000000001</v>
      </c>
    </row>
    <row r="4847" spans="1:6" x14ac:dyDescent="0.3">
      <c r="A4847" t="s">
        <v>5</v>
      </c>
      <c r="B4847" s="1">
        <v>45859</v>
      </c>
      <c r="C4847">
        <v>23</v>
      </c>
      <c r="D4847">
        <v>7.8E-2</v>
      </c>
      <c r="E4847" t="s">
        <v>6</v>
      </c>
      <c r="F4847">
        <v>0.24309</v>
      </c>
    </row>
    <row r="4848" spans="1:6" x14ac:dyDescent="0.3">
      <c r="A4848" t="s">
        <v>5</v>
      </c>
      <c r="B4848" s="1">
        <v>45859</v>
      </c>
      <c r="C4848">
        <v>24</v>
      </c>
      <c r="D4848">
        <v>5.8000000000000003E-2</v>
      </c>
      <c r="E4848" t="s">
        <v>6</v>
      </c>
      <c r="F4848">
        <v>0.19256000000000001</v>
      </c>
    </row>
    <row r="4849" spans="1:6" x14ac:dyDescent="0.3">
      <c r="A4849" t="s">
        <v>5</v>
      </c>
      <c r="B4849" s="1">
        <v>45860</v>
      </c>
      <c r="C4849">
        <v>1</v>
      </c>
      <c r="D4849">
        <v>8.1000000000000003E-2</v>
      </c>
      <c r="E4849" t="s">
        <v>6</v>
      </c>
      <c r="F4849">
        <v>0.15153999999999998</v>
      </c>
    </row>
    <row r="4850" spans="1:6" x14ac:dyDescent="0.3">
      <c r="A4850" t="s">
        <v>5</v>
      </c>
      <c r="B4850" s="1">
        <v>45860</v>
      </c>
      <c r="C4850">
        <v>2</v>
      </c>
      <c r="D4850">
        <v>6.7000000000000004E-2</v>
      </c>
      <c r="E4850" t="s">
        <v>6</v>
      </c>
      <c r="F4850">
        <v>0.14767</v>
      </c>
    </row>
    <row r="4851" spans="1:6" x14ac:dyDescent="0.3">
      <c r="A4851" t="s">
        <v>5</v>
      </c>
      <c r="B4851" s="1">
        <v>45860</v>
      </c>
      <c r="C4851">
        <v>3</v>
      </c>
      <c r="D4851">
        <v>6.5000000000000002E-2</v>
      </c>
      <c r="E4851" t="s">
        <v>6</v>
      </c>
      <c r="F4851">
        <v>0.13322000000000001</v>
      </c>
    </row>
    <row r="4852" spans="1:6" x14ac:dyDescent="0.3">
      <c r="A4852" t="s">
        <v>5</v>
      </c>
      <c r="B4852" s="1">
        <v>45860</v>
      </c>
      <c r="C4852">
        <v>4</v>
      </c>
      <c r="D4852">
        <v>8.4000000000000005E-2</v>
      </c>
      <c r="E4852" t="s">
        <v>6</v>
      </c>
      <c r="F4852">
        <v>0.13112000000000001</v>
      </c>
    </row>
    <row r="4853" spans="1:6" x14ac:dyDescent="0.3">
      <c r="A4853" t="s">
        <v>5</v>
      </c>
      <c r="B4853" s="1">
        <v>45860</v>
      </c>
      <c r="C4853">
        <v>5</v>
      </c>
      <c r="D4853">
        <v>5.8999999999999997E-2</v>
      </c>
      <c r="E4853" t="s">
        <v>6</v>
      </c>
      <c r="F4853">
        <v>0.13025999999999999</v>
      </c>
    </row>
    <row r="4854" spans="1:6" x14ac:dyDescent="0.3">
      <c r="A4854" t="s">
        <v>5</v>
      </c>
      <c r="B4854" s="1">
        <v>45860</v>
      </c>
      <c r="C4854">
        <v>6</v>
      </c>
      <c r="D4854">
        <v>7.3999999999999996E-2</v>
      </c>
      <c r="E4854" t="s">
        <v>6</v>
      </c>
      <c r="F4854">
        <v>0.13825000000000001</v>
      </c>
    </row>
    <row r="4855" spans="1:6" x14ac:dyDescent="0.3">
      <c r="A4855" t="s">
        <v>5</v>
      </c>
      <c r="B4855" s="1">
        <v>45860</v>
      </c>
      <c r="C4855">
        <v>7</v>
      </c>
      <c r="D4855">
        <v>7.4999999999999997E-2</v>
      </c>
      <c r="E4855" t="s">
        <v>6</v>
      </c>
      <c r="F4855">
        <v>0.14880000000000002</v>
      </c>
    </row>
    <row r="4856" spans="1:6" x14ac:dyDescent="0.3">
      <c r="A4856" t="s">
        <v>5</v>
      </c>
      <c r="B4856" s="1">
        <v>45860</v>
      </c>
      <c r="C4856">
        <v>8</v>
      </c>
      <c r="D4856">
        <v>5.8000000000000003E-2</v>
      </c>
      <c r="E4856" t="s">
        <v>6</v>
      </c>
      <c r="F4856">
        <v>0.15491999999999997</v>
      </c>
    </row>
    <row r="4857" spans="1:6" x14ac:dyDescent="0.3">
      <c r="A4857" t="s">
        <v>5</v>
      </c>
      <c r="B4857" s="1">
        <v>45860</v>
      </c>
      <c r="C4857">
        <v>9</v>
      </c>
      <c r="D4857">
        <v>8.2000000000000003E-2</v>
      </c>
      <c r="E4857" t="s">
        <v>6</v>
      </c>
      <c r="F4857">
        <v>0.16087000000000001</v>
      </c>
    </row>
    <row r="4858" spans="1:6" x14ac:dyDescent="0.3">
      <c r="A4858" t="s">
        <v>5</v>
      </c>
      <c r="B4858" s="1">
        <v>45860</v>
      </c>
      <c r="C4858">
        <v>10</v>
      </c>
      <c r="D4858">
        <v>6.6000000000000003E-2</v>
      </c>
      <c r="E4858" t="s">
        <v>6</v>
      </c>
      <c r="F4858">
        <v>0.12498000000000001</v>
      </c>
    </row>
    <row r="4859" spans="1:6" x14ac:dyDescent="0.3">
      <c r="A4859" t="s">
        <v>5</v>
      </c>
      <c r="B4859" s="1">
        <v>45860</v>
      </c>
      <c r="C4859">
        <v>11</v>
      </c>
      <c r="D4859">
        <v>6.4000000000000001E-2</v>
      </c>
      <c r="E4859" t="s">
        <v>6</v>
      </c>
      <c r="F4859">
        <v>0.15633000000000002</v>
      </c>
    </row>
    <row r="4860" spans="1:6" x14ac:dyDescent="0.3">
      <c r="A4860" t="s">
        <v>5</v>
      </c>
      <c r="B4860" s="1">
        <v>45860</v>
      </c>
      <c r="C4860">
        <v>12</v>
      </c>
      <c r="D4860">
        <v>8.3000000000000004E-2</v>
      </c>
      <c r="E4860" t="s">
        <v>6</v>
      </c>
      <c r="F4860">
        <v>0.15490999999999999</v>
      </c>
    </row>
    <row r="4861" spans="1:6" x14ac:dyDescent="0.3">
      <c r="A4861" t="s">
        <v>5</v>
      </c>
      <c r="B4861" s="1">
        <v>45860</v>
      </c>
      <c r="C4861">
        <v>13</v>
      </c>
      <c r="D4861">
        <v>5.8000000000000003E-2</v>
      </c>
      <c r="E4861" t="s">
        <v>6</v>
      </c>
      <c r="F4861">
        <v>0.15584000000000001</v>
      </c>
    </row>
    <row r="4862" spans="1:6" x14ac:dyDescent="0.3">
      <c r="A4862" t="s">
        <v>5</v>
      </c>
      <c r="B4862" s="1">
        <v>45860</v>
      </c>
      <c r="C4862">
        <v>14</v>
      </c>
      <c r="D4862">
        <v>7.3999999999999996E-2</v>
      </c>
      <c r="E4862" t="s">
        <v>6</v>
      </c>
      <c r="F4862">
        <v>0.15353999999999998</v>
      </c>
    </row>
    <row r="4863" spans="1:6" x14ac:dyDescent="0.3">
      <c r="A4863" t="s">
        <v>5</v>
      </c>
      <c r="B4863" s="1">
        <v>45860</v>
      </c>
      <c r="C4863">
        <v>15</v>
      </c>
      <c r="D4863">
        <v>7.3999999999999996E-2</v>
      </c>
      <c r="E4863" t="s">
        <v>6</v>
      </c>
      <c r="F4863">
        <v>8.7760000000000005E-2</v>
      </c>
    </row>
    <row r="4864" spans="1:6" x14ac:dyDescent="0.3">
      <c r="A4864" t="s">
        <v>5</v>
      </c>
      <c r="B4864" s="1">
        <v>45860</v>
      </c>
      <c r="C4864">
        <v>16</v>
      </c>
      <c r="D4864">
        <v>5.7000000000000002E-2</v>
      </c>
      <c r="E4864" t="s">
        <v>6</v>
      </c>
      <c r="F4864">
        <v>8.4099999999999994E-2</v>
      </c>
    </row>
    <row r="4865" spans="1:6" x14ac:dyDescent="0.3">
      <c r="A4865" t="s">
        <v>5</v>
      </c>
      <c r="B4865" s="1">
        <v>45860</v>
      </c>
      <c r="C4865">
        <v>17</v>
      </c>
      <c r="D4865">
        <v>8.3000000000000004E-2</v>
      </c>
      <c r="E4865" t="s">
        <v>6</v>
      </c>
      <c r="F4865">
        <v>8.3379999999999996E-2</v>
      </c>
    </row>
    <row r="4866" spans="1:6" x14ac:dyDescent="0.3">
      <c r="A4866" t="s">
        <v>5</v>
      </c>
      <c r="B4866" s="1">
        <v>45860</v>
      </c>
      <c r="C4866">
        <v>18</v>
      </c>
      <c r="D4866">
        <v>6.5000000000000002E-2</v>
      </c>
      <c r="E4866" t="s">
        <v>6</v>
      </c>
      <c r="F4866">
        <v>8.7249999999999994E-2</v>
      </c>
    </row>
    <row r="4867" spans="1:6" x14ac:dyDescent="0.3">
      <c r="A4867" t="s">
        <v>5</v>
      </c>
      <c r="B4867" s="1">
        <v>45860</v>
      </c>
      <c r="C4867">
        <v>19</v>
      </c>
      <c r="D4867">
        <v>6.5000000000000002E-2</v>
      </c>
      <c r="E4867" t="s">
        <v>6</v>
      </c>
      <c r="F4867">
        <v>0.17196</v>
      </c>
    </row>
    <row r="4868" spans="1:6" x14ac:dyDescent="0.3">
      <c r="A4868" t="s">
        <v>5</v>
      </c>
      <c r="B4868" s="1">
        <v>45860</v>
      </c>
      <c r="C4868">
        <v>20</v>
      </c>
      <c r="D4868">
        <v>8.4000000000000005E-2</v>
      </c>
      <c r="E4868" t="s">
        <v>6</v>
      </c>
      <c r="F4868">
        <v>0.20971999999999999</v>
      </c>
    </row>
    <row r="4869" spans="1:6" x14ac:dyDescent="0.3">
      <c r="A4869" t="s">
        <v>5</v>
      </c>
      <c r="B4869" s="1">
        <v>45860</v>
      </c>
      <c r="C4869">
        <v>21</v>
      </c>
      <c r="D4869">
        <v>5.8999999999999997E-2</v>
      </c>
      <c r="E4869" t="s">
        <v>6</v>
      </c>
      <c r="F4869">
        <v>0.23838999999999999</v>
      </c>
    </row>
    <row r="4870" spans="1:6" x14ac:dyDescent="0.3">
      <c r="A4870" t="s">
        <v>5</v>
      </c>
      <c r="B4870" s="1">
        <v>45860</v>
      </c>
      <c r="C4870">
        <v>22</v>
      </c>
      <c r="D4870">
        <v>7.2999999999999995E-2</v>
      </c>
      <c r="E4870" t="s">
        <v>6</v>
      </c>
      <c r="F4870">
        <v>0.26629000000000003</v>
      </c>
    </row>
    <row r="4871" spans="1:6" x14ac:dyDescent="0.3">
      <c r="A4871" t="s">
        <v>5</v>
      </c>
      <c r="B4871" s="1">
        <v>45860</v>
      </c>
      <c r="C4871">
        <v>23</v>
      </c>
      <c r="D4871">
        <v>7.6999999999999999E-2</v>
      </c>
      <c r="E4871" t="s">
        <v>6</v>
      </c>
      <c r="F4871">
        <v>0.19703999999999999</v>
      </c>
    </row>
    <row r="4872" spans="1:6" x14ac:dyDescent="0.3">
      <c r="A4872" t="s">
        <v>5</v>
      </c>
      <c r="B4872" s="1">
        <v>45860</v>
      </c>
      <c r="C4872">
        <v>24</v>
      </c>
      <c r="D4872">
        <v>5.8000000000000003E-2</v>
      </c>
      <c r="E4872" t="s">
        <v>6</v>
      </c>
      <c r="F4872">
        <v>0.17580999999999999</v>
      </c>
    </row>
    <row r="4873" spans="1:6" x14ac:dyDescent="0.3">
      <c r="A4873" t="s">
        <v>5</v>
      </c>
      <c r="B4873" s="1">
        <v>45861</v>
      </c>
      <c r="C4873">
        <v>1</v>
      </c>
      <c r="D4873">
        <v>8.1000000000000003E-2</v>
      </c>
      <c r="E4873" t="s">
        <v>6</v>
      </c>
      <c r="F4873">
        <v>0.14587999999999998</v>
      </c>
    </row>
    <row r="4874" spans="1:6" x14ac:dyDescent="0.3">
      <c r="A4874" t="s">
        <v>5</v>
      </c>
      <c r="B4874" s="1">
        <v>45861</v>
      </c>
      <c r="C4874">
        <v>2</v>
      </c>
      <c r="D4874">
        <v>6.9000000000000006E-2</v>
      </c>
      <c r="E4874" t="s">
        <v>6</v>
      </c>
      <c r="F4874">
        <v>0.13925000000000001</v>
      </c>
    </row>
    <row r="4875" spans="1:6" x14ac:dyDescent="0.3">
      <c r="A4875" t="s">
        <v>5</v>
      </c>
      <c r="B4875" s="1">
        <v>45861</v>
      </c>
      <c r="C4875">
        <v>3</v>
      </c>
      <c r="D4875">
        <v>6.0999999999999999E-2</v>
      </c>
      <c r="E4875" t="s">
        <v>6</v>
      </c>
      <c r="F4875">
        <v>0.13270999999999999</v>
      </c>
    </row>
    <row r="4876" spans="1:6" x14ac:dyDescent="0.3">
      <c r="A4876" t="s">
        <v>5</v>
      </c>
      <c r="B4876" s="1">
        <v>45861</v>
      </c>
      <c r="C4876">
        <v>4</v>
      </c>
      <c r="D4876">
        <v>8.5999999999999993E-2</v>
      </c>
      <c r="E4876" t="s">
        <v>6</v>
      </c>
      <c r="F4876">
        <v>0.12956000000000001</v>
      </c>
    </row>
    <row r="4877" spans="1:6" x14ac:dyDescent="0.3">
      <c r="A4877" t="s">
        <v>5</v>
      </c>
      <c r="B4877" s="1">
        <v>45861</v>
      </c>
      <c r="C4877">
        <v>5</v>
      </c>
      <c r="D4877">
        <v>6.0999999999999999E-2</v>
      </c>
      <c r="E4877" t="s">
        <v>6</v>
      </c>
      <c r="F4877">
        <v>0.13027</v>
      </c>
    </row>
    <row r="4878" spans="1:6" x14ac:dyDescent="0.3">
      <c r="A4878" t="s">
        <v>5</v>
      </c>
      <c r="B4878" s="1">
        <v>45861</v>
      </c>
      <c r="C4878">
        <v>6</v>
      </c>
      <c r="D4878">
        <v>6.8000000000000005E-2</v>
      </c>
      <c r="E4878" t="s">
        <v>6</v>
      </c>
      <c r="F4878">
        <v>0.12966</v>
      </c>
    </row>
    <row r="4879" spans="1:6" x14ac:dyDescent="0.3">
      <c r="A4879" t="s">
        <v>5</v>
      </c>
      <c r="B4879" s="1">
        <v>45861</v>
      </c>
      <c r="C4879">
        <v>7</v>
      </c>
      <c r="D4879">
        <v>0.08</v>
      </c>
      <c r="E4879" t="s">
        <v>6</v>
      </c>
      <c r="F4879">
        <v>0.13722999999999999</v>
      </c>
    </row>
    <row r="4880" spans="1:6" x14ac:dyDescent="0.3">
      <c r="A4880" t="s">
        <v>5</v>
      </c>
      <c r="B4880" s="1">
        <v>45861</v>
      </c>
      <c r="C4880">
        <v>8</v>
      </c>
      <c r="D4880">
        <v>5.8000000000000003E-2</v>
      </c>
      <c r="E4880" t="s">
        <v>6</v>
      </c>
      <c r="F4880">
        <v>0.14757000000000001</v>
      </c>
    </row>
    <row r="4881" spans="1:6" x14ac:dyDescent="0.3">
      <c r="A4881" t="s">
        <v>5</v>
      </c>
      <c r="B4881" s="1">
        <v>45861</v>
      </c>
      <c r="C4881">
        <v>9</v>
      </c>
      <c r="D4881">
        <v>7.4999999999999997E-2</v>
      </c>
      <c r="E4881" t="s">
        <v>6</v>
      </c>
      <c r="F4881">
        <v>0.15231</v>
      </c>
    </row>
    <row r="4882" spans="1:6" x14ac:dyDescent="0.3">
      <c r="A4882" t="s">
        <v>5</v>
      </c>
      <c r="B4882" s="1">
        <v>45861</v>
      </c>
      <c r="C4882">
        <v>10</v>
      </c>
      <c r="D4882">
        <v>7.1999999999999995E-2</v>
      </c>
      <c r="E4882" t="s">
        <v>6</v>
      </c>
      <c r="F4882">
        <v>0.13880000000000001</v>
      </c>
    </row>
    <row r="4883" spans="1:6" x14ac:dyDescent="0.3">
      <c r="A4883" t="s">
        <v>5</v>
      </c>
      <c r="B4883" s="1">
        <v>45861</v>
      </c>
      <c r="C4883">
        <v>11</v>
      </c>
      <c r="D4883">
        <v>5.8000000000000003E-2</v>
      </c>
      <c r="E4883" t="s">
        <v>6</v>
      </c>
      <c r="F4883">
        <v>0.19624</v>
      </c>
    </row>
    <row r="4884" spans="1:6" x14ac:dyDescent="0.3">
      <c r="A4884" t="s">
        <v>5</v>
      </c>
      <c r="B4884" s="1">
        <v>45861</v>
      </c>
      <c r="C4884">
        <v>12</v>
      </c>
      <c r="D4884">
        <v>8.2000000000000003E-2</v>
      </c>
      <c r="E4884" t="s">
        <v>6</v>
      </c>
      <c r="F4884">
        <v>0.18790999999999999</v>
      </c>
    </row>
    <row r="4885" spans="1:6" x14ac:dyDescent="0.3">
      <c r="A4885" t="s">
        <v>5</v>
      </c>
      <c r="B4885" s="1">
        <v>45861</v>
      </c>
      <c r="C4885">
        <v>13</v>
      </c>
      <c r="D4885">
        <v>6.6000000000000003E-2</v>
      </c>
      <c r="E4885" t="s">
        <v>6</v>
      </c>
      <c r="F4885">
        <v>0.18083000000000002</v>
      </c>
    </row>
    <row r="4886" spans="1:6" x14ac:dyDescent="0.3">
      <c r="A4886" t="s">
        <v>5</v>
      </c>
      <c r="B4886" s="1">
        <v>45861</v>
      </c>
      <c r="C4886">
        <v>14</v>
      </c>
      <c r="D4886">
        <v>6.2E-2</v>
      </c>
      <c r="E4886" t="s">
        <v>6</v>
      </c>
      <c r="F4886">
        <v>0.16769999999999999</v>
      </c>
    </row>
    <row r="4887" spans="1:6" x14ac:dyDescent="0.3">
      <c r="A4887" t="s">
        <v>5</v>
      </c>
      <c r="B4887" s="1">
        <v>45861</v>
      </c>
      <c r="C4887">
        <v>15</v>
      </c>
      <c r="D4887">
        <v>8.5000000000000006E-2</v>
      </c>
      <c r="E4887" t="s">
        <v>6</v>
      </c>
      <c r="F4887">
        <v>9.4519999999999993E-2</v>
      </c>
    </row>
    <row r="4888" spans="1:6" x14ac:dyDescent="0.3">
      <c r="A4888" t="s">
        <v>5</v>
      </c>
      <c r="B4888" s="1">
        <v>45861</v>
      </c>
      <c r="C4888">
        <v>16</v>
      </c>
      <c r="D4888">
        <v>5.8999999999999997E-2</v>
      </c>
      <c r="E4888" t="s">
        <v>6</v>
      </c>
      <c r="F4888">
        <v>9.7459999999999991E-2</v>
      </c>
    </row>
    <row r="4889" spans="1:6" x14ac:dyDescent="0.3">
      <c r="A4889" t="s">
        <v>5</v>
      </c>
      <c r="B4889" s="1">
        <v>45861</v>
      </c>
      <c r="C4889">
        <v>17</v>
      </c>
      <c r="D4889">
        <v>7.0000000000000007E-2</v>
      </c>
      <c r="E4889" t="s">
        <v>6</v>
      </c>
      <c r="F4889">
        <v>9.8479999999999998E-2</v>
      </c>
    </row>
    <row r="4890" spans="1:6" x14ac:dyDescent="0.3">
      <c r="A4890" t="s">
        <v>5</v>
      </c>
      <c r="B4890" s="1">
        <v>45861</v>
      </c>
      <c r="C4890">
        <v>18</v>
      </c>
      <c r="D4890">
        <v>7.9000000000000001E-2</v>
      </c>
      <c r="E4890" t="s">
        <v>6</v>
      </c>
      <c r="F4890">
        <v>0.1036</v>
      </c>
    </row>
    <row r="4891" spans="1:6" x14ac:dyDescent="0.3">
      <c r="A4891" t="s">
        <v>5</v>
      </c>
      <c r="B4891" s="1">
        <v>45861</v>
      </c>
      <c r="C4891">
        <v>19</v>
      </c>
      <c r="D4891">
        <v>5.7000000000000002E-2</v>
      </c>
      <c r="E4891" t="s">
        <v>6</v>
      </c>
      <c r="F4891">
        <v>0.17408000000000001</v>
      </c>
    </row>
    <row r="4892" spans="1:6" x14ac:dyDescent="0.3">
      <c r="A4892" t="s">
        <v>5</v>
      </c>
      <c r="B4892" s="1">
        <v>45861</v>
      </c>
      <c r="C4892">
        <v>20</v>
      </c>
      <c r="D4892">
        <v>7.8E-2</v>
      </c>
      <c r="E4892" t="s">
        <v>6</v>
      </c>
      <c r="F4892">
        <v>0.19884000000000002</v>
      </c>
    </row>
    <row r="4893" spans="1:6" x14ac:dyDescent="0.3">
      <c r="A4893" t="s">
        <v>5</v>
      </c>
      <c r="B4893" s="1">
        <v>45861</v>
      </c>
      <c r="C4893">
        <v>21</v>
      </c>
      <c r="D4893">
        <v>7.1999999999999995E-2</v>
      </c>
      <c r="E4893" t="s">
        <v>6</v>
      </c>
      <c r="F4893">
        <v>0.22927</v>
      </c>
    </row>
    <row r="4894" spans="1:6" x14ac:dyDescent="0.3">
      <c r="A4894" t="s">
        <v>5</v>
      </c>
      <c r="B4894" s="1">
        <v>45861</v>
      </c>
      <c r="C4894">
        <v>22</v>
      </c>
      <c r="D4894">
        <v>5.8000000000000003E-2</v>
      </c>
      <c r="E4894" t="s">
        <v>6</v>
      </c>
      <c r="F4894">
        <v>0.23771999999999999</v>
      </c>
    </row>
    <row r="4895" spans="1:6" x14ac:dyDescent="0.3">
      <c r="A4895" t="s">
        <v>5</v>
      </c>
      <c r="B4895" s="1">
        <v>45861</v>
      </c>
      <c r="C4895">
        <v>23</v>
      </c>
      <c r="D4895">
        <v>8.3000000000000004E-2</v>
      </c>
      <c r="E4895" t="s">
        <v>6</v>
      </c>
      <c r="F4895">
        <v>0.17072000000000001</v>
      </c>
    </row>
    <row r="4896" spans="1:6" x14ac:dyDescent="0.3">
      <c r="A4896" t="s">
        <v>5</v>
      </c>
      <c r="B4896" s="1">
        <v>45861</v>
      </c>
      <c r="C4896">
        <v>24</v>
      </c>
      <c r="D4896">
        <v>6.5000000000000002E-2</v>
      </c>
      <c r="E4896" t="s">
        <v>6</v>
      </c>
      <c r="F4896">
        <v>0.16156999999999999</v>
      </c>
    </row>
    <row r="4897" spans="1:6" x14ac:dyDescent="0.3">
      <c r="A4897" t="s">
        <v>5</v>
      </c>
      <c r="B4897" s="1">
        <v>45862</v>
      </c>
      <c r="C4897">
        <v>1</v>
      </c>
      <c r="D4897">
        <v>6.3E-2</v>
      </c>
      <c r="E4897" t="s">
        <v>6</v>
      </c>
      <c r="F4897">
        <v>0.14709999999999998</v>
      </c>
    </row>
    <row r="4898" spans="1:6" x14ac:dyDescent="0.3">
      <c r="A4898" t="s">
        <v>5</v>
      </c>
      <c r="B4898" s="1">
        <v>45862</v>
      </c>
      <c r="C4898">
        <v>2</v>
      </c>
      <c r="D4898">
        <v>8.4000000000000005E-2</v>
      </c>
      <c r="E4898" t="s">
        <v>6</v>
      </c>
      <c r="F4898">
        <v>0.13708999999999999</v>
      </c>
    </row>
    <row r="4899" spans="1:6" x14ac:dyDescent="0.3">
      <c r="A4899" t="s">
        <v>5</v>
      </c>
      <c r="B4899" s="1">
        <v>45862</v>
      </c>
      <c r="C4899">
        <v>3</v>
      </c>
      <c r="D4899">
        <v>0.06</v>
      </c>
      <c r="E4899" t="s">
        <v>6</v>
      </c>
      <c r="F4899">
        <v>0.13463999999999998</v>
      </c>
    </row>
    <row r="4900" spans="1:6" x14ac:dyDescent="0.3">
      <c r="A4900" t="s">
        <v>5</v>
      </c>
      <c r="B4900" s="1">
        <v>45862</v>
      </c>
      <c r="C4900">
        <v>4</v>
      </c>
      <c r="D4900">
        <v>6.9000000000000006E-2</v>
      </c>
      <c r="E4900" t="s">
        <v>6</v>
      </c>
      <c r="F4900">
        <v>0.12</v>
      </c>
    </row>
    <row r="4901" spans="1:6" x14ac:dyDescent="0.3">
      <c r="A4901" t="s">
        <v>5</v>
      </c>
      <c r="B4901" s="1">
        <v>45862</v>
      </c>
      <c r="C4901">
        <v>5</v>
      </c>
      <c r="D4901">
        <v>7.9000000000000001E-2</v>
      </c>
      <c r="E4901" t="s">
        <v>6</v>
      </c>
      <c r="F4901">
        <v>0.11106000000000001</v>
      </c>
    </row>
    <row r="4902" spans="1:6" x14ac:dyDescent="0.3">
      <c r="A4902" t="s">
        <v>5</v>
      </c>
      <c r="B4902" s="1">
        <v>45862</v>
      </c>
      <c r="C4902">
        <v>6</v>
      </c>
      <c r="D4902">
        <v>5.7000000000000002E-2</v>
      </c>
      <c r="E4902" t="s">
        <v>6</v>
      </c>
      <c r="F4902">
        <v>0.12938</v>
      </c>
    </row>
    <row r="4903" spans="1:6" x14ac:dyDescent="0.3">
      <c r="A4903" t="s">
        <v>5</v>
      </c>
      <c r="B4903" s="1">
        <v>45862</v>
      </c>
      <c r="C4903">
        <v>7</v>
      </c>
      <c r="D4903">
        <v>7.5999999999999998E-2</v>
      </c>
      <c r="E4903" t="s">
        <v>6</v>
      </c>
      <c r="F4903">
        <v>0.13686999999999999</v>
      </c>
    </row>
    <row r="4904" spans="1:6" x14ac:dyDescent="0.3">
      <c r="A4904" t="s">
        <v>5</v>
      </c>
      <c r="B4904" s="1">
        <v>45862</v>
      </c>
      <c r="C4904">
        <v>8</v>
      </c>
      <c r="D4904">
        <v>7.1999999999999995E-2</v>
      </c>
      <c r="E4904" t="s">
        <v>6</v>
      </c>
      <c r="F4904">
        <v>0.14327999999999999</v>
      </c>
    </row>
    <row r="4905" spans="1:6" x14ac:dyDescent="0.3">
      <c r="A4905" t="s">
        <v>5</v>
      </c>
      <c r="B4905" s="1">
        <v>45862</v>
      </c>
      <c r="C4905">
        <v>9</v>
      </c>
      <c r="D4905">
        <v>5.7000000000000002E-2</v>
      </c>
      <c r="E4905" t="s">
        <v>6</v>
      </c>
      <c r="F4905">
        <v>0.13482</v>
      </c>
    </row>
    <row r="4906" spans="1:6" x14ac:dyDescent="0.3">
      <c r="A4906" t="s">
        <v>5</v>
      </c>
      <c r="B4906" s="1">
        <v>45862</v>
      </c>
      <c r="C4906">
        <v>10</v>
      </c>
      <c r="D4906">
        <v>8.3000000000000004E-2</v>
      </c>
      <c r="E4906" t="s">
        <v>6</v>
      </c>
      <c r="F4906">
        <v>0.10637000000000001</v>
      </c>
    </row>
    <row r="4907" spans="1:6" x14ac:dyDescent="0.3">
      <c r="A4907" t="s">
        <v>5</v>
      </c>
      <c r="B4907" s="1">
        <v>45862</v>
      </c>
      <c r="C4907">
        <v>11</v>
      </c>
      <c r="D4907">
        <v>6.5000000000000002E-2</v>
      </c>
      <c r="E4907" t="s">
        <v>6</v>
      </c>
      <c r="F4907">
        <v>0.1389</v>
      </c>
    </row>
    <row r="4908" spans="1:6" x14ac:dyDescent="0.3">
      <c r="A4908" t="s">
        <v>5</v>
      </c>
      <c r="B4908" s="1">
        <v>45862</v>
      </c>
      <c r="C4908">
        <v>12</v>
      </c>
      <c r="D4908">
        <v>6.0999999999999999E-2</v>
      </c>
      <c r="E4908" t="s">
        <v>6</v>
      </c>
      <c r="F4908">
        <v>0.13697999999999999</v>
      </c>
    </row>
    <row r="4909" spans="1:6" x14ac:dyDescent="0.3">
      <c r="A4909" t="s">
        <v>5</v>
      </c>
      <c r="B4909" s="1">
        <v>45862</v>
      </c>
      <c r="C4909">
        <v>13</v>
      </c>
      <c r="D4909">
        <v>8.4000000000000005E-2</v>
      </c>
      <c r="E4909" t="s">
        <v>6</v>
      </c>
      <c r="F4909">
        <v>0.13733000000000001</v>
      </c>
    </row>
    <row r="4910" spans="1:6" x14ac:dyDescent="0.3">
      <c r="A4910" t="s">
        <v>5</v>
      </c>
      <c r="B4910" s="1">
        <v>45862</v>
      </c>
      <c r="C4910">
        <v>14</v>
      </c>
      <c r="D4910">
        <v>5.8999999999999997E-2</v>
      </c>
      <c r="E4910" t="s">
        <v>6</v>
      </c>
      <c r="F4910">
        <v>0.13694000000000001</v>
      </c>
    </row>
    <row r="4911" spans="1:6" x14ac:dyDescent="0.3">
      <c r="A4911" t="s">
        <v>5</v>
      </c>
      <c r="B4911" s="1">
        <v>45862</v>
      </c>
      <c r="C4911">
        <v>15</v>
      </c>
      <c r="D4911">
        <v>6.7000000000000004E-2</v>
      </c>
      <c r="E4911" t="s">
        <v>6</v>
      </c>
      <c r="F4911">
        <v>7.0709999999999995E-2</v>
      </c>
    </row>
    <row r="4912" spans="1:6" x14ac:dyDescent="0.3">
      <c r="A4912" t="s">
        <v>5</v>
      </c>
      <c r="B4912" s="1">
        <v>45862</v>
      </c>
      <c r="C4912">
        <v>16</v>
      </c>
      <c r="D4912">
        <v>7.9000000000000001E-2</v>
      </c>
      <c r="E4912" t="s">
        <v>6</v>
      </c>
      <c r="F4912">
        <v>6.8409999999999999E-2</v>
      </c>
    </row>
    <row r="4913" spans="1:6" x14ac:dyDescent="0.3">
      <c r="A4913" t="s">
        <v>5</v>
      </c>
      <c r="B4913" s="1">
        <v>45862</v>
      </c>
      <c r="C4913">
        <v>17</v>
      </c>
      <c r="D4913">
        <v>5.8000000000000003E-2</v>
      </c>
      <c r="E4913" t="s">
        <v>6</v>
      </c>
      <c r="F4913">
        <v>6.7349999999999993E-2</v>
      </c>
    </row>
    <row r="4914" spans="1:6" x14ac:dyDescent="0.3">
      <c r="A4914" t="s">
        <v>5</v>
      </c>
      <c r="B4914" s="1">
        <v>45862</v>
      </c>
      <c r="C4914">
        <v>18</v>
      </c>
      <c r="D4914">
        <v>7.4999999999999997E-2</v>
      </c>
      <c r="E4914" t="s">
        <v>6</v>
      </c>
      <c r="F4914">
        <v>6.5379999999999994E-2</v>
      </c>
    </row>
    <row r="4915" spans="1:6" x14ac:dyDescent="0.3">
      <c r="A4915" t="s">
        <v>5</v>
      </c>
      <c r="B4915" s="1">
        <v>45862</v>
      </c>
      <c r="C4915">
        <v>19</v>
      </c>
      <c r="D4915">
        <v>7.0999999999999994E-2</v>
      </c>
      <c r="E4915" t="s">
        <v>6</v>
      </c>
      <c r="F4915">
        <v>0.13528999999999999</v>
      </c>
    </row>
    <row r="4916" spans="1:6" x14ac:dyDescent="0.3">
      <c r="A4916" t="s">
        <v>5</v>
      </c>
      <c r="B4916" s="1">
        <v>45862</v>
      </c>
      <c r="C4916">
        <v>20</v>
      </c>
      <c r="D4916">
        <v>5.8000000000000003E-2</v>
      </c>
      <c r="E4916" t="s">
        <v>6</v>
      </c>
      <c r="F4916">
        <v>0.16784000000000002</v>
      </c>
    </row>
    <row r="4917" spans="1:6" x14ac:dyDescent="0.3">
      <c r="A4917" t="s">
        <v>5</v>
      </c>
      <c r="B4917" s="1">
        <v>45862</v>
      </c>
      <c r="C4917">
        <v>21</v>
      </c>
      <c r="D4917">
        <v>8.2000000000000003E-2</v>
      </c>
      <c r="E4917" t="s">
        <v>6</v>
      </c>
      <c r="F4917">
        <v>0.19006999999999999</v>
      </c>
    </row>
    <row r="4918" spans="1:6" x14ac:dyDescent="0.3">
      <c r="A4918" t="s">
        <v>5</v>
      </c>
      <c r="B4918" s="1">
        <v>45862</v>
      </c>
      <c r="C4918">
        <v>22</v>
      </c>
      <c r="D4918">
        <v>6.5000000000000002E-2</v>
      </c>
      <c r="E4918" t="s">
        <v>6</v>
      </c>
      <c r="F4918">
        <v>0.23436000000000001</v>
      </c>
    </row>
    <row r="4919" spans="1:6" x14ac:dyDescent="0.3">
      <c r="A4919" t="s">
        <v>5</v>
      </c>
      <c r="B4919" s="1">
        <v>45862</v>
      </c>
      <c r="C4919">
        <v>23</v>
      </c>
      <c r="D4919">
        <v>6.2E-2</v>
      </c>
      <c r="E4919" t="s">
        <v>6</v>
      </c>
      <c r="F4919">
        <v>0.16854</v>
      </c>
    </row>
    <row r="4920" spans="1:6" x14ac:dyDescent="0.3">
      <c r="A4920" t="s">
        <v>5</v>
      </c>
      <c r="B4920" s="1">
        <v>45862</v>
      </c>
      <c r="C4920">
        <v>24</v>
      </c>
      <c r="D4920">
        <v>8.4000000000000005E-2</v>
      </c>
      <c r="E4920" t="s">
        <v>6</v>
      </c>
      <c r="F4920">
        <v>0.14868000000000001</v>
      </c>
    </row>
    <row r="4921" spans="1:6" x14ac:dyDescent="0.3">
      <c r="A4921" t="s">
        <v>5</v>
      </c>
      <c r="B4921" s="1">
        <v>45863</v>
      </c>
      <c r="C4921">
        <v>1</v>
      </c>
      <c r="D4921">
        <v>5.8999999999999997E-2</v>
      </c>
      <c r="E4921" t="s">
        <v>6</v>
      </c>
      <c r="F4921">
        <v>0.12655</v>
      </c>
    </row>
    <row r="4922" spans="1:6" x14ac:dyDescent="0.3">
      <c r="A4922" t="s">
        <v>5</v>
      </c>
      <c r="B4922" s="1">
        <v>45863</v>
      </c>
      <c r="C4922">
        <v>2</v>
      </c>
      <c r="D4922">
        <v>6.7000000000000004E-2</v>
      </c>
      <c r="E4922" t="s">
        <v>6</v>
      </c>
      <c r="F4922">
        <v>0.11838</v>
      </c>
    </row>
    <row r="4923" spans="1:6" x14ac:dyDescent="0.3">
      <c r="A4923" t="s">
        <v>5</v>
      </c>
      <c r="B4923" s="1">
        <v>45863</v>
      </c>
      <c r="C4923">
        <v>3</v>
      </c>
      <c r="D4923">
        <v>7.9000000000000001E-2</v>
      </c>
      <c r="E4923" t="s">
        <v>6</v>
      </c>
      <c r="F4923">
        <v>0.11595</v>
      </c>
    </row>
    <row r="4924" spans="1:6" x14ac:dyDescent="0.3">
      <c r="A4924" t="s">
        <v>5</v>
      </c>
      <c r="B4924" s="1">
        <v>45863</v>
      </c>
      <c r="C4924">
        <v>4</v>
      </c>
      <c r="D4924">
        <v>5.7000000000000002E-2</v>
      </c>
      <c r="E4924" t="s">
        <v>6</v>
      </c>
      <c r="F4924">
        <v>0.10929999999999999</v>
      </c>
    </row>
    <row r="4925" spans="1:6" x14ac:dyDescent="0.3">
      <c r="A4925" t="s">
        <v>5</v>
      </c>
      <c r="B4925" s="1">
        <v>45863</v>
      </c>
      <c r="C4925">
        <v>5</v>
      </c>
      <c r="D4925">
        <v>7.3999999999999996E-2</v>
      </c>
      <c r="E4925" t="s">
        <v>6</v>
      </c>
      <c r="F4925">
        <v>0.10310999999999999</v>
      </c>
    </row>
    <row r="4926" spans="1:6" x14ac:dyDescent="0.3">
      <c r="A4926" t="s">
        <v>5</v>
      </c>
      <c r="B4926" s="1">
        <v>45863</v>
      </c>
      <c r="C4926">
        <v>6</v>
      </c>
      <c r="D4926">
        <v>7.1999999999999995E-2</v>
      </c>
      <c r="E4926" t="s">
        <v>6</v>
      </c>
      <c r="F4926">
        <v>0.11384</v>
      </c>
    </row>
    <row r="4927" spans="1:6" x14ac:dyDescent="0.3">
      <c r="A4927" t="s">
        <v>5</v>
      </c>
      <c r="B4927" s="1">
        <v>45863</v>
      </c>
      <c r="C4927">
        <v>7</v>
      </c>
      <c r="D4927">
        <v>5.6000000000000001E-2</v>
      </c>
      <c r="E4927" t="s">
        <v>6</v>
      </c>
      <c r="F4927">
        <v>0.11588</v>
      </c>
    </row>
    <row r="4928" spans="1:6" x14ac:dyDescent="0.3">
      <c r="A4928" t="s">
        <v>5</v>
      </c>
      <c r="B4928" s="1">
        <v>45863</v>
      </c>
      <c r="C4928">
        <v>8</v>
      </c>
      <c r="D4928">
        <v>7.9000000000000001E-2</v>
      </c>
      <c r="E4928" t="s">
        <v>6</v>
      </c>
      <c r="F4928">
        <v>0.12943000000000002</v>
      </c>
    </row>
    <row r="4929" spans="1:6" x14ac:dyDescent="0.3">
      <c r="A4929" t="s">
        <v>5</v>
      </c>
      <c r="B4929" s="1">
        <v>45863</v>
      </c>
      <c r="C4929">
        <v>9</v>
      </c>
      <c r="D4929">
        <v>6.5000000000000002E-2</v>
      </c>
      <c r="E4929" t="s">
        <v>6</v>
      </c>
      <c r="F4929">
        <v>0.13461000000000001</v>
      </c>
    </row>
    <row r="4930" spans="1:6" x14ac:dyDescent="0.3">
      <c r="A4930" t="s">
        <v>5</v>
      </c>
      <c r="B4930" s="1">
        <v>45863</v>
      </c>
      <c r="C4930">
        <v>10</v>
      </c>
      <c r="D4930">
        <v>5.8000000000000003E-2</v>
      </c>
      <c r="E4930" t="s">
        <v>6</v>
      </c>
      <c r="F4930">
        <v>8.4040000000000004E-2</v>
      </c>
    </row>
    <row r="4931" spans="1:6" x14ac:dyDescent="0.3">
      <c r="A4931" t="s">
        <v>5</v>
      </c>
      <c r="B4931" s="1">
        <v>45863</v>
      </c>
      <c r="C4931">
        <v>11</v>
      </c>
      <c r="D4931">
        <v>8.3000000000000004E-2</v>
      </c>
      <c r="E4931" t="s">
        <v>6</v>
      </c>
      <c r="F4931">
        <v>0.13768</v>
      </c>
    </row>
    <row r="4932" spans="1:6" x14ac:dyDescent="0.3">
      <c r="A4932" t="s">
        <v>5</v>
      </c>
      <c r="B4932" s="1">
        <v>45863</v>
      </c>
      <c r="C4932">
        <v>12</v>
      </c>
      <c r="D4932">
        <v>5.8999999999999997E-2</v>
      </c>
      <c r="E4932" t="s">
        <v>6</v>
      </c>
      <c r="F4932">
        <v>0.13696</v>
      </c>
    </row>
    <row r="4933" spans="1:6" x14ac:dyDescent="0.3">
      <c r="A4933" t="s">
        <v>5</v>
      </c>
      <c r="B4933" s="1">
        <v>45863</v>
      </c>
      <c r="C4933">
        <v>13</v>
      </c>
      <c r="D4933">
        <v>6.4000000000000001E-2</v>
      </c>
      <c r="E4933" t="s">
        <v>6</v>
      </c>
      <c r="F4933">
        <v>0.13808000000000001</v>
      </c>
    </row>
    <row r="4934" spans="1:6" x14ac:dyDescent="0.3">
      <c r="A4934" t="s">
        <v>5</v>
      </c>
      <c r="B4934" s="1">
        <v>45863</v>
      </c>
      <c r="C4934">
        <v>14</v>
      </c>
      <c r="D4934">
        <v>8.1000000000000003E-2</v>
      </c>
      <c r="E4934" t="s">
        <v>6</v>
      </c>
      <c r="F4934">
        <v>0.13830999999999999</v>
      </c>
    </row>
    <row r="4935" spans="1:6" x14ac:dyDescent="0.3">
      <c r="A4935" t="s">
        <v>5</v>
      </c>
      <c r="B4935" s="1">
        <v>45863</v>
      </c>
      <c r="C4935">
        <v>15</v>
      </c>
      <c r="D4935">
        <v>5.6000000000000001E-2</v>
      </c>
      <c r="E4935" t="s">
        <v>6</v>
      </c>
      <c r="F4935">
        <v>7.2440000000000004E-2</v>
      </c>
    </row>
    <row r="4936" spans="1:6" x14ac:dyDescent="0.3">
      <c r="A4936" t="s">
        <v>5</v>
      </c>
      <c r="B4936" s="1">
        <v>45863</v>
      </c>
      <c r="C4936">
        <v>16</v>
      </c>
      <c r="D4936">
        <v>9.0999999999999998E-2</v>
      </c>
      <c r="E4936" t="s">
        <v>6</v>
      </c>
      <c r="F4936">
        <v>7.0250000000000007E-2</v>
      </c>
    </row>
    <row r="4937" spans="1:6" x14ac:dyDescent="0.3">
      <c r="A4937" t="s">
        <v>5</v>
      </c>
      <c r="B4937" s="1">
        <v>45863</v>
      </c>
      <c r="C4937">
        <v>17</v>
      </c>
      <c r="D4937">
        <v>0.13100000000000001</v>
      </c>
      <c r="E4937" t="s">
        <v>6</v>
      </c>
      <c r="F4937">
        <v>6.9409999999999999E-2</v>
      </c>
    </row>
    <row r="4938" spans="1:6" x14ac:dyDescent="0.3">
      <c r="A4938" t="s">
        <v>5</v>
      </c>
      <c r="B4938" s="1">
        <v>45863</v>
      </c>
      <c r="C4938">
        <v>18</v>
      </c>
      <c r="D4938">
        <v>8.8999999999999996E-2</v>
      </c>
      <c r="E4938" t="s">
        <v>6</v>
      </c>
      <c r="F4938">
        <v>6.8970000000000004E-2</v>
      </c>
    </row>
    <row r="4939" spans="1:6" x14ac:dyDescent="0.3">
      <c r="A4939" t="s">
        <v>5</v>
      </c>
      <c r="B4939" s="1">
        <v>45863</v>
      </c>
      <c r="C4939">
        <v>19</v>
      </c>
      <c r="D4939">
        <v>7.6999999999999999E-2</v>
      </c>
      <c r="E4939" t="s">
        <v>6</v>
      </c>
      <c r="F4939">
        <v>0.13986000000000001</v>
      </c>
    </row>
    <row r="4940" spans="1:6" x14ac:dyDescent="0.3">
      <c r="A4940" t="s">
        <v>5</v>
      </c>
      <c r="B4940" s="1">
        <v>45863</v>
      </c>
      <c r="C4940">
        <v>20</v>
      </c>
      <c r="D4940">
        <v>5.8000000000000003E-2</v>
      </c>
      <c r="E4940" t="s">
        <v>6</v>
      </c>
      <c r="F4940">
        <v>0.17085</v>
      </c>
    </row>
    <row r="4941" spans="1:6" x14ac:dyDescent="0.3">
      <c r="A4941" t="s">
        <v>5</v>
      </c>
      <c r="B4941" s="1">
        <v>45863</v>
      </c>
      <c r="C4941">
        <v>21</v>
      </c>
      <c r="D4941">
        <v>8.1000000000000003E-2</v>
      </c>
      <c r="E4941" t="s">
        <v>6</v>
      </c>
      <c r="F4941">
        <v>0.23166999999999999</v>
      </c>
    </row>
    <row r="4942" spans="1:6" x14ac:dyDescent="0.3">
      <c r="A4942" t="s">
        <v>5</v>
      </c>
      <c r="B4942" s="1">
        <v>45863</v>
      </c>
      <c r="C4942">
        <v>22</v>
      </c>
      <c r="D4942">
        <v>6.2E-2</v>
      </c>
      <c r="E4942" t="s">
        <v>6</v>
      </c>
      <c r="F4942">
        <v>0.25717000000000001</v>
      </c>
    </row>
    <row r="4943" spans="1:6" x14ac:dyDescent="0.3">
      <c r="A4943" t="s">
        <v>5</v>
      </c>
      <c r="B4943" s="1">
        <v>45863</v>
      </c>
      <c r="C4943">
        <v>23</v>
      </c>
      <c r="D4943">
        <v>6.7000000000000004E-2</v>
      </c>
      <c r="E4943" t="s">
        <v>6</v>
      </c>
      <c r="F4943">
        <v>0.18736000000000003</v>
      </c>
    </row>
    <row r="4944" spans="1:6" x14ac:dyDescent="0.3">
      <c r="A4944" t="s">
        <v>5</v>
      </c>
      <c r="B4944" s="1">
        <v>45863</v>
      </c>
      <c r="C4944">
        <v>24</v>
      </c>
      <c r="D4944">
        <v>7.4999999999999997E-2</v>
      </c>
      <c r="E4944" t="s">
        <v>6</v>
      </c>
      <c r="F4944">
        <v>0.16411000000000001</v>
      </c>
    </row>
    <row r="4945" spans="1:6" x14ac:dyDescent="0.3">
      <c r="A4945" t="s">
        <v>5</v>
      </c>
      <c r="B4945" s="1">
        <v>45864</v>
      </c>
      <c r="C4945">
        <v>1</v>
      </c>
      <c r="D4945">
        <v>5.6000000000000001E-2</v>
      </c>
      <c r="E4945" t="s">
        <v>6</v>
      </c>
      <c r="F4945">
        <v>0.14878</v>
      </c>
    </row>
    <row r="4946" spans="1:6" x14ac:dyDescent="0.3">
      <c r="A4946" t="s">
        <v>5</v>
      </c>
      <c r="B4946" s="1">
        <v>45864</v>
      </c>
      <c r="C4946">
        <v>2</v>
      </c>
      <c r="D4946">
        <v>8.4000000000000005E-2</v>
      </c>
      <c r="E4946" t="s">
        <v>6</v>
      </c>
      <c r="F4946">
        <v>0.12931000000000001</v>
      </c>
    </row>
    <row r="4947" spans="1:6" x14ac:dyDescent="0.3">
      <c r="A4947" t="s">
        <v>5</v>
      </c>
      <c r="B4947" s="1">
        <v>45864</v>
      </c>
      <c r="C4947">
        <v>3</v>
      </c>
      <c r="D4947">
        <v>5.8999999999999997E-2</v>
      </c>
      <c r="E4947" t="s">
        <v>6</v>
      </c>
      <c r="F4947">
        <v>0.11907</v>
      </c>
    </row>
    <row r="4948" spans="1:6" x14ac:dyDescent="0.3">
      <c r="A4948" t="s">
        <v>5</v>
      </c>
      <c r="B4948" s="1">
        <v>45864</v>
      </c>
      <c r="C4948">
        <v>4</v>
      </c>
      <c r="D4948">
        <v>6.9000000000000006E-2</v>
      </c>
      <c r="E4948" t="s">
        <v>6</v>
      </c>
      <c r="F4948">
        <v>0.10882</v>
      </c>
    </row>
    <row r="4949" spans="1:6" x14ac:dyDescent="0.3">
      <c r="A4949" t="s">
        <v>5</v>
      </c>
      <c r="B4949" s="1">
        <v>45864</v>
      </c>
      <c r="C4949">
        <v>5</v>
      </c>
      <c r="D4949">
        <v>7.0999999999999994E-2</v>
      </c>
      <c r="E4949" t="s">
        <v>6</v>
      </c>
      <c r="F4949">
        <v>9.7250000000000003E-2</v>
      </c>
    </row>
    <row r="4950" spans="1:6" x14ac:dyDescent="0.3">
      <c r="A4950" t="s">
        <v>5</v>
      </c>
      <c r="B4950" s="1">
        <v>45864</v>
      </c>
      <c r="C4950">
        <v>6</v>
      </c>
      <c r="D4950">
        <v>5.7000000000000002E-2</v>
      </c>
      <c r="E4950" t="s">
        <v>6</v>
      </c>
      <c r="F4950">
        <v>0.10287</v>
      </c>
    </row>
    <row r="4951" spans="1:6" x14ac:dyDescent="0.3">
      <c r="A4951" t="s">
        <v>5</v>
      </c>
      <c r="B4951" s="1">
        <v>45864</v>
      </c>
      <c r="C4951">
        <v>7</v>
      </c>
      <c r="D4951">
        <v>8.4000000000000005E-2</v>
      </c>
      <c r="E4951" t="s">
        <v>6</v>
      </c>
      <c r="F4951">
        <v>0.10962000000000001</v>
      </c>
    </row>
    <row r="4952" spans="1:6" x14ac:dyDescent="0.3">
      <c r="A4952" t="s">
        <v>5</v>
      </c>
      <c r="B4952" s="1">
        <v>45864</v>
      </c>
      <c r="C4952">
        <v>8</v>
      </c>
      <c r="D4952">
        <v>5.6000000000000001E-2</v>
      </c>
      <c r="E4952" t="s">
        <v>6</v>
      </c>
      <c r="F4952">
        <v>0.11423999999999999</v>
      </c>
    </row>
    <row r="4953" spans="1:6" x14ac:dyDescent="0.3">
      <c r="A4953" t="s">
        <v>5</v>
      </c>
      <c r="B4953" s="1">
        <v>45864</v>
      </c>
      <c r="C4953">
        <v>9</v>
      </c>
      <c r="D4953">
        <v>7.0999999999999994E-2</v>
      </c>
      <c r="E4953" t="s">
        <v>6</v>
      </c>
      <c r="F4953">
        <v>9.9780000000000008E-2</v>
      </c>
    </row>
    <row r="4954" spans="1:6" x14ac:dyDescent="0.3">
      <c r="A4954" t="s">
        <v>5</v>
      </c>
      <c r="B4954" s="1">
        <v>45864</v>
      </c>
      <c r="C4954">
        <v>10</v>
      </c>
      <c r="D4954">
        <v>6.7000000000000004E-2</v>
      </c>
      <c r="E4954" t="s">
        <v>6</v>
      </c>
      <c r="F4954">
        <v>5.806E-2</v>
      </c>
    </row>
    <row r="4955" spans="1:6" x14ac:dyDescent="0.3">
      <c r="A4955" t="s">
        <v>5</v>
      </c>
      <c r="B4955" s="1">
        <v>45864</v>
      </c>
      <c r="C4955">
        <v>11</v>
      </c>
      <c r="D4955">
        <v>5.8999999999999997E-2</v>
      </c>
      <c r="E4955" t="s">
        <v>6</v>
      </c>
      <c r="F4955">
        <v>5.3100000000000001E-2</v>
      </c>
    </row>
    <row r="4956" spans="1:6" x14ac:dyDescent="0.3">
      <c r="A4956" t="s">
        <v>5</v>
      </c>
      <c r="B4956" s="1">
        <v>45864</v>
      </c>
      <c r="C4956">
        <v>12</v>
      </c>
      <c r="D4956">
        <v>0.08</v>
      </c>
      <c r="E4956" t="s">
        <v>6</v>
      </c>
      <c r="F4956">
        <v>5.3249999999999999E-2</v>
      </c>
    </row>
    <row r="4957" spans="1:6" x14ac:dyDescent="0.3">
      <c r="A4957" t="s">
        <v>5</v>
      </c>
      <c r="B4957" s="1">
        <v>45864</v>
      </c>
      <c r="C4957">
        <v>13</v>
      </c>
      <c r="D4957">
        <v>5.3999999999999999E-2</v>
      </c>
      <c r="E4957" t="s">
        <v>6</v>
      </c>
      <c r="F4957">
        <v>5.3069999999999999E-2</v>
      </c>
    </row>
    <row r="4958" spans="1:6" x14ac:dyDescent="0.3">
      <c r="A4958" t="s">
        <v>5</v>
      </c>
      <c r="B4958" s="1">
        <v>45864</v>
      </c>
      <c r="C4958">
        <v>14</v>
      </c>
      <c r="D4958">
        <v>7.5999999999999998E-2</v>
      </c>
      <c r="E4958" t="s">
        <v>6</v>
      </c>
      <c r="F4958">
        <v>5.4030000000000002E-2</v>
      </c>
    </row>
    <row r="4959" spans="1:6" x14ac:dyDescent="0.3">
      <c r="A4959" t="s">
        <v>5</v>
      </c>
      <c r="B4959" s="1">
        <v>45864</v>
      </c>
      <c r="C4959">
        <v>15</v>
      </c>
      <c r="D4959">
        <v>6.4000000000000001E-2</v>
      </c>
      <c r="E4959" t="s">
        <v>6</v>
      </c>
      <c r="F4959">
        <v>5.228E-2</v>
      </c>
    </row>
    <row r="4960" spans="1:6" x14ac:dyDescent="0.3">
      <c r="A4960" t="s">
        <v>5</v>
      </c>
      <c r="B4960" s="1">
        <v>45864</v>
      </c>
      <c r="C4960">
        <v>16</v>
      </c>
      <c r="D4960">
        <v>6.2E-2</v>
      </c>
      <c r="E4960" t="s">
        <v>6</v>
      </c>
      <c r="F4960">
        <v>5.1970000000000002E-2</v>
      </c>
    </row>
    <row r="4961" spans="1:6" x14ac:dyDescent="0.3">
      <c r="A4961" t="s">
        <v>5</v>
      </c>
      <c r="B4961" s="1">
        <v>45864</v>
      </c>
      <c r="C4961">
        <v>17</v>
      </c>
      <c r="D4961">
        <v>7.8E-2</v>
      </c>
      <c r="E4961" t="s">
        <v>6</v>
      </c>
      <c r="F4961">
        <v>5.1970000000000002E-2</v>
      </c>
    </row>
    <row r="4962" spans="1:6" x14ac:dyDescent="0.3">
      <c r="A4962" t="s">
        <v>5</v>
      </c>
      <c r="B4962" s="1">
        <v>45864</v>
      </c>
      <c r="C4962">
        <v>18</v>
      </c>
      <c r="D4962">
        <v>5.5E-2</v>
      </c>
      <c r="E4962" t="s">
        <v>6</v>
      </c>
      <c r="F4962">
        <v>5.1679999999999997E-2</v>
      </c>
    </row>
    <row r="4963" spans="1:6" x14ac:dyDescent="0.3">
      <c r="A4963" t="s">
        <v>5</v>
      </c>
      <c r="B4963" s="1">
        <v>45864</v>
      </c>
      <c r="C4963">
        <v>19</v>
      </c>
      <c r="D4963">
        <v>7.8E-2</v>
      </c>
      <c r="E4963" t="s">
        <v>6</v>
      </c>
      <c r="F4963">
        <v>5.2760000000000001E-2</v>
      </c>
    </row>
    <row r="4964" spans="1:6" x14ac:dyDescent="0.3">
      <c r="A4964" t="s">
        <v>5</v>
      </c>
      <c r="B4964" s="1">
        <v>45864</v>
      </c>
      <c r="C4964">
        <v>20</v>
      </c>
      <c r="D4964">
        <v>6.0999999999999999E-2</v>
      </c>
      <c r="E4964" t="s">
        <v>6</v>
      </c>
      <c r="F4964">
        <v>7.6340000000000005E-2</v>
      </c>
    </row>
    <row r="4965" spans="1:6" x14ac:dyDescent="0.3">
      <c r="A4965" t="s">
        <v>5</v>
      </c>
      <c r="B4965" s="1">
        <v>45864</v>
      </c>
      <c r="C4965">
        <v>21</v>
      </c>
      <c r="D4965">
        <v>6.7000000000000004E-2</v>
      </c>
      <c r="E4965" t="s">
        <v>6</v>
      </c>
      <c r="F4965">
        <v>0.11907999999999999</v>
      </c>
    </row>
    <row r="4966" spans="1:6" x14ac:dyDescent="0.3">
      <c r="A4966" t="s">
        <v>5</v>
      </c>
      <c r="B4966" s="1">
        <v>45864</v>
      </c>
      <c r="C4966">
        <v>22</v>
      </c>
      <c r="D4966">
        <v>7.3999999999999996E-2</v>
      </c>
      <c r="E4966" t="s">
        <v>6</v>
      </c>
      <c r="F4966">
        <v>0.15143999999999999</v>
      </c>
    </row>
    <row r="4967" spans="1:6" x14ac:dyDescent="0.3">
      <c r="A4967" t="s">
        <v>5</v>
      </c>
      <c r="B4967" s="1">
        <v>45864</v>
      </c>
      <c r="C4967">
        <v>23</v>
      </c>
      <c r="D4967">
        <v>5.3999999999999999E-2</v>
      </c>
      <c r="E4967" t="s">
        <v>6</v>
      </c>
      <c r="F4967">
        <v>0.15937999999999999</v>
      </c>
    </row>
    <row r="4968" spans="1:6" x14ac:dyDescent="0.3">
      <c r="A4968" t="s">
        <v>5</v>
      </c>
      <c r="B4968" s="1">
        <v>45864</v>
      </c>
      <c r="C4968">
        <v>24</v>
      </c>
      <c r="D4968">
        <v>8.3000000000000004E-2</v>
      </c>
      <c r="E4968" t="s">
        <v>6</v>
      </c>
      <c r="F4968">
        <v>0.14993999999999999</v>
      </c>
    </row>
    <row r="4969" spans="1:6" x14ac:dyDescent="0.3">
      <c r="A4969" t="s">
        <v>5</v>
      </c>
      <c r="B4969" s="1">
        <v>45865</v>
      </c>
      <c r="C4969">
        <v>1</v>
      </c>
      <c r="D4969">
        <v>5.8999999999999997E-2</v>
      </c>
      <c r="E4969" t="s">
        <v>6</v>
      </c>
      <c r="F4969">
        <v>0.13021000000000002</v>
      </c>
    </row>
    <row r="4970" spans="1:6" x14ac:dyDescent="0.3">
      <c r="A4970" t="s">
        <v>5</v>
      </c>
      <c r="B4970" s="1">
        <v>45865</v>
      </c>
      <c r="C4970">
        <v>2</v>
      </c>
      <c r="D4970">
        <v>6.9000000000000006E-2</v>
      </c>
      <c r="E4970" t="s">
        <v>6</v>
      </c>
      <c r="F4970">
        <v>0.12043000000000001</v>
      </c>
    </row>
    <row r="4971" spans="1:6" x14ac:dyDescent="0.3">
      <c r="A4971" t="s">
        <v>5</v>
      </c>
      <c r="B4971" s="1">
        <v>45865</v>
      </c>
      <c r="C4971">
        <v>3</v>
      </c>
      <c r="D4971">
        <v>7.0000000000000007E-2</v>
      </c>
      <c r="E4971" t="s">
        <v>6</v>
      </c>
      <c r="F4971">
        <v>0.12247</v>
      </c>
    </row>
    <row r="4972" spans="1:6" x14ac:dyDescent="0.3">
      <c r="A4972" t="s">
        <v>5</v>
      </c>
      <c r="B4972" s="1">
        <v>45865</v>
      </c>
      <c r="C4972">
        <v>4</v>
      </c>
      <c r="D4972">
        <v>5.7000000000000002E-2</v>
      </c>
      <c r="E4972" t="s">
        <v>6</v>
      </c>
      <c r="F4972">
        <v>0.12265999999999999</v>
      </c>
    </row>
    <row r="4973" spans="1:6" x14ac:dyDescent="0.3">
      <c r="A4973" t="s">
        <v>5</v>
      </c>
      <c r="B4973" s="1">
        <v>45865</v>
      </c>
      <c r="C4973">
        <v>5</v>
      </c>
      <c r="D4973">
        <v>8.2000000000000003E-2</v>
      </c>
      <c r="E4973" t="s">
        <v>6</v>
      </c>
      <c r="F4973">
        <v>0.11534</v>
      </c>
    </row>
    <row r="4974" spans="1:6" x14ac:dyDescent="0.3">
      <c r="A4974" t="s">
        <v>5</v>
      </c>
      <c r="B4974" s="1">
        <v>45865</v>
      </c>
      <c r="C4974">
        <v>6</v>
      </c>
      <c r="D4974">
        <v>5.5E-2</v>
      </c>
      <c r="E4974" t="s">
        <v>6</v>
      </c>
      <c r="F4974">
        <v>0.11531</v>
      </c>
    </row>
    <row r="4975" spans="1:6" x14ac:dyDescent="0.3">
      <c r="A4975" t="s">
        <v>5</v>
      </c>
      <c r="B4975" s="1">
        <v>45865</v>
      </c>
      <c r="C4975">
        <v>7</v>
      </c>
      <c r="D4975">
        <v>7.1999999999999995E-2</v>
      </c>
      <c r="E4975" t="s">
        <v>6</v>
      </c>
      <c r="F4975">
        <v>0.11569</v>
      </c>
    </row>
    <row r="4976" spans="1:6" x14ac:dyDescent="0.3">
      <c r="A4976" t="s">
        <v>5</v>
      </c>
      <c r="B4976" s="1">
        <v>45865</v>
      </c>
      <c r="C4976">
        <v>8</v>
      </c>
      <c r="D4976">
        <v>6.8000000000000005E-2</v>
      </c>
      <c r="E4976" t="s">
        <v>6</v>
      </c>
      <c r="F4976">
        <v>0.13593</v>
      </c>
    </row>
    <row r="4977" spans="1:6" x14ac:dyDescent="0.3">
      <c r="A4977" t="s">
        <v>5</v>
      </c>
      <c r="B4977" s="1">
        <v>45865</v>
      </c>
      <c r="C4977">
        <v>9</v>
      </c>
      <c r="D4977">
        <v>5.6000000000000001E-2</v>
      </c>
      <c r="E4977" t="s">
        <v>6</v>
      </c>
      <c r="F4977">
        <v>0.10003000000000001</v>
      </c>
    </row>
    <row r="4978" spans="1:6" x14ac:dyDescent="0.3">
      <c r="A4978" t="s">
        <v>5</v>
      </c>
      <c r="B4978" s="1">
        <v>45865</v>
      </c>
      <c r="C4978">
        <v>10</v>
      </c>
      <c r="D4978">
        <v>8.2000000000000003E-2</v>
      </c>
      <c r="E4978" t="s">
        <v>6</v>
      </c>
      <c r="F4978">
        <v>6.0969999999999996E-2</v>
      </c>
    </row>
    <row r="4979" spans="1:6" x14ac:dyDescent="0.3">
      <c r="A4979" t="s">
        <v>5</v>
      </c>
      <c r="B4979" s="1">
        <v>45865</v>
      </c>
      <c r="C4979">
        <v>11</v>
      </c>
      <c r="D4979">
        <v>5.5E-2</v>
      </c>
      <c r="E4979" t="s">
        <v>6</v>
      </c>
      <c r="F4979">
        <v>5.9119999999999999E-2</v>
      </c>
    </row>
    <row r="4980" spans="1:6" x14ac:dyDescent="0.3">
      <c r="A4980" t="s">
        <v>5</v>
      </c>
      <c r="B4980" s="1">
        <v>45865</v>
      </c>
      <c r="C4980">
        <v>12</v>
      </c>
      <c r="D4980">
        <v>7.1999999999999995E-2</v>
      </c>
      <c r="E4980" t="s">
        <v>6</v>
      </c>
      <c r="F4980">
        <v>5.842E-2</v>
      </c>
    </row>
    <row r="4981" spans="1:6" x14ac:dyDescent="0.3">
      <c r="A4981" t="s">
        <v>5</v>
      </c>
      <c r="B4981" s="1">
        <v>45865</v>
      </c>
      <c r="C4981">
        <v>13</v>
      </c>
      <c r="D4981">
        <v>6.7000000000000004E-2</v>
      </c>
      <c r="E4981" t="s">
        <v>6</v>
      </c>
      <c r="F4981">
        <v>5.7599999999999998E-2</v>
      </c>
    </row>
    <row r="4982" spans="1:6" x14ac:dyDescent="0.3">
      <c r="A4982" t="s">
        <v>5</v>
      </c>
      <c r="B4982" s="1">
        <v>45865</v>
      </c>
      <c r="C4982">
        <v>14</v>
      </c>
      <c r="D4982">
        <v>5.8000000000000003E-2</v>
      </c>
      <c r="E4982" t="s">
        <v>6</v>
      </c>
      <c r="F4982">
        <v>5.67E-2</v>
      </c>
    </row>
    <row r="4983" spans="1:6" x14ac:dyDescent="0.3">
      <c r="A4983" t="s">
        <v>5</v>
      </c>
      <c r="B4983" s="1">
        <v>45865</v>
      </c>
      <c r="C4983">
        <v>15</v>
      </c>
      <c r="D4983">
        <v>8.1000000000000003E-2</v>
      </c>
      <c r="E4983" t="s">
        <v>6</v>
      </c>
      <c r="F4983">
        <v>5.6140000000000002E-2</v>
      </c>
    </row>
    <row r="4984" spans="1:6" x14ac:dyDescent="0.3">
      <c r="A4984" t="s">
        <v>5</v>
      </c>
      <c r="B4984" s="1">
        <v>45865</v>
      </c>
      <c r="C4984">
        <v>16</v>
      </c>
      <c r="D4984">
        <v>5.5E-2</v>
      </c>
      <c r="E4984" t="s">
        <v>6</v>
      </c>
      <c r="F4984">
        <v>5.6229999999999995E-2</v>
      </c>
    </row>
    <row r="4985" spans="1:6" x14ac:dyDescent="0.3">
      <c r="A4985" t="s">
        <v>5</v>
      </c>
      <c r="B4985" s="1">
        <v>45865</v>
      </c>
      <c r="C4985">
        <v>17</v>
      </c>
      <c r="D4985">
        <v>7.1999999999999995E-2</v>
      </c>
      <c r="E4985" t="s">
        <v>6</v>
      </c>
      <c r="F4985">
        <v>5.6420000000000005E-2</v>
      </c>
    </row>
    <row r="4986" spans="1:6" x14ac:dyDescent="0.3">
      <c r="A4986" t="s">
        <v>5</v>
      </c>
      <c r="B4986" s="1">
        <v>45865</v>
      </c>
      <c r="C4986">
        <v>18</v>
      </c>
      <c r="D4986">
        <v>6.7000000000000004E-2</v>
      </c>
      <c r="E4986" t="s">
        <v>6</v>
      </c>
      <c r="F4986">
        <v>5.6680000000000001E-2</v>
      </c>
    </row>
    <row r="4987" spans="1:6" x14ac:dyDescent="0.3">
      <c r="A4987" t="s">
        <v>5</v>
      </c>
      <c r="B4987" s="1">
        <v>45865</v>
      </c>
      <c r="C4987">
        <v>19</v>
      </c>
      <c r="D4987">
        <v>5.8000000000000003E-2</v>
      </c>
      <c r="E4987" t="s">
        <v>6</v>
      </c>
      <c r="F4987">
        <v>5.6390000000000003E-2</v>
      </c>
    </row>
    <row r="4988" spans="1:6" x14ac:dyDescent="0.3">
      <c r="A4988" t="s">
        <v>5</v>
      </c>
      <c r="B4988" s="1">
        <v>45865</v>
      </c>
      <c r="C4988">
        <v>20</v>
      </c>
      <c r="D4988">
        <v>8.2000000000000003E-2</v>
      </c>
      <c r="E4988" t="s">
        <v>6</v>
      </c>
      <c r="F4988">
        <v>6.1710000000000001E-2</v>
      </c>
    </row>
    <row r="4989" spans="1:6" x14ac:dyDescent="0.3">
      <c r="A4989" t="s">
        <v>5</v>
      </c>
      <c r="B4989" s="1">
        <v>45865</v>
      </c>
      <c r="C4989">
        <v>21</v>
      </c>
      <c r="D4989">
        <v>5.6000000000000001E-2</v>
      </c>
      <c r="E4989" t="s">
        <v>6</v>
      </c>
      <c r="F4989">
        <v>0.10051</v>
      </c>
    </row>
    <row r="4990" spans="1:6" x14ac:dyDescent="0.3">
      <c r="A4990" t="s">
        <v>5</v>
      </c>
      <c r="B4990" s="1">
        <v>45865</v>
      </c>
      <c r="C4990">
        <v>22</v>
      </c>
      <c r="D4990">
        <v>7.0999999999999994E-2</v>
      </c>
      <c r="E4990" t="s">
        <v>6</v>
      </c>
      <c r="F4990">
        <v>0.12501000000000001</v>
      </c>
    </row>
    <row r="4991" spans="1:6" x14ac:dyDescent="0.3">
      <c r="A4991" t="s">
        <v>5</v>
      </c>
      <c r="B4991" s="1">
        <v>45865</v>
      </c>
      <c r="C4991">
        <v>23</v>
      </c>
      <c r="D4991">
        <v>6.9000000000000006E-2</v>
      </c>
      <c r="E4991" t="s">
        <v>6</v>
      </c>
      <c r="F4991">
        <v>0.15193000000000001</v>
      </c>
    </row>
    <row r="4992" spans="1:6" x14ac:dyDescent="0.3">
      <c r="A4992" t="s">
        <v>5</v>
      </c>
      <c r="B4992" s="1">
        <v>45865</v>
      </c>
      <c r="C4992">
        <v>24</v>
      </c>
      <c r="D4992">
        <v>5.7000000000000002E-2</v>
      </c>
      <c r="E4992" t="s">
        <v>6</v>
      </c>
      <c r="F4992">
        <v>0.13005</v>
      </c>
    </row>
    <row r="4993" spans="1:6" x14ac:dyDescent="0.3">
      <c r="A4993" t="s">
        <v>5</v>
      </c>
      <c r="B4993" s="1">
        <v>45866</v>
      </c>
      <c r="C4993">
        <v>1</v>
      </c>
      <c r="D4993">
        <v>8.4000000000000005E-2</v>
      </c>
      <c r="E4993" t="s">
        <v>6</v>
      </c>
      <c r="F4993">
        <v>0.11913</v>
      </c>
    </row>
    <row r="4994" spans="1:6" x14ac:dyDescent="0.3">
      <c r="A4994" t="s">
        <v>5</v>
      </c>
      <c r="B4994" s="1">
        <v>45866</v>
      </c>
      <c r="C4994">
        <v>2</v>
      </c>
      <c r="D4994">
        <v>5.6000000000000001E-2</v>
      </c>
      <c r="E4994" t="s">
        <v>6</v>
      </c>
      <c r="F4994">
        <v>0.1139</v>
      </c>
    </row>
    <row r="4995" spans="1:6" x14ac:dyDescent="0.3">
      <c r="A4995" t="s">
        <v>5</v>
      </c>
      <c r="B4995" s="1">
        <v>45866</v>
      </c>
      <c r="C4995">
        <v>3</v>
      </c>
      <c r="D4995">
        <v>7.0000000000000007E-2</v>
      </c>
      <c r="E4995" t="s">
        <v>6</v>
      </c>
      <c r="F4995">
        <v>0.10898000000000001</v>
      </c>
    </row>
    <row r="4996" spans="1:6" x14ac:dyDescent="0.3">
      <c r="A4996" t="s">
        <v>5</v>
      </c>
      <c r="B4996" s="1">
        <v>45866</v>
      </c>
      <c r="C4996">
        <v>4</v>
      </c>
      <c r="D4996">
        <v>7.1999999999999995E-2</v>
      </c>
      <c r="E4996" t="s">
        <v>6</v>
      </c>
      <c r="F4996">
        <v>0.10405</v>
      </c>
    </row>
    <row r="4997" spans="1:6" x14ac:dyDescent="0.3">
      <c r="A4997" t="s">
        <v>5</v>
      </c>
      <c r="B4997" s="1">
        <v>45866</v>
      </c>
      <c r="C4997">
        <v>5</v>
      </c>
      <c r="D4997">
        <v>5.6000000000000001E-2</v>
      </c>
      <c r="E4997" t="s">
        <v>6</v>
      </c>
      <c r="F4997">
        <v>0.10170999999999999</v>
      </c>
    </row>
    <row r="4998" spans="1:6" x14ac:dyDescent="0.3">
      <c r="A4998" t="s">
        <v>5</v>
      </c>
      <c r="B4998" s="1">
        <v>45866</v>
      </c>
      <c r="C4998">
        <v>6</v>
      </c>
      <c r="D4998">
        <v>8.2000000000000003E-2</v>
      </c>
      <c r="E4998" t="s">
        <v>6</v>
      </c>
      <c r="F4998">
        <v>0.10387</v>
      </c>
    </row>
    <row r="4999" spans="1:6" x14ac:dyDescent="0.3">
      <c r="A4999" t="s">
        <v>5</v>
      </c>
      <c r="B4999" s="1">
        <v>45866</v>
      </c>
      <c r="C4999">
        <v>7</v>
      </c>
      <c r="D4999">
        <v>5.8999999999999997E-2</v>
      </c>
      <c r="E4999" t="s">
        <v>6</v>
      </c>
      <c r="F4999">
        <v>0.11079</v>
      </c>
    </row>
    <row r="5000" spans="1:6" x14ac:dyDescent="0.3">
      <c r="A5000" t="s">
        <v>5</v>
      </c>
      <c r="B5000" s="1">
        <v>45866</v>
      </c>
      <c r="C5000">
        <v>8</v>
      </c>
      <c r="D5000">
        <v>6.5000000000000002E-2</v>
      </c>
      <c r="E5000" t="s">
        <v>6</v>
      </c>
      <c r="F5000">
        <v>0.12068000000000001</v>
      </c>
    </row>
    <row r="5001" spans="1:6" x14ac:dyDescent="0.3">
      <c r="A5001" t="s">
        <v>5</v>
      </c>
      <c r="B5001" s="1">
        <v>45866</v>
      </c>
      <c r="C5001">
        <v>9</v>
      </c>
      <c r="D5001">
        <v>7.2999999999999995E-2</v>
      </c>
      <c r="E5001" t="s">
        <v>6</v>
      </c>
      <c r="F5001">
        <v>0.15003</v>
      </c>
    </row>
    <row r="5002" spans="1:6" x14ac:dyDescent="0.3">
      <c r="A5002" t="s">
        <v>5</v>
      </c>
      <c r="B5002" s="1">
        <v>45866</v>
      </c>
      <c r="C5002">
        <v>10</v>
      </c>
      <c r="D5002">
        <v>5.3999999999999999E-2</v>
      </c>
      <c r="E5002" t="s">
        <v>6</v>
      </c>
      <c r="F5002">
        <v>0.11536</v>
      </c>
    </row>
    <row r="5003" spans="1:6" x14ac:dyDescent="0.3">
      <c r="A5003" t="s">
        <v>5</v>
      </c>
      <c r="B5003" s="1">
        <v>45866</v>
      </c>
      <c r="C5003">
        <v>11</v>
      </c>
      <c r="D5003">
        <v>7.8E-2</v>
      </c>
      <c r="E5003" t="s">
        <v>6</v>
      </c>
      <c r="F5003">
        <v>0.15962999999999999</v>
      </c>
    </row>
    <row r="5004" spans="1:6" x14ac:dyDescent="0.3">
      <c r="A5004" t="s">
        <v>5</v>
      </c>
      <c r="B5004" s="1">
        <v>45866</v>
      </c>
      <c r="C5004">
        <v>12</v>
      </c>
      <c r="D5004">
        <v>0.06</v>
      </c>
      <c r="E5004" t="s">
        <v>6</v>
      </c>
      <c r="F5004">
        <v>0.15415999999999999</v>
      </c>
    </row>
    <row r="5005" spans="1:6" x14ac:dyDescent="0.3">
      <c r="A5005" t="s">
        <v>5</v>
      </c>
      <c r="B5005" s="1">
        <v>45866</v>
      </c>
      <c r="C5005">
        <v>13</v>
      </c>
      <c r="D5005">
        <v>6.3E-2</v>
      </c>
      <c r="E5005" t="s">
        <v>6</v>
      </c>
      <c r="F5005">
        <v>0.15130000000000002</v>
      </c>
    </row>
    <row r="5006" spans="1:6" x14ac:dyDescent="0.3">
      <c r="A5006" t="s">
        <v>5</v>
      </c>
      <c r="B5006" s="1">
        <v>45866</v>
      </c>
      <c r="C5006">
        <v>14</v>
      </c>
      <c r="D5006">
        <v>7.5999999999999998E-2</v>
      </c>
      <c r="E5006" t="s">
        <v>6</v>
      </c>
      <c r="F5006">
        <v>0.14918999999999999</v>
      </c>
    </row>
    <row r="5007" spans="1:6" x14ac:dyDescent="0.3">
      <c r="A5007" t="s">
        <v>5</v>
      </c>
      <c r="B5007" s="1">
        <v>45866</v>
      </c>
      <c r="C5007">
        <v>15</v>
      </c>
      <c r="D5007">
        <v>5.6000000000000001E-2</v>
      </c>
      <c r="E5007" t="s">
        <v>6</v>
      </c>
      <c r="F5007">
        <v>8.3330000000000001E-2</v>
      </c>
    </row>
    <row r="5008" spans="1:6" x14ac:dyDescent="0.3">
      <c r="A5008" t="s">
        <v>5</v>
      </c>
      <c r="B5008" s="1">
        <v>45866</v>
      </c>
      <c r="C5008">
        <v>16</v>
      </c>
      <c r="D5008">
        <v>7.5999999999999998E-2</v>
      </c>
      <c r="E5008" t="s">
        <v>6</v>
      </c>
      <c r="F5008">
        <v>8.1979999999999997E-2</v>
      </c>
    </row>
    <row r="5009" spans="1:6" x14ac:dyDescent="0.3">
      <c r="A5009" t="s">
        <v>5</v>
      </c>
      <c r="B5009" s="1">
        <v>45866</v>
      </c>
      <c r="C5009">
        <v>17</v>
      </c>
      <c r="D5009">
        <v>6.4000000000000001E-2</v>
      </c>
      <c r="E5009" t="s">
        <v>6</v>
      </c>
      <c r="F5009">
        <v>8.0670000000000006E-2</v>
      </c>
    </row>
    <row r="5010" spans="1:6" x14ac:dyDescent="0.3">
      <c r="A5010" t="s">
        <v>5</v>
      </c>
      <c r="B5010" s="1">
        <v>45866</v>
      </c>
      <c r="C5010">
        <v>18</v>
      </c>
      <c r="D5010">
        <v>6.0999999999999999E-2</v>
      </c>
      <c r="E5010" t="s">
        <v>6</v>
      </c>
      <c r="F5010">
        <v>8.072E-2</v>
      </c>
    </row>
    <row r="5011" spans="1:6" x14ac:dyDescent="0.3">
      <c r="A5011" t="s">
        <v>5</v>
      </c>
      <c r="B5011" s="1">
        <v>45866</v>
      </c>
      <c r="C5011">
        <v>19</v>
      </c>
      <c r="D5011">
        <v>8.1000000000000003E-2</v>
      </c>
      <c r="E5011" t="s">
        <v>6</v>
      </c>
      <c r="F5011">
        <v>0.15062</v>
      </c>
    </row>
    <row r="5012" spans="1:6" x14ac:dyDescent="0.3">
      <c r="A5012" t="s">
        <v>5</v>
      </c>
      <c r="B5012" s="1">
        <v>45866</v>
      </c>
      <c r="C5012">
        <v>20</v>
      </c>
      <c r="D5012">
        <v>5.5E-2</v>
      </c>
      <c r="E5012" t="s">
        <v>6</v>
      </c>
      <c r="F5012">
        <v>0.16503999999999999</v>
      </c>
    </row>
    <row r="5013" spans="1:6" x14ac:dyDescent="0.3">
      <c r="A5013" t="s">
        <v>5</v>
      </c>
      <c r="B5013" s="1">
        <v>45866</v>
      </c>
      <c r="C5013">
        <v>21</v>
      </c>
      <c r="D5013">
        <v>7.2999999999999995E-2</v>
      </c>
      <c r="E5013" t="s">
        <v>6</v>
      </c>
      <c r="F5013">
        <v>0.21063999999999999</v>
      </c>
    </row>
    <row r="5014" spans="1:6" x14ac:dyDescent="0.3">
      <c r="A5014" t="s">
        <v>5</v>
      </c>
      <c r="B5014" s="1">
        <v>45866</v>
      </c>
      <c r="C5014">
        <v>22</v>
      </c>
      <c r="D5014">
        <v>6.9000000000000006E-2</v>
      </c>
      <c r="E5014" t="s">
        <v>6</v>
      </c>
      <c r="F5014">
        <v>0.22600000000000001</v>
      </c>
    </row>
    <row r="5015" spans="1:6" x14ac:dyDescent="0.3">
      <c r="A5015" t="s">
        <v>5</v>
      </c>
      <c r="B5015" s="1">
        <v>45866</v>
      </c>
      <c r="C5015">
        <v>23</v>
      </c>
      <c r="D5015">
        <v>5.7000000000000002E-2</v>
      </c>
      <c r="E5015" t="s">
        <v>6</v>
      </c>
      <c r="F5015">
        <v>0.17521</v>
      </c>
    </row>
    <row r="5016" spans="1:6" x14ac:dyDescent="0.3">
      <c r="A5016" t="s">
        <v>5</v>
      </c>
      <c r="B5016" s="1">
        <v>45866</v>
      </c>
      <c r="C5016">
        <v>24</v>
      </c>
      <c r="D5016">
        <v>8.3000000000000004E-2</v>
      </c>
      <c r="E5016" t="s">
        <v>6</v>
      </c>
      <c r="F5016">
        <v>0.15081</v>
      </c>
    </row>
    <row r="5017" spans="1:6" x14ac:dyDescent="0.3">
      <c r="A5017" t="s">
        <v>5</v>
      </c>
      <c r="B5017" s="1">
        <v>45867</v>
      </c>
      <c r="C5017">
        <v>1</v>
      </c>
      <c r="D5017">
        <v>5.8000000000000003E-2</v>
      </c>
      <c r="E5017" t="s">
        <v>6</v>
      </c>
      <c r="F5017">
        <v>0.10621</v>
      </c>
    </row>
    <row r="5018" spans="1:6" x14ac:dyDescent="0.3">
      <c r="A5018" t="s">
        <v>5</v>
      </c>
      <c r="B5018" s="1">
        <v>45867</v>
      </c>
      <c r="C5018">
        <v>2</v>
      </c>
      <c r="D5018">
        <v>6.8000000000000005E-2</v>
      </c>
      <c r="E5018" t="s">
        <v>6</v>
      </c>
      <c r="F5018">
        <v>9.3849999999999989E-2</v>
      </c>
    </row>
    <row r="5019" spans="1:6" x14ac:dyDescent="0.3">
      <c r="A5019" t="s">
        <v>5</v>
      </c>
      <c r="B5019" s="1">
        <v>45867</v>
      </c>
      <c r="C5019">
        <v>3</v>
      </c>
      <c r="D5019">
        <v>7.2999999999999995E-2</v>
      </c>
      <c r="E5019" t="s">
        <v>6</v>
      </c>
      <c r="F5019">
        <v>9.2530000000000001E-2</v>
      </c>
    </row>
    <row r="5020" spans="1:6" x14ac:dyDescent="0.3">
      <c r="A5020" t="s">
        <v>5</v>
      </c>
      <c r="B5020" s="1">
        <v>45867</v>
      </c>
      <c r="C5020">
        <v>4</v>
      </c>
      <c r="D5020">
        <v>5.6000000000000001E-2</v>
      </c>
      <c r="E5020" t="s">
        <v>6</v>
      </c>
      <c r="F5020">
        <v>8.7010000000000004E-2</v>
      </c>
    </row>
    <row r="5021" spans="1:6" x14ac:dyDescent="0.3">
      <c r="A5021" t="s">
        <v>5</v>
      </c>
      <c r="B5021" s="1">
        <v>45867</v>
      </c>
      <c r="C5021">
        <v>5</v>
      </c>
      <c r="D5021">
        <v>7.9000000000000001E-2</v>
      </c>
      <c r="E5021" t="s">
        <v>6</v>
      </c>
      <c r="F5021">
        <v>8.5559999999999997E-2</v>
      </c>
    </row>
    <row r="5022" spans="1:6" x14ac:dyDescent="0.3">
      <c r="A5022" t="s">
        <v>5</v>
      </c>
      <c r="B5022" s="1">
        <v>45867</v>
      </c>
      <c r="C5022">
        <v>6</v>
      </c>
      <c r="D5022">
        <v>6.2E-2</v>
      </c>
      <c r="E5022" t="s">
        <v>6</v>
      </c>
      <c r="F5022">
        <v>9.0230000000000005E-2</v>
      </c>
    </row>
    <row r="5023" spans="1:6" x14ac:dyDescent="0.3">
      <c r="A5023" t="s">
        <v>5</v>
      </c>
      <c r="B5023" s="1">
        <v>45867</v>
      </c>
      <c r="C5023">
        <v>7</v>
      </c>
      <c r="D5023">
        <v>6.2E-2</v>
      </c>
      <c r="E5023" t="s">
        <v>6</v>
      </c>
      <c r="F5023">
        <v>0.10357999999999999</v>
      </c>
    </row>
    <row r="5024" spans="1:6" x14ac:dyDescent="0.3">
      <c r="A5024" t="s">
        <v>5</v>
      </c>
      <c r="B5024" s="1">
        <v>45867</v>
      </c>
      <c r="C5024">
        <v>8</v>
      </c>
      <c r="D5024">
        <v>7.9000000000000001E-2</v>
      </c>
      <c r="E5024" t="s">
        <v>6</v>
      </c>
      <c r="F5024">
        <v>0.10861</v>
      </c>
    </row>
    <row r="5025" spans="1:6" x14ac:dyDescent="0.3">
      <c r="A5025" t="s">
        <v>5</v>
      </c>
      <c r="B5025" s="1">
        <v>45867</v>
      </c>
      <c r="C5025">
        <v>9</v>
      </c>
      <c r="D5025">
        <v>5.5E-2</v>
      </c>
      <c r="E5025" t="s">
        <v>6</v>
      </c>
      <c r="F5025">
        <v>0.13303000000000001</v>
      </c>
    </row>
    <row r="5026" spans="1:6" x14ac:dyDescent="0.3">
      <c r="A5026" t="s">
        <v>5</v>
      </c>
      <c r="B5026" s="1">
        <v>45867</v>
      </c>
      <c r="C5026">
        <v>10</v>
      </c>
      <c r="D5026">
        <v>7.0999999999999994E-2</v>
      </c>
      <c r="E5026" t="s">
        <v>6</v>
      </c>
      <c r="F5026">
        <v>9.323999999999999E-2</v>
      </c>
    </row>
    <row r="5027" spans="1:6" x14ac:dyDescent="0.3">
      <c r="A5027" t="s">
        <v>5</v>
      </c>
      <c r="B5027" s="1">
        <v>45867</v>
      </c>
      <c r="C5027">
        <v>11</v>
      </c>
      <c r="D5027">
        <v>6.9000000000000006E-2</v>
      </c>
      <c r="E5027" t="s">
        <v>6</v>
      </c>
      <c r="F5027">
        <v>0.15297999999999998</v>
      </c>
    </row>
    <row r="5028" spans="1:6" x14ac:dyDescent="0.3">
      <c r="A5028" t="s">
        <v>5</v>
      </c>
      <c r="B5028" s="1">
        <v>45867</v>
      </c>
      <c r="C5028">
        <v>12</v>
      </c>
      <c r="D5028">
        <v>5.5E-2</v>
      </c>
      <c r="E5028" t="s">
        <v>6</v>
      </c>
      <c r="F5028">
        <v>0.14734999999999998</v>
      </c>
    </row>
    <row r="5029" spans="1:6" x14ac:dyDescent="0.3">
      <c r="A5029" t="s">
        <v>5</v>
      </c>
      <c r="B5029" s="1">
        <v>45867</v>
      </c>
      <c r="C5029">
        <v>13</v>
      </c>
      <c r="D5029">
        <v>8.2000000000000003E-2</v>
      </c>
      <c r="E5029" t="s">
        <v>6</v>
      </c>
      <c r="F5029">
        <v>0.14931</v>
      </c>
    </row>
    <row r="5030" spans="1:6" x14ac:dyDescent="0.3">
      <c r="A5030" t="s">
        <v>5</v>
      </c>
      <c r="B5030" s="1">
        <v>45867</v>
      </c>
      <c r="C5030">
        <v>14</v>
      </c>
      <c r="D5030">
        <v>5.8000000000000003E-2</v>
      </c>
      <c r="E5030" t="s">
        <v>6</v>
      </c>
      <c r="F5030">
        <v>0.14824999999999999</v>
      </c>
    </row>
    <row r="5031" spans="1:6" x14ac:dyDescent="0.3">
      <c r="A5031" t="s">
        <v>5</v>
      </c>
      <c r="B5031" s="1">
        <v>45867</v>
      </c>
      <c r="C5031">
        <v>15</v>
      </c>
      <c r="D5031">
        <v>6.4000000000000001E-2</v>
      </c>
      <c r="E5031" t="s">
        <v>6</v>
      </c>
      <c r="F5031">
        <v>8.2360000000000003E-2</v>
      </c>
    </row>
    <row r="5032" spans="1:6" x14ac:dyDescent="0.3">
      <c r="A5032" t="s">
        <v>5</v>
      </c>
      <c r="B5032" s="1">
        <v>45867</v>
      </c>
      <c r="C5032">
        <v>16</v>
      </c>
      <c r="D5032">
        <v>7.4999999999999997E-2</v>
      </c>
      <c r="E5032" t="s">
        <v>6</v>
      </c>
      <c r="F5032">
        <v>8.2580000000000001E-2</v>
      </c>
    </row>
    <row r="5033" spans="1:6" x14ac:dyDescent="0.3">
      <c r="A5033" t="s">
        <v>5</v>
      </c>
      <c r="B5033" s="1">
        <v>45867</v>
      </c>
      <c r="C5033">
        <v>17</v>
      </c>
      <c r="D5033">
        <v>5.6000000000000001E-2</v>
      </c>
      <c r="E5033" t="s">
        <v>6</v>
      </c>
      <c r="F5033">
        <v>7.9680000000000001E-2</v>
      </c>
    </row>
    <row r="5034" spans="1:6" x14ac:dyDescent="0.3">
      <c r="A5034" t="s">
        <v>5</v>
      </c>
      <c r="B5034" s="1">
        <v>45867</v>
      </c>
      <c r="C5034">
        <v>18</v>
      </c>
      <c r="D5034">
        <v>7.4999999999999997E-2</v>
      </c>
      <c r="E5034" t="s">
        <v>6</v>
      </c>
      <c r="F5034">
        <v>7.9560000000000006E-2</v>
      </c>
    </row>
    <row r="5035" spans="1:6" x14ac:dyDescent="0.3">
      <c r="A5035" t="s">
        <v>5</v>
      </c>
      <c r="B5035" s="1">
        <v>45867</v>
      </c>
      <c r="C5035">
        <v>19</v>
      </c>
      <c r="D5035">
        <v>6.4000000000000001E-2</v>
      </c>
      <c r="E5035" t="s">
        <v>6</v>
      </c>
      <c r="F5035">
        <v>0.15634000000000001</v>
      </c>
    </row>
    <row r="5036" spans="1:6" x14ac:dyDescent="0.3">
      <c r="A5036" t="s">
        <v>5</v>
      </c>
      <c r="B5036" s="1">
        <v>45867</v>
      </c>
      <c r="C5036">
        <v>20</v>
      </c>
      <c r="D5036">
        <v>0.06</v>
      </c>
      <c r="E5036" t="s">
        <v>6</v>
      </c>
      <c r="F5036">
        <v>0.18524000000000002</v>
      </c>
    </row>
    <row r="5037" spans="1:6" x14ac:dyDescent="0.3">
      <c r="A5037" t="s">
        <v>5</v>
      </c>
      <c r="B5037" s="1">
        <v>45867</v>
      </c>
      <c r="C5037">
        <v>21</v>
      </c>
      <c r="D5037">
        <v>8.2000000000000003E-2</v>
      </c>
      <c r="E5037" t="s">
        <v>6</v>
      </c>
      <c r="F5037">
        <v>0.20849000000000001</v>
      </c>
    </row>
    <row r="5038" spans="1:6" x14ac:dyDescent="0.3">
      <c r="A5038" t="s">
        <v>5</v>
      </c>
      <c r="B5038" s="1">
        <v>45867</v>
      </c>
      <c r="C5038">
        <v>22</v>
      </c>
      <c r="D5038">
        <v>5.7000000000000002E-2</v>
      </c>
      <c r="E5038" t="s">
        <v>6</v>
      </c>
      <c r="F5038">
        <v>0.25236999999999998</v>
      </c>
    </row>
    <row r="5039" spans="1:6" x14ac:dyDescent="0.3">
      <c r="A5039" t="s">
        <v>5</v>
      </c>
      <c r="B5039" s="1">
        <v>45867</v>
      </c>
      <c r="C5039">
        <v>23</v>
      </c>
      <c r="D5039">
        <v>6.9000000000000006E-2</v>
      </c>
      <c r="E5039" t="s">
        <v>6</v>
      </c>
      <c r="F5039">
        <v>0.19306999999999999</v>
      </c>
    </row>
    <row r="5040" spans="1:6" x14ac:dyDescent="0.3">
      <c r="A5040" t="s">
        <v>5</v>
      </c>
      <c r="B5040" s="1">
        <v>45867</v>
      </c>
      <c r="C5040">
        <v>24</v>
      </c>
      <c r="D5040">
        <v>7.1999999999999995E-2</v>
      </c>
      <c r="E5040" t="s">
        <v>6</v>
      </c>
      <c r="F5040">
        <v>0.17388000000000001</v>
      </c>
    </row>
    <row r="5041" spans="1:6" x14ac:dyDescent="0.3">
      <c r="A5041" t="s">
        <v>5</v>
      </c>
      <c r="B5041" s="1">
        <v>45868</v>
      </c>
      <c r="C5041">
        <v>1</v>
      </c>
      <c r="D5041">
        <v>5.6000000000000001E-2</v>
      </c>
      <c r="E5041" t="s">
        <v>6</v>
      </c>
      <c r="F5041">
        <v>0.12052</v>
      </c>
    </row>
    <row r="5042" spans="1:6" x14ac:dyDescent="0.3">
      <c r="A5042" t="s">
        <v>5</v>
      </c>
      <c r="B5042" s="1">
        <v>45868</v>
      </c>
      <c r="C5042">
        <v>2</v>
      </c>
      <c r="D5042">
        <v>0.08</v>
      </c>
      <c r="E5042" t="s">
        <v>6</v>
      </c>
      <c r="F5042">
        <v>0.10327</v>
      </c>
    </row>
    <row r="5043" spans="1:6" x14ac:dyDescent="0.3">
      <c r="A5043" t="s">
        <v>5</v>
      </c>
      <c r="B5043" s="1">
        <v>45868</v>
      </c>
      <c r="C5043">
        <v>3</v>
      </c>
      <c r="D5043">
        <v>6.2E-2</v>
      </c>
      <c r="E5043" t="s">
        <v>6</v>
      </c>
      <c r="F5043">
        <v>9.8420000000000007E-2</v>
      </c>
    </row>
    <row r="5044" spans="1:6" x14ac:dyDescent="0.3">
      <c r="A5044" t="s">
        <v>5</v>
      </c>
      <c r="B5044" s="1">
        <v>45868</v>
      </c>
      <c r="C5044">
        <v>4</v>
      </c>
      <c r="D5044">
        <v>6.2E-2</v>
      </c>
      <c r="E5044" t="s">
        <v>6</v>
      </c>
      <c r="F5044">
        <v>8.8680000000000009E-2</v>
      </c>
    </row>
    <row r="5045" spans="1:6" x14ac:dyDescent="0.3">
      <c r="A5045" t="s">
        <v>5</v>
      </c>
      <c r="B5045" s="1">
        <v>45868</v>
      </c>
      <c r="C5045">
        <v>5</v>
      </c>
      <c r="D5045">
        <v>0.08</v>
      </c>
      <c r="E5045" t="s">
        <v>6</v>
      </c>
      <c r="F5045">
        <v>8.2280000000000006E-2</v>
      </c>
    </row>
    <row r="5046" spans="1:6" x14ac:dyDescent="0.3">
      <c r="A5046" t="s">
        <v>5</v>
      </c>
      <c r="B5046" s="1">
        <v>45868</v>
      </c>
      <c r="C5046">
        <v>6</v>
      </c>
      <c r="D5046">
        <v>5.6000000000000001E-2</v>
      </c>
      <c r="E5046" t="s">
        <v>6</v>
      </c>
      <c r="F5046">
        <v>8.8010000000000005E-2</v>
      </c>
    </row>
    <row r="5047" spans="1:6" x14ac:dyDescent="0.3">
      <c r="A5047" t="s">
        <v>5</v>
      </c>
      <c r="B5047" s="1">
        <v>45868</v>
      </c>
      <c r="C5047">
        <v>7</v>
      </c>
      <c r="D5047">
        <v>7.0999999999999994E-2</v>
      </c>
      <c r="E5047" t="s">
        <v>6</v>
      </c>
      <c r="F5047">
        <v>9.8470000000000002E-2</v>
      </c>
    </row>
    <row r="5048" spans="1:6" x14ac:dyDescent="0.3">
      <c r="A5048" t="s">
        <v>5</v>
      </c>
      <c r="B5048" s="1">
        <v>45868</v>
      </c>
      <c r="C5048">
        <v>8</v>
      </c>
      <c r="D5048">
        <v>6.8000000000000005E-2</v>
      </c>
      <c r="E5048" t="s">
        <v>6</v>
      </c>
      <c r="F5048">
        <v>0.12875999999999999</v>
      </c>
    </row>
    <row r="5049" spans="1:6" x14ac:dyDescent="0.3">
      <c r="A5049" t="s">
        <v>5</v>
      </c>
      <c r="B5049" s="1">
        <v>45868</v>
      </c>
      <c r="C5049">
        <v>9</v>
      </c>
      <c r="D5049">
        <v>5.6000000000000001E-2</v>
      </c>
      <c r="E5049" t="s">
        <v>6</v>
      </c>
      <c r="F5049">
        <v>0.13869000000000001</v>
      </c>
    </row>
    <row r="5050" spans="1:6" x14ac:dyDescent="0.3">
      <c r="A5050" t="s">
        <v>5</v>
      </c>
      <c r="B5050" s="1">
        <v>45868</v>
      </c>
      <c r="C5050">
        <v>10</v>
      </c>
      <c r="D5050">
        <v>8.1000000000000003E-2</v>
      </c>
      <c r="E5050" t="s">
        <v>6</v>
      </c>
      <c r="F5050">
        <v>0.11403000000000001</v>
      </c>
    </row>
    <row r="5051" spans="1:6" x14ac:dyDescent="0.3">
      <c r="A5051" t="s">
        <v>5</v>
      </c>
      <c r="B5051" s="1">
        <v>45868</v>
      </c>
      <c r="C5051">
        <v>11</v>
      </c>
      <c r="D5051">
        <v>5.8999999999999997E-2</v>
      </c>
      <c r="E5051" t="s">
        <v>6</v>
      </c>
      <c r="F5051">
        <v>0.15953999999999999</v>
      </c>
    </row>
    <row r="5052" spans="1:6" x14ac:dyDescent="0.3">
      <c r="A5052" t="s">
        <v>5</v>
      </c>
      <c r="B5052" s="1">
        <v>45868</v>
      </c>
      <c r="C5052">
        <v>12</v>
      </c>
      <c r="D5052">
        <v>6.3E-2</v>
      </c>
      <c r="E5052" t="s">
        <v>6</v>
      </c>
      <c r="F5052">
        <v>0.15234999999999999</v>
      </c>
    </row>
    <row r="5053" spans="1:6" x14ac:dyDescent="0.3">
      <c r="A5053" t="s">
        <v>5</v>
      </c>
      <c r="B5053" s="1">
        <v>45868</v>
      </c>
      <c r="C5053">
        <v>13</v>
      </c>
      <c r="D5053">
        <v>7.6999999999999999E-2</v>
      </c>
      <c r="E5053" t="s">
        <v>6</v>
      </c>
      <c r="F5053">
        <v>0.15505000000000002</v>
      </c>
    </row>
    <row r="5054" spans="1:6" x14ac:dyDescent="0.3">
      <c r="A5054" t="s">
        <v>5</v>
      </c>
      <c r="B5054" s="1">
        <v>45868</v>
      </c>
      <c r="C5054">
        <v>14</v>
      </c>
      <c r="D5054">
        <v>5.6000000000000001E-2</v>
      </c>
      <c r="E5054" t="s">
        <v>6</v>
      </c>
      <c r="F5054">
        <v>0.15215999999999999</v>
      </c>
    </row>
    <row r="5055" spans="1:6" x14ac:dyDescent="0.3">
      <c r="A5055" t="s">
        <v>5</v>
      </c>
      <c r="B5055" s="1">
        <v>45868</v>
      </c>
      <c r="C5055">
        <v>15</v>
      </c>
      <c r="D5055">
        <v>7.1999999999999995E-2</v>
      </c>
      <c r="E5055" t="s">
        <v>6</v>
      </c>
      <c r="F5055">
        <v>8.6230000000000001E-2</v>
      </c>
    </row>
    <row r="5056" spans="1:6" x14ac:dyDescent="0.3">
      <c r="A5056" t="s">
        <v>5</v>
      </c>
      <c r="B5056" s="1">
        <v>45868</v>
      </c>
      <c r="C5056">
        <v>16</v>
      </c>
      <c r="D5056">
        <v>7.0999999999999994E-2</v>
      </c>
      <c r="E5056" t="s">
        <v>6</v>
      </c>
      <c r="F5056">
        <v>8.4239999999999995E-2</v>
      </c>
    </row>
    <row r="5057" spans="1:6" x14ac:dyDescent="0.3">
      <c r="A5057" t="s">
        <v>5</v>
      </c>
      <c r="B5057" s="1">
        <v>45868</v>
      </c>
      <c r="C5057">
        <v>17</v>
      </c>
      <c r="D5057">
        <v>0.114</v>
      </c>
      <c r="E5057" t="s">
        <v>6</v>
      </c>
      <c r="F5057">
        <v>8.2739999999999994E-2</v>
      </c>
    </row>
    <row r="5058" spans="1:6" x14ac:dyDescent="0.3">
      <c r="A5058" t="s">
        <v>5</v>
      </c>
      <c r="B5058" s="1">
        <v>45868</v>
      </c>
      <c r="C5058">
        <v>18</v>
      </c>
      <c r="D5058">
        <v>0.114</v>
      </c>
      <c r="E5058" t="s">
        <v>6</v>
      </c>
      <c r="F5058">
        <v>8.269E-2</v>
      </c>
    </row>
    <row r="5059" spans="1:6" x14ac:dyDescent="0.3">
      <c r="A5059" t="s">
        <v>5</v>
      </c>
      <c r="B5059" s="1">
        <v>45868</v>
      </c>
      <c r="C5059">
        <v>19</v>
      </c>
      <c r="D5059">
        <v>7.4999999999999997E-2</v>
      </c>
      <c r="E5059" t="s">
        <v>6</v>
      </c>
      <c r="F5059">
        <v>0.17541999999999999</v>
      </c>
    </row>
    <row r="5060" spans="1:6" x14ac:dyDescent="0.3">
      <c r="A5060" t="s">
        <v>5</v>
      </c>
      <c r="B5060" s="1">
        <v>45868</v>
      </c>
      <c r="C5060">
        <v>20</v>
      </c>
      <c r="D5060">
        <v>0.30299999999999999</v>
      </c>
      <c r="E5060" t="s">
        <v>6</v>
      </c>
      <c r="F5060">
        <v>0.18575</v>
      </c>
    </row>
    <row r="5061" spans="1:6" x14ac:dyDescent="0.3">
      <c r="A5061" t="s">
        <v>5</v>
      </c>
      <c r="B5061" s="1">
        <v>45868</v>
      </c>
      <c r="C5061">
        <v>21</v>
      </c>
      <c r="D5061">
        <v>0.121</v>
      </c>
      <c r="E5061" t="s">
        <v>6</v>
      </c>
      <c r="F5061">
        <v>0.22728000000000001</v>
      </c>
    </row>
    <row r="5062" spans="1:6" x14ac:dyDescent="0.3">
      <c r="A5062" t="s">
        <v>5</v>
      </c>
      <c r="B5062" s="1">
        <v>45868</v>
      </c>
      <c r="C5062">
        <v>22</v>
      </c>
      <c r="D5062">
        <v>8.6999999999999994E-2</v>
      </c>
      <c r="E5062" t="s">
        <v>6</v>
      </c>
      <c r="F5062">
        <v>0.25162000000000001</v>
      </c>
    </row>
    <row r="5063" spans="1:6" x14ac:dyDescent="0.3">
      <c r="A5063" t="s">
        <v>5</v>
      </c>
      <c r="B5063" s="1">
        <v>45868</v>
      </c>
      <c r="C5063">
        <v>23</v>
      </c>
      <c r="D5063">
        <v>8.5999999999999993E-2</v>
      </c>
      <c r="E5063" t="s">
        <v>6</v>
      </c>
      <c r="F5063">
        <v>0.18950999999999998</v>
      </c>
    </row>
    <row r="5064" spans="1:6" x14ac:dyDescent="0.3">
      <c r="A5064" t="s">
        <v>5</v>
      </c>
      <c r="B5064" s="1">
        <v>45868</v>
      </c>
      <c r="C5064">
        <v>24</v>
      </c>
      <c r="D5064">
        <v>8.2000000000000003E-2</v>
      </c>
      <c r="E5064" t="s">
        <v>6</v>
      </c>
      <c r="F5064">
        <v>0.17634</v>
      </c>
    </row>
    <row r="5065" spans="1:6" x14ac:dyDescent="0.3">
      <c r="A5065" t="s">
        <v>5</v>
      </c>
      <c r="B5065" s="1">
        <v>45869</v>
      </c>
      <c r="C5065">
        <v>1</v>
      </c>
      <c r="D5065">
        <v>7.0000000000000007E-2</v>
      </c>
      <c r="E5065" t="s">
        <v>6</v>
      </c>
      <c r="F5065">
        <v>0.13247</v>
      </c>
    </row>
    <row r="5066" spans="1:6" x14ac:dyDescent="0.3">
      <c r="A5066" t="s">
        <v>5</v>
      </c>
      <c r="B5066" s="1">
        <v>45869</v>
      </c>
      <c r="C5066">
        <v>2</v>
      </c>
      <c r="D5066">
        <v>7.0000000000000007E-2</v>
      </c>
      <c r="E5066" t="s">
        <v>6</v>
      </c>
      <c r="F5066">
        <v>0.1197</v>
      </c>
    </row>
    <row r="5067" spans="1:6" x14ac:dyDescent="0.3">
      <c r="A5067" t="s">
        <v>5</v>
      </c>
      <c r="B5067" s="1">
        <v>45869</v>
      </c>
      <c r="C5067">
        <v>3</v>
      </c>
      <c r="D5067">
        <v>7.4999999999999997E-2</v>
      </c>
      <c r="E5067" t="s">
        <v>6</v>
      </c>
      <c r="F5067">
        <v>0.11411</v>
      </c>
    </row>
    <row r="5068" spans="1:6" x14ac:dyDescent="0.3">
      <c r="A5068" t="s">
        <v>5</v>
      </c>
      <c r="B5068" s="1">
        <v>45869</v>
      </c>
      <c r="C5068">
        <v>4</v>
      </c>
      <c r="D5068">
        <v>8.5999999999999993E-2</v>
      </c>
      <c r="E5068" t="s">
        <v>6</v>
      </c>
      <c r="F5068">
        <v>9.6840000000000009E-2</v>
      </c>
    </row>
    <row r="5069" spans="1:6" x14ac:dyDescent="0.3">
      <c r="A5069" t="s">
        <v>5</v>
      </c>
      <c r="B5069" s="1">
        <v>45869</v>
      </c>
      <c r="C5069">
        <v>5</v>
      </c>
      <c r="D5069">
        <v>8.4000000000000005E-2</v>
      </c>
      <c r="E5069" t="s">
        <v>6</v>
      </c>
      <c r="F5069">
        <v>9.6189999999999998E-2</v>
      </c>
    </row>
    <row r="5070" spans="1:6" x14ac:dyDescent="0.3">
      <c r="A5070" t="s">
        <v>5</v>
      </c>
      <c r="B5070" s="1">
        <v>45869</v>
      </c>
      <c r="C5070">
        <v>6</v>
      </c>
      <c r="D5070">
        <v>7.0999999999999994E-2</v>
      </c>
      <c r="E5070" t="s">
        <v>6</v>
      </c>
      <c r="F5070">
        <v>9.759000000000001E-2</v>
      </c>
    </row>
    <row r="5071" spans="1:6" x14ac:dyDescent="0.3">
      <c r="A5071" t="s">
        <v>5</v>
      </c>
      <c r="B5071" s="1">
        <v>45869</v>
      </c>
      <c r="C5071">
        <v>7</v>
      </c>
      <c r="D5071">
        <v>6.7000000000000004E-2</v>
      </c>
      <c r="E5071" t="s">
        <v>6</v>
      </c>
      <c r="F5071">
        <v>0.12544</v>
      </c>
    </row>
    <row r="5072" spans="1:6" x14ac:dyDescent="0.3">
      <c r="A5072" t="s">
        <v>5</v>
      </c>
      <c r="B5072" s="1">
        <v>45869</v>
      </c>
      <c r="C5072">
        <v>8</v>
      </c>
      <c r="D5072">
        <v>7.1999999999999995E-2</v>
      </c>
      <c r="E5072" t="s">
        <v>6</v>
      </c>
      <c r="F5072">
        <v>0.14602000000000001</v>
      </c>
    </row>
    <row r="5073" spans="1:6" x14ac:dyDescent="0.3">
      <c r="A5073" t="s">
        <v>5</v>
      </c>
      <c r="B5073" s="1">
        <v>45869</v>
      </c>
      <c r="C5073">
        <v>9</v>
      </c>
      <c r="D5073">
        <v>8.5000000000000006E-2</v>
      </c>
      <c r="E5073" t="s">
        <v>6</v>
      </c>
      <c r="F5073">
        <v>0.15796000000000002</v>
      </c>
    </row>
    <row r="5074" spans="1:6" x14ac:dyDescent="0.3">
      <c r="A5074" t="s">
        <v>5</v>
      </c>
      <c r="B5074" s="1">
        <v>45869</v>
      </c>
      <c r="C5074">
        <v>10</v>
      </c>
      <c r="D5074">
        <v>8.3000000000000004E-2</v>
      </c>
      <c r="E5074" t="s">
        <v>6</v>
      </c>
      <c r="F5074">
        <v>0.11778</v>
      </c>
    </row>
    <row r="5075" spans="1:6" x14ac:dyDescent="0.3">
      <c r="A5075" t="s">
        <v>5</v>
      </c>
      <c r="B5075" s="1">
        <v>45869</v>
      </c>
      <c r="C5075">
        <v>11</v>
      </c>
      <c r="D5075">
        <v>6.6000000000000003E-2</v>
      </c>
      <c r="E5075" t="s">
        <v>6</v>
      </c>
      <c r="F5075">
        <v>0.16256000000000001</v>
      </c>
    </row>
    <row r="5076" spans="1:6" x14ac:dyDescent="0.3">
      <c r="A5076" t="s">
        <v>5</v>
      </c>
      <c r="B5076" s="1">
        <v>45869</v>
      </c>
      <c r="C5076">
        <v>12</v>
      </c>
      <c r="D5076">
        <v>6.5000000000000002E-2</v>
      </c>
      <c r="E5076" t="s">
        <v>6</v>
      </c>
      <c r="F5076">
        <v>0.15590999999999999</v>
      </c>
    </row>
    <row r="5077" spans="1:6" x14ac:dyDescent="0.3">
      <c r="A5077" t="s">
        <v>5</v>
      </c>
      <c r="B5077" s="1">
        <v>45869</v>
      </c>
      <c r="C5077">
        <v>13</v>
      </c>
      <c r="D5077">
        <v>7.6999999999999999E-2</v>
      </c>
      <c r="E5077" t="s">
        <v>6</v>
      </c>
      <c r="F5077">
        <v>0.16369999999999998</v>
      </c>
    </row>
    <row r="5078" spans="1:6" x14ac:dyDescent="0.3">
      <c r="A5078" t="s">
        <v>5</v>
      </c>
      <c r="B5078" s="1">
        <v>45869</v>
      </c>
      <c r="C5078">
        <v>14</v>
      </c>
      <c r="D5078">
        <v>8.4000000000000005E-2</v>
      </c>
      <c r="E5078" t="s">
        <v>6</v>
      </c>
      <c r="F5078">
        <v>0.15422999999999998</v>
      </c>
    </row>
    <row r="5079" spans="1:6" x14ac:dyDescent="0.3">
      <c r="A5079" t="s">
        <v>5</v>
      </c>
      <c r="B5079" s="1">
        <v>45869</v>
      </c>
      <c r="C5079">
        <v>15</v>
      </c>
      <c r="D5079">
        <v>7.0999999999999994E-2</v>
      </c>
      <c r="E5079" t="s">
        <v>6</v>
      </c>
      <c r="F5079">
        <v>9.0950000000000003E-2</v>
      </c>
    </row>
    <row r="5080" spans="1:6" x14ac:dyDescent="0.3">
      <c r="A5080" t="s">
        <v>5</v>
      </c>
      <c r="B5080" s="1">
        <v>45869</v>
      </c>
      <c r="C5080">
        <v>16</v>
      </c>
      <c r="D5080">
        <v>6.2E-2</v>
      </c>
      <c r="E5080" t="s">
        <v>6</v>
      </c>
      <c r="F5080">
        <v>9.1480000000000006E-2</v>
      </c>
    </row>
    <row r="5081" spans="1:6" x14ac:dyDescent="0.3">
      <c r="A5081" t="s">
        <v>5</v>
      </c>
      <c r="B5081" s="1">
        <v>45869</v>
      </c>
      <c r="C5081">
        <v>17</v>
      </c>
      <c r="D5081">
        <v>7.6999999999999999E-2</v>
      </c>
      <c r="E5081" t="s">
        <v>6</v>
      </c>
      <c r="F5081">
        <v>9.1560000000000002E-2</v>
      </c>
    </row>
    <row r="5082" spans="1:6" x14ac:dyDescent="0.3">
      <c r="A5082" t="s">
        <v>5</v>
      </c>
      <c r="B5082" s="1">
        <v>45869</v>
      </c>
      <c r="C5082">
        <v>18</v>
      </c>
      <c r="D5082">
        <v>8.2000000000000003E-2</v>
      </c>
      <c r="E5082" t="s">
        <v>6</v>
      </c>
      <c r="F5082">
        <v>0.10128</v>
      </c>
    </row>
    <row r="5083" spans="1:6" x14ac:dyDescent="0.3">
      <c r="A5083" t="s">
        <v>5</v>
      </c>
      <c r="B5083" s="1">
        <v>45869</v>
      </c>
      <c r="C5083">
        <v>19</v>
      </c>
      <c r="D5083">
        <v>0.06</v>
      </c>
      <c r="E5083" t="s">
        <v>6</v>
      </c>
      <c r="F5083">
        <v>0.18628999999999998</v>
      </c>
    </row>
    <row r="5084" spans="1:6" x14ac:dyDescent="0.3">
      <c r="A5084" t="s">
        <v>5</v>
      </c>
      <c r="B5084" s="1">
        <v>45869</v>
      </c>
      <c r="C5084">
        <v>20</v>
      </c>
      <c r="D5084">
        <v>6.8000000000000005E-2</v>
      </c>
      <c r="E5084" t="s">
        <v>6</v>
      </c>
      <c r="F5084">
        <v>0.22208</v>
      </c>
    </row>
    <row r="5085" spans="1:6" x14ac:dyDescent="0.3">
      <c r="A5085" t="s">
        <v>5</v>
      </c>
      <c r="B5085" s="1">
        <v>45869</v>
      </c>
      <c r="C5085">
        <v>21</v>
      </c>
      <c r="D5085">
        <v>8.3000000000000004E-2</v>
      </c>
      <c r="E5085" t="s">
        <v>6</v>
      </c>
      <c r="F5085">
        <v>0.24263999999999999</v>
      </c>
    </row>
    <row r="5086" spans="1:6" x14ac:dyDescent="0.3">
      <c r="A5086" t="s">
        <v>5</v>
      </c>
      <c r="B5086" s="1">
        <v>45869</v>
      </c>
      <c r="C5086">
        <v>22</v>
      </c>
      <c r="D5086">
        <v>5.8999999999999997E-2</v>
      </c>
      <c r="E5086" t="s">
        <v>6</v>
      </c>
      <c r="F5086">
        <v>0.25119000000000002</v>
      </c>
    </row>
    <row r="5087" spans="1:6" x14ac:dyDescent="0.3">
      <c r="A5087" t="s">
        <v>5</v>
      </c>
      <c r="B5087" s="1">
        <v>45869</v>
      </c>
      <c r="C5087">
        <v>23</v>
      </c>
      <c r="D5087">
        <v>6.6000000000000003E-2</v>
      </c>
      <c r="E5087" t="s">
        <v>6</v>
      </c>
      <c r="F5087">
        <v>0.18149000000000001</v>
      </c>
    </row>
    <row r="5088" spans="1:6" x14ac:dyDescent="0.3">
      <c r="A5088" t="s">
        <v>5</v>
      </c>
      <c r="B5088" s="1">
        <v>45869</v>
      </c>
      <c r="C5088">
        <v>24</v>
      </c>
      <c r="D5088">
        <v>8.1000000000000003E-2</v>
      </c>
      <c r="E5088" t="s">
        <v>6</v>
      </c>
      <c r="F5088">
        <v>0.16974</v>
      </c>
    </row>
    <row r="5089" spans="1:6" x14ac:dyDescent="0.3">
      <c r="A5089" t="s">
        <v>5</v>
      </c>
      <c r="B5089" s="1">
        <v>45870</v>
      </c>
      <c r="C5089">
        <v>1</v>
      </c>
      <c r="D5089">
        <v>5.7000000000000002E-2</v>
      </c>
      <c r="E5089" t="s">
        <v>6</v>
      </c>
      <c r="F5089">
        <v>0.14480000000000001</v>
      </c>
    </row>
    <row r="5090" spans="1:6" x14ac:dyDescent="0.3">
      <c r="A5090" t="s">
        <v>5</v>
      </c>
      <c r="B5090" s="1">
        <v>45870</v>
      </c>
      <c r="C5090">
        <v>2</v>
      </c>
      <c r="D5090">
        <v>6.9000000000000006E-2</v>
      </c>
      <c r="E5090" t="s">
        <v>6</v>
      </c>
      <c r="F5090">
        <v>0.13650000000000001</v>
      </c>
    </row>
    <row r="5091" spans="1:6" x14ac:dyDescent="0.3">
      <c r="A5091" t="s">
        <v>5</v>
      </c>
      <c r="B5091" s="1">
        <v>45870</v>
      </c>
      <c r="C5091">
        <v>3</v>
      </c>
      <c r="D5091">
        <v>7.6999999999999999E-2</v>
      </c>
      <c r="E5091" t="s">
        <v>6</v>
      </c>
      <c r="F5091">
        <v>0.12443000000000001</v>
      </c>
    </row>
    <row r="5092" spans="1:6" x14ac:dyDescent="0.3">
      <c r="A5092" t="s">
        <v>5</v>
      </c>
      <c r="B5092" s="1">
        <v>45870</v>
      </c>
      <c r="C5092">
        <v>4</v>
      </c>
      <c r="D5092">
        <v>5.7000000000000002E-2</v>
      </c>
      <c r="E5092" t="s">
        <v>6</v>
      </c>
      <c r="F5092">
        <v>0.11226999999999999</v>
      </c>
    </row>
    <row r="5093" spans="1:6" x14ac:dyDescent="0.3">
      <c r="A5093" t="s">
        <v>5</v>
      </c>
      <c r="B5093" s="1">
        <v>45870</v>
      </c>
      <c r="C5093">
        <v>5</v>
      </c>
      <c r="D5093">
        <v>7.1999999999999995E-2</v>
      </c>
      <c r="E5093" t="s">
        <v>6</v>
      </c>
      <c r="F5093">
        <v>0.10357999999999999</v>
      </c>
    </row>
    <row r="5094" spans="1:6" x14ac:dyDescent="0.3">
      <c r="A5094" t="s">
        <v>5</v>
      </c>
      <c r="B5094" s="1">
        <v>45870</v>
      </c>
      <c r="C5094">
        <v>6</v>
      </c>
      <c r="D5094">
        <v>7.2999999999999995E-2</v>
      </c>
      <c r="E5094" t="s">
        <v>6</v>
      </c>
      <c r="F5094">
        <v>0.11333</v>
      </c>
    </row>
    <row r="5095" spans="1:6" x14ac:dyDescent="0.3">
      <c r="A5095" t="s">
        <v>5</v>
      </c>
      <c r="B5095" s="1">
        <v>45870</v>
      </c>
      <c r="C5095">
        <v>7</v>
      </c>
      <c r="D5095">
        <v>5.6000000000000001E-2</v>
      </c>
      <c r="E5095" t="s">
        <v>6</v>
      </c>
      <c r="F5095">
        <v>0.12454000000000001</v>
      </c>
    </row>
    <row r="5096" spans="1:6" x14ac:dyDescent="0.3">
      <c r="A5096" t="s">
        <v>5</v>
      </c>
      <c r="B5096" s="1">
        <v>45870</v>
      </c>
      <c r="C5096">
        <v>8</v>
      </c>
      <c r="D5096">
        <v>7.4999999999999997E-2</v>
      </c>
      <c r="E5096" t="s">
        <v>6</v>
      </c>
      <c r="F5096">
        <v>0.14377999999999999</v>
      </c>
    </row>
    <row r="5097" spans="1:6" x14ac:dyDescent="0.3">
      <c r="A5097" t="s">
        <v>5</v>
      </c>
      <c r="B5097" s="1">
        <v>45870</v>
      </c>
      <c r="C5097">
        <v>9</v>
      </c>
      <c r="D5097">
        <v>6.8000000000000005E-2</v>
      </c>
      <c r="E5097" t="s">
        <v>6</v>
      </c>
      <c r="F5097">
        <v>0.16755</v>
      </c>
    </row>
    <row r="5098" spans="1:6" x14ac:dyDescent="0.3">
      <c r="A5098" t="s">
        <v>5</v>
      </c>
      <c r="B5098" s="1">
        <v>45870</v>
      </c>
      <c r="C5098">
        <v>10</v>
      </c>
      <c r="D5098">
        <v>5.6000000000000001E-2</v>
      </c>
      <c r="E5098" t="s">
        <v>6</v>
      </c>
      <c r="F5098">
        <v>0.13194</v>
      </c>
    </row>
    <row r="5099" spans="1:6" x14ac:dyDescent="0.3">
      <c r="A5099" t="s">
        <v>5</v>
      </c>
      <c r="B5099" s="1">
        <v>45870</v>
      </c>
      <c r="C5099">
        <v>11</v>
      </c>
      <c r="D5099">
        <v>7.9000000000000001E-2</v>
      </c>
      <c r="E5099" t="s">
        <v>6</v>
      </c>
      <c r="F5099">
        <v>0.17976</v>
      </c>
    </row>
    <row r="5100" spans="1:6" x14ac:dyDescent="0.3">
      <c r="A5100" t="s">
        <v>5</v>
      </c>
      <c r="B5100" s="1">
        <v>45870</v>
      </c>
      <c r="C5100">
        <v>12</v>
      </c>
      <c r="D5100">
        <v>6.4000000000000001E-2</v>
      </c>
      <c r="E5100" t="s">
        <v>6</v>
      </c>
      <c r="F5100">
        <v>0.16782</v>
      </c>
    </row>
    <row r="5101" spans="1:6" x14ac:dyDescent="0.3">
      <c r="A5101" t="s">
        <v>5</v>
      </c>
      <c r="B5101" s="1">
        <v>45870</v>
      </c>
      <c r="C5101">
        <v>13</v>
      </c>
      <c r="D5101">
        <v>5.7000000000000002E-2</v>
      </c>
      <c r="E5101" t="s">
        <v>6</v>
      </c>
      <c r="F5101">
        <v>0.16415000000000002</v>
      </c>
    </row>
    <row r="5102" spans="1:6" x14ac:dyDescent="0.3">
      <c r="A5102" t="s">
        <v>5</v>
      </c>
      <c r="B5102" s="1">
        <v>45870</v>
      </c>
      <c r="C5102">
        <v>14</v>
      </c>
      <c r="D5102">
        <v>8.2000000000000003E-2</v>
      </c>
      <c r="E5102" t="s">
        <v>6</v>
      </c>
      <c r="F5102">
        <v>0.15408000000000002</v>
      </c>
    </row>
    <row r="5103" spans="1:6" x14ac:dyDescent="0.3">
      <c r="A5103" t="s">
        <v>5</v>
      </c>
      <c r="B5103" s="1">
        <v>45870</v>
      </c>
      <c r="C5103">
        <v>15</v>
      </c>
      <c r="D5103">
        <v>6.2E-2</v>
      </c>
      <c r="E5103" t="s">
        <v>6</v>
      </c>
      <c r="F5103">
        <v>8.3080000000000001E-2</v>
      </c>
    </row>
    <row r="5104" spans="1:6" x14ac:dyDescent="0.3">
      <c r="A5104" t="s">
        <v>5</v>
      </c>
      <c r="B5104" s="1">
        <v>45870</v>
      </c>
      <c r="C5104">
        <v>16</v>
      </c>
      <c r="D5104">
        <v>0.06</v>
      </c>
      <c r="E5104" t="s">
        <v>6</v>
      </c>
      <c r="F5104">
        <v>7.5859999999999997E-2</v>
      </c>
    </row>
    <row r="5105" spans="1:6" x14ac:dyDescent="0.3">
      <c r="A5105" t="s">
        <v>5</v>
      </c>
      <c r="B5105" s="1">
        <v>45870</v>
      </c>
      <c r="C5105">
        <v>17</v>
      </c>
      <c r="D5105">
        <v>8.2000000000000003E-2</v>
      </c>
      <c r="E5105" t="s">
        <v>6</v>
      </c>
      <c r="F5105">
        <v>7.9280000000000003E-2</v>
      </c>
    </row>
    <row r="5106" spans="1:6" x14ac:dyDescent="0.3">
      <c r="A5106" t="s">
        <v>5</v>
      </c>
      <c r="B5106" s="1">
        <v>45870</v>
      </c>
      <c r="C5106">
        <v>18</v>
      </c>
      <c r="D5106">
        <v>5.8999999999999997E-2</v>
      </c>
      <c r="E5106" t="s">
        <v>6</v>
      </c>
      <c r="F5106">
        <v>9.0490000000000001E-2</v>
      </c>
    </row>
    <row r="5107" spans="1:6" x14ac:dyDescent="0.3">
      <c r="A5107" t="s">
        <v>5</v>
      </c>
      <c r="B5107" s="1">
        <v>45870</v>
      </c>
      <c r="C5107">
        <v>19</v>
      </c>
      <c r="D5107">
        <v>6.4000000000000001E-2</v>
      </c>
      <c r="E5107" t="s">
        <v>6</v>
      </c>
      <c r="F5107">
        <v>0.18065000000000001</v>
      </c>
    </row>
    <row r="5108" spans="1:6" x14ac:dyDescent="0.3">
      <c r="A5108" t="s">
        <v>5</v>
      </c>
      <c r="B5108" s="1">
        <v>45870</v>
      </c>
      <c r="C5108">
        <v>20</v>
      </c>
      <c r="D5108">
        <v>8.2000000000000003E-2</v>
      </c>
      <c r="E5108" t="s">
        <v>6</v>
      </c>
      <c r="F5108">
        <v>0.20657</v>
      </c>
    </row>
    <row r="5109" spans="1:6" x14ac:dyDescent="0.3">
      <c r="A5109" t="s">
        <v>5</v>
      </c>
      <c r="B5109" s="1">
        <v>45870</v>
      </c>
      <c r="C5109">
        <v>21</v>
      </c>
      <c r="D5109">
        <v>5.7000000000000002E-2</v>
      </c>
      <c r="E5109" t="s">
        <v>6</v>
      </c>
      <c r="F5109">
        <v>0.22208</v>
      </c>
    </row>
    <row r="5110" spans="1:6" x14ac:dyDescent="0.3">
      <c r="A5110" t="s">
        <v>5</v>
      </c>
      <c r="B5110" s="1">
        <v>45870</v>
      </c>
      <c r="C5110">
        <v>22</v>
      </c>
      <c r="D5110">
        <v>6.6000000000000003E-2</v>
      </c>
      <c r="E5110" t="s">
        <v>6</v>
      </c>
      <c r="F5110">
        <v>0.23804</v>
      </c>
    </row>
    <row r="5111" spans="1:6" x14ac:dyDescent="0.3">
      <c r="A5111" t="s">
        <v>5</v>
      </c>
      <c r="B5111" s="1">
        <v>45870</v>
      </c>
      <c r="C5111">
        <v>23</v>
      </c>
      <c r="D5111">
        <v>7.9000000000000001E-2</v>
      </c>
      <c r="E5111" t="s">
        <v>6</v>
      </c>
      <c r="F5111">
        <v>0.17280000000000001</v>
      </c>
    </row>
    <row r="5112" spans="1:6" x14ac:dyDescent="0.3">
      <c r="A5112" t="s">
        <v>5</v>
      </c>
      <c r="B5112" s="1">
        <v>45870</v>
      </c>
      <c r="C5112">
        <v>24</v>
      </c>
      <c r="D5112">
        <v>5.7000000000000002E-2</v>
      </c>
      <c r="E5112" t="s">
        <v>6</v>
      </c>
      <c r="F5112">
        <v>0.16587000000000002</v>
      </c>
    </row>
    <row r="5113" spans="1:6" x14ac:dyDescent="0.3">
      <c r="A5113" t="s">
        <v>5</v>
      </c>
      <c r="B5113" s="1">
        <v>45871</v>
      </c>
      <c r="C5113">
        <v>1</v>
      </c>
      <c r="D5113">
        <v>6.9000000000000006E-2</v>
      </c>
      <c r="E5113" t="s">
        <v>6</v>
      </c>
      <c r="F5113">
        <v>0.15549000000000002</v>
      </c>
    </row>
    <row r="5114" spans="1:6" x14ac:dyDescent="0.3">
      <c r="A5114" t="s">
        <v>5</v>
      </c>
      <c r="B5114" s="1">
        <v>45871</v>
      </c>
      <c r="C5114">
        <v>2</v>
      </c>
      <c r="D5114">
        <v>7.5999999999999998E-2</v>
      </c>
      <c r="E5114" t="s">
        <v>6</v>
      </c>
      <c r="F5114">
        <v>0.13450000000000001</v>
      </c>
    </row>
    <row r="5115" spans="1:6" x14ac:dyDescent="0.3">
      <c r="A5115" t="s">
        <v>5</v>
      </c>
      <c r="B5115" s="1">
        <v>45871</v>
      </c>
      <c r="C5115">
        <v>3</v>
      </c>
      <c r="D5115">
        <v>5.7000000000000002E-2</v>
      </c>
      <c r="E5115" t="s">
        <v>6</v>
      </c>
      <c r="F5115">
        <v>0.12297</v>
      </c>
    </row>
    <row r="5116" spans="1:6" x14ac:dyDescent="0.3">
      <c r="A5116" t="s">
        <v>5</v>
      </c>
      <c r="B5116" s="1">
        <v>45871</v>
      </c>
      <c r="C5116">
        <v>4</v>
      </c>
      <c r="D5116">
        <v>7.1999999999999995E-2</v>
      </c>
      <c r="E5116" t="s">
        <v>6</v>
      </c>
      <c r="F5116">
        <v>0.10364</v>
      </c>
    </row>
    <row r="5117" spans="1:6" x14ac:dyDescent="0.3">
      <c r="A5117" t="s">
        <v>5</v>
      </c>
      <c r="B5117" s="1">
        <v>45871</v>
      </c>
      <c r="C5117">
        <v>5</v>
      </c>
      <c r="D5117">
        <v>7.3999999999999996E-2</v>
      </c>
      <c r="E5117" t="s">
        <v>6</v>
      </c>
      <c r="F5117">
        <v>9.7299999999999998E-2</v>
      </c>
    </row>
    <row r="5118" spans="1:6" x14ac:dyDescent="0.3">
      <c r="A5118" t="s">
        <v>5</v>
      </c>
      <c r="B5118" s="1">
        <v>45871</v>
      </c>
      <c r="C5118">
        <v>6</v>
      </c>
      <c r="D5118">
        <v>5.8000000000000003E-2</v>
      </c>
      <c r="E5118" t="s">
        <v>6</v>
      </c>
      <c r="F5118">
        <v>9.8390000000000005E-2</v>
      </c>
    </row>
    <row r="5119" spans="1:6" x14ac:dyDescent="0.3">
      <c r="A5119" t="s">
        <v>5</v>
      </c>
      <c r="B5119" s="1">
        <v>45871</v>
      </c>
      <c r="C5119">
        <v>7</v>
      </c>
      <c r="D5119">
        <v>7.1999999999999995E-2</v>
      </c>
      <c r="E5119" t="s">
        <v>6</v>
      </c>
      <c r="F5119">
        <v>0.10503</v>
      </c>
    </row>
    <row r="5120" spans="1:6" x14ac:dyDescent="0.3">
      <c r="A5120" t="s">
        <v>5</v>
      </c>
      <c r="B5120" s="1">
        <v>45871</v>
      </c>
      <c r="C5120">
        <v>8</v>
      </c>
      <c r="D5120">
        <v>7.2999999999999995E-2</v>
      </c>
      <c r="E5120" t="s">
        <v>6</v>
      </c>
      <c r="F5120">
        <v>0.11031999999999999</v>
      </c>
    </row>
    <row r="5121" spans="1:6" x14ac:dyDescent="0.3">
      <c r="A5121" t="s">
        <v>5</v>
      </c>
      <c r="B5121" s="1">
        <v>45871</v>
      </c>
      <c r="C5121">
        <v>9</v>
      </c>
      <c r="D5121">
        <v>5.7000000000000002E-2</v>
      </c>
      <c r="E5121" t="s">
        <v>6</v>
      </c>
      <c r="F5121">
        <v>9.1950000000000004E-2</v>
      </c>
    </row>
    <row r="5122" spans="1:6" x14ac:dyDescent="0.3">
      <c r="A5122" t="s">
        <v>5</v>
      </c>
      <c r="B5122" s="1">
        <v>45871</v>
      </c>
      <c r="C5122">
        <v>10</v>
      </c>
      <c r="D5122">
        <v>7.2999999999999995E-2</v>
      </c>
      <c r="E5122" t="s">
        <v>6</v>
      </c>
      <c r="F5122">
        <v>6.2329999999999997E-2</v>
      </c>
    </row>
    <row r="5123" spans="1:6" x14ac:dyDescent="0.3">
      <c r="A5123" t="s">
        <v>5</v>
      </c>
      <c r="B5123" s="1">
        <v>45871</v>
      </c>
      <c r="C5123">
        <v>11</v>
      </c>
      <c r="D5123">
        <v>7.0999999999999994E-2</v>
      </c>
      <c r="E5123" t="s">
        <v>6</v>
      </c>
      <c r="F5123">
        <v>5.883E-2</v>
      </c>
    </row>
    <row r="5124" spans="1:6" x14ac:dyDescent="0.3">
      <c r="A5124" t="s">
        <v>5</v>
      </c>
      <c r="B5124" s="1">
        <v>45871</v>
      </c>
      <c r="C5124">
        <v>12</v>
      </c>
      <c r="D5124">
        <v>5.6000000000000001E-2</v>
      </c>
      <c r="E5124" t="s">
        <v>6</v>
      </c>
      <c r="F5124">
        <v>5.7579999999999999E-2</v>
      </c>
    </row>
    <row r="5125" spans="1:6" x14ac:dyDescent="0.3">
      <c r="A5125" t="s">
        <v>5</v>
      </c>
      <c r="B5125" s="1">
        <v>45871</v>
      </c>
      <c r="C5125">
        <v>13</v>
      </c>
      <c r="D5125">
        <v>7.5999999999999998E-2</v>
      </c>
      <c r="E5125" t="s">
        <v>6</v>
      </c>
      <c r="F5125">
        <v>5.7049999999999997E-2</v>
      </c>
    </row>
    <row r="5126" spans="1:6" x14ac:dyDescent="0.3">
      <c r="A5126" t="s">
        <v>5</v>
      </c>
      <c r="B5126" s="1">
        <v>45871</v>
      </c>
      <c r="C5126">
        <v>14</v>
      </c>
      <c r="D5126">
        <v>6.9000000000000006E-2</v>
      </c>
      <c r="E5126" t="s">
        <v>6</v>
      </c>
      <c r="F5126">
        <v>5.6030000000000003E-2</v>
      </c>
    </row>
    <row r="5127" spans="1:6" x14ac:dyDescent="0.3">
      <c r="A5127" t="s">
        <v>5</v>
      </c>
      <c r="B5127" s="1">
        <v>45871</v>
      </c>
      <c r="C5127">
        <v>15</v>
      </c>
      <c r="D5127">
        <v>5.7000000000000002E-2</v>
      </c>
      <c r="E5127" t="s">
        <v>6</v>
      </c>
      <c r="F5127">
        <v>5.5369999999999996E-2</v>
      </c>
    </row>
    <row r="5128" spans="1:6" x14ac:dyDescent="0.3">
      <c r="A5128" t="s">
        <v>5</v>
      </c>
      <c r="B5128" s="1">
        <v>45871</v>
      </c>
      <c r="C5128">
        <v>16</v>
      </c>
      <c r="D5128">
        <v>7.8E-2</v>
      </c>
      <c r="E5128" t="s">
        <v>6</v>
      </c>
      <c r="F5128">
        <v>5.6149999999999999E-2</v>
      </c>
    </row>
    <row r="5129" spans="1:6" x14ac:dyDescent="0.3">
      <c r="A5129" t="s">
        <v>5</v>
      </c>
      <c r="B5129" s="1">
        <v>45871</v>
      </c>
      <c r="C5129">
        <v>17</v>
      </c>
      <c r="D5129">
        <v>6.8000000000000005E-2</v>
      </c>
      <c r="E5129" t="s">
        <v>6</v>
      </c>
      <c r="F5129">
        <v>5.6610000000000001E-2</v>
      </c>
    </row>
    <row r="5130" spans="1:6" x14ac:dyDescent="0.3">
      <c r="A5130" t="s">
        <v>5</v>
      </c>
      <c r="B5130" s="1">
        <v>45871</v>
      </c>
      <c r="C5130">
        <v>18</v>
      </c>
      <c r="D5130">
        <v>5.7000000000000002E-2</v>
      </c>
      <c r="E5130" t="s">
        <v>6</v>
      </c>
      <c r="F5130">
        <v>5.7659999999999996E-2</v>
      </c>
    </row>
    <row r="5131" spans="1:6" x14ac:dyDescent="0.3">
      <c r="A5131" t="s">
        <v>5</v>
      </c>
      <c r="B5131" s="1">
        <v>45871</v>
      </c>
      <c r="C5131">
        <v>19</v>
      </c>
      <c r="D5131">
        <v>7.9000000000000001E-2</v>
      </c>
      <c r="E5131" t="s">
        <v>6</v>
      </c>
      <c r="F5131">
        <v>6.0639999999999999E-2</v>
      </c>
    </row>
    <row r="5132" spans="1:6" x14ac:dyDescent="0.3">
      <c r="A5132" t="s">
        <v>5</v>
      </c>
      <c r="B5132" s="1">
        <v>45871</v>
      </c>
      <c r="C5132">
        <v>20</v>
      </c>
      <c r="D5132">
        <v>6.7000000000000004E-2</v>
      </c>
      <c r="E5132" t="s">
        <v>6</v>
      </c>
      <c r="F5132">
        <v>6.8830000000000002E-2</v>
      </c>
    </row>
    <row r="5133" spans="1:6" x14ac:dyDescent="0.3">
      <c r="A5133" t="s">
        <v>5</v>
      </c>
      <c r="B5133" s="1">
        <v>45871</v>
      </c>
      <c r="C5133">
        <v>21</v>
      </c>
      <c r="D5133">
        <v>5.7000000000000002E-2</v>
      </c>
      <c r="E5133" t="s">
        <v>6</v>
      </c>
      <c r="F5133">
        <v>0.13066999999999998</v>
      </c>
    </row>
    <row r="5134" spans="1:6" x14ac:dyDescent="0.3">
      <c r="A5134" t="s">
        <v>5</v>
      </c>
      <c r="B5134" s="1">
        <v>45871</v>
      </c>
      <c r="C5134">
        <v>22</v>
      </c>
      <c r="D5134">
        <v>8.1000000000000003E-2</v>
      </c>
      <c r="E5134" t="s">
        <v>6</v>
      </c>
      <c r="F5134">
        <v>0.16019999999999998</v>
      </c>
    </row>
    <row r="5135" spans="1:6" x14ac:dyDescent="0.3">
      <c r="A5135" t="s">
        <v>5</v>
      </c>
      <c r="B5135" s="1">
        <v>45871</v>
      </c>
      <c r="C5135">
        <v>23</v>
      </c>
      <c r="D5135">
        <v>6.6000000000000003E-2</v>
      </c>
      <c r="E5135" t="s">
        <v>6</v>
      </c>
      <c r="F5135">
        <v>0.16078999999999999</v>
      </c>
    </row>
    <row r="5136" spans="1:6" x14ac:dyDescent="0.3">
      <c r="A5136" t="s">
        <v>5</v>
      </c>
      <c r="B5136" s="1">
        <v>45871</v>
      </c>
      <c r="C5136">
        <v>24</v>
      </c>
      <c r="D5136">
        <v>5.7000000000000002E-2</v>
      </c>
      <c r="E5136" t="s">
        <v>6</v>
      </c>
      <c r="F5136">
        <v>0.13806000000000002</v>
      </c>
    </row>
    <row r="5137" spans="1:6" x14ac:dyDescent="0.3">
      <c r="A5137" t="s">
        <v>5</v>
      </c>
      <c r="B5137" s="1">
        <v>45872</v>
      </c>
      <c r="C5137">
        <v>1</v>
      </c>
      <c r="D5137">
        <v>0.08</v>
      </c>
      <c r="E5137" t="s">
        <v>6</v>
      </c>
      <c r="F5137">
        <v>0.13921</v>
      </c>
    </row>
    <row r="5138" spans="1:6" x14ac:dyDescent="0.3">
      <c r="A5138" t="s">
        <v>5</v>
      </c>
      <c r="B5138" s="1">
        <v>45872</v>
      </c>
      <c r="C5138">
        <v>2</v>
      </c>
      <c r="D5138">
        <v>6.7000000000000004E-2</v>
      </c>
      <c r="E5138" t="s">
        <v>6</v>
      </c>
      <c r="F5138">
        <v>0.12888999999999998</v>
      </c>
    </row>
    <row r="5139" spans="1:6" x14ac:dyDescent="0.3">
      <c r="A5139" t="s">
        <v>5</v>
      </c>
      <c r="B5139" s="1">
        <v>45872</v>
      </c>
      <c r="C5139">
        <v>3</v>
      </c>
      <c r="D5139">
        <v>5.7000000000000002E-2</v>
      </c>
      <c r="E5139" t="s">
        <v>6</v>
      </c>
      <c r="F5139">
        <v>0.10226</v>
      </c>
    </row>
    <row r="5140" spans="1:6" x14ac:dyDescent="0.3">
      <c r="A5140" t="s">
        <v>5</v>
      </c>
      <c r="B5140" s="1">
        <v>45872</v>
      </c>
      <c r="C5140">
        <v>4</v>
      </c>
      <c r="D5140">
        <v>8.1000000000000003E-2</v>
      </c>
      <c r="E5140" t="s">
        <v>6</v>
      </c>
      <c r="F5140">
        <v>9.6959999999999991E-2</v>
      </c>
    </row>
    <row r="5141" spans="1:6" x14ac:dyDescent="0.3">
      <c r="A5141" t="s">
        <v>5</v>
      </c>
      <c r="B5141" s="1">
        <v>45872</v>
      </c>
      <c r="C5141">
        <v>5</v>
      </c>
      <c r="D5141">
        <v>6.7000000000000004E-2</v>
      </c>
      <c r="E5141" t="s">
        <v>6</v>
      </c>
      <c r="F5141">
        <v>8.8590000000000002E-2</v>
      </c>
    </row>
    <row r="5142" spans="1:6" x14ac:dyDescent="0.3">
      <c r="A5142" t="s">
        <v>5</v>
      </c>
      <c r="B5142" s="1">
        <v>45872</v>
      </c>
      <c r="C5142">
        <v>6</v>
      </c>
      <c r="D5142">
        <v>5.7000000000000002E-2</v>
      </c>
      <c r="E5142" t="s">
        <v>6</v>
      </c>
      <c r="F5142">
        <v>8.9410000000000003E-2</v>
      </c>
    </row>
    <row r="5143" spans="1:6" x14ac:dyDescent="0.3">
      <c r="A5143" t="s">
        <v>5</v>
      </c>
      <c r="B5143" s="1">
        <v>45872</v>
      </c>
      <c r="C5143">
        <v>7</v>
      </c>
      <c r="D5143">
        <v>7.9000000000000001E-2</v>
      </c>
      <c r="E5143" t="s">
        <v>6</v>
      </c>
      <c r="F5143">
        <v>9.0540000000000009E-2</v>
      </c>
    </row>
    <row r="5144" spans="1:6" x14ac:dyDescent="0.3">
      <c r="A5144" t="s">
        <v>5</v>
      </c>
      <c r="B5144" s="1">
        <v>45872</v>
      </c>
      <c r="C5144">
        <v>8</v>
      </c>
      <c r="D5144">
        <v>6.7000000000000004E-2</v>
      </c>
      <c r="E5144" t="s">
        <v>6</v>
      </c>
      <c r="F5144">
        <v>9.6890000000000004E-2</v>
      </c>
    </row>
    <row r="5145" spans="1:6" x14ac:dyDescent="0.3">
      <c r="A5145" t="s">
        <v>5</v>
      </c>
      <c r="B5145" s="1">
        <v>45872</v>
      </c>
      <c r="C5145">
        <v>9</v>
      </c>
      <c r="D5145">
        <v>5.7000000000000002E-2</v>
      </c>
      <c r="E5145" t="s">
        <v>6</v>
      </c>
      <c r="F5145">
        <v>6.8569999999999992E-2</v>
      </c>
    </row>
    <row r="5146" spans="1:6" x14ac:dyDescent="0.3">
      <c r="A5146" t="s">
        <v>5</v>
      </c>
      <c r="B5146" s="1">
        <v>45872</v>
      </c>
      <c r="C5146">
        <v>10</v>
      </c>
      <c r="D5146">
        <v>7.9000000000000001E-2</v>
      </c>
      <c r="E5146" t="s">
        <v>6</v>
      </c>
      <c r="F5146">
        <v>5.074E-2</v>
      </c>
    </row>
    <row r="5147" spans="1:6" x14ac:dyDescent="0.3">
      <c r="A5147" t="s">
        <v>5</v>
      </c>
      <c r="B5147" s="1">
        <v>45872</v>
      </c>
      <c r="C5147">
        <v>11</v>
      </c>
      <c r="D5147">
        <v>6.7000000000000004E-2</v>
      </c>
      <c r="E5147" t="s">
        <v>6</v>
      </c>
      <c r="F5147">
        <v>5.5020000000000006E-2</v>
      </c>
    </row>
    <row r="5148" spans="1:6" x14ac:dyDescent="0.3">
      <c r="A5148" t="s">
        <v>5</v>
      </c>
      <c r="B5148" s="1">
        <v>45872</v>
      </c>
      <c r="C5148">
        <v>12</v>
      </c>
      <c r="D5148">
        <v>5.7000000000000002E-2</v>
      </c>
      <c r="E5148" t="s">
        <v>6</v>
      </c>
      <c r="F5148">
        <v>5.33E-2</v>
      </c>
    </row>
    <row r="5149" spans="1:6" x14ac:dyDescent="0.3">
      <c r="A5149" t="s">
        <v>5</v>
      </c>
      <c r="B5149" s="1">
        <v>45872</v>
      </c>
      <c r="C5149">
        <v>13</v>
      </c>
      <c r="D5149">
        <v>7.8E-2</v>
      </c>
      <c r="E5149" t="s">
        <v>6</v>
      </c>
      <c r="F5149">
        <v>5.16E-2</v>
      </c>
    </row>
    <row r="5150" spans="1:6" x14ac:dyDescent="0.3">
      <c r="A5150" t="s">
        <v>5</v>
      </c>
      <c r="B5150" s="1">
        <v>45872</v>
      </c>
      <c r="C5150">
        <v>14</v>
      </c>
      <c r="D5150">
        <v>6.9000000000000006E-2</v>
      </c>
      <c r="E5150" t="s">
        <v>6</v>
      </c>
      <c r="F5150">
        <v>4.8479999999999995E-2</v>
      </c>
    </row>
    <row r="5151" spans="1:6" x14ac:dyDescent="0.3">
      <c r="A5151" t="s">
        <v>5</v>
      </c>
      <c r="B5151" s="1">
        <v>45872</v>
      </c>
      <c r="C5151">
        <v>15</v>
      </c>
      <c r="D5151">
        <v>5.7000000000000002E-2</v>
      </c>
      <c r="E5151" t="s">
        <v>6</v>
      </c>
      <c r="F5151">
        <v>4.8960000000000004E-2</v>
      </c>
    </row>
    <row r="5152" spans="1:6" x14ac:dyDescent="0.3">
      <c r="A5152" t="s">
        <v>5</v>
      </c>
      <c r="B5152" s="1">
        <v>45872</v>
      </c>
      <c r="C5152">
        <v>16</v>
      </c>
      <c r="D5152">
        <v>7.6999999999999999E-2</v>
      </c>
      <c r="E5152" t="s">
        <v>6</v>
      </c>
      <c r="F5152">
        <v>4.8149999999999998E-2</v>
      </c>
    </row>
    <row r="5153" spans="1:6" x14ac:dyDescent="0.3">
      <c r="A5153" t="s">
        <v>5</v>
      </c>
      <c r="B5153" s="1">
        <v>45872</v>
      </c>
      <c r="C5153">
        <v>17</v>
      </c>
      <c r="D5153">
        <v>0.11</v>
      </c>
      <c r="E5153" t="s">
        <v>6</v>
      </c>
      <c r="F5153">
        <v>5.2010000000000001E-2</v>
      </c>
    </row>
    <row r="5154" spans="1:6" x14ac:dyDescent="0.3">
      <c r="A5154" t="s">
        <v>5</v>
      </c>
      <c r="B5154" s="1">
        <v>45872</v>
      </c>
      <c r="C5154">
        <v>18</v>
      </c>
      <c r="D5154">
        <v>0.125</v>
      </c>
      <c r="E5154" t="s">
        <v>6</v>
      </c>
      <c r="F5154">
        <v>5.5200000000000006E-2</v>
      </c>
    </row>
    <row r="5155" spans="1:6" x14ac:dyDescent="0.3">
      <c r="A5155" t="s">
        <v>5</v>
      </c>
      <c r="B5155" s="1">
        <v>45872</v>
      </c>
      <c r="C5155">
        <v>19</v>
      </c>
      <c r="D5155">
        <v>7.4999999999999997E-2</v>
      </c>
      <c r="E5155" t="s">
        <v>6</v>
      </c>
      <c r="F5155">
        <v>4.9869999999999998E-2</v>
      </c>
    </row>
    <row r="5156" spans="1:6" x14ac:dyDescent="0.3">
      <c r="A5156" t="s">
        <v>5</v>
      </c>
      <c r="B5156" s="1">
        <v>45872</v>
      </c>
      <c r="C5156">
        <v>20</v>
      </c>
      <c r="D5156">
        <v>5.8000000000000003E-2</v>
      </c>
      <c r="E5156" t="s">
        <v>6</v>
      </c>
      <c r="F5156">
        <v>8.2909999999999998E-2</v>
      </c>
    </row>
    <row r="5157" spans="1:6" x14ac:dyDescent="0.3">
      <c r="A5157" t="s">
        <v>5</v>
      </c>
      <c r="B5157" s="1">
        <v>45872</v>
      </c>
      <c r="C5157">
        <v>21</v>
      </c>
      <c r="D5157">
        <v>8.3000000000000004E-2</v>
      </c>
      <c r="E5157" t="s">
        <v>6</v>
      </c>
      <c r="F5157">
        <v>0.13589999999999999</v>
      </c>
    </row>
    <row r="5158" spans="1:6" x14ac:dyDescent="0.3">
      <c r="A5158" t="s">
        <v>5</v>
      </c>
      <c r="B5158" s="1">
        <v>45872</v>
      </c>
      <c r="C5158">
        <v>22</v>
      </c>
      <c r="D5158">
        <v>6.6000000000000003E-2</v>
      </c>
      <c r="E5158" t="s">
        <v>6</v>
      </c>
      <c r="F5158">
        <v>0.15713999999999997</v>
      </c>
    </row>
    <row r="5159" spans="1:6" x14ac:dyDescent="0.3">
      <c r="A5159" t="s">
        <v>5</v>
      </c>
      <c r="B5159" s="1">
        <v>45872</v>
      </c>
      <c r="C5159">
        <v>23</v>
      </c>
      <c r="D5159">
        <v>6.0999999999999999E-2</v>
      </c>
      <c r="E5159" t="s">
        <v>6</v>
      </c>
      <c r="F5159">
        <v>0.15865000000000001</v>
      </c>
    </row>
    <row r="5160" spans="1:6" x14ac:dyDescent="0.3">
      <c r="A5160" t="s">
        <v>5</v>
      </c>
      <c r="B5160" s="1">
        <v>45872</v>
      </c>
      <c r="C5160">
        <v>24</v>
      </c>
      <c r="D5160">
        <v>8.4000000000000005E-2</v>
      </c>
      <c r="E5160" t="s">
        <v>6</v>
      </c>
      <c r="F5160">
        <v>0.14630000000000001</v>
      </c>
    </row>
    <row r="5161" spans="1:6" x14ac:dyDescent="0.3">
      <c r="A5161" t="s">
        <v>5</v>
      </c>
      <c r="B5161" s="1">
        <v>45873</v>
      </c>
      <c r="C5161">
        <v>1</v>
      </c>
      <c r="D5161">
        <v>5.7000000000000002E-2</v>
      </c>
      <c r="E5161" t="s">
        <v>6</v>
      </c>
      <c r="F5161">
        <v>0.12248000000000001</v>
      </c>
    </row>
    <row r="5162" spans="1:6" x14ac:dyDescent="0.3">
      <c r="A5162" t="s">
        <v>5</v>
      </c>
      <c r="B5162" s="1">
        <v>45873</v>
      </c>
      <c r="C5162">
        <v>2</v>
      </c>
      <c r="D5162">
        <v>7.0000000000000007E-2</v>
      </c>
      <c r="E5162" t="s">
        <v>6</v>
      </c>
      <c r="F5162">
        <v>0.12318999999999999</v>
      </c>
    </row>
    <row r="5163" spans="1:6" x14ac:dyDescent="0.3">
      <c r="A5163" t="s">
        <v>5</v>
      </c>
      <c r="B5163" s="1">
        <v>45873</v>
      </c>
      <c r="C5163">
        <v>3</v>
      </c>
      <c r="D5163">
        <v>7.4999999999999997E-2</v>
      </c>
      <c r="E5163" t="s">
        <v>6</v>
      </c>
      <c r="F5163">
        <v>0.12367</v>
      </c>
    </row>
    <row r="5164" spans="1:6" x14ac:dyDescent="0.3">
      <c r="A5164" t="s">
        <v>5</v>
      </c>
      <c r="B5164" s="1">
        <v>45873</v>
      </c>
      <c r="C5164">
        <v>4</v>
      </c>
      <c r="D5164">
        <v>5.6000000000000001E-2</v>
      </c>
      <c r="E5164" t="s">
        <v>6</v>
      </c>
      <c r="F5164">
        <v>0.12434999999999999</v>
      </c>
    </row>
    <row r="5165" spans="1:6" x14ac:dyDescent="0.3">
      <c r="A5165" t="s">
        <v>5</v>
      </c>
      <c r="B5165" s="1">
        <v>45873</v>
      </c>
      <c r="C5165">
        <v>5</v>
      </c>
      <c r="D5165">
        <v>7.9000000000000001E-2</v>
      </c>
      <c r="E5165" t="s">
        <v>6</v>
      </c>
      <c r="F5165">
        <v>0.12946000000000002</v>
      </c>
    </row>
    <row r="5166" spans="1:6" x14ac:dyDescent="0.3">
      <c r="A5166" t="s">
        <v>5</v>
      </c>
      <c r="B5166" s="1">
        <v>45873</v>
      </c>
      <c r="C5166">
        <v>6</v>
      </c>
      <c r="D5166">
        <v>6.5000000000000002E-2</v>
      </c>
      <c r="E5166" t="s">
        <v>6</v>
      </c>
      <c r="F5166">
        <v>0.12874000000000002</v>
      </c>
    </row>
    <row r="5167" spans="1:6" x14ac:dyDescent="0.3">
      <c r="A5167" t="s">
        <v>5</v>
      </c>
      <c r="B5167" s="1">
        <v>45873</v>
      </c>
      <c r="C5167">
        <v>7</v>
      </c>
      <c r="D5167">
        <v>0.06</v>
      </c>
      <c r="E5167" t="s">
        <v>6</v>
      </c>
      <c r="F5167">
        <v>0.1401</v>
      </c>
    </row>
    <row r="5168" spans="1:6" x14ac:dyDescent="0.3">
      <c r="A5168" t="s">
        <v>5</v>
      </c>
      <c r="B5168" s="1">
        <v>45873</v>
      </c>
      <c r="C5168">
        <v>8</v>
      </c>
      <c r="D5168">
        <v>8.3000000000000004E-2</v>
      </c>
      <c r="E5168" t="s">
        <v>6</v>
      </c>
      <c r="F5168">
        <v>0.15322999999999998</v>
      </c>
    </row>
    <row r="5169" spans="1:6" x14ac:dyDescent="0.3">
      <c r="A5169" t="s">
        <v>5</v>
      </c>
      <c r="B5169" s="1">
        <v>45873</v>
      </c>
      <c r="C5169">
        <v>9</v>
      </c>
      <c r="D5169">
        <v>5.6000000000000001E-2</v>
      </c>
      <c r="E5169" t="s">
        <v>6</v>
      </c>
      <c r="F5169">
        <v>0.16535</v>
      </c>
    </row>
    <row r="5170" spans="1:6" x14ac:dyDescent="0.3">
      <c r="A5170" t="s">
        <v>5</v>
      </c>
      <c r="B5170" s="1">
        <v>45873</v>
      </c>
      <c r="C5170">
        <v>10</v>
      </c>
      <c r="D5170">
        <v>6.8000000000000005E-2</v>
      </c>
      <c r="E5170" t="s">
        <v>6</v>
      </c>
      <c r="F5170">
        <v>0.11957</v>
      </c>
    </row>
    <row r="5171" spans="1:6" x14ac:dyDescent="0.3">
      <c r="A5171" t="s">
        <v>5</v>
      </c>
      <c r="B5171" s="1">
        <v>45873</v>
      </c>
      <c r="C5171">
        <v>11</v>
      </c>
      <c r="D5171">
        <v>7.3999999999999996E-2</v>
      </c>
      <c r="E5171" t="s">
        <v>6</v>
      </c>
      <c r="F5171">
        <v>0.15769</v>
      </c>
    </row>
    <row r="5172" spans="1:6" x14ac:dyDescent="0.3">
      <c r="A5172" t="s">
        <v>5</v>
      </c>
      <c r="B5172" s="1">
        <v>45873</v>
      </c>
      <c r="C5172">
        <v>12</v>
      </c>
      <c r="D5172">
        <v>5.5E-2</v>
      </c>
      <c r="E5172" t="s">
        <v>6</v>
      </c>
      <c r="F5172">
        <v>0.14046</v>
      </c>
    </row>
    <row r="5173" spans="1:6" x14ac:dyDescent="0.3">
      <c r="A5173" t="s">
        <v>5</v>
      </c>
      <c r="B5173" s="1">
        <v>45873</v>
      </c>
      <c r="C5173">
        <v>13</v>
      </c>
      <c r="D5173">
        <v>7.9000000000000001E-2</v>
      </c>
      <c r="E5173" t="s">
        <v>6</v>
      </c>
      <c r="F5173">
        <v>0.1328</v>
      </c>
    </row>
    <row r="5174" spans="1:6" x14ac:dyDescent="0.3">
      <c r="A5174" t="s">
        <v>5</v>
      </c>
      <c r="B5174" s="1">
        <v>45873</v>
      </c>
      <c r="C5174">
        <v>14</v>
      </c>
      <c r="D5174">
        <v>6.4000000000000001E-2</v>
      </c>
      <c r="E5174" t="s">
        <v>6</v>
      </c>
      <c r="F5174">
        <v>0.12734000000000001</v>
      </c>
    </row>
    <row r="5175" spans="1:6" x14ac:dyDescent="0.3">
      <c r="A5175" t="s">
        <v>5</v>
      </c>
      <c r="B5175" s="1">
        <v>45873</v>
      </c>
      <c r="C5175">
        <v>15</v>
      </c>
      <c r="D5175">
        <v>0.06</v>
      </c>
      <c r="E5175" t="s">
        <v>6</v>
      </c>
      <c r="F5175">
        <v>6.1450000000000005E-2</v>
      </c>
    </row>
    <row r="5176" spans="1:6" x14ac:dyDescent="0.3">
      <c r="A5176" t="s">
        <v>5</v>
      </c>
      <c r="B5176" s="1">
        <v>45873</v>
      </c>
      <c r="C5176">
        <v>16</v>
      </c>
      <c r="D5176">
        <v>8.3000000000000004E-2</v>
      </c>
      <c r="E5176" t="s">
        <v>6</v>
      </c>
      <c r="F5176">
        <v>6.1060000000000003E-2</v>
      </c>
    </row>
    <row r="5177" spans="1:6" x14ac:dyDescent="0.3">
      <c r="A5177" t="s">
        <v>5</v>
      </c>
      <c r="B5177" s="1">
        <v>45873</v>
      </c>
      <c r="C5177">
        <v>17</v>
      </c>
      <c r="D5177">
        <v>5.6000000000000001E-2</v>
      </c>
      <c r="E5177" t="s">
        <v>6</v>
      </c>
      <c r="F5177">
        <v>6.3399999999999998E-2</v>
      </c>
    </row>
    <row r="5178" spans="1:6" x14ac:dyDescent="0.3">
      <c r="A5178" t="s">
        <v>5</v>
      </c>
      <c r="B5178" s="1">
        <v>45873</v>
      </c>
      <c r="C5178">
        <v>18</v>
      </c>
      <c r="D5178">
        <v>6.9000000000000006E-2</v>
      </c>
      <c r="E5178" t="s">
        <v>6</v>
      </c>
      <c r="F5178">
        <v>8.6499999999999994E-2</v>
      </c>
    </row>
    <row r="5179" spans="1:6" x14ac:dyDescent="0.3">
      <c r="A5179" t="s">
        <v>5</v>
      </c>
      <c r="B5179" s="1">
        <v>45873</v>
      </c>
      <c r="C5179">
        <v>19</v>
      </c>
      <c r="D5179">
        <v>7.4999999999999997E-2</v>
      </c>
      <c r="E5179" t="s">
        <v>6</v>
      </c>
      <c r="F5179">
        <v>0.16797999999999999</v>
      </c>
    </row>
    <row r="5180" spans="1:6" x14ac:dyDescent="0.3">
      <c r="A5180" t="s">
        <v>5</v>
      </c>
      <c r="B5180" s="1">
        <v>45873</v>
      </c>
      <c r="C5180">
        <v>20</v>
      </c>
      <c r="D5180">
        <v>5.7000000000000002E-2</v>
      </c>
      <c r="E5180" t="s">
        <v>6</v>
      </c>
      <c r="F5180">
        <v>0.20463000000000001</v>
      </c>
    </row>
    <row r="5181" spans="1:6" x14ac:dyDescent="0.3">
      <c r="A5181" t="s">
        <v>5</v>
      </c>
      <c r="B5181" s="1">
        <v>45873</v>
      </c>
      <c r="C5181">
        <v>21</v>
      </c>
      <c r="D5181">
        <v>7.8E-2</v>
      </c>
      <c r="E5181" t="s">
        <v>6</v>
      </c>
      <c r="F5181">
        <v>0.24055000000000001</v>
      </c>
    </row>
    <row r="5182" spans="1:6" x14ac:dyDescent="0.3">
      <c r="A5182" t="s">
        <v>5</v>
      </c>
      <c r="B5182" s="1">
        <v>45873</v>
      </c>
      <c r="C5182">
        <v>22</v>
      </c>
      <c r="D5182">
        <v>6.8000000000000005E-2</v>
      </c>
      <c r="E5182" t="s">
        <v>6</v>
      </c>
      <c r="F5182">
        <v>0.31570999999999999</v>
      </c>
    </row>
    <row r="5183" spans="1:6" x14ac:dyDescent="0.3">
      <c r="A5183" t="s">
        <v>5</v>
      </c>
      <c r="B5183" s="1">
        <v>45873</v>
      </c>
      <c r="C5183">
        <v>23</v>
      </c>
      <c r="D5183">
        <v>5.8000000000000003E-2</v>
      </c>
      <c r="E5183" t="s">
        <v>6</v>
      </c>
      <c r="F5183">
        <v>0.21665000000000001</v>
      </c>
    </row>
    <row r="5184" spans="1:6" x14ac:dyDescent="0.3">
      <c r="A5184" t="s">
        <v>5</v>
      </c>
      <c r="B5184" s="1">
        <v>45873</v>
      </c>
      <c r="C5184">
        <v>24</v>
      </c>
      <c r="D5184">
        <v>8.4000000000000005E-2</v>
      </c>
      <c r="E5184" t="s">
        <v>6</v>
      </c>
      <c r="F5184">
        <v>0.19178999999999999</v>
      </c>
    </row>
    <row r="5185" spans="1:6" x14ac:dyDescent="0.3">
      <c r="A5185" t="s">
        <v>5</v>
      </c>
      <c r="B5185" s="1">
        <v>45874</v>
      </c>
      <c r="C5185">
        <v>1</v>
      </c>
      <c r="D5185">
        <v>0.06</v>
      </c>
      <c r="E5185" t="s">
        <v>6</v>
      </c>
      <c r="F5185">
        <v>0.18858000000000003</v>
      </c>
    </row>
    <row r="5186" spans="1:6" x14ac:dyDescent="0.3">
      <c r="A5186" t="s">
        <v>5</v>
      </c>
      <c r="B5186" s="1">
        <v>45874</v>
      </c>
      <c r="C5186">
        <v>2</v>
      </c>
      <c r="D5186">
        <v>6.5000000000000002E-2</v>
      </c>
      <c r="E5186" t="s">
        <v>6</v>
      </c>
      <c r="F5186">
        <v>0.15577000000000002</v>
      </c>
    </row>
    <row r="5187" spans="1:6" x14ac:dyDescent="0.3">
      <c r="A5187" t="s">
        <v>5</v>
      </c>
      <c r="B5187" s="1">
        <v>45874</v>
      </c>
      <c r="C5187">
        <v>3</v>
      </c>
      <c r="D5187">
        <v>8.1000000000000003E-2</v>
      </c>
      <c r="E5187" t="s">
        <v>6</v>
      </c>
      <c r="F5187">
        <v>0.14343999999999998</v>
      </c>
    </row>
    <row r="5188" spans="1:6" x14ac:dyDescent="0.3">
      <c r="A5188" t="s">
        <v>5</v>
      </c>
      <c r="B5188" s="1">
        <v>45874</v>
      </c>
      <c r="C5188">
        <v>4</v>
      </c>
      <c r="D5188">
        <v>5.6000000000000001E-2</v>
      </c>
      <c r="E5188" t="s">
        <v>6</v>
      </c>
      <c r="F5188">
        <v>0.13988</v>
      </c>
    </row>
    <row r="5189" spans="1:6" x14ac:dyDescent="0.3">
      <c r="A5189" t="s">
        <v>5</v>
      </c>
      <c r="B5189" s="1">
        <v>45874</v>
      </c>
      <c r="C5189">
        <v>5</v>
      </c>
      <c r="D5189">
        <v>7.2999999999999995E-2</v>
      </c>
      <c r="E5189" t="s">
        <v>6</v>
      </c>
      <c r="F5189">
        <v>0.13882</v>
      </c>
    </row>
    <row r="5190" spans="1:6" x14ac:dyDescent="0.3">
      <c r="A5190" t="s">
        <v>5</v>
      </c>
      <c r="B5190" s="1">
        <v>45874</v>
      </c>
      <c r="C5190">
        <v>6</v>
      </c>
      <c r="D5190">
        <v>7.1999999999999995E-2</v>
      </c>
      <c r="E5190" t="s">
        <v>6</v>
      </c>
      <c r="F5190">
        <v>0.13485</v>
      </c>
    </row>
    <row r="5191" spans="1:6" x14ac:dyDescent="0.3">
      <c r="A5191" t="s">
        <v>5</v>
      </c>
      <c r="B5191" s="1">
        <v>45874</v>
      </c>
      <c r="C5191">
        <v>7</v>
      </c>
      <c r="D5191">
        <v>5.7000000000000002E-2</v>
      </c>
      <c r="E5191" t="s">
        <v>6</v>
      </c>
      <c r="F5191">
        <v>0.14723</v>
      </c>
    </row>
    <row r="5192" spans="1:6" x14ac:dyDescent="0.3">
      <c r="A5192" t="s">
        <v>5</v>
      </c>
      <c r="B5192" s="1">
        <v>45874</v>
      </c>
      <c r="C5192">
        <v>8</v>
      </c>
      <c r="D5192">
        <v>7.8E-2</v>
      </c>
      <c r="E5192" t="s">
        <v>6</v>
      </c>
      <c r="F5192">
        <v>0.15500999999999998</v>
      </c>
    </row>
    <row r="5193" spans="1:6" x14ac:dyDescent="0.3">
      <c r="A5193" t="s">
        <v>5</v>
      </c>
      <c r="B5193" s="1">
        <v>45874</v>
      </c>
      <c r="C5193">
        <v>9</v>
      </c>
      <c r="D5193">
        <v>6.6000000000000003E-2</v>
      </c>
      <c r="E5193" t="s">
        <v>6</v>
      </c>
      <c r="F5193">
        <v>0.15268999999999999</v>
      </c>
    </row>
    <row r="5194" spans="1:6" x14ac:dyDescent="0.3">
      <c r="A5194" t="s">
        <v>5</v>
      </c>
      <c r="B5194" s="1">
        <v>45874</v>
      </c>
      <c r="C5194">
        <v>10</v>
      </c>
      <c r="D5194">
        <v>5.8000000000000003E-2</v>
      </c>
      <c r="E5194" t="s">
        <v>6</v>
      </c>
      <c r="F5194">
        <v>9.3480000000000008E-2</v>
      </c>
    </row>
    <row r="5195" spans="1:6" x14ac:dyDescent="0.3">
      <c r="A5195" t="s">
        <v>5</v>
      </c>
      <c r="B5195" s="1">
        <v>45874</v>
      </c>
      <c r="C5195">
        <v>11</v>
      </c>
      <c r="D5195">
        <v>8.3000000000000004E-2</v>
      </c>
      <c r="E5195" t="s">
        <v>6</v>
      </c>
      <c r="F5195">
        <v>0.12642</v>
      </c>
    </row>
    <row r="5196" spans="1:6" x14ac:dyDescent="0.3">
      <c r="A5196" t="s">
        <v>5</v>
      </c>
      <c r="B5196" s="1">
        <v>45874</v>
      </c>
      <c r="C5196">
        <v>12</v>
      </c>
      <c r="D5196">
        <v>6.0999999999999999E-2</v>
      </c>
      <c r="E5196" t="s">
        <v>6</v>
      </c>
      <c r="F5196">
        <v>0.12262999999999999</v>
      </c>
    </row>
    <row r="5197" spans="1:6" x14ac:dyDescent="0.3">
      <c r="A5197" t="s">
        <v>5</v>
      </c>
      <c r="B5197" s="1">
        <v>45874</v>
      </c>
      <c r="C5197">
        <v>13</v>
      </c>
      <c r="D5197">
        <v>6.3E-2</v>
      </c>
      <c r="E5197" t="s">
        <v>6</v>
      </c>
      <c r="F5197">
        <v>0.12129999999999999</v>
      </c>
    </row>
    <row r="5198" spans="1:6" x14ac:dyDescent="0.3">
      <c r="A5198" t="s">
        <v>5</v>
      </c>
      <c r="B5198" s="1">
        <v>45874</v>
      </c>
      <c r="C5198">
        <v>14</v>
      </c>
      <c r="D5198">
        <v>0.08</v>
      </c>
      <c r="E5198" t="s">
        <v>6</v>
      </c>
      <c r="F5198">
        <v>0.11892</v>
      </c>
    </row>
    <row r="5199" spans="1:6" x14ac:dyDescent="0.3">
      <c r="A5199" t="s">
        <v>5</v>
      </c>
      <c r="B5199" s="1">
        <v>45874</v>
      </c>
      <c r="C5199">
        <v>15</v>
      </c>
      <c r="D5199">
        <v>5.8000000000000003E-2</v>
      </c>
      <c r="E5199" t="s">
        <v>6</v>
      </c>
      <c r="F5199">
        <v>5.3859999999999998E-2</v>
      </c>
    </row>
    <row r="5200" spans="1:6" x14ac:dyDescent="0.3">
      <c r="A5200" t="s">
        <v>5</v>
      </c>
      <c r="B5200" s="1">
        <v>45874</v>
      </c>
      <c r="C5200">
        <v>16</v>
      </c>
      <c r="D5200">
        <v>7.0000000000000007E-2</v>
      </c>
      <c r="E5200" t="s">
        <v>6</v>
      </c>
      <c r="F5200">
        <v>5.3850000000000002E-2</v>
      </c>
    </row>
    <row r="5201" spans="1:6" x14ac:dyDescent="0.3">
      <c r="A5201" t="s">
        <v>5</v>
      </c>
      <c r="B5201" s="1">
        <v>45874</v>
      </c>
      <c r="C5201">
        <v>17</v>
      </c>
      <c r="D5201">
        <v>7.6999999999999999E-2</v>
      </c>
      <c r="E5201" t="s">
        <v>6</v>
      </c>
      <c r="F5201">
        <v>5.4649999999999997E-2</v>
      </c>
    </row>
    <row r="5202" spans="1:6" x14ac:dyDescent="0.3">
      <c r="A5202" t="s">
        <v>5</v>
      </c>
      <c r="B5202" s="1">
        <v>45874</v>
      </c>
      <c r="C5202">
        <v>18</v>
      </c>
      <c r="D5202">
        <v>5.8000000000000003E-2</v>
      </c>
      <c r="E5202" t="s">
        <v>6</v>
      </c>
      <c r="F5202">
        <v>5.3600000000000002E-2</v>
      </c>
    </row>
    <row r="5203" spans="1:6" x14ac:dyDescent="0.3">
      <c r="A5203" t="s">
        <v>5</v>
      </c>
      <c r="B5203" s="1">
        <v>45874</v>
      </c>
      <c r="C5203">
        <v>19</v>
      </c>
      <c r="D5203">
        <v>7.3999999999999996E-2</v>
      </c>
      <c r="E5203" t="s">
        <v>6</v>
      </c>
      <c r="F5203">
        <v>0.12404999999999999</v>
      </c>
    </row>
    <row r="5204" spans="1:6" x14ac:dyDescent="0.3">
      <c r="A5204" t="s">
        <v>5</v>
      </c>
      <c r="B5204" s="1">
        <v>45874</v>
      </c>
      <c r="C5204">
        <v>20</v>
      </c>
      <c r="D5204">
        <v>7.1999999999999995E-2</v>
      </c>
      <c r="E5204" t="s">
        <v>6</v>
      </c>
      <c r="F5204">
        <v>0.17736000000000002</v>
      </c>
    </row>
    <row r="5205" spans="1:6" x14ac:dyDescent="0.3">
      <c r="A5205" t="s">
        <v>5</v>
      </c>
      <c r="B5205" s="1">
        <v>45874</v>
      </c>
      <c r="C5205">
        <v>21</v>
      </c>
      <c r="D5205">
        <v>5.8000000000000003E-2</v>
      </c>
      <c r="E5205" t="s">
        <v>6</v>
      </c>
      <c r="F5205">
        <v>0.21978</v>
      </c>
    </row>
    <row r="5206" spans="1:6" x14ac:dyDescent="0.3">
      <c r="A5206" t="s">
        <v>5</v>
      </c>
      <c r="B5206" s="1">
        <v>45874</v>
      </c>
      <c r="C5206">
        <v>22</v>
      </c>
      <c r="D5206">
        <v>0.08</v>
      </c>
      <c r="E5206" t="s">
        <v>6</v>
      </c>
      <c r="F5206">
        <v>0.24159</v>
      </c>
    </row>
    <row r="5207" spans="1:6" x14ac:dyDescent="0.3">
      <c r="A5207" t="s">
        <v>5</v>
      </c>
      <c r="B5207" s="1">
        <v>45874</v>
      </c>
      <c r="C5207">
        <v>23</v>
      </c>
      <c r="D5207">
        <v>6.8000000000000005E-2</v>
      </c>
      <c r="E5207" t="s">
        <v>6</v>
      </c>
      <c r="F5207">
        <v>0.17272999999999999</v>
      </c>
    </row>
    <row r="5208" spans="1:6" x14ac:dyDescent="0.3">
      <c r="A5208" t="s">
        <v>5</v>
      </c>
      <c r="B5208" s="1">
        <v>45874</v>
      </c>
      <c r="C5208">
        <v>24</v>
      </c>
      <c r="D5208">
        <v>5.7000000000000002E-2</v>
      </c>
      <c r="E5208" t="s">
        <v>6</v>
      </c>
      <c r="F5208">
        <v>0.15844999999999998</v>
      </c>
    </row>
    <row r="5209" spans="1:6" x14ac:dyDescent="0.3">
      <c r="A5209" t="s">
        <v>5</v>
      </c>
      <c r="B5209" s="1">
        <v>45875</v>
      </c>
      <c r="C5209">
        <v>1</v>
      </c>
      <c r="D5209">
        <v>8.4000000000000005E-2</v>
      </c>
      <c r="E5209" t="s">
        <v>6</v>
      </c>
      <c r="F5209">
        <v>0.11767</v>
      </c>
    </row>
    <row r="5210" spans="1:6" x14ac:dyDescent="0.3">
      <c r="A5210" t="s">
        <v>5</v>
      </c>
      <c r="B5210" s="1">
        <v>45875</v>
      </c>
      <c r="C5210">
        <v>2</v>
      </c>
      <c r="D5210">
        <v>6.3E-2</v>
      </c>
      <c r="E5210" t="s">
        <v>6</v>
      </c>
      <c r="F5210">
        <v>0.11298999999999999</v>
      </c>
    </row>
    <row r="5211" spans="1:6" x14ac:dyDescent="0.3">
      <c r="A5211" t="s">
        <v>5</v>
      </c>
      <c r="B5211" s="1">
        <v>45875</v>
      </c>
      <c r="C5211">
        <v>3</v>
      </c>
      <c r="D5211">
        <v>6.2E-2</v>
      </c>
      <c r="E5211" t="s">
        <v>6</v>
      </c>
      <c r="F5211">
        <v>0.11871999999999999</v>
      </c>
    </row>
    <row r="5212" spans="1:6" x14ac:dyDescent="0.3">
      <c r="A5212" t="s">
        <v>5</v>
      </c>
      <c r="B5212" s="1">
        <v>45875</v>
      </c>
      <c r="C5212">
        <v>4</v>
      </c>
      <c r="D5212">
        <v>8.3000000000000004E-2</v>
      </c>
      <c r="E5212" t="s">
        <v>6</v>
      </c>
      <c r="F5212">
        <v>0.11481999999999999</v>
      </c>
    </row>
    <row r="5213" spans="1:6" x14ac:dyDescent="0.3">
      <c r="A5213" t="s">
        <v>5</v>
      </c>
      <c r="B5213" s="1">
        <v>45875</v>
      </c>
      <c r="C5213">
        <v>5</v>
      </c>
      <c r="D5213">
        <v>6.0999999999999999E-2</v>
      </c>
      <c r="E5213" t="s">
        <v>6</v>
      </c>
      <c r="F5213">
        <v>0.12111</v>
      </c>
    </row>
    <row r="5214" spans="1:6" x14ac:dyDescent="0.3">
      <c r="A5214" t="s">
        <v>5</v>
      </c>
      <c r="B5214" s="1">
        <v>45875</v>
      </c>
      <c r="C5214">
        <v>6</v>
      </c>
      <c r="D5214">
        <v>6.4000000000000001E-2</v>
      </c>
      <c r="E5214" t="s">
        <v>6</v>
      </c>
      <c r="F5214">
        <v>0.13213</v>
      </c>
    </row>
    <row r="5215" spans="1:6" x14ac:dyDescent="0.3">
      <c r="A5215" t="s">
        <v>5</v>
      </c>
      <c r="B5215" s="1">
        <v>45875</v>
      </c>
      <c r="C5215">
        <v>7</v>
      </c>
      <c r="D5215">
        <v>8.2000000000000003E-2</v>
      </c>
      <c r="E5215" t="s">
        <v>6</v>
      </c>
      <c r="F5215">
        <v>0.13003999999999999</v>
      </c>
    </row>
    <row r="5216" spans="1:6" x14ac:dyDescent="0.3">
      <c r="A5216" t="s">
        <v>5</v>
      </c>
      <c r="B5216" s="1">
        <v>45875</v>
      </c>
      <c r="C5216">
        <v>8</v>
      </c>
      <c r="D5216">
        <v>5.7000000000000002E-2</v>
      </c>
      <c r="E5216" t="s">
        <v>6</v>
      </c>
      <c r="F5216">
        <v>0.14471000000000001</v>
      </c>
    </row>
    <row r="5217" spans="1:6" x14ac:dyDescent="0.3">
      <c r="A5217" t="s">
        <v>5</v>
      </c>
      <c r="B5217" s="1">
        <v>45875</v>
      </c>
      <c r="C5217">
        <v>9</v>
      </c>
      <c r="D5217">
        <v>6.8000000000000005E-2</v>
      </c>
      <c r="E5217" t="s">
        <v>6</v>
      </c>
      <c r="F5217">
        <v>0.15778</v>
      </c>
    </row>
    <row r="5218" spans="1:6" x14ac:dyDescent="0.3">
      <c r="A5218" t="s">
        <v>5</v>
      </c>
      <c r="B5218" s="1">
        <v>45875</v>
      </c>
      <c r="C5218">
        <v>10</v>
      </c>
      <c r="D5218">
        <v>7.8E-2</v>
      </c>
      <c r="E5218" t="s">
        <v>6</v>
      </c>
      <c r="F5218">
        <v>0.13597000000000001</v>
      </c>
    </row>
    <row r="5219" spans="1:6" x14ac:dyDescent="0.3">
      <c r="A5219" t="s">
        <v>5</v>
      </c>
      <c r="B5219" s="1">
        <v>45875</v>
      </c>
      <c r="C5219">
        <v>11</v>
      </c>
      <c r="D5219">
        <v>5.8000000000000003E-2</v>
      </c>
      <c r="E5219" t="s">
        <v>6</v>
      </c>
      <c r="F5219">
        <v>0.16980000000000001</v>
      </c>
    </row>
    <row r="5220" spans="1:6" x14ac:dyDescent="0.3">
      <c r="A5220" t="s">
        <v>5</v>
      </c>
      <c r="B5220" s="1">
        <v>45875</v>
      </c>
      <c r="C5220">
        <v>12</v>
      </c>
      <c r="D5220">
        <v>7.0999999999999994E-2</v>
      </c>
      <c r="E5220" t="s">
        <v>6</v>
      </c>
      <c r="F5220">
        <v>0.14418</v>
      </c>
    </row>
    <row r="5221" spans="1:6" x14ac:dyDescent="0.3">
      <c r="A5221" t="s">
        <v>5</v>
      </c>
      <c r="B5221" s="1">
        <v>45875</v>
      </c>
      <c r="C5221">
        <v>13</v>
      </c>
      <c r="D5221">
        <v>7.4999999999999997E-2</v>
      </c>
      <c r="E5221" t="s">
        <v>6</v>
      </c>
      <c r="F5221">
        <v>0.14371</v>
      </c>
    </row>
    <row r="5222" spans="1:6" x14ac:dyDescent="0.3">
      <c r="A5222" t="s">
        <v>5</v>
      </c>
      <c r="B5222" s="1">
        <v>45875</v>
      </c>
      <c r="C5222">
        <v>14</v>
      </c>
      <c r="D5222">
        <v>5.8000000000000003E-2</v>
      </c>
      <c r="E5222" t="s">
        <v>6</v>
      </c>
      <c r="F5222">
        <v>0.13961000000000001</v>
      </c>
    </row>
    <row r="5223" spans="1:6" x14ac:dyDescent="0.3">
      <c r="A5223" t="s">
        <v>5</v>
      </c>
      <c r="B5223" s="1">
        <v>45875</v>
      </c>
      <c r="C5223">
        <v>15</v>
      </c>
      <c r="D5223">
        <v>7.4999999999999997E-2</v>
      </c>
      <c r="E5223" t="s">
        <v>6</v>
      </c>
      <c r="F5223">
        <v>7.418000000000001E-2</v>
      </c>
    </row>
    <row r="5224" spans="1:6" x14ac:dyDescent="0.3">
      <c r="A5224" t="s">
        <v>5</v>
      </c>
      <c r="B5224" s="1">
        <v>45875</v>
      </c>
      <c r="C5224">
        <v>16</v>
      </c>
      <c r="D5224">
        <v>7.2999999999999995E-2</v>
      </c>
      <c r="E5224" t="s">
        <v>6</v>
      </c>
      <c r="F5224">
        <v>7.4469999999999995E-2</v>
      </c>
    </row>
    <row r="5225" spans="1:6" x14ac:dyDescent="0.3">
      <c r="A5225" t="s">
        <v>5</v>
      </c>
      <c r="B5225" s="1">
        <v>45875</v>
      </c>
      <c r="C5225">
        <v>17</v>
      </c>
      <c r="D5225">
        <v>5.8000000000000003E-2</v>
      </c>
      <c r="E5225" t="s">
        <v>6</v>
      </c>
      <c r="F5225">
        <v>7.707E-2</v>
      </c>
    </row>
    <row r="5226" spans="1:6" x14ac:dyDescent="0.3">
      <c r="A5226" t="s">
        <v>5</v>
      </c>
      <c r="B5226" s="1">
        <v>45875</v>
      </c>
      <c r="C5226">
        <v>18</v>
      </c>
      <c r="D5226">
        <v>7.8E-2</v>
      </c>
      <c r="E5226" t="s">
        <v>6</v>
      </c>
      <c r="F5226">
        <v>0.10292</v>
      </c>
    </row>
    <row r="5227" spans="1:6" x14ac:dyDescent="0.3">
      <c r="A5227" t="s">
        <v>5</v>
      </c>
      <c r="B5227" s="1">
        <v>45875</v>
      </c>
      <c r="C5227">
        <v>19</v>
      </c>
      <c r="D5227">
        <v>7.0999999999999994E-2</v>
      </c>
      <c r="E5227" t="s">
        <v>6</v>
      </c>
      <c r="F5227">
        <v>0.20388999999999999</v>
      </c>
    </row>
    <row r="5228" spans="1:6" x14ac:dyDescent="0.3">
      <c r="A5228" t="s">
        <v>5</v>
      </c>
      <c r="B5228" s="1">
        <v>45875</v>
      </c>
      <c r="C5228">
        <v>20</v>
      </c>
      <c r="D5228">
        <v>5.8000000000000003E-2</v>
      </c>
      <c r="E5228" t="s">
        <v>6</v>
      </c>
      <c r="F5228">
        <v>0.23413999999999999</v>
      </c>
    </row>
    <row r="5229" spans="1:6" x14ac:dyDescent="0.3">
      <c r="A5229" t="s">
        <v>5</v>
      </c>
      <c r="B5229" s="1">
        <v>45875</v>
      </c>
      <c r="C5229">
        <v>21</v>
      </c>
      <c r="D5229">
        <v>7.9000000000000001E-2</v>
      </c>
      <c r="E5229" t="s">
        <v>6</v>
      </c>
      <c r="F5229">
        <v>0.24525999999999998</v>
      </c>
    </row>
    <row r="5230" spans="1:6" x14ac:dyDescent="0.3">
      <c r="A5230" t="s">
        <v>5</v>
      </c>
      <c r="B5230" s="1">
        <v>45875</v>
      </c>
      <c r="C5230">
        <v>22</v>
      </c>
      <c r="D5230">
        <v>6.9000000000000006E-2</v>
      </c>
      <c r="E5230" t="s">
        <v>6</v>
      </c>
      <c r="F5230">
        <v>0.31016000000000005</v>
      </c>
    </row>
    <row r="5231" spans="1:6" x14ac:dyDescent="0.3">
      <c r="A5231" t="s">
        <v>5</v>
      </c>
      <c r="B5231" s="1">
        <v>45875</v>
      </c>
      <c r="C5231">
        <v>23</v>
      </c>
      <c r="D5231">
        <v>5.8000000000000003E-2</v>
      </c>
      <c r="E5231" t="s">
        <v>6</v>
      </c>
      <c r="F5231">
        <v>0.22137999999999999</v>
      </c>
    </row>
    <row r="5232" spans="1:6" x14ac:dyDescent="0.3">
      <c r="A5232" t="s">
        <v>5</v>
      </c>
      <c r="B5232" s="1">
        <v>45875</v>
      </c>
      <c r="C5232">
        <v>24</v>
      </c>
      <c r="D5232">
        <v>8.2000000000000003E-2</v>
      </c>
      <c r="E5232" t="s">
        <v>6</v>
      </c>
      <c r="F5232">
        <v>0.18258000000000002</v>
      </c>
    </row>
    <row r="5233" spans="1:6" x14ac:dyDescent="0.3">
      <c r="A5233" t="s">
        <v>5</v>
      </c>
      <c r="B5233" s="1">
        <v>45876</v>
      </c>
      <c r="C5233">
        <v>1</v>
      </c>
      <c r="D5233">
        <v>6.8000000000000005E-2</v>
      </c>
      <c r="E5233" t="s">
        <v>6</v>
      </c>
      <c r="F5233">
        <v>0.15309</v>
      </c>
    </row>
    <row r="5234" spans="1:6" x14ac:dyDescent="0.3">
      <c r="A5234" t="s">
        <v>5</v>
      </c>
      <c r="B5234" s="1">
        <v>45876</v>
      </c>
      <c r="C5234">
        <v>2</v>
      </c>
      <c r="D5234">
        <v>5.8000000000000003E-2</v>
      </c>
      <c r="E5234" t="s">
        <v>6</v>
      </c>
      <c r="F5234">
        <v>0.14308999999999999</v>
      </c>
    </row>
    <row r="5235" spans="1:6" x14ac:dyDescent="0.3">
      <c r="A5235" t="s">
        <v>5</v>
      </c>
      <c r="B5235" s="1">
        <v>45876</v>
      </c>
      <c r="C5235">
        <v>3</v>
      </c>
      <c r="D5235">
        <v>8.3000000000000004E-2</v>
      </c>
      <c r="E5235" t="s">
        <v>6</v>
      </c>
      <c r="F5235">
        <v>0.13983000000000001</v>
      </c>
    </row>
    <row r="5236" spans="1:6" x14ac:dyDescent="0.3">
      <c r="A5236" t="s">
        <v>5</v>
      </c>
      <c r="B5236" s="1">
        <v>45876</v>
      </c>
      <c r="C5236">
        <v>4</v>
      </c>
      <c r="D5236">
        <v>6.6000000000000003E-2</v>
      </c>
      <c r="E5236" t="s">
        <v>6</v>
      </c>
      <c r="F5236">
        <v>0.14124999999999999</v>
      </c>
    </row>
    <row r="5237" spans="1:6" x14ac:dyDescent="0.3">
      <c r="A5237" t="s">
        <v>5</v>
      </c>
      <c r="B5237" s="1">
        <v>45876</v>
      </c>
      <c r="C5237">
        <v>5</v>
      </c>
      <c r="D5237">
        <v>5.8999999999999997E-2</v>
      </c>
      <c r="E5237" t="s">
        <v>6</v>
      </c>
      <c r="F5237">
        <v>0.14055999999999999</v>
      </c>
    </row>
    <row r="5238" spans="1:6" x14ac:dyDescent="0.3">
      <c r="A5238" t="s">
        <v>5</v>
      </c>
      <c r="B5238" s="1">
        <v>45876</v>
      </c>
      <c r="C5238">
        <v>6</v>
      </c>
      <c r="D5238">
        <v>8.4000000000000005E-2</v>
      </c>
      <c r="E5238" t="s">
        <v>6</v>
      </c>
      <c r="F5238">
        <v>0.14112</v>
      </c>
    </row>
    <row r="5239" spans="1:6" x14ac:dyDescent="0.3">
      <c r="A5239" t="s">
        <v>5</v>
      </c>
      <c r="B5239" s="1">
        <v>45876</v>
      </c>
      <c r="C5239">
        <v>7</v>
      </c>
      <c r="D5239">
        <v>6.4000000000000001E-2</v>
      </c>
      <c r="E5239" t="s">
        <v>6</v>
      </c>
      <c r="F5239">
        <v>0.15071999999999999</v>
      </c>
    </row>
    <row r="5240" spans="1:6" x14ac:dyDescent="0.3">
      <c r="A5240" t="s">
        <v>5</v>
      </c>
      <c r="B5240" s="1">
        <v>45876</v>
      </c>
      <c r="C5240">
        <v>8</v>
      </c>
      <c r="D5240">
        <v>0.06</v>
      </c>
      <c r="E5240" t="s">
        <v>6</v>
      </c>
      <c r="F5240">
        <v>0.15793000000000001</v>
      </c>
    </row>
    <row r="5241" spans="1:6" x14ac:dyDescent="0.3">
      <c r="A5241" t="s">
        <v>5</v>
      </c>
      <c r="B5241" s="1">
        <v>45876</v>
      </c>
      <c r="C5241">
        <v>9</v>
      </c>
      <c r="D5241">
        <v>8.3000000000000004E-2</v>
      </c>
      <c r="E5241" t="s">
        <v>6</v>
      </c>
      <c r="F5241">
        <v>0.17796999999999999</v>
      </c>
    </row>
    <row r="5242" spans="1:6" x14ac:dyDescent="0.3">
      <c r="A5242" t="s">
        <v>5</v>
      </c>
      <c r="B5242" s="1">
        <v>45876</v>
      </c>
      <c r="C5242">
        <v>10</v>
      </c>
      <c r="D5242">
        <v>6.3E-2</v>
      </c>
      <c r="E5242" t="s">
        <v>6</v>
      </c>
      <c r="F5242">
        <v>0.13775999999999999</v>
      </c>
    </row>
    <row r="5243" spans="1:6" x14ac:dyDescent="0.3">
      <c r="A5243" t="s">
        <v>5</v>
      </c>
      <c r="B5243" s="1">
        <v>45876</v>
      </c>
      <c r="C5243">
        <v>11</v>
      </c>
      <c r="D5243">
        <v>6.0999999999999999E-2</v>
      </c>
      <c r="E5243" t="s">
        <v>6</v>
      </c>
      <c r="F5243">
        <v>0.16797000000000001</v>
      </c>
    </row>
    <row r="5244" spans="1:6" x14ac:dyDescent="0.3">
      <c r="A5244" t="s">
        <v>5</v>
      </c>
      <c r="B5244" s="1">
        <v>45876</v>
      </c>
      <c r="C5244">
        <v>12</v>
      </c>
      <c r="D5244">
        <v>8.3000000000000004E-2</v>
      </c>
      <c r="E5244" t="s">
        <v>6</v>
      </c>
      <c r="F5244">
        <v>0.14036999999999999</v>
      </c>
    </row>
    <row r="5245" spans="1:6" x14ac:dyDescent="0.3">
      <c r="A5245" t="s">
        <v>5</v>
      </c>
      <c r="B5245" s="1">
        <v>45876</v>
      </c>
      <c r="C5245">
        <v>13</v>
      </c>
      <c r="D5245">
        <v>6.3E-2</v>
      </c>
      <c r="E5245" t="s">
        <v>6</v>
      </c>
      <c r="F5245">
        <v>0.13972000000000001</v>
      </c>
    </row>
    <row r="5246" spans="1:6" x14ac:dyDescent="0.3">
      <c r="A5246" t="s">
        <v>5</v>
      </c>
      <c r="B5246" s="1">
        <v>45876</v>
      </c>
      <c r="C5246">
        <v>14</v>
      </c>
      <c r="D5246">
        <v>6.0999999999999999E-2</v>
      </c>
      <c r="E5246" t="s">
        <v>6</v>
      </c>
      <c r="F5246">
        <v>0.13950000000000001</v>
      </c>
    </row>
    <row r="5247" spans="1:6" x14ac:dyDescent="0.3">
      <c r="A5247" t="s">
        <v>5</v>
      </c>
      <c r="B5247" s="1">
        <v>45876</v>
      </c>
      <c r="C5247">
        <v>15</v>
      </c>
      <c r="D5247">
        <v>8.4000000000000005E-2</v>
      </c>
      <c r="E5247" t="s">
        <v>6</v>
      </c>
      <c r="F5247">
        <v>7.2999999999999995E-2</v>
      </c>
    </row>
    <row r="5248" spans="1:6" x14ac:dyDescent="0.3">
      <c r="A5248" t="s">
        <v>5</v>
      </c>
      <c r="B5248" s="1">
        <v>45876</v>
      </c>
      <c r="C5248">
        <v>16</v>
      </c>
      <c r="D5248">
        <v>6.3E-2</v>
      </c>
      <c r="E5248" t="s">
        <v>6</v>
      </c>
      <c r="F5248">
        <v>7.2169999999999998E-2</v>
      </c>
    </row>
    <row r="5249" spans="1:6" x14ac:dyDescent="0.3">
      <c r="A5249" t="s">
        <v>5</v>
      </c>
      <c r="B5249" s="1">
        <v>45876</v>
      </c>
      <c r="C5249">
        <v>17</v>
      </c>
      <c r="D5249">
        <v>6.0999999999999999E-2</v>
      </c>
      <c r="E5249" t="s">
        <v>6</v>
      </c>
      <c r="F5249">
        <v>7.3279999999999998E-2</v>
      </c>
    </row>
    <row r="5250" spans="1:6" x14ac:dyDescent="0.3">
      <c r="A5250" t="s">
        <v>5</v>
      </c>
      <c r="B5250" s="1">
        <v>45876</v>
      </c>
      <c r="C5250">
        <v>18</v>
      </c>
      <c r="D5250">
        <v>8.4000000000000005E-2</v>
      </c>
      <c r="E5250" t="s">
        <v>6</v>
      </c>
      <c r="F5250">
        <v>9.784000000000001E-2</v>
      </c>
    </row>
    <row r="5251" spans="1:6" x14ac:dyDescent="0.3">
      <c r="A5251" t="s">
        <v>5</v>
      </c>
      <c r="B5251" s="1">
        <v>45876</v>
      </c>
      <c r="C5251">
        <v>19</v>
      </c>
      <c r="D5251">
        <v>6.3E-2</v>
      </c>
      <c r="E5251" t="s">
        <v>6</v>
      </c>
      <c r="F5251">
        <v>0.18906000000000001</v>
      </c>
    </row>
    <row r="5252" spans="1:6" x14ac:dyDescent="0.3">
      <c r="A5252" t="s">
        <v>5</v>
      </c>
      <c r="B5252" s="1">
        <v>45876</v>
      </c>
      <c r="C5252">
        <v>20</v>
      </c>
      <c r="D5252">
        <v>6.2E-2</v>
      </c>
      <c r="E5252" t="s">
        <v>6</v>
      </c>
      <c r="F5252">
        <v>0.22437000000000001</v>
      </c>
    </row>
    <row r="5253" spans="1:6" x14ac:dyDescent="0.3">
      <c r="A5253" t="s">
        <v>5</v>
      </c>
      <c r="B5253" s="1">
        <v>45876</v>
      </c>
      <c r="C5253">
        <v>21</v>
      </c>
      <c r="D5253">
        <v>8.3000000000000004E-2</v>
      </c>
      <c r="E5253" t="s">
        <v>6</v>
      </c>
      <c r="F5253">
        <v>0.24127999999999999</v>
      </c>
    </row>
    <row r="5254" spans="1:6" x14ac:dyDescent="0.3">
      <c r="A5254" t="s">
        <v>5</v>
      </c>
      <c r="B5254" s="1">
        <v>45876</v>
      </c>
      <c r="C5254">
        <v>22</v>
      </c>
      <c r="D5254">
        <v>6.5000000000000002E-2</v>
      </c>
      <c r="E5254" t="s">
        <v>6</v>
      </c>
      <c r="F5254">
        <v>0.27648</v>
      </c>
    </row>
    <row r="5255" spans="1:6" x14ac:dyDescent="0.3">
      <c r="A5255" t="s">
        <v>5</v>
      </c>
      <c r="B5255" s="1">
        <v>45876</v>
      </c>
      <c r="C5255">
        <v>23</v>
      </c>
      <c r="D5255">
        <v>0.06</v>
      </c>
      <c r="E5255" t="s">
        <v>6</v>
      </c>
      <c r="F5255">
        <v>0.18802000000000002</v>
      </c>
    </row>
    <row r="5256" spans="1:6" x14ac:dyDescent="0.3">
      <c r="A5256" t="s">
        <v>5</v>
      </c>
      <c r="B5256" s="1">
        <v>45876</v>
      </c>
      <c r="C5256">
        <v>24</v>
      </c>
      <c r="D5256">
        <v>8.4000000000000005E-2</v>
      </c>
      <c r="E5256" t="s">
        <v>6</v>
      </c>
      <c r="F5256">
        <v>0.17207</v>
      </c>
    </row>
    <row r="5257" spans="1:6" x14ac:dyDescent="0.3">
      <c r="A5257" t="s">
        <v>5</v>
      </c>
      <c r="B5257" s="1">
        <v>45877</v>
      </c>
      <c r="C5257">
        <v>1</v>
      </c>
      <c r="D5257">
        <v>6.5000000000000002E-2</v>
      </c>
      <c r="E5257" t="s">
        <v>6</v>
      </c>
      <c r="F5257">
        <v>0.14534</v>
      </c>
    </row>
    <row r="5258" spans="1:6" x14ac:dyDescent="0.3">
      <c r="A5258" t="s">
        <v>5</v>
      </c>
      <c r="B5258" s="1">
        <v>45877</v>
      </c>
      <c r="C5258">
        <v>2</v>
      </c>
      <c r="D5258">
        <v>5.8999999999999997E-2</v>
      </c>
      <c r="E5258" t="s">
        <v>6</v>
      </c>
      <c r="F5258">
        <v>0.14285</v>
      </c>
    </row>
    <row r="5259" spans="1:6" x14ac:dyDescent="0.3">
      <c r="A5259" t="s">
        <v>5</v>
      </c>
      <c r="B5259" s="1">
        <v>45877</v>
      </c>
      <c r="C5259">
        <v>3</v>
      </c>
      <c r="D5259">
        <v>8.4000000000000005E-2</v>
      </c>
      <c r="E5259" t="s">
        <v>6</v>
      </c>
      <c r="F5259">
        <v>0.14443999999999999</v>
      </c>
    </row>
    <row r="5260" spans="1:6" x14ac:dyDescent="0.3">
      <c r="A5260" t="s">
        <v>5</v>
      </c>
      <c r="B5260" s="1">
        <v>45877</v>
      </c>
      <c r="C5260">
        <v>4</v>
      </c>
      <c r="D5260">
        <v>6.7000000000000004E-2</v>
      </c>
      <c r="E5260" t="s">
        <v>6</v>
      </c>
      <c r="F5260">
        <v>0.13878000000000001</v>
      </c>
    </row>
    <row r="5261" spans="1:6" x14ac:dyDescent="0.3">
      <c r="A5261" t="s">
        <v>5</v>
      </c>
      <c r="B5261" s="1">
        <v>45877</v>
      </c>
      <c r="C5261">
        <v>5</v>
      </c>
      <c r="D5261">
        <v>5.8000000000000003E-2</v>
      </c>
      <c r="E5261" t="s">
        <v>6</v>
      </c>
      <c r="F5261">
        <v>0.13747999999999999</v>
      </c>
    </row>
    <row r="5262" spans="1:6" x14ac:dyDescent="0.3">
      <c r="A5262" t="s">
        <v>5</v>
      </c>
      <c r="B5262" s="1">
        <v>45877</v>
      </c>
      <c r="C5262">
        <v>6</v>
      </c>
      <c r="D5262">
        <v>8.2000000000000003E-2</v>
      </c>
      <c r="E5262" t="s">
        <v>6</v>
      </c>
      <c r="F5262">
        <v>0.13980999999999999</v>
      </c>
    </row>
    <row r="5263" spans="1:6" x14ac:dyDescent="0.3">
      <c r="A5263" t="s">
        <v>5</v>
      </c>
      <c r="B5263" s="1">
        <v>45877</v>
      </c>
      <c r="C5263">
        <v>7</v>
      </c>
      <c r="D5263">
        <v>6.8000000000000005E-2</v>
      </c>
      <c r="E5263" t="s">
        <v>6</v>
      </c>
      <c r="F5263">
        <v>0.14332</v>
      </c>
    </row>
    <row r="5264" spans="1:6" x14ac:dyDescent="0.3">
      <c r="A5264" t="s">
        <v>5</v>
      </c>
      <c r="B5264" s="1">
        <v>45877</v>
      </c>
      <c r="C5264">
        <v>8</v>
      </c>
      <c r="D5264">
        <v>5.8000000000000003E-2</v>
      </c>
      <c r="E5264" t="s">
        <v>6</v>
      </c>
      <c r="F5264">
        <v>0.14999000000000001</v>
      </c>
    </row>
    <row r="5265" spans="1:6" x14ac:dyDescent="0.3">
      <c r="A5265" t="s">
        <v>5</v>
      </c>
      <c r="B5265" s="1">
        <v>45877</v>
      </c>
      <c r="C5265">
        <v>9</v>
      </c>
      <c r="D5265">
        <v>0.08</v>
      </c>
      <c r="E5265" t="s">
        <v>6</v>
      </c>
      <c r="F5265">
        <v>0.17412</v>
      </c>
    </row>
    <row r="5266" spans="1:6" x14ac:dyDescent="0.3">
      <c r="A5266" t="s">
        <v>5</v>
      </c>
      <c r="B5266" s="1">
        <v>45877</v>
      </c>
      <c r="C5266">
        <v>10</v>
      </c>
      <c r="D5266">
        <v>6.9000000000000006E-2</v>
      </c>
      <c r="E5266" t="s">
        <v>6</v>
      </c>
      <c r="F5266">
        <v>0.13212000000000002</v>
      </c>
    </row>
    <row r="5267" spans="1:6" x14ac:dyDescent="0.3">
      <c r="A5267" t="s">
        <v>5</v>
      </c>
      <c r="B5267" s="1">
        <v>45877</v>
      </c>
      <c r="C5267">
        <v>11</v>
      </c>
      <c r="D5267">
        <v>5.8000000000000003E-2</v>
      </c>
      <c r="E5267" t="s">
        <v>6</v>
      </c>
      <c r="F5267">
        <v>0.16383</v>
      </c>
    </row>
    <row r="5268" spans="1:6" x14ac:dyDescent="0.3">
      <c r="A5268" t="s">
        <v>5</v>
      </c>
      <c r="B5268" s="1">
        <v>45877</v>
      </c>
      <c r="C5268">
        <v>12</v>
      </c>
      <c r="D5268">
        <v>7.9000000000000001E-2</v>
      </c>
      <c r="E5268" t="s">
        <v>6</v>
      </c>
      <c r="F5268">
        <v>0.12787999999999999</v>
      </c>
    </row>
    <row r="5269" spans="1:6" x14ac:dyDescent="0.3">
      <c r="A5269" t="s">
        <v>5</v>
      </c>
      <c r="B5269" s="1">
        <v>45877</v>
      </c>
      <c r="C5269">
        <v>13</v>
      </c>
      <c r="D5269">
        <v>0.109</v>
      </c>
      <c r="E5269" t="s">
        <v>6</v>
      </c>
      <c r="F5269">
        <v>0.12490000000000001</v>
      </c>
    </row>
    <row r="5270" spans="1:6" x14ac:dyDescent="0.3">
      <c r="A5270" t="s">
        <v>5</v>
      </c>
      <c r="B5270" s="1">
        <v>45877</v>
      </c>
      <c r="C5270">
        <v>14</v>
      </c>
      <c r="D5270">
        <v>0.126</v>
      </c>
      <c r="E5270" t="s">
        <v>6</v>
      </c>
      <c r="F5270">
        <v>0.11534</v>
      </c>
    </row>
    <row r="5271" spans="1:6" x14ac:dyDescent="0.3">
      <c r="A5271" t="s">
        <v>5</v>
      </c>
      <c r="B5271" s="1">
        <v>45877</v>
      </c>
      <c r="C5271">
        <v>15</v>
      </c>
      <c r="D5271">
        <v>7.8E-2</v>
      </c>
      <c r="E5271" t="s">
        <v>6</v>
      </c>
      <c r="F5271">
        <v>4.9460000000000004E-2</v>
      </c>
    </row>
    <row r="5272" spans="1:6" x14ac:dyDescent="0.3">
      <c r="A5272" t="s">
        <v>5</v>
      </c>
      <c r="B5272" s="1">
        <v>45877</v>
      </c>
      <c r="C5272">
        <v>16</v>
      </c>
      <c r="D5272">
        <v>6.0999999999999999E-2</v>
      </c>
      <c r="E5272" t="s">
        <v>6</v>
      </c>
      <c r="F5272">
        <v>4.9950000000000001E-2</v>
      </c>
    </row>
    <row r="5273" spans="1:6" x14ac:dyDescent="0.3">
      <c r="A5273" t="s">
        <v>5</v>
      </c>
      <c r="B5273" s="1">
        <v>45877</v>
      </c>
      <c r="C5273">
        <v>17</v>
      </c>
      <c r="D5273">
        <v>7.6999999999999999E-2</v>
      </c>
      <c r="E5273" t="s">
        <v>6</v>
      </c>
      <c r="F5273">
        <v>6.0159999999999998E-2</v>
      </c>
    </row>
    <row r="5274" spans="1:6" x14ac:dyDescent="0.3">
      <c r="A5274" t="s">
        <v>5</v>
      </c>
      <c r="B5274" s="1">
        <v>45877</v>
      </c>
      <c r="C5274">
        <v>18</v>
      </c>
      <c r="D5274">
        <v>7.2999999999999995E-2</v>
      </c>
      <c r="E5274" t="s">
        <v>6</v>
      </c>
      <c r="F5274">
        <v>0.10417</v>
      </c>
    </row>
    <row r="5275" spans="1:6" x14ac:dyDescent="0.3">
      <c r="A5275" t="s">
        <v>5</v>
      </c>
      <c r="B5275" s="1">
        <v>45877</v>
      </c>
      <c r="C5275">
        <v>19</v>
      </c>
      <c r="D5275">
        <v>5.8999999999999997E-2</v>
      </c>
      <c r="E5275" t="s">
        <v>6</v>
      </c>
      <c r="F5275">
        <v>0.19550000000000001</v>
      </c>
    </row>
    <row r="5276" spans="1:6" x14ac:dyDescent="0.3">
      <c r="A5276" t="s">
        <v>5</v>
      </c>
      <c r="B5276" s="1">
        <v>45877</v>
      </c>
      <c r="C5276">
        <v>20</v>
      </c>
      <c r="D5276">
        <v>8.1000000000000003E-2</v>
      </c>
      <c r="E5276" t="s">
        <v>6</v>
      </c>
      <c r="F5276">
        <v>0.23505000000000001</v>
      </c>
    </row>
    <row r="5277" spans="1:6" x14ac:dyDescent="0.3">
      <c r="A5277" t="s">
        <v>5</v>
      </c>
      <c r="B5277" s="1">
        <v>45877</v>
      </c>
      <c r="C5277">
        <v>21</v>
      </c>
      <c r="D5277">
        <v>6.9000000000000006E-2</v>
      </c>
      <c r="E5277" t="s">
        <v>6</v>
      </c>
      <c r="F5277">
        <v>0.24036000000000002</v>
      </c>
    </row>
    <row r="5278" spans="1:6" x14ac:dyDescent="0.3">
      <c r="A5278" t="s">
        <v>5</v>
      </c>
      <c r="B5278" s="1">
        <v>45877</v>
      </c>
      <c r="C5278">
        <v>22</v>
      </c>
      <c r="D5278">
        <v>5.8999999999999997E-2</v>
      </c>
      <c r="E5278" t="s">
        <v>6</v>
      </c>
      <c r="F5278">
        <v>0.27111000000000002</v>
      </c>
    </row>
    <row r="5279" spans="1:6" x14ac:dyDescent="0.3">
      <c r="A5279" t="s">
        <v>5</v>
      </c>
      <c r="B5279" s="1">
        <v>45877</v>
      </c>
      <c r="C5279">
        <v>23</v>
      </c>
      <c r="D5279">
        <v>8.5000000000000006E-2</v>
      </c>
      <c r="E5279" t="s">
        <v>6</v>
      </c>
      <c r="F5279">
        <v>0.18174999999999999</v>
      </c>
    </row>
    <row r="5280" spans="1:6" x14ac:dyDescent="0.3">
      <c r="A5280" t="s">
        <v>5</v>
      </c>
      <c r="B5280" s="1">
        <v>45877</v>
      </c>
      <c r="C5280">
        <v>24</v>
      </c>
      <c r="D5280">
        <v>6.2E-2</v>
      </c>
      <c r="E5280" t="s">
        <v>6</v>
      </c>
      <c r="F5280">
        <v>0.17430999999999999</v>
      </c>
    </row>
    <row r="5281" spans="1:6" x14ac:dyDescent="0.3">
      <c r="A5281" t="s">
        <v>5</v>
      </c>
      <c r="B5281" s="1">
        <v>45878</v>
      </c>
      <c r="C5281">
        <v>1</v>
      </c>
      <c r="D5281">
        <v>6.5000000000000002E-2</v>
      </c>
      <c r="E5281" t="s">
        <v>6</v>
      </c>
      <c r="F5281">
        <v>0.14793000000000001</v>
      </c>
    </row>
    <row r="5282" spans="1:6" x14ac:dyDescent="0.3">
      <c r="A5282" t="s">
        <v>5</v>
      </c>
      <c r="B5282" s="1">
        <v>45878</v>
      </c>
      <c r="C5282">
        <v>2</v>
      </c>
      <c r="D5282">
        <v>8.3000000000000004E-2</v>
      </c>
      <c r="E5282" t="s">
        <v>6</v>
      </c>
      <c r="F5282">
        <v>0.14867</v>
      </c>
    </row>
    <row r="5283" spans="1:6" x14ac:dyDescent="0.3">
      <c r="A5283" t="s">
        <v>5</v>
      </c>
      <c r="B5283" s="1">
        <v>45878</v>
      </c>
      <c r="C5283">
        <v>3</v>
      </c>
      <c r="D5283">
        <v>5.8999999999999997E-2</v>
      </c>
      <c r="E5283" t="s">
        <v>6</v>
      </c>
      <c r="F5283">
        <v>0.14949000000000001</v>
      </c>
    </row>
    <row r="5284" spans="1:6" x14ac:dyDescent="0.3">
      <c r="A5284" t="s">
        <v>5</v>
      </c>
      <c r="B5284" s="1">
        <v>45878</v>
      </c>
      <c r="C5284">
        <v>4</v>
      </c>
      <c r="D5284">
        <v>7.0000000000000007E-2</v>
      </c>
      <c r="E5284" t="s">
        <v>6</v>
      </c>
      <c r="F5284">
        <v>0.14671000000000001</v>
      </c>
    </row>
    <row r="5285" spans="1:6" x14ac:dyDescent="0.3">
      <c r="A5285" t="s">
        <v>5</v>
      </c>
      <c r="B5285" s="1">
        <v>45878</v>
      </c>
      <c r="C5285">
        <v>5</v>
      </c>
      <c r="D5285">
        <v>7.8E-2</v>
      </c>
      <c r="E5285" t="s">
        <v>6</v>
      </c>
      <c r="F5285">
        <v>0.14624000000000001</v>
      </c>
    </row>
    <row r="5286" spans="1:6" x14ac:dyDescent="0.3">
      <c r="A5286" t="s">
        <v>5</v>
      </c>
      <c r="B5286" s="1">
        <v>45878</v>
      </c>
      <c r="C5286">
        <v>6</v>
      </c>
      <c r="D5286">
        <v>5.8000000000000003E-2</v>
      </c>
      <c r="E5286" t="s">
        <v>6</v>
      </c>
      <c r="F5286">
        <v>0.14604</v>
      </c>
    </row>
    <row r="5287" spans="1:6" x14ac:dyDescent="0.3">
      <c r="A5287" t="s">
        <v>5</v>
      </c>
      <c r="B5287" s="1">
        <v>45878</v>
      </c>
      <c r="C5287">
        <v>7</v>
      </c>
      <c r="D5287">
        <v>7.5999999999999998E-2</v>
      </c>
      <c r="E5287" t="s">
        <v>6</v>
      </c>
      <c r="F5287">
        <v>0.15139</v>
      </c>
    </row>
    <row r="5288" spans="1:6" x14ac:dyDescent="0.3">
      <c r="A5288" t="s">
        <v>5</v>
      </c>
      <c r="B5288" s="1">
        <v>45878</v>
      </c>
      <c r="C5288">
        <v>8</v>
      </c>
      <c r="D5288">
        <v>7.1999999999999995E-2</v>
      </c>
      <c r="E5288" t="s">
        <v>6</v>
      </c>
      <c r="F5288">
        <v>0.15812999999999999</v>
      </c>
    </row>
    <row r="5289" spans="1:6" x14ac:dyDescent="0.3">
      <c r="A5289" t="s">
        <v>5</v>
      </c>
      <c r="B5289" s="1">
        <v>45878</v>
      </c>
      <c r="C5289">
        <v>9</v>
      </c>
      <c r="D5289">
        <v>5.7000000000000002E-2</v>
      </c>
      <c r="E5289" t="s">
        <v>6</v>
      </c>
      <c r="F5289">
        <v>0.14559</v>
      </c>
    </row>
    <row r="5290" spans="1:6" x14ac:dyDescent="0.3">
      <c r="A5290" t="s">
        <v>5</v>
      </c>
      <c r="B5290" s="1">
        <v>45878</v>
      </c>
      <c r="C5290">
        <v>10</v>
      </c>
      <c r="D5290">
        <v>8.2000000000000003E-2</v>
      </c>
      <c r="E5290" t="s">
        <v>6</v>
      </c>
      <c r="F5290">
        <v>8.4610000000000005E-2</v>
      </c>
    </row>
    <row r="5291" spans="1:6" x14ac:dyDescent="0.3">
      <c r="A5291" t="s">
        <v>5</v>
      </c>
      <c r="B5291" s="1">
        <v>45878</v>
      </c>
      <c r="C5291">
        <v>11</v>
      </c>
      <c r="D5291">
        <v>6.5000000000000002E-2</v>
      </c>
      <c r="E5291" t="s">
        <v>6</v>
      </c>
      <c r="F5291">
        <v>3.456E-2</v>
      </c>
    </row>
    <row r="5292" spans="1:6" x14ac:dyDescent="0.3">
      <c r="A5292" t="s">
        <v>5</v>
      </c>
      <c r="B5292" s="1">
        <v>45878</v>
      </c>
      <c r="C5292">
        <v>12</v>
      </c>
      <c r="D5292">
        <v>6.0999999999999999E-2</v>
      </c>
      <c r="E5292" t="s">
        <v>6</v>
      </c>
      <c r="F5292">
        <v>3.4259999999999999E-2</v>
      </c>
    </row>
    <row r="5293" spans="1:6" x14ac:dyDescent="0.3">
      <c r="A5293" t="s">
        <v>5</v>
      </c>
      <c r="B5293" s="1">
        <v>45878</v>
      </c>
      <c r="C5293">
        <v>13</v>
      </c>
      <c r="D5293">
        <v>8.4000000000000005E-2</v>
      </c>
      <c r="E5293" t="s">
        <v>6</v>
      </c>
      <c r="F5293">
        <v>3.4000000000000002E-2</v>
      </c>
    </row>
    <row r="5294" spans="1:6" x14ac:dyDescent="0.3">
      <c r="A5294" t="s">
        <v>5</v>
      </c>
      <c r="B5294" s="1">
        <v>45878</v>
      </c>
      <c r="C5294">
        <v>14</v>
      </c>
      <c r="D5294">
        <v>0.06</v>
      </c>
      <c r="E5294" t="s">
        <v>6</v>
      </c>
      <c r="F5294">
        <v>3.2960000000000003E-2</v>
      </c>
    </row>
    <row r="5295" spans="1:6" x14ac:dyDescent="0.3">
      <c r="A5295" t="s">
        <v>5</v>
      </c>
      <c r="B5295" s="1">
        <v>45878</v>
      </c>
      <c r="C5295">
        <v>15</v>
      </c>
      <c r="D5295">
        <v>6.6000000000000003E-2</v>
      </c>
      <c r="E5295" t="s">
        <v>6</v>
      </c>
      <c r="F5295">
        <v>3.286E-2</v>
      </c>
    </row>
    <row r="5296" spans="1:6" x14ac:dyDescent="0.3">
      <c r="A5296" t="s">
        <v>5</v>
      </c>
      <c r="B5296" s="1">
        <v>45878</v>
      </c>
      <c r="C5296">
        <v>16</v>
      </c>
      <c r="D5296">
        <v>8.2000000000000003E-2</v>
      </c>
      <c r="E5296" t="s">
        <v>6</v>
      </c>
      <c r="F5296">
        <v>3.3369999999999997E-2</v>
      </c>
    </row>
    <row r="5297" spans="1:6" x14ac:dyDescent="0.3">
      <c r="A5297" t="s">
        <v>5</v>
      </c>
      <c r="B5297" s="1">
        <v>45878</v>
      </c>
      <c r="C5297">
        <v>17</v>
      </c>
      <c r="D5297">
        <v>5.7000000000000002E-2</v>
      </c>
      <c r="E5297" t="s">
        <v>6</v>
      </c>
      <c r="F5297">
        <v>3.329E-2</v>
      </c>
    </row>
    <row r="5298" spans="1:6" x14ac:dyDescent="0.3">
      <c r="A5298" t="s">
        <v>5</v>
      </c>
      <c r="B5298" s="1">
        <v>45878</v>
      </c>
      <c r="C5298">
        <v>18</v>
      </c>
      <c r="D5298">
        <v>7.0999999999999994E-2</v>
      </c>
      <c r="E5298" t="s">
        <v>6</v>
      </c>
      <c r="F5298">
        <v>3.7870000000000001E-2</v>
      </c>
    </row>
    <row r="5299" spans="1:6" x14ac:dyDescent="0.3">
      <c r="A5299" t="s">
        <v>5</v>
      </c>
      <c r="B5299" s="1">
        <v>45878</v>
      </c>
      <c r="C5299">
        <v>19</v>
      </c>
      <c r="D5299">
        <v>7.5999999999999998E-2</v>
      </c>
      <c r="E5299" t="s">
        <v>6</v>
      </c>
      <c r="F5299">
        <v>6.8409999999999999E-2</v>
      </c>
    </row>
    <row r="5300" spans="1:6" x14ac:dyDescent="0.3">
      <c r="A5300" t="s">
        <v>5</v>
      </c>
      <c r="B5300" s="1">
        <v>45878</v>
      </c>
      <c r="C5300">
        <v>20</v>
      </c>
      <c r="D5300">
        <v>5.7000000000000002E-2</v>
      </c>
      <c r="E5300" t="s">
        <v>6</v>
      </c>
      <c r="F5300">
        <v>0.10993</v>
      </c>
    </row>
    <row r="5301" spans="1:6" x14ac:dyDescent="0.3">
      <c r="A5301" t="s">
        <v>5</v>
      </c>
      <c r="B5301" s="1">
        <v>45878</v>
      </c>
      <c r="C5301">
        <v>21</v>
      </c>
      <c r="D5301">
        <v>7.6999999999999999E-2</v>
      </c>
      <c r="E5301" t="s">
        <v>6</v>
      </c>
      <c r="F5301">
        <v>0.13416999999999998</v>
      </c>
    </row>
    <row r="5302" spans="1:6" x14ac:dyDescent="0.3">
      <c r="A5302" t="s">
        <v>5</v>
      </c>
      <c r="B5302" s="1">
        <v>45878</v>
      </c>
      <c r="C5302">
        <v>22</v>
      </c>
      <c r="D5302">
        <v>7.0999999999999994E-2</v>
      </c>
      <c r="E5302" t="s">
        <v>6</v>
      </c>
      <c r="F5302">
        <v>0.14493</v>
      </c>
    </row>
    <row r="5303" spans="1:6" x14ac:dyDescent="0.3">
      <c r="A5303" t="s">
        <v>5</v>
      </c>
      <c r="B5303" s="1">
        <v>45878</v>
      </c>
      <c r="C5303">
        <v>23</v>
      </c>
      <c r="D5303">
        <v>5.8000000000000003E-2</v>
      </c>
      <c r="E5303" t="s">
        <v>6</v>
      </c>
      <c r="F5303">
        <v>0.14186000000000001</v>
      </c>
    </row>
    <row r="5304" spans="1:6" x14ac:dyDescent="0.3">
      <c r="A5304" t="s">
        <v>5</v>
      </c>
      <c r="B5304" s="1">
        <v>45878</v>
      </c>
      <c r="C5304">
        <v>24</v>
      </c>
      <c r="D5304">
        <v>8.2000000000000003E-2</v>
      </c>
      <c r="E5304" t="s">
        <v>6</v>
      </c>
      <c r="F5304">
        <v>0.14077000000000001</v>
      </c>
    </row>
    <row r="5305" spans="1:6" x14ac:dyDescent="0.3">
      <c r="A5305" t="s">
        <v>5</v>
      </c>
      <c r="B5305" s="1">
        <v>45879</v>
      </c>
      <c r="C5305">
        <v>1</v>
      </c>
      <c r="D5305">
        <v>6.6000000000000003E-2</v>
      </c>
      <c r="E5305" t="s">
        <v>6</v>
      </c>
      <c r="F5305">
        <v>0.15077000000000002</v>
      </c>
    </row>
    <row r="5306" spans="1:6" x14ac:dyDescent="0.3">
      <c r="A5306" t="s">
        <v>5</v>
      </c>
      <c r="B5306" s="1">
        <v>45879</v>
      </c>
      <c r="C5306">
        <v>2</v>
      </c>
      <c r="D5306">
        <v>6.0999999999999999E-2</v>
      </c>
      <c r="E5306" t="s">
        <v>6</v>
      </c>
      <c r="F5306">
        <v>0.13346</v>
      </c>
    </row>
    <row r="5307" spans="1:6" x14ac:dyDescent="0.3">
      <c r="A5307" t="s">
        <v>5</v>
      </c>
      <c r="B5307" s="1">
        <v>45879</v>
      </c>
      <c r="C5307">
        <v>3</v>
      </c>
      <c r="D5307">
        <v>8.4000000000000005E-2</v>
      </c>
      <c r="E5307" t="s">
        <v>6</v>
      </c>
      <c r="F5307">
        <v>0.12816</v>
      </c>
    </row>
    <row r="5308" spans="1:6" x14ac:dyDescent="0.3">
      <c r="A5308" t="s">
        <v>5</v>
      </c>
      <c r="B5308" s="1">
        <v>45879</v>
      </c>
      <c r="C5308">
        <v>4</v>
      </c>
      <c r="D5308">
        <v>6.0999999999999999E-2</v>
      </c>
      <c r="E5308" t="s">
        <v>6</v>
      </c>
      <c r="F5308">
        <v>0.11481</v>
      </c>
    </row>
    <row r="5309" spans="1:6" x14ac:dyDescent="0.3">
      <c r="A5309" t="s">
        <v>5</v>
      </c>
      <c r="B5309" s="1">
        <v>45879</v>
      </c>
      <c r="C5309">
        <v>5</v>
      </c>
      <c r="D5309">
        <v>6.5000000000000002E-2</v>
      </c>
      <c r="E5309" t="s">
        <v>6</v>
      </c>
      <c r="F5309">
        <v>0.13284000000000001</v>
      </c>
    </row>
    <row r="5310" spans="1:6" x14ac:dyDescent="0.3">
      <c r="A5310" t="s">
        <v>5</v>
      </c>
      <c r="B5310" s="1">
        <v>45879</v>
      </c>
      <c r="C5310">
        <v>6</v>
      </c>
      <c r="D5310">
        <v>8.3000000000000004E-2</v>
      </c>
      <c r="E5310" t="s">
        <v>6</v>
      </c>
      <c r="F5310">
        <v>0.13769000000000001</v>
      </c>
    </row>
    <row r="5311" spans="1:6" x14ac:dyDescent="0.3">
      <c r="A5311" t="s">
        <v>5</v>
      </c>
      <c r="B5311" s="1">
        <v>45879</v>
      </c>
      <c r="C5311">
        <v>7</v>
      </c>
      <c r="D5311">
        <v>5.7000000000000002E-2</v>
      </c>
      <c r="E5311" t="s">
        <v>6</v>
      </c>
      <c r="F5311">
        <v>0.14236000000000001</v>
      </c>
    </row>
    <row r="5312" spans="1:6" x14ac:dyDescent="0.3">
      <c r="A5312" t="s">
        <v>5</v>
      </c>
      <c r="B5312" s="1">
        <v>45879</v>
      </c>
      <c r="C5312">
        <v>8</v>
      </c>
      <c r="D5312">
        <v>7.0999999999999994E-2</v>
      </c>
      <c r="E5312" t="s">
        <v>6</v>
      </c>
      <c r="F5312">
        <v>0.14279</v>
      </c>
    </row>
    <row r="5313" spans="1:6" x14ac:dyDescent="0.3">
      <c r="A5313" t="s">
        <v>5</v>
      </c>
      <c r="B5313" s="1">
        <v>45879</v>
      </c>
      <c r="C5313">
        <v>9</v>
      </c>
      <c r="D5313">
        <v>7.6999999999999999E-2</v>
      </c>
      <c r="E5313" t="s">
        <v>6</v>
      </c>
      <c r="F5313">
        <v>0.10226</v>
      </c>
    </row>
    <row r="5314" spans="1:6" x14ac:dyDescent="0.3">
      <c r="A5314" t="s">
        <v>5</v>
      </c>
      <c r="B5314" s="1">
        <v>45879</v>
      </c>
      <c r="C5314">
        <v>10</v>
      </c>
      <c r="D5314">
        <v>5.7000000000000002E-2</v>
      </c>
      <c r="E5314" t="s">
        <v>6</v>
      </c>
      <c r="F5314">
        <v>3.5770000000000003E-2</v>
      </c>
    </row>
    <row r="5315" spans="1:6" x14ac:dyDescent="0.3">
      <c r="A5315" t="s">
        <v>5</v>
      </c>
      <c r="B5315" s="1">
        <v>45879</v>
      </c>
      <c r="C5315">
        <v>11</v>
      </c>
      <c r="D5315">
        <v>7.3999999999999996E-2</v>
      </c>
      <c r="E5315" t="s">
        <v>6</v>
      </c>
      <c r="F5315">
        <v>4.0640000000000003E-2</v>
      </c>
    </row>
    <row r="5316" spans="1:6" x14ac:dyDescent="0.3">
      <c r="A5316" t="s">
        <v>5</v>
      </c>
      <c r="B5316" s="1">
        <v>45879</v>
      </c>
      <c r="C5316">
        <v>12</v>
      </c>
      <c r="D5316">
        <v>7.2999999999999995E-2</v>
      </c>
      <c r="E5316" t="s">
        <v>6</v>
      </c>
      <c r="F5316">
        <v>4.0409999999999995E-2</v>
      </c>
    </row>
    <row r="5317" spans="1:6" x14ac:dyDescent="0.3">
      <c r="A5317" t="s">
        <v>5</v>
      </c>
      <c r="B5317" s="1">
        <v>45879</v>
      </c>
      <c r="C5317">
        <v>13</v>
      </c>
      <c r="D5317">
        <v>5.8000000000000003E-2</v>
      </c>
      <c r="E5317" t="s">
        <v>6</v>
      </c>
      <c r="F5317">
        <v>3.9609999999999999E-2</v>
      </c>
    </row>
    <row r="5318" spans="1:6" x14ac:dyDescent="0.3">
      <c r="A5318" t="s">
        <v>5</v>
      </c>
      <c r="B5318" s="1">
        <v>45879</v>
      </c>
      <c r="C5318">
        <v>14</v>
      </c>
      <c r="D5318">
        <v>7.6999999999999999E-2</v>
      </c>
      <c r="E5318" t="s">
        <v>6</v>
      </c>
      <c r="F5318">
        <v>3.9310000000000005E-2</v>
      </c>
    </row>
    <row r="5319" spans="1:6" x14ac:dyDescent="0.3">
      <c r="A5319" t="s">
        <v>5</v>
      </c>
      <c r="B5319" s="1">
        <v>45879</v>
      </c>
      <c r="C5319">
        <v>15</v>
      </c>
      <c r="D5319">
        <v>6.9000000000000006E-2</v>
      </c>
      <c r="E5319" t="s">
        <v>6</v>
      </c>
      <c r="F5319">
        <v>3.9009999999999996E-2</v>
      </c>
    </row>
    <row r="5320" spans="1:6" x14ac:dyDescent="0.3">
      <c r="A5320" t="s">
        <v>5</v>
      </c>
      <c r="B5320" s="1">
        <v>45879</v>
      </c>
      <c r="C5320">
        <v>16</v>
      </c>
      <c r="D5320">
        <v>5.8000000000000003E-2</v>
      </c>
      <c r="E5320" t="s">
        <v>6</v>
      </c>
      <c r="F5320">
        <v>3.8789999999999998E-2</v>
      </c>
    </row>
    <row r="5321" spans="1:6" x14ac:dyDescent="0.3">
      <c r="A5321" t="s">
        <v>5</v>
      </c>
      <c r="B5321" s="1">
        <v>45879</v>
      </c>
      <c r="C5321">
        <v>17</v>
      </c>
      <c r="D5321">
        <v>8.1000000000000003E-2</v>
      </c>
      <c r="E5321" t="s">
        <v>6</v>
      </c>
      <c r="F5321">
        <v>3.9140000000000001E-2</v>
      </c>
    </row>
    <row r="5322" spans="1:6" x14ac:dyDescent="0.3">
      <c r="A5322" t="s">
        <v>5</v>
      </c>
      <c r="B5322" s="1">
        <v>45879</v>
      </c>
      <c r="C5322">
        <v>18</v>
      </c>
      <c r="D5322">
        <v>6.6000000000000003E-2</v>
      </c>
      <c r="E5322" t="s">
        <v>6</v>
      </c>
      <c r="F5322">
        <v>3.5700000000000003E-2</v>
      </c>
    </row>
    <row r="5323" spans="1:6" x14ac:dyDescent="0.3">
      <c r="A5323" t="s">
        <v>5</v>
      </c>
      <c r="B5323" s="1">
        <v>45879</v>
      </c>
      <c r="C5323">
        <v>19</v>
      </c>
      <c r="D5323">
        <v>5.8999999999999997E-2</v>
      </c>
      <c r="E5323" t="s">
        <v>6</v>
      </c>
      <c r="F5323">
        <v>6.523000000000001E-2</v>
      </c>
    </row>
    <row r="5324" spans="1:6" x14ac:dyDescent="0.3">
      <c r="A5324" t="s">
        <v>5</v>
      </c>
      <c r="B5324" s="1">
        <v>45879</v>
      </c>
      <c r="C5324">
        <v>20</v>
      </c>
      <c r="D5324">
        <v>8.4000000000000005E-2</v>
      </c>
      <c r="E5324" t="s">
        <v>6</v>
      </c>
      <c r="F5324">
        <v>0.12534000000000001</v>
      </c>
    </row>
    <row r="5325" spans="1:6" x14ac:dyDescent="0.3">
      <c r="A5325" t="s">
        <v>5</v>
      </c>
      <c r="B5325" s="1">
        <v>45879</v>
      </c>
      <c r="C5325">
        <v>21</v>
      </c>
      <c r="D5325">
        <v>6.2E-2</v>
      </c>
      <c r="E5325" t="s">
        <v>6</v>
      </c>
      <c r="F5325">
        <v>0.14168</v>
      </c>
    </row>
    <row r="5326" spans="1:6" x14ac:dyDescent="0.3">
      <c r="A5326" t="s">
        <v>5</v>
      </c>
      <c r="B5326" s="1">
        <v>45879</v>
      </c>
      <c r="C5326">
        <v>22</v>
      </c>
      <c r="D5326">
        <v>6.2E-2</v>
      </c>
      <c r="E5326" t="s">
        <v>6</v>
      </c>
      <c r="F5326">
        <v>0.17949000000000001</v>
      </c>
    </row>
    <row r="5327" spans="1:6" x14ac:dyDescent="0.3">
      <c r="A5327" t="s">
        <v>5</v>
      </c>
      <c r="B5327" s="1">
        <v>45879</v>
      </c>
      <c r="C5327">
        <v>23</v>
      </c>
      <c r="D5327">
        <v>8.4000000000000005E-2</v>
      </c>
      <c r="E5327" t="s">
        <v>6</v>
      </c>
      <c r="F5327">
        <v>0.18703</v>
      </c>
    </row>
    <row r="5328" spans="1:6" x14ac:dyDescent="0.3">
      <c r="A5328" t="s">
        <v>5</v>
      </c>
      <c r="B5328" s="1">
        <v>45879</v>
      </c>
      <c r="C5328">
        <v>24</v>
      </c>
      <c r="D5328">
        <v>0.06</v>
      </c>
      <c r="E5328" t="s">
        <v>6</v>
      </c>
      <c r="F5328">
        <v>0.16027000000000002</v>
      </c>
    </row>
    <row r="5329" spans="1:6" x14ac:dyDescent="0.3">
      <c r="A5329" t="s">
        <v>5</v>
      </c>
      <c r="B5329" s="1">
        <v>45880</v>
      </c>
      <c r="C5329">
        <v>1</v>
      </c>
      <c r="D5329">
        <v>6.6000000000000003E-2</v>
      </c>
      <c r="E5329" t="s">
        <v>6</v>
      </c>
      <c r="F5329">
        <v>0.14313000000000001</v>
      </c>
    </row>
    <row r="5330" spans="1:6" x14ac:dyDescent="0.3">
      <c r="A5330" t="s">
        <v>5</v>
      </c>
      <c r="B5330" s="1">
        <v>45880</v>
      </c>
      <c r="C5330">
        <v>2</v>
      </c>
      <c r="D5330">
        <v>8.3000000000000004E-2</v>
      </c>
      <c r="E5330" t="s">
        <v>6</v>
      </c>
      <c r="F5330">
        <v>0.13388999999999998</v>
      </c>
    </row>
    <row r="5331" spans="1:6" x14ac:dyDescent="0.3">
      <c r="A5331" t="s">
        <v>5</v>
      </c>
      <c r="B5331" s="1">
        <v>45880</v>
      </c>
      <c r="C5331">
        <v>3</v>
      </c>
      <c r="D5331">
        <v>5.8000000000000003E-2</v>
      </c>
      <c r="E5331" t="s">
        <v>6</v>
      </c>
      <c r="F5331">
        <v>0.13350000000000001</v>
      </c>
    </row>
    <row r="5332" spans="1:6" x14ac:dyDescent="0.3">
      <c r="A5332" t="s">
        <v>5</v>
      </c>
      <c r="B5332" s="1">
        <v>45880</v>
      </c>
      <c r="C5332">
        <v>4</v>
      </c>
      <c r="D5332">
        <v>7.0000000000000007E-2</v>
      </c>
      <c r="E5332" t="s">
        <v>6</v>
      </c>
      <c r="F5332">
        <v>0.13346</v>
      </c>
    </row>
    <row r="5333" spans="1:6" x14ac:dyDescent="0.3">
      <c r="A5333" t="s">
        <v>5</v>
      </c>
      <c r="B5333" s="1">
        <v>45880</v>
      </c>
      <c r="C5333">
        <v>5</v>
      </c>
      <c r="D5333">
        <v>7.9000000000000001E-2</v>
      </c>
      <c r="E5333" t="s">
        <v>6</v>
      </c>
      <c r="F5333">
        <v>0.13388999999999998</v>
      </c>
    </row>
    <row r="5334" spans="1:6" x14ac:dyDescent="0.3">
      <c r="A5334" t="s">
        <v>5</v>
      </c>
      <c r="B5334" s="1">
        <v>45880</v>
      </c>
      <c r="C5334">
        <v>6</v>
      </c>
      <c r="D5334">
        <v>5.8000000000000003E-2</v>
      </c>
      <c r="E5334" t="s">
        <v>6</v>
      </c>
      <c r="F5334">
        <v>0.13428999999999999</v>
      </c>
    </row>
    <row r="5335" spans="1:6" x14ac:dyDescent="0.3">
      <c r="A5335" t="s">
        <v>5</v>
      </c>
      <c r="B5335" s="1">
        <v>45880</v>
      </c>
      <c r="C5335">
        <v>7</v>
      </c>
      <c r="D5335">
        <v>7.1999999999999995E-2</v>
      </c>
      <c r="E5335" t="s">
        <v>6</v>
      </c>
      <c r="F5335">
        <v>0.13566</v>
      </c>
    </row>
    <row r="5336" spans="1:6" x14ac:dyDescent="0.3">
      <c r="A5336" t="s">
        <v>5</v>
      </c>
      <c r="B5336" s="1">
        <v>45880</v>
      </c>
      <c r="C5336">
        <v>8</v>
      </c>
      <c r="D5336">
        <v>7.5999999999999998E-2</v>
      </c>
      <c r="E5336" t="s">
        <v>6</v>
      </c>
      <c r="F5336">
        <v>0.14324000000000001</v>
      </c>
    </row>
    <row r="5337" spans="1:6" x14ac:dyDescent="0.3">
      <c r="A5337" t="s">
        <v>5</v>
      </c>
      <c r="B5337" s="1">
        <v>45880</v>
      </c>
      <c r="C5337">
        <v>9</v>
      </c>
      <c r="D5337">
        <v>5.8000000000000003E-2</v>
      </c>
      <c r="E5337" t="s">
        <v>6</v>
      </c>
      <c r="F5337">
        <v>0.16086</v>
      </c>
    </row>
    <row r="5338" spans="1:6" x14ac:dyDescent="0.3">
      <c r="A5338" t="s">
        <v>5</v>
      </c>
      <c r="B5338" s="1">
        <v>45880</v>
      </c>
      <c r="C5338">
        <v>10</v>
      </c>
      <c r="D5338">
        <v>7.4999999999999997E-2</v>
      </c>
      <c r="E5338" t="s">
        <v>6</v>
      </c>
      <c r="F5338">
        <v>0.12171999999999999</v>
      </c>
    </row>
    <row r="5339" spans="1:6" x14ac:dyDescent="0.3">
      <c r="A5339" t="s">
        <v>5</v>
      </c>
      <c r="B5339" s="1">
        <v>45880</v>
      </c>
      <c r="C5339">
        <v>11</v>
      </c>
      <c r="D5339">
        <v>7.1999999999999995E-2</v>
      </c>
      <c r="E5339" t="s">
        <v>6</v>
      </c>
      <c r="F5339">
        <v>0.16366</v>
      </c>
    </row>
    <row r="5340" spans="1:6" x14ac:dyDescent="0.3">
      <c r="A5340" t="s">
        <v>5</v>
      </c>
      <c r="B5340" s="1">
        <v>45880</v>
      </c>
      <c r="C5340">
        <v>12</v>
      </c>
      <c r="D5340">
        <v>5.8000000000000003E-2</v>
      </c>
      <c r="E5340" t="s">
        <v>6</v>
      </c>
      <c r="F5340">
        <v>0.13936999999999999</v>
      </c>
    </row>
    <row r="5341" spans="1:6" x14ac:dyDescent="0.3">
      <c r="A5341" t="s">
        <v>5</v>
      </c>
      <c r="B5341" s="1">
        <v>45880</v>
      </c>
      <c r="C5341">
        <v>13</v>
      </c>
      <c r="D5341">
        <v>7.6999999999999999E-2</v>
      </c>
      <c r="E5341" t="s">
        <v>6</v>
      </c>
      <c r="F5341">
        <v>0.13105</v>
      </c>
    </row>
    <row r="5342" spans="1:6" x14ac:dyDescent="0.3">
      <c r="A5342" t="s">
        <v>5</v>
      </c>
      <c r="B5342" s="1">
        <v>45880</v>
      </c>
      <c r="C5342">
        <v>14</v>
      </c>
      <c r="D5342">
        <v>7.0999999999999994E-2</v>
      </c>
      <c r="E5342" t="s">
        <v>6</v>
      </c>
      <c r="F5342">
        <v>0.12822999999999998</v>
      </c>
    </row>
    <row r="5343" spans="1:6" x14ac:dyDescent="0.3">
      <c r="A5343" t="s">
        <v>5</v>
      </c>
      <c r="B5343" s="1">
        <v>45880</v>
      </c>
      <c r="C5343">
        <v>15</v>
      </c>
      <c r="D5343">
        <v>5.7000000000000002E-2</v>
      </c>
      <c r="E5343" t="s">
        <v>6</v>
      </c>
      <c r="F5343">
        <v>5.7450000000000001E-2</v>
      </c>
    </row>
    <row r="5344" spans="1:6" x14ac:dyDescent="0.3">
      <c r="A5344" t="s">
        <v>5</v>
      </c>
      <c r="B5344" s="1">
        <v>45880</v>
      </c>
      <c r="C5344">
        <v>16</v>
      </c>
      <c r="D5344">
        <v>7.9000000000000001E-2</v>
      </c>
      <c r="E5344" t="s">
        <v>6</v>
      </c>
      <c r="F5344">
        <v>5.654E-2</v>
      </c>
    </row>
    <row r="5345" spans="1:6" x14ac:dyDescent="0.3">
      <c r="A5345" t="s">
        <v>5</v>
      </c>
      <c r="B5345" s="1">
        <v>45880</v>
      </c>
      <c r="C5345">
        <v>17</v>
      </c>
      <c r="D5345">
        <v>7.0000000000000007E-2</v>
      </c>
      <c r="E5345" t="s">
        <v>6</v>
      </c>
      <c r="F5345">
        <v>9.6079999999999999E-2</v>
      </c>
    </row>
    <row r="5346" spans="1:6" x14ac:dyDescent="0.3">
      <c r="A5346" t="s">
        <v>5</v>
      </c>
      <c r="B5346" s="1">
        <v>45880</v>
      </c>
      <c r="C5346">
        <v>18</v>
      </c>
      <c r="D5346">
        <v>5.8000000000000003E-2</v>
      </c>
      <c r="E5346" t="s">
        <v>6</v>
      </c>
      <c r="F5346">
        <v>0.11015000000000001</v>
      </c>
    </row>
    <row r="5347" spans="1:6" x14ac:dyDescent="0.3">
      <c r="A5347" t="s">
        <v>5</v>
      </c>
      <c r="B5347" s="1">
        <v>45880</v>
      </c>
      <c r="C5347">
        <v>19</v>
      </c>
      <c r="D5347">
        <v>8.1000000000000003E-2</v>
      </c>
      <c r="E5347" t="s">
        <v>6</v>
      </c>
      <c r="F5347">
        <v>0.2127</v>
      </c>
    </row>
    <row r="5348" spans="1:6" x14ac:dyDescent="0.3">
      <c r="A5348" t="s">
        <v>5</v>
      </c>
      <c r="B5348" s="1">
        <v>45880</v>
      </c>
      <c r="C5348">
        <v>20</v>
      </c>
      <c r="D5348">
        <v>7.0000000000000007E-2</v>
      </c>
      <c r="E5348" t="s">
        <v>6</v>
      </c>
      <c r="F5348">
        <v>0.23580999999999999</v>
      </c>
    </row>
    <row r="5349" spans="1:6" x14ac:dyDescent="0.3">
      <c r="A5349" t="s">
        <v>5</v>
      </c>
      <c r="B5349" s="1">
        <v>45880</v>
      </c>
      <c r="C5349">
        <v>21</v>
      </c>
      <c r="D5349">
        <v>5.8999999999999997E-2</v>
      </c>
      <c r="E5349" t="s">
        <v>6</v>
      </c>
      <c r="F5349">
        <v>0.26776</v>
      </c>
    </row>
    <row r="5350" spans="1:6" x14ac:dyDescent="0.3">
      <c r="A5350" t="s">
        <v>5</v>
      </c>
      <c r="B5350" s="1">
        <v>45880</v>
      </c>
      <c r="C5350">
        <v>22</v>
      </c>
      <c r="D5350">
        <v>0.08</v>
      </c>
      <c r="E5350" t="s">
        <v>6</v>
      </c>
      <c r="F5350">
        <v>0.27882000000000001</v>
      </c>
    </row>
    <row r="5351" spans="1:6" x14ac:dyDescent="0.3">
      <c r="A5351" t="s">
        <v>5</v>
      </c>
      <c r="B5351" s="1">
        <v>45880</v>
      </c>
      <c r="C5351">
        <v>23</v>
      </c>
      <c r="D5351">
        <v>7.0000000000000007E-2</v>
      </c>
      <c r="E5351" t="s">
        <v>6</v>
      </c>
      <c r="F5351">
        <v>0.20122000000000001</v>
      </c>
    </row>
    <row r="5352" spans="1:6" x14ac:dyDescent="0.3">
      <c r="A5352" t="s">
        <v>5</v>
      </c>
      <c r="B5352" s="1">
        <v>45880</v>
      </c>
      <c r="C5352">
        <v>24</v>
      </c>
      <c r="D5352">
        <v>5.8000000000000003E-2</v>
      </c>
      <c r="E5352" t="s">
        <v>6</v>
      </c>
      <c r="F5352">
        <v>0.17638999999999999</v>
      </c>
    </row>
    <row r="5353" spans="1:6" x14ac:dyDescent="0.3">
      <c r="A5353" t="s">
        <v>5</v>
      </c>
      <c r="B5353" s="1">
        <v>45881</v>
      </c>
      <c r="C5353">
        <v>1</v>
      </c>
      <c r="D5353">
        <v>8.2000000000000003E-2</v>
      </c>
      <c r="E5353" t="s">
        <v>6</v>
      </c>
      <c r="F5353">
        <v>0.14044999999999999</v>
      </c>
    </row>
    <row r="5354" spans="1:6" x14ac:dyDescent="0.3">
      <c r="A5354" t="s">
        <v>5</v>
      </c>
      <c r="B5354" s="1">
        <v>45881</v>
      </c>
      <c r="C5354">
        <v>2</v>
      </c>
      <c r="D5354">
        <v>6.9000000000000006E-2</v>
      </c>
      <c r="E5354" t="s">
        <v>6</v>
      </c>
      <c r="F5354">
        <v>0.13061</v>
      </c>
    </row>
    <row r="5355" spans="1:6" x14ac:dyDescent="0.3">
      <c r="A5355" t="s">
        <v>5</v>
      </c>
      <c r="B5355" s="1">
        <v>45881</v>
      </c>
      <c r="C5355">
        <v>3</v>
      </c>
      <c r="D5355">
        <v>5.8999999999999997E-2</v>
      </c>
      <c r="E5355" t="s">
        <v>6</v>
      </c>
      <c r="F5355">
        <v>0.13656000000000001</v>
      </c>
    </row>
    <row r="5356" spans="1:6" x14ac:dyDescent="0.3">
      <c r="A5356" t="s">
        <v>5</v>
      </c>
      <c r="B5356" s="1">
        <v>45881</v>
      </c>
      <c r="C5356">
        <v>4</v>
      </c>
      <c r="D5356">
        <v>8.3000000000000004E-2</v>
      </c>
      <c r="E5356" t="s">
        <v>6</v>
      </c>
      <c r="F5356">
        <v>0.13372999999999999</v>
      </c>
    </row>
    <row r="5357" spans="1:6" x14ac:dyDescent="0.3">
      <c r="A5357" t="s">
        <v>5</v>
      </c>
      <c r="B5357" s="1">
        <v>45881</v>
      </c>
      <c r="C5357">
        <v>5</v>
      </c>
      <c r="D5357">
        <v>6.8000000000000005E-2</v>
      </c>
      <c r="E5357" t="s">
        <v>6</v>
      </c>
      <c r="F5357">
        <v>0.13341</v>
      </c>
    </row>
    <row r="5358" spans="1:6" x14ac:dyDescent="0.3">
      <c r="A5358" t="s">
        <v>5</v>
      </c>
      <c r="B5358" s="1">
        <v>45881</v>
      </c>
      <c r="C5358">
        <v>6</v>
      </c>
      <c r="D5358">
        <v>5.8999999999999997E-2</v>
      </c>
      <c r="E5358" t="s">
        <v>6</v>
      </c>
      <c r="F5358">
        <v>0.13374</v>
      </c>
    </row>
    <row r="5359" spans="1:6" x14ac:dyDescent="0.3">
      <c r="A5359" t="s">
        <v>5</v>
      </c>
      <c r="B5359" s="1">
        <v>45881</v>
      </c>
      <c r="C5359">
        <v>7</v>
      </c>
      <c r="D5359">
        <v>8.2000000000000003E-2</v>
      </c>
      <c r="E5359" t="s">
        <v>6</v>
      </c>
      <c r="F5359">
        <v>0.13065000000000002</v>
      </c>
    </row>
    <row r="5360" spans="1:6" x14ac:dyDescent="0.3">
      <c r="A5360" t="s">
        <v>5</v>
      </c>
      <c r="B5360" s="1">
        <v>45881</v>
      </c>
      <c r="C5360">
        <v>8</v>
      </c>
      <c r="D5360">
        <v>6.7000000000000004E-2</v>
      </c>
      <c r="E5360" t="s">
        <v>6</v>
      </c>
      <c r="F5360">
        <v>0.14427999999999999</v>
      </c>
    </row>
    <row r="5361" spans="1:6" x14ac:dyDescent="0.3">
      <c r="A5361" t="s">
        <v>5</v>
      </c>
      <c r="B5361" s="1">
        <v>45881</v>
      </c>
      <c r="C5361">
        <v>9</v>
      </c>
      <c r="D5361">
        <v>5.8999999999999997E-2</v>
      </c>
      <c r="E5361" t="s">
        <v>6</v>
      </c>
      <c r="F5361">
        <v>0.15594999999999998</v>
      </c>
    </row>
    <row r="5362" spans="1:6" x14ac:dyDescent="0.3">
      <c r="A5362" t="s">
        <v>5</v>
      </c>
      <c r="B5362" s="1">
        <v>45881</v>
      </c>
      <c r="C5362">
        <v>10</v>
      </c>
      <c r="D5362">
        <v>8.2000000000000003E-2</v>
      </c>
      <c r="E5362" t="s">
        <v>6</v>
      </c>
      <c r="F5362">
        <v>0.15178999999999998</v>
      </c>
    </row>
    <row r="5363" spans="1:6" x14ac:dyDescent="0.3">
      <c r="A5363" t="s">
        <v>5</v>
      </c>
      <c r="B5363" s="1">
        <v>45881</v>
      </c>
      <c r="C5363">
        <v>11</v>
      </c>
      <c r="D5363">
        <v>6.7000000000000004E-2</v>
      </c>
      <c r="E5363" t="s">
        <v>6</v>
      </c>
      <c r="F5363">
        <v>0.18362000000000001</v>
      </c>
    </row>
    <row r="5364" spans="1:6" x14ac:dyDescent="0.3">
      <c r="A5364" t="s">
        <v>5</v>
      </c>
      <c r="B5364" s="1">
        <v>45881</v>
      </c>
      <c r="C5364">
        <v>12</v>
      </c>
      <c r="D5364">
        <v>5.8000000000000003E-2</v>
      </c>
      <c r="E5364" t="s">
        <v>6</v>
      </c>
      <c r="F5364">
        <v>0.15533000000000002</v>
      </c>
    </row>
    <row r="5365" spans="1:6" x14ac:dyDescent="0.3">
      <c r="A5365" t="s">
        <v>5</v>
      </c>
      <c r="B5365" s="1">
        <v>45881</v>
      </c>
      <c r="C5365">
        <v>13</v>
      </c>
      <c r="D5365">
        <v>8.2000000000000003E-2</v>
      </c>
      <c r="E5365" t="s">
        <v>6</v>
      </c>
      <c r="F5365">
        <v>0.13871</v>
      </c>
    </row>
    <row r="5366" spans="1:6" x14ac:dyDescent="0.3">
      <c r="A5366" t="s">
        <v>5</v>
      </c>
      <c r="B5366" s="1">
        <v>45881</v>
      </c>
      <c r="C5366">
        <v>14</v>
      </c>
      <c r="D5366">
        <v>6.7000000000000004E-2</v>
      </c>
      <c r="E5366" t="s">
        <v>6</v>
      </c>
      <c r="F5366">
        <v>0.13541999999999998</v>
      </c>
    </row>
    <row r="5367" spans="1:6" x14ac:dyDescent="0.3">
      <c r="A5367" t="s">
        <v>5</v>
      </c>
      <c r="B5367" s="1">
        <v>45881</v>
      </c>
      <c r="C5367">
        <v>15</v>
      </c>
      <c r="D5367">
        <v>5.8000000000000003E-2</v>
      </c>
      <c r="E5367" t="s">
        <v>6</v>
      </c>
      <c r="F5367">
        <v>7.1569999999999995E-2</v>
      </c>
    </row>
    <row r="5368" spans="1:6" x14ac:dyDescent="0.3">
      <c r="A5368" t="s">
        <v>5</v>
      </c>
      <c r="B5368" s="1">
        <v>45881</v>
      </c>
      <c r="C5368">
        <v>16</v>
      </c>
      <c r="D5368">
        <v>8.3000000000000004E-2</v>
      </c>
      <c r="E5368" t="s">
        <v>6</v>
      </c>
      <c r="F5368">
        <v>8.0269999999999994E-2</v>
      </c>
    </row>
    <row r="5369" spans="1:6" x14ac:dyDescent="0.3">
      <c r="A5369" t="s">
        <v>5</v>
      </c>
      <c r="B5369" s="1">
        <v>45881</v>
      </c>
      <c r="C5369">
        <v>17</v>
      </c>
      <c r="D5369">
        <v>6.8000000000000005E-2</v>
      </c>
      <c r="E5369" t="s">
        <v>6</v>
      </c>
      <c r="F5369">
        <v>0.11425</v>
      </c>
    </row>
    <row r="5370" spans="1:6" x14ac:dyDescent="0.3">
      <c r="A5370" t="s">
        <v>5</v>
      </c>
      <c r="B5370" s="1">
        <v>45881</v>
      </c>
      <c r="C5370">
        <v>18</v>
      </c>
      <c r="D5370">
        <v>5.8000000000000003E-2</v>
      </c>
      <c r="E5370" t="s">
        <v>6</v>
      </c>
      <c r="F5370">
        <v>0.13794999999999999</v>
      </c>
    </row>
    <row r="5371" spans="1:6" x14ac:dyDescent="0.3">
      <c r="A5371" t="s">
        <v>5</v>
      </c>
      <c r="B5371" s="1">
        <v>45881</v>
      </c>
      <c r="C5371">
        <v>19</v>
      </c>
      <c r="D5371">
        <v>8.3000000000000004E-2</v>
      </c>
      <c r="E5371" t="s">
        <v>6</v>
      </c>
      <c r="F5371">
        <v>0.21897</v>
      </c>
    </row>
    <row r="5372" spans="1:6" x14ac:dyDescent="0.3">
      <c r="A5372" t="s">
        <v>5</v>
      </c>
      <c r="B5372" s="1">
        <v>45881</v>
      </c>
      <c r="C5372">
        <v>20</v>
      </c>
      <c r="D5372">
        <v>6.9000000000000006E-2</v>
      </c>
      <c r="E5372" t="s">
        <v>6</v>
      </c>
      <c r="F5372">
        <v>0.24353999999999998</v>
      </c>
    </row>
    <row r="5373" spans="1:6" x14ac:dyDescent="0.3">
      <c r="A5373" t="s">
        <v>5</v>
      </c>
      <c r="B5373" s="1">
        <v>45881</v>
      </c>
      <c r="C5373">
        <v>21</v>
      </c>
      <c r="D5373">
        <v>0.06</v>
      </c>
      <c r="E5373" t="s">
        <v>6</v>
      </c>
      <c r="F5373">
        <v>0.28949999999999998</v>
      </c>
    </row>
    <row r="5374" spans="1:6" x14ac:dyDescent="0.3">
      <c r="A5374" t="s">
        <v>5</v>
      </c>
      <c r="B5374" s="1">
        <v>45881</v>
      </c>
      <c r="C5374">
        <v>22</v>
      </c>
      <c r="D5374">
        <v>8.1000000000000003E-2</v>
      </c>
      <c r="E5374" t="s">
        <v>6</v>
      </c>
      <c r="F5374">
        <v>0.26789999999999997</v>
      </c>
    </row>
    <row r="5375" spans="1:6" x14ac:dyDescent="0.3">
      <c r="A5375" t="s">
        <v>5</v>
      </c>
      <c r="B5375" s="1">
        <v>45881</v>
      </c>
      <c r="C5375">
        <v>23</v>
      </c>
      <c r="D5375">
        <v>7.1999999999999995E-2</v>
      </c>
      <c r="E5375" t="s">
        <v>6</v>
      </c>
      <c r="F5375">
        <v>0.18658000000000002</v>
      </c>
    </row>
    <row r="5376" spans="1:6" x14ac:dyDescent="0.3">
      <c r="A5376" t="s">
        <v>5</v>
      </c>
      <c r="B5376" s="1">
        <v>45881</v>
      </c>
      <c r="C5376">
        <v>24</v>
      </c>
      <c r="D5376">
        <v>5.8999999999999997E-2</v>
      </c>
      <c r="E5376" t="s">
        <v>6</v>
      </c>
      <c r="F5376">
        <v>0.16894999999999999</v>
      </c>
    </row>
    <row r="5377" spans="1:6" x14ac:dyDescent="0.3">
      <c r="A5377" t="s">
        <v>5</v>
      </c>
      <c r="B5377" s="1">
        <v>45882</v>
      </c>
      <c r="C5377">
        <v>1</v>
      </c>
      <c r="D5377">
        <v>7.8E-2</v>
      </c>
      <c r="E5377" t="s">
        <v>6</v>
      </c>
      <c r="F5377">
        <v>0.13636000000000001</v>
      </c>
    </row>
    <row r="5378" spans="1:6" x14ac:dyDescent="0.3">
      <c r="A5378" t="s">
        <v>5</v>
      </c>
      <c r="B5378" s="1">
        <v>45882</v>
      </c>
      <c r="C5378">
        <v>2</v>
      </c>
      <c r="D5378">
        <v>7.4999999999999997E-2</v>
      </c>
      <c r="E5378" t="s">
        <v>6</v>
      </c>
      <c r="F5378">
        <v>0.13749</v>
      </c>
    </row>
    <row r="5379" spans="1:6" x14ac:dyDescent="0.3">
      <c r="A5379" t="s">
        <v>5</v>
      </c>
      <c r="B5379" s="1">
        <v>45882</v>
      </c>
      <c r="C5379">
        <v>3</v>
      </c>
      <c r="D5379">
        <v>5.8999999999999997E-2</v>
      </c>
      <c r="E5379" t="s">
        <v>6</v>
      </c>
      <c r="F5379">
        <v>0.13699</v>
      </c>
    </row>
    <row r="5380" spans="1:6" x14ac:dyDescent="0.3">
      <c r="A5380" t="s">
        <v>5</v>
      </c>
      <c r="B5380" s="1">
        <v>45882</v>
      </c>
      <c r="C5380">
        <v>4</v>
      </c>
      <c r="D5380">
        <v>7.5999999999999998E-2</v>
      </c>
      <c r="E5380" t="s">
        <v>6</v>
      </c>
      <c r="F5380">
        <v>0.12922999999999998</v>
      </c>
    </row>
    <row r="5381" spans="1:6" x14ac:dyDescent="0.3">
      <c r="A5381" t="s">
        <v>5</v>
      </c>
      <c r="B5381" s="1">
        <v>45882</v>
      </c>
      <c r="C5381">
        <v>5</v>
      </c>
      <c r="D5381">
        <v>7.8E-2</v>
      </c>
      <c r="E5381" t="s">
        <v>6</v>
      </c>
      <c r="F5381">
        <v>0.12767000000000001</v>
      </c>
    </row>
    <row r="5382" spans="1:6" x14ac:dyDescent="0.3">
      <c r="A5382" t="s">
        <v>5</v>
      </c>
      <c r="B5382" s="1">
        <v>45882</v>
      </c>
      <c r="C5382">
        <v>6</v>
      </c>
      <c r="D5382">
        <v>5.8999999999999997E-2</v>
      </c>
      <c r="E5382" t="s">
        <v>6</v>
      </c>
      <c r="F5382">
        <v>0.12720999999999999</v>
      </c>
    </row>
    <row r="5383" spans="1:6" x14ac:dyDescent="0.3">
      <c r="A5383" t="s">
        <v>5</v>
      </c>
      <c r="B5383" s="1">
        <v>45882</v>
      </c>
      <c r="C5383">
        <v>7</v>
      </c>
      <c r="D5383">
        <v>7.2999999999999995E-2</v>
      </c>
      <c r="E5383" t="s">
        <v>6</v>
      </c>
      <c r="F5383">
        <v>0.12961</v>
      </c>
    </row>
    <row r="5384" spans="1:6" x14ac:dyDescent="0.3">
      <c r="A5384" t="s">
        <v>5</v>
      </c>
      <c r="B5384" s="1">
        <v>45882</v>
      </c>
      <c r="C5384">
        <v>8</v>
      </c>
      <c r="D5384">
        <v>0.107</v>
      </c>
      <c r="E5384" t="s">
        <v>6</v>
      </c>
      <c r="F5384">
        <v>0.14902000000000001</v>
      </c>
    </row>
    <row r="5385" spans="1:6" x14ac:dyDescent="0.3">
      <c r="A5385" t="s">
        <v>5</v>
      </c>
      <c r="B5385" s="1">
        <v>45882</v>
      </c>
      <c r="C5385">
        <v>9</v>
      </c>
      <c r="D5385">
        <v>0.128</v>
      </c>
      <c r="E5385" t="s">
        <v>6</v>
      </c>
      <c r="F5385">
        <v>0.16864999999999999</v>
      </c>
    </row>
    <row r="5386" spans="1:6" x14ac:dyDescent="0.3">
      <c r="A5386" t="s">
        <v>5</v>
      </c>
      <c r="B5386" s="1">
        <v>45882</v>
      </c>
      <c r="C5386">
        <v>10</v>
      </c>
      <c r="D5386">
        <v>8.5999999999999993E-2</v>
      </c>
      <c r="E5386" t="s">
        <v>6</v>
      </c>
      <c r="F5386">
        <v>0.14474999999999999</v>
      </c>
    </row>
    <row r="5387" spans="1:6" x14ac:dyDescent="0.3">
      <c r="A5387" t="s">
        <v>5</v>
      </c>
      <c r="B5387" s="1">
        <v>45882</v>
      </c>
      <c r="C5387">
        <v>11</v>
      </c>
      <c r="D5387">
        <v>6.3E-2</v>
      </c>
      <c r="E5387" t="s">
        <v>6</v>
      </c>
      <c r="F5387">
        <v>0.20513000000000001</v>
      </c>
    </row>
    <row r="5388" spans="1:6" x14ac:dyDescent="0.3">
      <c r="A5388" t="s">
        <v>5</v>
      </c>
      <c r="B5388" s="1">
        <v>45882</v>
      </c>
      <c r="C5388">
        <v>12</v>
      </c>
      <c r="D5388">
        <v>6.7000000000000004E-2</v>
      </c>
      <c r="E5388" t="s">
        <v>6</v>
      </c>
      <c r="F5388">
        <v>0.18731</v>
      </c>
    </row>
    <row r="5389" spans="1:6" x14ac:dyDescent="0.3">
      <c r="A5389" t="s">
        <v>5</v>
      </c>
      <c r="B5389" s="1">
        <v>45882</v>
      </c>
      <c r="C5389">
        <v>13</v>
      </c>
      <c r="D5389">
        <v>8.4000000000000005E-2</v>
      </c>
      <c r="E5389" t="s">
        <v>6</v>
      </c>
      <c r="F5389">
        <v>0.17846000000000001</v>
      </c>
    </row>
    <row r="5390" spans="1:6" x14ac:dyDescent="0.3">
      <c r="A5390" t="s">
        <v>5</v>
      </c>
      <c r="B5390" s="1">
        <v>45882</v>
      </c>
      <c r="C5390">
        <v>14</v>
      </c>
      <c r="D5390">
        <v>5.8999999999999997E-2</v>
      </c>
      <c r="E5390" t="s">
        <v>6</v>
      </c>
      <c r="F5390">
        <v>0.17202000000000001</v>
      </c>
    </row>
    <row r="5391" spans="1:6" x14ac:dyDescent="0.3">
      <c r="A5391" t="s">
        <v>5</v>
      </c>
      <c r="B5391" s="1">
        <v>45882</v>
      </c>
      <c r="C5391">
        <v>15</v>
      </c>
      <c r="D5391">
        <v>6.8000000000000005E-2</v>
      </c>
      <c r="E5391" t="s">
        <v>6</v>
      </c>
      <c r="F5391">
        <v>0.11019</v>
      </c>
    </row>
    <row r="5392" spans="1:6" x14ac:dyDescent="0.3">
      <c r="A5392" t="s">
        <v>5</v>
      </c>
      <c r="B5392" s="1">
        <v>45882</v>
      </c>
      <c r="C5392">
        <v>16</v>
      </c>
      <c r="D5392">
        <v>8.1000000000000003E-2</v>
      </c>
      <c r="E5392" t="s">
        <v>6</v>
      </c>
      <c r="F5392">
        <v>0.11767</v>
      </c>
    </row>
    <row r="5393" spans="1:6" x14ac:dyDescent="0.3">
      <c r="A5393" t="s">
        <v>5</v>
      </c>
      <c r="B5393" s="1">
        <v>45882</v>
      </c>
      <c r="C5393">
        <v>17</v>
      </c>
      <c r="D5393">
        <v>5.8999999999999997E-2</v>
      </c>
      <c r="E5393" t="s">
        <v>6</v>
      </c>
      <c r="F5393">
        <v>0.13161</v>
      </c>
    </row>
    <row r="5394" spans="1:6" x14ac:dyDescent="0.3">
      <c r="A5394" t="s">
        <v>5</v>
      </c>
      <c r="B5394" s="1">
        <v>45882</v>
      </c>
      <c r="C5394">
        <v>18</v>
      </c>
      <c r="D5394">
        <v>7.2999999999999995E-2</v>
      </c>
      <c r="E5394" t="s">
        <v>6</v>
      </c>
      <c r="F5394">
        <v>0.14255000000000001</v>
      </c>
    </row>
    <row r="5395" spans="1:6" x14ac:dyDescent="0.3">
      <c r="A5395" t="s">
        <v>5</v>
      </c>
      <c r="B5395" s="1">
        <v>45882</v>
      </c>
      <c r="C5395">
        <v>19</v>
      </c>
      <c r="D5395">
        <v>7.9000000000000001E-2</v>
      </c>
      <c r="E5395" t="s">
        <v>6</v>
      </c>
      <c r="F5395">
        <v>0.22386</v>
      </c>
    </row>
    <row r="5396" spans="1:6" x14ac:dyDescent="0.3">
      <c r="A5396" t="s">
        <v>5</v>
      </c>
      <c r="B5396" s="1">
        <v>45882</v>
      </c>
      <c r="C5396">
        <v>20</v>
      </c>
      <c r="D5396">
        <v>5.8999999999999997E-2</v>
      </c>
      <c r="E5396" t="s">
        <v>6</v>
      </c>
      <c r="F5396">
        <v>0.22644999999999998</v>
      </c>
    </row>
    <row r="5397" spans="1:6" x14ac:dyDescent="0.3">
      <c r="A5397" t="s">
        <v>5</v>
      </c>
      <c r="B5397" s="1">
        <v>45882</v>
      </c>
      <c r="C5397">
        <v>21</v>
      </c>
      <c r="D5397">
        <v>7.5999999999999998E-2</v>
      </c>
      <c r="E5397" t="s">
        <v>6</v>
      </c>
      <c r="F5397">
        <v>0.2802</v>
      </c>
    </row>
    <row r="5398" spans="1:6" x14ac:dyDescent="0.3">
      <c r="A5398" t="s">
        <v>5</v>
      </c>
      <c r="B5398" s="1">
        <v>45882</v>
      </c>
      <c r="C5398">
        <v>22</v>
      </c>
      <c r="D5398">
        <v>7.5999999999999998E-2</v>
      </c>
      <c r="E5398" t="s">
        <v>6</v>
      </c>
      <c r="F5398">
        <v>0.27556000000000003</v>
      </c>
    </row>
    <row r="5399" spans="1:6" x14ac:dyDescent="0.3">
      <c r="A5399" t="s">
        <v>5</v>
      </c>
      <c r="B5399" s="1">
        <v>45882</v>
      </c>
      <c r="C5399">
        <v>23</v>
      </c>
      <c r="D5399">
        <v>5.8000000000000003E-2</v>
      </c>
      <c r="E5399" t="s">
        <v>6</v>
      </c>
      <c r="F5399">
        <v>0.17684</v>
      </c>
    </row>
    <row r="5400" spans="1:6" x14ac:dyDescent="0.3">
      <c r="A5400" t="s">
        <v>5</v>
      </c>
      <c r="B5400" s="1">
        <v>45882</v>
      </c>
      <c r="C5400">
        <v>24</v>
      </c>
      <c r="D5400">
        <v>8.1000000000000003E-2</v>
      </c>
      <c r="E5400" t="s">
        <v>6</v>
      </c>
      <c r="F5400">
        <v>0.15908</v>
      </c>
    </row>
    <row r="5401" spans="1:6" x14ac:dyDescent="0.3">
      <c r="A5401" t="s">
        <v>5</v>
      </c>
      <c r="B5401" s="1">
        <v>45883</v>
      </c>
      <c r="C5401">
        <v>1</v>
      </c>
      <c r="D5401">
        <v>7.0000000000000007E-2</v>
      </c>
      <c r="E5401" t="s">
        <v>6</v>
      </c>
      <c r="F5401">
        <v>0.15784000000000001</v>
      </c>
    </row>
    <row r="5402" spans="1:6" x14ac:dyDescent="0.3">
      <c r="A5402" t="s">
        <v>5</v>
      </c>
      <c r="B5402" s="1">
        <v>45883</v>
      </c>
      <c r="C5402">
        <v>2</v>
      </c>
      <c r="D5402">
        <v>5.8999999999999997E-2</v>
      </c>
      <c r="E5402" t="s">
        <v>6</v>
      </c>
      <c r="F5402">
        <v>0.14433000000000001</v>
      </c>
    </row>
    <row r="5403" spans="1:6" x14ac:dyDescent="0.3">
      <c r="A5403" t="s">
        <v>5</v>
      </c>
      <c r="B5403" s="1">
        <v>45883</v>
      </c>
      <c r="C5403">
        <v>3</v>
      </c>
      <c r="D5403">
        <v>8.5000000000000006E-2</v>
      </c>
      <c r="E5403" t="s">
        <v>6</v>
      </c>
      <c r="F5403">
        <v>0.13861999999999999</v>
      </c>
    </row>
    <row r="5404" spans="1:6" x14ac:dyDescent="0.3">
      <c r="A5404" t="s">
        <v>5</v>
      </c>
      <c r="B5404" s="1">
        <v>45883</v>
      </c>
      <c r="C5404">
        <v>4</v>
      </c>
      <c r="D5404">
        <v>6.4000000000000001E-2</v>
      </c>
      <c r="E5404" t="s">
        <v>6</v>
      </c>
      <c r="F5404">
        <v>0.12993000000000002</v>
      </c>
    </row>
    <row r="5405" spans="1:6" x14ac:dyDescent="0.3">
      <c r="A5405" t="s">
        <v>5</v>
      </c>
      <c r="B5405" s="1">
        <v>45883</v>
      </c>
      <c r="C5405">
        <v>5</v>
      </c>
      <c r="D5405">
        <v>6.4000000000000001E-2</v>
      </c>
      <c r="E5405" t="s">
        <v>6</v>
      </c>
      <c r="F5405">
        <v>0.12623000000000001</v>
      </c>
    </row>
    <row r="5406" spans="1:6" x14ac:dyDescent="0.3">
      <c r="A5406" t="s">
        <v>5</v>
      </c>
      <c r="B5406" s="1">
        <v>45883</v>
      </c>
      <c r="C5406">
        <v>6</v>
      </c>
      <c r="D5406">
        <v>8.4000000000000005E-2</v>
      </c>
      <c r="E5406" t="s">
        <v>6</v>
      </c>
      <c r="F5406">
        <v>0.12479000000000001</v>
      </c>
    </row>
    <row r="5407" spans="1:6" x14ac:dyDescent="0.3">
      <c r="A5407" t="s">
        <v>5</v>
      </c>
      <c r="B5407" s="1">
        <v>45883</v>
      </c>
      <c r="C5407">
        <v>7</v>
      </c>
      <c r="D5407">
        <v>0.06</v>
      </c>
      <c r="E5407" t="s">
        <v>6</v>
      </c>
      <c r="F5407">
        <v>0.13413</v>
      </c>
    </row>
    <row r="5408" spans="1:6" x14ac:dyDescent="0.3">
      <c r="A5408" t="s">
        <v>5</v>
      </c>
      <c r="B5408" s="1">
        <v>45883</v>
      </c>
      <c r="C5408">
        <v>8</v>
      </c>
      <c r="D5408">
        <v>6.8000000000000005E-2</v>
      </c>
      <c r="E5408" t="s">
        <v>6</v>
      </c>
      <c r="F5408">
        <v>0.1411</v>
      </c>
    </row>
    <row r="5409" spans="1:6" x14ac:dyDescent="0.3">
      <c r="A5409" t="s">
        <v>5</v>
      </c>
      <c r="B5409" s="1">
        <v>45883</v>
      </c>
      <c r="C5409">
        <v>9</v>
      </c>
      <c r="D5409">
        <v>8.1000000000000003E-2</v>
      </c>
      <c r="E5409" t="s">
        <v>6</v>
      </c>
      <c r="F5409">
        <v>0.15211000000000002</v>
      </c>
    </row>
    <row r="5410" spans="1:6" x14ac:dyDescent="0.3">
      <c r="A5410" t="s">
        <v>5</v>
      </c>
      <c r="B5410" s="1">
        <v>45883</v>
      </c>
      <c r="C5410">
        <v>10</v>
      </c>
      <c r="D5410">
        <v>5.8000000000000003E-2</v>
      </c>
      <c r="E5410" t="s">
        <v>6</v>
      </c>
      <c r="F5410">
        <v>0.14294999999999999</v>
      </c>
    </row>
    <row r="5411" spans="1:6" x14ac:dyDescent="0.3">
      <c r="A5411" t="s">
        <v>5</v>
      </c>
      <c r="B5411" s="1">
        <v>45883</v>
      </c>
      <c r="C5411">
        <v>11</v>
      </c>
      <c r="D5411">
        <v>7.3999999999999996E-2</v>
      </c>
      <c r="E5411" t="s">
        <v>6</v>
      </c>
      <c r="F5411">
        <v>0.19062000000000001</v>
      </c>
    </row>
    <row r="5412" spans="1:6" x14ac:dyDescent="0.3">
      <c r="A5412" t="s">
        <v>5</v>
      </c>
      <c r="B5412" s="1">
        <v>45883</v>
      </c>
      <c r="C5412">
        <v>12</v>
      </c>
      <c r="D5412">
        <v>7.4999999999999997E-2</v>
      </c>
      <c r="E5412" t="s">
        <v>6</v>
      </c>
      <c r="F5412">
        <v>0.18724000000000002</v>
      </c>
    </row>
    <row r="5413" spans="1:6" x14ac:dyDescent="0.3">
      <c r="A5413" t="s">
        <v>5</v>
      </c>
      <c r="B5413" s="1">
        <v>45883</v>
      </c>
      <c r="C5413">
        <v>13</v>
      </c>
      <c r="D5413">
        <v>5.8999999999999997E-2</v>
      </c>
      <c r="E5413" t="s">
        <v>6</v>
      </c>
      <c r="F5413">
        <v>0.17233000000000001</v>
      </c>
    </row>
    <row r="5414" spans="1:6" x14ac:dyDescent="0.3">
      <c r="A5414" t="s">
        <v>5</v>
      </c>
      <c r="B5414" s="1">
        <v>45883</v>
      </c>
      <c r="C5414">
        <v>14</v>
      </c>
      <c r="D5414">
        <v>7.8E-2</v>
      </c>
      <c r="E5414" t="s">
        <v>6</v>
      </c>
      <c r="F5414">
        <v>0.15591999999999998</v>
      </c>
    </row>
    <row r="5415" spans="1:6" x14ac:dyDescent="0.3">
      <c r="A5415" t="s">
        <v>5</v>
      </c>
      <c r="B5415" s="1">
        <v>45883</v>
      </c>
      <c r="C5415">
        <v>15</v>
      </c>
      <c r="D5415">
        <v>7.0999999999999994E-2</v>
      </c>
      <c r="E5415" t="s">
        <v>6</v>
      </c>
      <c r="F5415">
        <v>0.10465000000000001</v>
      </c>
    </row>
    <row r="5416" spans="1:6" x14ac:dyDescent="0.3">
      <c r="A5416" t="s">
        <v>5</v>
      </c>
      <c r="B5416" s="1">
        <v>45883</v>
      </c>
      <c r="C5416">
        <v>16</v>
      </c>
      <c r="D5416">
        <v>5.8999999999999997E-2</v>
      </c>
      <c r="E5416" t="s">
        <v>6</v>
      </c>
      <c r="F5416">
        <v>0.12168999999999999</v>
      </c>
    </row>
    <row r="5417" spans="1:6" x14ac:dyDescent="0.3">
      <c r="A5417" t="s">
        <v>5</v>
      </c>
      <c r="B5417" s="1">
        <v>45883</v>
      </c>
      <c r="C5417">
        <v>17</v>
      </c>
      <c r="D5417">
        <v>8.2000000000000003E-2</v>
      </c>
      <c r="E5417" t="s">
        <v>6</v>
      </c>
      <c r="F5417">
        <v>0.12379000000000001</v>
      </c>
    </row>
    <row r="5418" spans="1:6" x14ac:dyDescent="0.3">
      <c r="A5418" t="s">
        <v>5</v>
      </c>
      <c r="B5418" s="1">
        <v>45883</v>
      </c>
      <c r="C5418">
        <v>18</v>
      </c>
      <c r="D5418">
        <v>6.9000000000000006E-2</v>
      </c>
      <c r="E5418" t="s">
        <v>6</v>
      </c>
      <c r="F5418">
        <v>0.13243000000000002</v>
      </c>
    </row>
    <row r="5419" spans="1:6" x14ac:dyDescent="0.3">
      <c r="A5419" t="s">
        <v>5</v>
      </c>
      <c r="B5419" s="1">
        <v>45883</v>
      </c>
      <c r="C5419">
        <v>19</v>
      </c>
      <c r="D5419">
        <v>0.06</v>
      </c>
      <c r="E5419" t="s">
        <v>6</v>
      </c>
      <c r="F5419">
        <v>0.22084999999999999</v>
      </c>
    </row>
    <row r="5420" spans="1:6" x14ac:dyDescent="0.3">
      <c r="A5420" t="s">
        <v>5</v>
      </c>
      <c r="B5420" s="1">
        <v>45883</v>
      </c>
      <c r="C5420">
        <v>20</v>
      </c>
      <c r="D5420">
        <v>8.5000000000000006E-2</v>
      </c>
      <c r="E5420" t="s">
        <v>6</v>
      </c>
      <c r="F5420">
        <v>0.23274</v>
      </c>
    </row>
    <row r="5421" spans="1:6" x14ac:dyDescent="0.3">
      <c r="A5421" t="s">
        <v>5</v>
      </c>
      <c r="B5421" s="1">
        <v>45883</v>
      </c>
      <c r="C5421">
        <v>21</v>
      </c>
      <c r="D5421">
        <v>6.4000000000000001E-2</v>
      </c>
      <c r="E5421" t="s">
        <v>6</v>
      </c>
      <c r="F5421">
        <v>0.2601</v>
      </c>
    </row>
    <row r="5422" spans="1:6" x14ac:dyDescent="0.3">
      <c r="A5422" t="s">
        <v>5</v>
      </c>
      <c r="B5422" s="1">
        <v>45883</v>
      </c>
      <c r="C5422">
        <v>22</v>
      </c>
      <c r="D5422">
        <v>6.4000000000000001E-2</v>
      </c>
      <c r="E5422" t="s">
        <v>6</v>
      </c>
      <c r="F5422">
        <v>0.27343000000000001</v>
      </c>
    </row>
    <row r="5423" spans="1:6" x14ac:dyDescent="0.3">
      <c r="A5423" t="s">
        <v>5</v>
      </c>
      <c r="B5423" s="1">
        <v>45883</v>
      </c>
      <c r="C5423">
        <v>23</v>
      </c>
      <c r="D5423">
        <v>8.5000000000000006E-2</v>
      </c>
      <c r="E5423" t="s">
        <v>6</v>
      </c>
      <c r="F5423">
        <v>0.18126</v>
      </c>
    </row>
    <row r="5424" spans="1:6" x14ac:dyDescent="0.3">
      <c r="A5424" t="s">
        <v>5</v>
      </c>
      <c r="B5424" s="1">
        <v>45883</v>
      </c>
      <c r="C5424">
        <v>24</v>
      </c>
      <c r="D5424">
        <v>6.2E-2</v>
      </c>
      <c r="E5424" t="s">
        <v>6</v>
      </c>
      <c r="F5424">
        <v>0.16650999999999999</v>
      </c>
    </row>
    <row r="5425" spans="1:6" x14ac:dyDescent="0.3">
      <c r="A5425" t="s">
        <v>5</v>
      </c>
      <c r="B5425" s="1">
        <v>45884</v>
      </c>
      <c r="C5425">
        <v>1</v>
      </c>
      <c r="D5425">
        <v>6.8000000000000005E-2</v>
      </c>
      <c r="E5425" t="s">
        <v>6</v>
      </c>
      <c r="F5425">
        <v>0.16237000000000001</v>
      </c>
    </row>
    <row r="5426" spans="1:6" x14ac:dyDescent="0.3">
      <c r="A5426" t="s">
        <v>5</v>
      </c>
      <c r="B5426" s="1">
        <v>45884</v>
      </c>
      <c r="C5426">
        <v>2</v>
      </c>
      <c r="D5426">
        <v>8.4000000000000005E-2</v>
      </c>
      <c r="E5426" t="s">
        <v>6</v>
      </c>
      <c r="F5426">
        <v>0.14806999999999998</v>
      </c>
    </row>
    <row r="5427" spans="1:6" x14ac:dyDescent="0.3">
      <c r="A5427" t="s">
        <v>5</v>
      </c>
      <c r="B5427" s="1">
        <v>45884</v>
      </c>
      <c r="C5427">
        <v>3</v>
      </c>
      <c r="D5427">
        <v>0.06</v>
      </c>
      <c r="E5427" t="s">
        <v>6</v>
      </c>
      <c r="F5427">
        <v>0.14360000000000001</v>
      </c>
    </row>
    <row r="5428" spans="1:6" x14ac:dyDescent="0.3">
      <c r="A5428" t="s">
        <v>5</v>
      </c>
      <c r="B5428" s="1">
        <v>45884</v>
      </c>
      <c r="C5428">
        <v>4</v>
      </c>
      <c r="D5428">
        <v>7.0000000000000007E-2</v>
      </c>
      <c r="E5428" t="s">
        <v>6</v>
      </c>
      <c r="F5428">
        <v>0.13586999999999999</v>
      </c>
    </row>
    <row r="5429" spans="1:6" x14ac:dyDescent="0.3">
      <c r="A5429" t="s">
        <v>5</v>
      </c>
      <c r="B5429" s="1">
        <v>45884</v>
      </c>
      <c r="C5429">
        <v>5</v>
      </c>
      <c r="D5429">
        <v>8.2000000000000003E-2</v>
      </c>
      <c r="E5429" t="s">
        <v>6</v>
      </c>
      <c r="F5429">
        <v>0.13399</v>
      </c>
    </row>
    <row r="5430" spans="1:6" x14ac:dyDescent="0.3">
      <c r="A5430" t="s">
        <v>5</v>
      </c>
      <c r="B5430" s="1">
        <v>45884</v>
      </c>
      <c r="C5430">
        <v>6</v>
      </c>
      <c r="D5430">
        <v>0.06</v>
      </c>
      <c r="E5430" t="s">
        <v>6</v>
      </c>
      <c r="F5430">
        <v>0.13109999999999999</v>
      </c>
    </row>
    <row r="5431" spans="1:6" x14ac:dyDescent="0.3">
      <c r="A5431" t="s">
        <v>5</v>
      </c>
      <c r="B5431" s="1">
        <v>45884</v>
      </c>
      <c r="C5431">
        <v>7</v>
      </c>
      <c r="D5431">
        <v>7.1999999999999995E-2</v>
      </c>
      <c r="E5431" t="s">
        <v>6</v>
      </c>
      <c r="F5431">
        <v>0.13833999999999999</v>
      </c>
    </row>
    <row r="5432" spans="1:6" x14ac:dyDescent="0.3">
      <c r="A5432" t="s">
        <v>5</v>
      </c>
      <c r="B5432" s="1">
        <v>45884</v>
      </c>
      <c r="C5432">
        <v>8</v>
      </c>
      <c r="D5432">
        <v>0.08</v>
      </c>
      <c r="E5432" t="s">
        <v>6</v>
      </c>
      <c r="F5432">
        <v>0.14746999999999999</v>
      </c>
    </row>
    <row r="5433" spans="1:6" x14ac:dyDescent="0.3">
      <c r="A5433" t="s">
        <v>5</v>
      </c>
      <c r="B5433" s="1">
        <v>45884</v>
      </c>
      <c r="C5433">
        <v>9</v>
      </c>
      <c r="D5433">
        <v>5.8000000000000003E-2</v>
      </c>
      <c r="E5433" t="s">
        <v>6</v>
      </c>
      <c r="F5433">
        <v>0.12279000000000001</v>
      </c>
    </row>
    <row r="5434" spans="1:6" x14ac:dyDescent="0.3">
      <c r="A5434" t="s">
        <v>5</v>
      </c>
      <c r="B5434" s="1">
        <v>45884</v>
      </c>
      <c r="C5434">
        <v>10</v>
      </c>
      <c r="D5434">
        <v>7.4999999999999997E-2</v>
      </c>
      <c r="E5434" t="s">
        <v>6</v>
      </c>
      <c r="F5434">
        <v>8.134000000000001E-2</v>
      </c>
    </row>
    <row r="5435" spans="1:6" x14ac:dyDescent="0.3">
      <c r="A5435" t="s">
        <v>5</v>
      </c>
      <c r="B5435" s="1">
        <v>45884</v>
      </c>
      <c r="C5435">
        <v>11</v>
      </c>
      <c r="D5435">
        <v>7.5999999999999998E-2</v>
      </c>
      <c r="E5435" t="s">
        <v>6</v>
      </c>
      <c r="F5435">
        <v>3.7880000000000004E-2</v>
      </c>
    </row>
    <row r="5436" spans="1:6" x14ac:dyDescent="0.3">
      <c r="A5436" t="s">
        <v>5</v>
      </c>
      <c r="B5436" s="1">
        <v>45884</v>
      </c>
      <c r="C5436">
        <v>12</v>
      </c>
      <c r="D5436">
        <v>5.8000000000000003E-2</v>
      </c>
      <c r="E5436" t="s">
        <v>6</v>
      </c>
      <c r="F5436">
        <v>3.2740000000000005E-2</v>
      </c>
    </row>
    <row r="5437" spans="1:6" x14ac:dyDescent="0.3">
      <c r="A5437" t="s">
        <v>5</v>
      </c>
      <c r="B5437" s="1">
        <v>45884</v>
      </c>
      <c r="C5437">
        <v>13</v>
      </c>
      <c r="D5437">
        <v>7.8E-2</v>
      </c>
      <c r="E5437" t="s">
        <v>6</v>
      </c>
      <c r="F5437">
        <v>2.895E-2</v>
      </c>
    </row>
    <row r="5438" spans="1:6" x14ac:dyDescent="0.3">
      <c r="A5438" t="s">
        <v>5</v>
      </c>
      <c r="B5438" s="1">
        <v>45884</v>
      </c>
      <c r="C5438">
        <v>14</v>
      </c>
      <c r="D5438">
        <v>7.3999999999999996E-2</v>
      </c>
      <c r="E5438" t="s">
        <v>6</v>
      </c>
      <c r="F5438">
        <v>2.801E-2</v>
      </c>
    </row>
    <row r="5439" spans="1:6" x14ac:dyDescent="0.3">
      <c r="A5439" t="s">
        <v>5</v>
      </c>
      <c r="B5439" s="1">
        <v>45884</v>
      </c>
      <c r="C5439">
        <v>15</v>
      </c>
      <c r="D5439">
        <v>5.8000000000000003E-2</v>
      </c>
      <c r="E5439" t="s">
        <v>6</v>
      </c>
      <c r="F5439">
        <v>2.7600000000000003E-2</v>
      </c>
    </row>
    <row r="5440" spans="1:6" x14ac:dyDescent="0.3">
      <c r="A5440" t="s">
        <v>5</v>
      </c>
      <c r="B5440" s="1">
        <v>45884</v>
      </c>
      <c r="C5440">
        <v>16</v>
      </c>
      <c r="D5440">
        <v>0.08</v>
      </c>
      <c r="E5440" t="s">
        <v>6</v>
      </c>
      <c r="F5440">
        <v>2.9929999999999998E-2</v>
      </c>
    </row>
    <row r="5441" spans="1:6" x14ac:dyDescent="0.3">
      <c r="A5441" t="s">
        <v>5</v>
      </c>
      <c r="B5441" s="1">
        <v>45884</v>
      </c>
      <c r="C5441">
        <v>17</v>
      </c>
      <c r="D5441">
        <v>7.1999999999999995E-2</v>
      </c>
      <c r="E5441" t="s">
        <v>6</v>
      </c>
      <c r="F5441">
        <v>5.4979999999999994E-2</v>
      </c>
    </row>
    <row r="5442" spans="1:6" x14ac:dyDescent="0.3">
      <c r="A5442" t="s">
        <v>5</v>
      </c>
      <c r="B5442" s="1">
        <v>45884</v>
      </c>
      <c r="C5442">
        <v>18</v>
      </c>
      <c r="D5442">
        <v>5.8999999999999997E-2</v>
      </c>
      <c r="E5442" t="s">
        <v>6</v>
      </c>
      <c r="F5442">
        <v>6.3060000000000005E-2</v>
      </c>
    </row>
    <row r="5443" spans="1:6" x14ac:dyDescent="0.3">
      <c r="A5443" t="s">
        <v>5</v>
      </c>
      <c r="B5443" s="1">
        <v>45884</v>
      </c>
      <c r="C5443">
        <v>19</v>
      </c>
      <c r="D5443">
        <v>8.1000000000000003E-2</v>
      </c>
      <c r="E5443" t="s">
        <v>6</v>
      </c>
      <c r="F5443">
        <v>9.7519999999999996E-2</v>
      </c>
    </row>
    <row r="5444" spans="1:6" x14ac:dyDescent="0.3">
      <c r="A5444" t="s">
        <v>5</v>
      </c>
      <c r="B5444" s="1">
        <v>45884</v>
      </c>
      <c r="C5444">
        <v>20</v>
      </c>
      <c r="D5444">
        <v>7.1999999999999995E-2</v>
      </c>
      <c r="E5444" t="s">
        <v>6</v>
      </c>
      <c r="F5444">
        <v>0.14545</v>
      </c>
    </row>
    <row r="5445" spans="1:6" x14ac:dyDescent="0.3">
      <c r="A5445" t="s">
        <v>5</v>
      </c>
      <c r="B5445" s="1">
        <v>45884</v>
      </c>
      <c r="C5445">
        <v>21</v>
      </c>
      <c r="D5445">
        <v>5.8999999999999997E-2</v>
      </c>
      <c r="E5445" t="s">
        <v>6</v>
      </c>
      <c r="F5445">
        <v>0.15508000000000002</v>
      </c>
    </row>
    <row r="5446" spans="1:6" x14ac:dyDescent="0.3">
      <c r="A5446" t="s">
        <v>5</v>
      </c>
      <c r="B5446" s="1">
        <v>45884</v>
      </c>
      <c r="C5446">
        <v>22</v>
      </c>
      <c r="D5446">
        <v>8.2000000000000003E-2</v>
      </c>
      <c r="E5446" t="s">
        <v>6</v>
      </c>
      <c r="F5446">
        <v>0.19209000000000001</v>
      </c>
    </row>
    <row r="5447" spans="1:6" x14ac:dyDescent="0.3">
      <c r="A5447" t="s">
        <v>5</v>
      </c>
      <c r="B5447" s="1">
        <v>45884</v>
      </c>
      <c r="C5447">
        <v>23</v>
      </c>
      <c r="D5447">
        <v>7.0000000000000007E-2</v>
      </c>
      <c r="E5447" t="s">
        <v>6</v>
      </c>
      <c r="F5447">
        <v>0.18944999999999998</v>
      </c>
    </row>
    <row r="5448" spans="1:6" x14ac:dyDescent="0.3">
      <c r="A5448" t="s">
        <v>5</v>
      </c>
      <c r="B5448" s="1">
        <v>45884</v>
      </c>
      <c r="C5448">
        <v>24</v>
      </c>
      <c r="D5448">
        <v>0.06</v>
      </c>
      <c r="E5448" t="s">
        <v>6</v>
      </c>
      <c r="F5448">
        <v>0.16163999999999998</v>
      </c>
    </row>
    <row r="5449" spans="1:6" x14ac:dyDescent="0.3">
      <c r="A5449" t="s">
        <v>5</v>
      </c>
      <c r="B5449" s="1">
        <v>45885</v>
      </c>
      <c r="C5449">
        <v>1</v>
      </c>
      <c r="D5449">
        <v>8.3000000000000004E-2</v>
      </c>
      <c r="E5449" t="s">
        <v>6</v>
      </c>
      <c r="F5449">
        <v>0.15646000000000002</v>
      </c>
    </row>
    <row r="5450" spans="1:6" x14ac:dyDescent="0.3">
      <c r="A5450" t="s">
        <v>5</v>
      </c>
      <c r="B5450" s="1">
        <v>45885</v>
      </c>
      <c r="C5450">
        <v>2</v>
      </c>
      <c r="D5450">
        <v>7.0999999999999994E-2</v>
      </c>
      <c r="E5450" t="s">
        <v>6</v>
      </c>
      <c r="F5450">
        <v>0.15218000000000001</v>
      </c>
    </row>
    <row r="5451" spans="1:6" x14ac:dyDescent="0.3">
      <c r="A5451" t="s">
        <v>5</v>
      </c>
      <c r="B5451" s="1">
        <v>45885</v>
      </c>
      <c r="C5451">
        <v>3</v>
      </c>
      <c r="D5451">
        <v>5.8999999999999997E-2</v>
      </c>
      <c r="E5451" t="s">
        <v>6</v>
      </c>
      <c r="F5451">
        <v>0.14731</v>
      </c>
    </row>
    <row r="5452" spans="1:6" x14ac:dyDescent="0.3">
      <c r="A5452" t="s">
        <v>5</v>
      </c>
      <c r="B5452" s="1">
        <v>45885</v>
      </c>
      <c r="C5452">
        <v>4</v>
      </c>
      <c r="D5452">
        <v>8.5000000000000006E-2</v>
      </c>
      <c r="E5452" t="s">
        <v>6</v>
      </c>
      <c r="F5452">
        <v>0.14199000000000001</v>
      </c>
    </row>
    <row r="5453" spans="1:6" x14ac:dyDescent="0.3">
      <c r="A5453" t="s">
        <v>5</v>
      </c>
      <c r="B5453" s="1">
        <v>45885</v>
      </c>
      <c r="C5453">
        <v>5</v>
      </c>
      <c r="D5453">
        <v>7.0000000000000007E-2</v>
      </c>
      <c r="E5453" t="s">
        <v>6</v>
      </c>
      <c r="F5453">
        <v>0.14005999999999999</v>
      </c>
    </row>
    <row r="5454" spans="1:6" x14ac:dyDescent="0.3">
      <c r="A5454" t="s">
        <v>5</v>
      </c>
      <c r="B5454" s="1">
        <v>45885</v>
      </c>
      <c r="C5454">
        <v>6</v>
      </c>
      <c r="D5454">
        <v>5.8999999999999997E-2</v>
      </c>
      <c r="E5454" t="s">
        <v>6</v>
      </c>
      <c r="F5454">
        <v>0.14138000000000001</v>
      </c>
    </row>
    <row r="5455" spans="1:6" x14ac:dyDescent="0.3">
      <c r="A5455" t="s">
        <v>5</v>
      </c>
      <c r="B5455" s="1">
        <v>45885</v>
      </c>
      <c r="C5455">
        <v>7</v>
      </c>
      <c r="D5455">
        <v>8.4000000000000005E-2</v>
      </c>
      <c r="E5455" t="s">
        <v>6</v>
      </c>
      <c r="F5455">
        <v>0.14440999999999998</v>
      </c>
    </row>
    <row r="5456" spans="1:6" x14ac:dyDescent="0.3">
      <c r="A5456" t="s">
        <v>5</v>
      </c>
      <c r="B5456" s="1">
        <v>45885</v>
      </c>
      <c r="C5456">
        <v>8</v>
      </c>
      <c r="D5456">
        <v>6.9000000000000006E-2</v>
      </c>
      <c r="E5456" t="s">
        <v>6</v>
      </c>
      <c r="F5456">
        <v>0.15112</v>
      </c>
    </row>
    <row r="5457" spans="1:6" x14ac:dyDescent="0.3">
      <c r="A5457" t="s">
        <v>5</v>
      </c>
      <c r="B5457" s="1">
        <v>45885</v>
      </c>
      <c r="C5457">
        <v>9</v>
      </c>
      <c r="D5457">
        <v>5.8000000000000003E-2</v>
      </c>
      <c r="E5457" t="s">
        <v>6</v>
      </c>
      <c r="F5457">
        <v>0.14326</v>
      </c>
    </row>
    <row r="5458" spans="1:6" x14ac:dyDescent="0.3">
      <c r="A5458" t="s">
        <v>5</v>
      </c>
      <c r="B5458" s="1">
        <v>45885</v>
      </c>
      <c r="C5458">
        <v>10</v>
      </c>
      <c r="D5458">
        <v>8.4000000000000005E-2</v>
      </c>
      <c r="E5458" t="s">
        <v>6</v>
      </c>
      <c r="F5458">
        <v>0.10054</v>
      </c>
    </row>
    <row r="5459" spans="1:6" x14ac:dyDescent="0.3">
      <c r="A5459" t="s">
        <v>5</v>
      </c>
      <c r="B5459" s="1">
        <v>45885</v>
      </c>
      <c r="C5459">
        <v>11</v>
      </c>
      <c r="D5459">
        <v>6.8000000000000005E-2</v>
      </c>
      <c r="E5459" t="s">
        <v>6</v>
      </c>
      <c r="F5459">
        <v>5.4789999999999998E-2</v>
      </c>
    </row>
    <row r="5460" spans="1:6" x14ac:dyDescent="0.3">
      <c r="A5460" t="s">
        <v>5</v>
      </c>
      <c r="B5460" s="1">
        <v>45885</v>
      </c>
      <c r="C5460">
        <v>12</v>
      </c>
      <c r="D5460">
        <v>5.8999999999999997E-2</v>
      </c>
      <c r="E5460" t="s">
        <v>6</v>
      </c>
      <c r="F5460">
        <v>2.7390000000000001E-2</v>
      </c>
    </row>
    <row r="5461" spans="1:6" x14ac:dyDescent="0.3">
      <c r="A5461" t="s">
        <v>5</v>
      </c>
      <c r="B5461" s="1">
        <v>45885</v>
      </c>
      <c r="C5461">
        <v>13</v>
      </c>
      <c r="D5461">
        <v>8.4000000000000005E-2</v>
      </c>
      <c r="E5461" t="s">
        <v>6</v>
      </c>
      <c r="F5461">
        <v>2.3519999999999999E-2</v>
      </c>
    </row>
    <row r="5462" spans="1:6" x14ac:dyDescent="0.3">
      <c r="A5462" t="s">
        <v>5</v>
      </c>
      <c r="B5462" s="1">
        <v>45885</v>
      </c>
      <c r="C5462">
        <v>14</v>
      </c>
      <c r="D5462">
        <v>6.8000000000000005E-2</v>
      </c>
      <c r="E5462" t="s">
        <v>6</v>
      </c>
      <c r="F5462">
        <v>2.341E-2</v>
      </c>
    </row>
    <row r="5463" spans="1:6" x14ac:dyDescent="0.3">
      <c r="A5463" t="s">
        <v>5</v>
      </c>
      <c r="B5463" s="1">
        <v>45885</v>
      </c>
      <c r="C5463">
        <v>15</v>
      </c>
      <c r="D5463">
        <v>0.06</v>
      </c>
      <c r="E5463" t="s">
        <v>6</v>
      </c>
      <c r="F5463">
        <v>2.2789999999999998E-2</v>
      </c>
    </row>
    <row r="5464" spans="1:6" x14ac:dyDescent="0.3">
      <c r="A5464" t="s">
        <v>5</v>
      </c>
      <c r="B5464" s="1">
        <v>45885</v>
      </c>
      <c r="C5464">
        <v>16</v>
      </c>
      <c r="D5464">
        <v>8.2000000000000003E-2</v>
      </c>
      <c r="E5464" t="s">
        <v>6</v>
      </c>
      <c r="F5464">
        <v>2.3149999999999997E-2</v>
      </c>
    </row>
    <row r="5465" spans="1:6" x14ac:dyDescent="0.3">
      <c r="A5465" t="s">
        <v>5</v>
      </c>
      <c r="B5465" s="1">
        <v>45885</v>
      </c>
      <c r="C5465">
        <v>17</v>
      </c>
      <c r="D5465">
        <v>6.9000000000000006E-2</v>
      </c>
      <c r="E5465" t="s">
        <v>6</v>
      </c>
      <c r="F5465">
        <v>2.6100000000000002E-2</v>
      </c>
    </row>
    <row r="5466" spans="1:6" x14ac:dyDescent="0.3">
      <c r="A5466" t="s">
        <v>5</v>
      </c>
      <c r="B5466" s="1">
        <v>45885</v>
      </c>
      <c r="C5466">
        <v>18</v>
      </c>
      <c r="D5466">
        <v>0.06</v>
      </c>
      <c r="E5466" t="s">
        <v>6</v>
      </c>
      <c r="F5466">
        <v>4.752E-2</v>
      </c>
    </row>
    <row r="5467" spans="1:6" x14ac:dyDescent="0.3">
      <c r="A5467" t="s">
        <v>5</v>
      </c>
      <c r="B5467" s="1">
        <v>45885</v>
      </c>
      <c r="C5467">
        <v>19</v>
      </c>
      <c r="D5467">
        <v>8.2000000000000003E-2</v>
      </c>
      <c r="E5467" t="s">
        <v>6</v>
      </c>
      <c r="F5467">
        <v>0.10304000000000001</v>
      </c>
    </row>
    <row r="5468" spans="1:6" x14ac:dyDescent="0.3">
      <c r="A5468" t="s">
        <v>5</v>
      </c>
      <c r="B5468" s="1">
        <v>45885</v>
      </c>
      <c r="C5468">
        <v>20</v>
      </c>
      <c r="D5468">
        <v>7.0999999999999994E-2</v>
      </c>
      <c r="E5468" t="s">
        <v>6</v>
      </c>
      <c r="F5468">
        <v>0.13949</v>
      </c>
    </row>
    <row r="5469" spans="1:6" x14ac:dyDescent="0.3">
      <c r="A5469" t="s">
        <v>5</v>
      </c>
      <c r="B5469" s="1">
        <v>45885</v>
      </c>
      <c r="C5469">
        <v>21</v>
      </c>
      <c r="D5469">
        <v>5.8999999999999997E-2</v>
      </c>
      <c r="E5469" t="s">
        <v>6</v>
      </c>
      <c r="F5469">
        <v>0.14774000000000001</v>
      </c>
    </row>
    <row r="5470" spans="1:6" x14ac:dyDescent="0.3">
      <c r="A5470" t="s">
        <v>5</v>
      </c>
      <c r="B5470" s="1">
        <v>45885</v>
      </c>
      <c r="C5470">
        <v>22</v>
      </c>
      <c r="D5470">
        <v>8.2000000000000003E-2</v>
      </c>
      <c r="E5470" t="s">
        <v>6</v>
      </c>
      <c r="F5470">
        <v>0.18775999999999998</v>
      </c>
    </row>
    <row r="5471" spans="1:6" x14ac:dyDescent="0.3">
      <c r="A5471" t="s">
        <v>5</v>
      </c>
      <c r="B5471" s="1">
        <v>45885</v>
      </c>
      <c r="C5471">
        <v>23</v>
      </c>
      <c r="D5471">
        <v>7.1999999999999995E-2</v>
      </c>
      <c r="E5471" t="s">
        <v>6</v>
      </c>
      <c r="F5471">
        <v>0.18021999999999999</v>
      </c>
    </row>
    <row r="5472" spans="1:6" x14ac:dyDescent="0.3">
      <c r="A5472" t="s">
        <v>5</v>
      </c>
      <c r="B5472" s="1">
        <v>45885</v>
      </c>
      <c r="C5472">
        <v>24</v>
      </c>
      <c r="D5472">
        <v>0.06</v>
      </c>
      <c r="E5472" t="s">
        <v>6</v>
      </c>
      <c r="F5472">
        <v>0.15897999999999998</v>
      </c>
    </row>
    <row r="5473" spans="1:6" x14ac:dyDescent="0.3">
      <c r="A5473" t="s">
        <v>5</v>
      </c>
      <c r="B5473" s="1">
        <v>45886</v>
      </c>
      <c r="C5473">
        <v>1</v>
      </c>
      <c r="D5473">
        <v>0.08</v>
      </c>
      <c r="E5473" t="s">
        <v>6</v>
      </c>
      <c r="F5473">
        <v>0.15913999999999998</v>
      </c>
    </row>
    <row r="5474" spans="1:6" x14ac:dyDescent="0.3">
      <c r="A5474" t="s">
        <v>5</v>
      </c>
      <c r="B5474" s="1">
        <v>45886</v>
      </c>
      <c r="C5474">
        <v>2</v>
      </c>
      <c r="D5474">
        <v>7.3999999999999996E-2</v>
      </c>
      <c r="E5474" t="s">
        <v>6</v>
      </c>
      <c r="F5474">
        <v>0.15372</v>
      </c>
    </row>
    <row r="5475" spans="1:6" x14ac:dyDescent="0.3">
      <c r="A5475" t="s">
        <v>5</v>
      </c>
      <c r="B5475" s="1">
        <v>45886</v>
      </c>
      <c r="C5475">
        <v>3</v>
      </c>
      <c r="D5475">
        <v>0.06</v>
      </c>
      <c r="E5475" t="s">
        <v>6</v>
      </c>
      <c r="F5475">
        <v>0.14637</v>
      </c>
    </row>
    <row r="5476" spans="1:6" x14ac:dyDescent="0.3">
      <c r="A5476" t="s">
        <v>5</v>
      </c>
      <c r="B5476" s="1">
        <v>45886</v>
      </c>
      <c r="C5476">
        <v>4</v>
      </c>
      <c r="D5476">
        <v>7.8E-2</v>
      </c>
      <c r="E5476" t="s">
        <v>6</v>
      </c>
      <c r="F5476">
        <v>0.1447</v>
      </c>
    </row>
    <row r="5477" spans="1:6" x14ac:dyDescent="0.3">
      <c r="A5477" t="s">
        <v>5</v>
      </c>
      <c r="B5477" s="1">
        <v>45886</v>
      </c>
      <c r="C5477">
        <v>5</v>
      </c>
      <c r="D5477">
        <v>7.6999999999999999E-2</v>
      </c>
      <c r="E5477" t="s">
        <v>6</v>
      </c>
      <c r="F5477">
        <v>0.14454</v>
      </c>
    </row>
    <row r="5478" spans="1:6" x14ac:dyDescent="0.3">
      <c r="A5478" t="s">
        <v>5</v>
      </c>
      <c r="B5478" s="1">
        <v>45886</v>
      </c>
      <c r="C5478">
        <v>6</v>
      </c>
      <c r="D5478">
        <v>0.06</v>
      </c>
      <c r="E5478" t="s">
        <v>6</v>
      </c>
      <c r="F5478">
        <v>0.14480000000000001</v>
      </c>
    </row>
    <row r="5479" spans="1:6" x14ac:dyDescent="0.3">
      <c r="A5479" t="s">
        <v>5</v>
      </c>
      <c r="B5479" s="1">
        <v>45886</v>
      </c>
      <c r="C5479">
        <v>7</v>
      </c>
      <c r="D5479">
        <v>7.5999999999999998E-2</v>
      </c>
      <c r="E5479" t="s">
        <v>6</v>
      </c>
      <c r="F5479">
        <v>0.14362</v>
      </c>
    </row>
    <row r="5480" spans="1:6" x14ac:dyDescent="0.3">
      <c r="A5480" t="s">
        <v>5</v>
      </c>
      <c r="B5480" s="1">
        <v>45886</v>
      </c>
      <c r="C5480">
        <v>8</v>
      </c>
      <c r="D5480">
        <v>7.8E-2</v>
      </c>
      <c r="E5480" t="s">
        <v>6</v>
      </c>
      <c r="F5480">
        <v>0.14086000000000001</v>
      </c>
    </row>
    <row r="5481" spans="1:6" x14ac:dyDescent="0.3">
      <c r="A5481" t="s">
        <v>5</v>
      </c>
      <c r="B5481" s="1">
        <v>45886</v>
      </c>
      <c r="C5481">
        <v>9</v>
      </c>
      <c r="D5481">
        <v>5.8999999999999997E-2</v>
      </c>
      <c r="E5481" t="s">
        <v>6</v>
      </c>
      <c r="F5481">
        <v>0.15028</v>
      </c>
    </row>
    <row r="5482" spans="1:6" x14ac:dyDescent="0.3">
      <c r="A5482" t="s">
        <v>5</v>
      </c>
      <c r="B5482" s="1">
        <v>45886</v>
      </c>
      <c r="C5482">
        <v>10</v>
      </c>
      <c r="D5482">
        <v>7.3999999999999996E-2</v>
      </c>
      <c r="E5482" t="s">
        <v>6</v>
      </c>
      <c r="F5482">
        <v>6.7339999999999997E-2</v>
      </c>
    </row>
    <row r="5483" spans="1:6" x14ac:dyDescent="0.3">
      <c r="A5483" t="s">
        <v>5</v>
      </c>
      <c r="B5483" s="1">
        <v>45886</v>
      </c>
      <c r="C5483">
        <v>11</v>
      </c>
      <c r="D5483">
        <v>7.9000000000000001E-2</v>
      </c>
      <c r="E5483" t="s">
        <v>6</v>
      </c>
      <c r="F5483">
        <v>4.2840000000000003E-2</v>
      </c>
    </row>
    <row r="5484" spans="1:6" x14ac:dyDescent="0.3">
      <c r="A5484" t="s">
        <v>5</v>
      </c>
      <c r="B5484" s="1">
        <v>45886</v>
      </c>
      <c r="C5484">
        <v>12</v>
      </c>
      <c r="D5484">
        <v>5.8999999999999997E-2</v>
      </c>
      <c r="E5484" t="s">
        <v>6</v>
      </c>
      <c r="F5484">
        <v>3.2409999999999994E-2</v>
      </c>
    </row>
    <row r="5485" spans="1:6" x14ac:dyDescent="0.3">
      <c r="A5485" t="s">
        <v>5</v>
      </c>
      <c r="B5485" s="1">
        <v>45886</v>
      </c>
      <c r="C5485">
        <v>13</v>
      </c>
      <c r="D5485">
        <v>7.1999999999999995E-2</v>
      </c>
      <c r="E5485" t="s">
        <v>6</v>
      </c>
      <c r="F5485">
        <v>3.1530000000000002E-2</v>
      </c>
    </row>
    <row r="5486" spans="1:6" x14ac:dyDescent="0.3">
      <c r="A5486" t="s">
        <v>5</v>
      </c>
      <c r="B5486" s="1">
        <v>45886</v>
      </c>
      <c r="C5486">
        <v>14</v>
      </c>
      <c r="D5486">
        <v>8.2000000000000003E-2</v>
      </c>
      <c r="E5486" t="s">
        <v>6</v>
      </c>
      <c r="F5486">
        <v>3.048E-2</v>
      </c>
    </row>
    <row r="5487" spans="1:6" x14ac:dyDescent="0.3">
      <c r="A5487" t="s">
        <v>5</v>
      </c>
      <c r="B5487" s="1">
        <v>45886</v>
      </c>
      <c r="C5487">
        <v>15</v>
      </c>
      <c r="D5487">
        <v>5.8999999999999997E-2</v>
      </c>
      <c r="E5487" t="s">
        <v>6</v>
      </c>
      <c r="F5487">
        <v>3.006E-2</v>
      </c>
    </row>
    <row r="5488" spans="1:6" x14ac:dyDescent="0.3">
      <c r="A5488" t="s">
        <v>5</v>
      </c>
      <c r="B5488" s="1">
        <v>45886</v>
      </c>
      <c r="C5488">
        <v>16</v>
      </c>
      <c r="D5488">
        <v>6.9000000000000006E-2</v>
      </c>
      <c r="E5488" t="s">
        <v>6</v>
      </c>
      <c r="F5488">
        <v>2.9989999999999999E-2</v>
      </c>
    </row>
    <row r="5489" spans="1:6" x14ac:dyDescent="0.3">
      <c r="A5489" t="s">
        <v>5</v>
      </c>
      <c r="B5489" s="1">
        <v>45886</v>
      </c>
      <c r="C5489">
        <v>17</v>
      </c>
      <c r="D5489">
        <v>8.4000000000000005E-2</v>
      </c>
      <c r="E5489" t="s">
        <v>6</v>
      </c>
      <c r="F5489">
        <v>3.5310000000000001E-2</v>
      </c>
    </row>
    <row r="5490" spans="1:6" x14ac:dyDescent="0.3">
      <c r="A5490" t="s">
        <v>5</v>
      </c>
      <c r="B5490" s="1">
        <v>45886</v>
      </c>
      <c r="C5490">
        <v>18</v>
      </c>
      <c r="D5490">
        <v>0.06</v>
      </c>
      <c r="E5490" t="s">
        <v>6</v>
      </c>
      <c r="F5490">
        <v>4.7759999999999997E-2</v>
      </c>
    </row>
    <row r="5491" spans="1:6" x14ac:dyDescent="0.3">
      <c r="A5491" t="s">
        <v>5</v>
      </c>
      <c r="B5491" s="1">
        <v>45886</v>
      </c>
      <c r="C5491">
        <v>19</v>
      </c>
      <c r="D5491">
        <v>6.5000000000000002E-2</v>
      </c>
      <c r="E5491" t="s">
        <v>6</v>
      </c>
      <c r="F5491">
        <v>8.929999999999999E-2</v>
      </c>
    </row>
    <row r="5492" spans="1:6" x14ac:dyDescent="0.3">
      <c r="A5492" t="s">
        <v>5</v>
      </c>
      <c r="B5492" s="1">
        <v>45886</v>
      </c>
      <c r="C5492">
        <v>20</v>
      </c>
      <c r="D5492">
        <v>8.4000000000000005E-2</v>
      </c>
      <c r="E5492" t="s">
        <v>6</v>
      </c>
      <c r="F5492">
        <v>0.13766</v>
      </c>
    </row>
    <row r="5493" spans="1:6" x14ac:dyDescent="0.3">
      <c r="A5493" t="s">
        <v>5</v>
      </c>
      <c r="B5493" s="1">
        <v>45886</v>
      </c>
      <c r="C5493">
        <v>21</v>
      </c>
      <c r="D5493">
        <v>6.3E-2</v>
      </c>
      <c r="E5493" t="s">
        <v>6</v>
      </c>
      <c r="F5493">
        <v>0.15167</v>
      </c>
    </row>
    <row r="5494" spans="1:6" x14ac:dyDescent="0.3">
      <c r="A5494" t="s">
        <v>5</v>
      </c>
      <c r="B5494" s="1">
        <v>45886</v>
      </c>
      <c r="C5494">
        <v>22</v>
      </c>
      <c r="D5494">
        <v>6.2E-2</v>
      </c>
      <c r="E5494" t="s">
        <v>6</v>
      </c>
      <c r="F5494">
        <v>0.16694999999999999</v>
      </c>
    </row>
    <row r="5495" spans="1:6" x14ac:dyDescent="0.3">
      <c r="A5495" t="s">
        <v>5</v>
      </c>
      <c r="B5495" s="1">
        <v>45886</v>
      </c>
      <c r="C5495">
        <v>23</v>
      </c>
      <c r="D5495">
        <v>8.4000000000000005E-2</v>
      </c>
      <c r="E5495" t="s">
        <v>6</v>
      </c>
      <c r="F5495">
        <v>0.17430000000000001</v>
      </c>
    </row>
    <row r="5496" spans="1:6" x14ac:dyDescent="0.3">
      <c r="A5496" t="s">
        <v>5</v>
      </c>
      <c r="B5496" s="1">
        <v>45886</v>
      </c>
      <c r="C5496">
        <v>24</v>
      </c>
      <c r="D5496">
        <v>7.1999999999999995E-2</v>
      </c>
      <c r="E5496" t="s">
        <v>6</v>
      </c>
      <c r="F5496">
        <v>0.15890000000000001</v>
      </c>
    </row>
    <row r="5497" spans="1:6" x14ac:dyDescent="0.3">
      <c r="A5497" t="s">
        <v>5</v>
      </c>
      <c r="B5497" s="1">
        <v>45887</v>
      </c>
      <c r="C5497">
        <v>1</v>
      </c>
      <c r="D5497">
        <v>0.115</v>
      </c>
      <c r="E5497" t="s">
        <v>6</v>
      </c>
      <c r="F5497">
        <v>0.13708000000000001</v>
      </c>
    </row>
    <row r="5498" spans="1:6" x14ac:dyDescent="0.3">
      <c r="A5498" t="s">
        <v>5</v>
      </c>
      <c r="B5498" s="1">
        <v>45887</v>
      </c>
      <c r="C5498">
        <v>2</v>
      </c>
      <c r="D5498">
        <v>0.11899999999999999</v>
      </c>
      <c r="E5498" t="s">
        <v>6</v>
      </c>
      <c r="F5498">
        <v>0.13337000000000002</v>
      </c>
    </row>
    <row r="5499" spans="1:6" x14ac:dyDescent="0.3">
      <c r="A5499" t="s">
        <v>5</v>
      </c>
      <c r="B5499" s="1">
        <v>45887</v>
      </c>
      <c r="C5499">
        <v>3</v>
      </c>
      <c r="D5499">
        <v>6.8000000000000005E-2</v>
      </c>
      <c r="E5499" t="s">
        <v>6</v>
      </c>
      <c r="F5499">
        <v>0.13220999999999999</v>
      </c>
    </row>
    <row r="5500" spans="1:6" x14ac:dyDescent="0.3">
      <c r="A5500" t="s">
        <v>5</v>
      </c>
      <c r="B5500" s="1">
        <v>45887</v>
      </c>
      <c r="C5500">
        <v>4</v>
      </c>
      <c r="D5500">
        <v>8.1000000000000003E-2</v>
      </c>
      <c r="E5500" t="s">
        <v>6</v>
      </c>
      <c r="F5500">
        <v>0.13049000000000002</v>
      </c>
    </row>
    <row r="5501" spans="1:6" x14ac:dyDescent="0.3">
      <c r="A5501" t="s">
        <v>5</v>
      </c>
      <c r="B5501" s="1">
        <v>45887</v>
      </c>
      <c r="C5501">
        <v>5</v>
      </c>
      <c r="D5501">
        <v>7.6999999999999999E-2</v>
      </c>
      <c r="E5501" t="s">
        <v>6</v>
      </c>
      <c r="F5501">
        <v>0.12648000000000001</v>
      </c>
    </row>
    <row r="5502" spans="1:6" x14ac:dyDescent="0.3">
      <c r="A5502" t="s">
        <v>5</v>
      </c>
      <c r="B5502" s="1">
        <v>45887</v>
      </c>
      <c r="C5502">
        <v>6</v>
      </c>
      <c r="D5502">
        <v>0.06</v>
      </c>
      <c r="E5502" t="s">
        <v>6</v>
      </c>
      <c r="F5502">
        <v>0.12802000000000002</v>
      </c>
    </row>
    <row r="5503" spans="1:6" x14ac:dyDescent="0.3">
      <c r="A5503" t="s">
        <v>5</v>
      </c>
      <c r="B5503" s="1">
        <v>45887</v>
      </c>
      <c r="C5503">
        <v>7</v>
      </c>
      <c r="D5503">
        <v>7.9000000000000001E-2</v>
      </c>
      <c r="E5503" t="s">
        <v>6</v>
      </c>
      <c r="F5503">
        <v>0.13437000000000002</v>
      </c>
    </row>
    <row r="5504" spans="1:6" x14ac:dyDescent="0.3">
      <c r="A5504" t="s">
        <v>5</v>
      </c>
      <c r="B5504" s="1">
        <v>45887</v>
      </c>
      <c r="C5504">
        <v>8</v>
      </c>
      <c r="D5504">
        <v>7.3999999999999996E-2</v>
      </c>
      <c r="E5504" t="s">
        <v>6</v>
      </c>
      <c r="F5504">
        <v>0.13707</v>
      </c>
    </row>
    <row r="5505" spans="1:6" x14ac:dyDescent="0.3">
      <c r="A5505" t="s">
        <v>5</v>
      </c>
      <c r="B5505" s="1">
        <v>45887</v>
      </c>
      <c r="C5505">
        <v>9</v>
      </c>
      <c r="D5505">
        <v>5.8999999999999997E-2</v>
      </c>
      <c r="E5505" t="s">
        <v>6</v>
      </c>
      <c r="F5505">
        <v>0.15949000000000002</v>
      </c>
    </row>
    <row r="5506" spans="1:6" x14ac:dyDescent="0.3">
      <c r="A5506" t="s">
        <v>5</v>
      </c>
      <c r="B5506" s="1">
        <v>45887</v>
      </c>
      <c r="C5506">
        <v>10</v>
      </c>
      <c r="D5506">
        <v>0.08</v>
      </c>
      <c r="E5506" t="s">
        <v>6</v>
      </c>
      <c r="F5506">
        <v>0.15683000000000002</v>
      </c>
    </row>
    <row r="5507" spans="1:6" x14ac:dyDescent="0.3">
      <c r="A5507" t="s">
        <v>5</v>
      </c>
      <c r="B5507" s="1">
        <v>45887</v>
      </c>
      <c r="C5507">
        <v>11</v>
      </c>
      <c r="D5507">
        <v>7.1999999999999995E-2</v>
      </c>
      <c r="E5507" t="s">
        <v>6</v>
      </c>
      <c r="F5507">
        <v>0.21195</v>
      </c>
    </row>
    <row r="5508" spans="1:6" x14ac:dyDescent="0.3">
      <c r="A5508" t="s">
        <v>5</v>
      </c>
      <c r="B5508" s="1">
        <v>45887</v>
      </c>
      <c r="C5508">
        <v>12</v>
      </c>
      <c r="D5508">
        <v>5.8999999999999997E-2</v>
      </c>
      <c r="E5508" t="s">
        <v>6</v>
      </c>
      <c r="F5508">
        <v>0.19022999999999998</v>
      </c>
    </row>
    <row r="5509" spans="1:6" x14ac:dyDescent="0.3">
      <c r="A5509" t="s">
        <v>5</v>
      </c>
      <c r="B5509" s="1">
        <v>45887</v>
      </c>
      <c r="C5509">
        <v>13</v>
      </c>
      <c r="D5509">
        <v>8.2000000000000003E-2</v>
      </c>
      <c r="E5509" t="s">
        <v>6</v>
      </c>
      <c r="F5509">
        <v>0.18365000000000001</v>
      </c>
    </row>
    <row r="5510" spans="1:6" x14ac:dyDescent="0.3">
      <c r="A5510" t="s">
        <v>5</v>
      </c>
      <c r="B5510" s="1">
        <v>45887</v>
      </c>
      <c r="C5510">
        <v>14</v>
      </c>
      <c r="D5510">
        <v>6.9000000000000006E-2</v>
      </c>
      <c r="E5510" t="s">
        <v>6</v>
      </c>
      <c r="F5510">
        <v>0.18084999999999998</v>
      </c>
    </row>
    <row r="5511" spans="1:6" x14ac:dyDescent="0.3">
      <c r="A5511" t="s">
        <v>5</v>
      </c>
      <c r="B5511" s="1">
        <v>45887</v>
      </c>
      <c r="C5511">
        <v>15</v>
      </c>
      <c r="D5511">
        <v>5.8999999999999997E-2</v>
      </c>
      <c r="E5511" t="s">
        <v>6</v>
      </c>
      <c r="F5511">
        <v>0.1145</v>
      </c>
    </row>
    <row r="5512" spans="1:6" x14ac:dyDescent="0.3">
      <c r="A5512" t="s">
        <v>5</v>
      </c>
      <c r="B5512" s="1">
        <v>45887</v>
      </c>
      <c r="C5512">
        <v>16</v>
      </c>
      <c r="D5512">
        <v>8.5000000000000006E-2</v>
      </c>
      <c r="E5512" t="s">
        <v>6</v>
      </c>
      <c r="F5512">
        <v>0.10615000000000001</v>
      </c>
    </row>
    <row r="5513" spans="1:6" x14ac:dyDescent="0.3">
      <c r="A5513" t="s">
        <v>5</v>
      </c>
      <c r="B5513" s="1">
        <v>45887</v>
      </c>
      <c r="C5513">
        <v>17</v>
      </c>
      <c r="D5513">
        <v>6.8000000000000005E-2</v>
      </c>
      <c r="E5513" t="s">
        <v>6</v>
      </c>
      <c r="F5513">
        <v>0.11600000000000001</v>
      </c>
    </row>
    <row r="5514" spans="1:6" x14ac:dyDescent="0.3">
      <c r="A5514" t="s">
        <v>5</v>
      </c>
      <c r="B5514" s="1">
        <v>45887</v>
      </c>
      <c r="C5514">
        <v>18</v>
      </c>
      <c r="D5514">
        <v>6.0999999999999999E-2</v>
      </c>
      <c r="E5514" t="s">
        <v>6</v>
      </c>
      <c r="F5514">
        <v>0.13488999999999998</v>
      </c>
    </row>
    <row r="5515" spans="1:6" x14ac:dyDescent="0.3">
      <c r="A5515" t="s">
        <v>5</v>
      </c>
      <c r="B5515" s="1">
        <v>45887</v>
      </c>
      <c r="C5515">
        <v>19</v>
      </c>
      <c r="D5515">
        <v>8.5000000000000006E-2</v>
      </c>
      <c r="E5515" t="s">
        <v>6</v>
      </c>
      <c r="F5515">
        <v>0.22397</v>
      </c>
    </row>
    <row r="5516" spans="1:6" x14ac:dyDescent="0.3">
      <c r="A5516" t="s">
        <v>5</v>
      </c>
      <c r="B5516" s="1">
        <v>45887</v>
      </c>
      <c r="C5516">
        <v>20</v>
      </c>
      <c r="D5516">
        <v>6.5000000000000002E-2</v>
      </c>
      <c r="E5516" t="s">
        <v>6</v>
      </c>
      <c r="F5516">
        <v>0.23322000000000001</v>
      </c>
    </row>
    <row r="5517" spans="1:6" x14ac:dyDescent="0.3">
      <c r="A5517" t="s">
        <v>5</v>
      </c>
      <c r="B5517" s="1">
        <v>45887</v>
      </c>
      <c r="C5517">
        <v>21</v>
      </c>
      <c r="D5517">
        <v>6.4000000000000001E-2</v>
      </c>
      <c r="E5517" t="s">
        <v>6</v>
      </c>
      <c r="F5517">
        <v>0.23951</v>
      </c>
    </row>
    <row r="5518" spans="1:6" x14ac:dyDescent="0.3">
      <c r="A5518" t="s">
        <v>5</v>
      </c>
      <c r="B5518" s="1">
        <v>45887</v>
      </c>
      <c r="C5518">
        <v>22</v>
      </c>
      <c r="D5518">
        <v>8.5000000000000006E-2</v>
      </c>
      <c r="E5518" t="s">
        <v>6</v>
      </c>
      <c r="F5518">
        <v>0.24215999999999999</v>
      </c>
    </row>
    <row r="5519" spans="1:6" x14ac:dyDescent="0.3">
      <c r="A5519" t="s">
        <v>5</v>
      </c>
      <c r="B5519" s="1">
        <v>45887</v>
      </c>
      <c r="C5519">
        <v>23</v>
      </c>
      <c r="D5519">
        <v>6.3E-2</v>
      </c>
      <c r="E5519" t="s">
        <v>6</v>
      </c>
      <c r="F5519">
        <v>0.17005999999999999</v>
      </c>
    </row>
    <row r="5520" spans="1:6" x14ac:dyDescent="0.3">
      <c r="A5520" t="s">
        <v>5</v>
      </c>
      <c r="B5520" s="1">
        <v>45887</v>
      </c>
      <c r="C5520">
        <v>24</v>
      </c>
      <c r="D5520">
        <v>6.5000000000000002E-2</v>
      </c>
      <c r="E5520" t="s">
        <v>6</v>
      </c>
      <c r="F5520">
        <v>0.16256999999999999</v>
      </c>
    </row>
    <row r="5521" spans="1:6" x14ac:dyDescent="0.3">
      <c r="A5521" t="s">
        <v>5</v>
      </c>
      <c r="B5521" s="1">
        <v>45888</v>
      </c>
      <c r="C5521">
        <v>1</v>
      </c>
      <c r="D5521">
        <v>8.5000000000000006E-2</v>
      </c>
      <c r="E5521" t="s">
        <v>6</v>
      </c>
      <c r="F5521">
        <v>0.13972000000000001</v>
      </c>
    </row>
    <row r="5522" spans="1:6" x14ac:dyDescent="0.3">
      <c r="A5522" t="s">
        <v>5</v>
      </c>
      <c r="B5522" s="1">
        <v>45888</v>
      </c>
      <c r="C5522">
        <v>2</v>
      </c>
      <c r="D5522">
        <v>6.2E-2</v>
      </c>
      <c r="E5522" t="s">
        <v>6</v>
      </c>
      <c r="F5522">
        <v>0.13825000000000001</v>
      </c>
    </row>
    <row r="5523" spans="1:6" x14ac:dyDescent="0.3">
      <c r="A5523" t="s">
        <v>5</v>
      </c>
      <c r="B5523" s="1">
        <v>45888</v>
      </c>
      <c r="C5523">
        <v>3</v>
      </c>
      <c r="D5523">
        <v>6.6000000000000003E-2</v>
      </c>
      <c r="E5523" t="s">
        <v>6</v>
      </c>
      <c r="F5523">
        <v>0.13596</v>
      </c>
    </row>
    <row r="5524" spans="1:6" x14ac:dyDescent="0.3">
      <c r="A5524" t="s">
        <v>5</v>
      </c>
      <c r="B5524" s="1">
        <v>45888</v>
      </c>
      <c r="C5524">
        <v>4</v>
      </c>
      <c r="D5524">
        <v>8.5000000000000006E-2</v>
      </c>
      <c r="E5524" t="s">
        <v>6</v>
      </c>
      <c r="F5524">
        <v>0.12737999999999999</v>
      </c>
    </row>
    <row r="5525" spans="1:6" x14ac:dyDescent="0.3">
      <c r="A5525" t="s">
        <v>5</v>
      </c>
      <c r="B5525" s="1">
        <v>45888</v>
      </c>
      <c r="C5525">
        <v>5</v>
      </c>
      <c r="D5525">
        <v>6.2E-2</v>
      </c>
      <c r="E5525" t="s">
        <v>6</v>
      </c>
      <c r="F5525">
        <v>0.12569</v>
      </c>
    </row>
    <row r="5526" spans="1:6" x14ac:dyDescent="0.3">
      <c r="A5526" t="s">
        <v>5</v>
      </c>
      <c r="B5526" s="1">
        <v>45888</v>
      </c>
      <c r="C5526">
        <v>6</v>
      </c>
      <c r="D5526">
        <v>6.6000000000000003E-2</v>
      </c>
      <c r="E5526" t="s">
        <v>6</v>
      </c>
      <c r="F5526">
        <v>0.12614</v>
      </c>
    </row>
    <row r="5527" spans="1:6" x14ac:dyDescent="0.3">
      <c r="A5527" t="s">
        <v>5</v>
      </c>
      <c r="B5527" s="1">
        <v>45888</v>
      </c>
      <c r="C5527">
        <v>7</v>
      </c>
      <c r="D5527">
        <v>8.4000000000000005E-2</v>
      </c>
      <c r="E5527" t="s">
        <v>6</v>
      </c>
      <c r="F5527">
        <v>0.13708000000000001</v>
      </c>
    </row>
    <row r="5528" spans="1:6" x14ac:dyDescent="0.3">
      <c r="A5528" t="s">
        <v>5</v>
      </c>
      <c r="B5528" s="1">
        <v>45888</v>
      </c>
      <c r="C5528">
        <v>8</v>
      </c>
      <c r="D5528">
        <v>6.2E-2</v>
      </c>
      <c r="E5528" t="s">
        <v>6</v>
      </c>
      <c r="F5528">
        <v>0.14165</v>
      </c>
    </row>
    <row r="5529" spans="1:6" x14ac:dyDescent="0.3">
      <c r="A5529" t="s">
        <v>5</v>
      </c>
      <c r="B5529" s="1">
        <v>45888</v>
      </c>
      <c r="C5529">
        <v>9</v>
      </c>
      <c r="D5529">
        <v>6.5000000000000002E-2</v>
      </c>
      <c r="E5529" t="s">
        <v>6</v>
      </c>
      <c r="F5529">
        <v>0.15897</v>
      </c>
    </row>
    <row r="5530" spans="1:6" x14ac:dyDescent="0.3">
      <c r="A5530" t="s">
        <v>5</v>
      </c>
      <c r="B5530" s="1">
        <v>45888</v>
      </c>
      <c r="C5530">
        <v>10</v>
      </c>
      <c r="D5530">
        <v>8.4000000000000005E-2</v>
      </c>
      <c r="E5530" t="s">
        <v>6</v>
      </c>
      <c r="F5530">
        <v>0.14752999999999999</v>
      </c>
    </row>
    <row r="5531" spans="1:6" x14ac:dyDescent="0.3">
      <c r="A5531" t="s">
        <v>5</v>
      </c>
      <c r="B5531" s="1">
        <v>45888</v>
      </c>
      <c r="C5531">
        <v>11</v>
      </c>
      <c r="D5531">
        <v>6.2E-2</v>
      </c>
      <c r="E5531" t="s">
        <v>6</v>
      </c>
      <c r="F5531">
        <v>0.19215000000000002</v>
      </c>
    </row>
    <row r="5532" spans="1:6" x14ac:dyDescent="0.3">
      <c r="A5532" t="s">
        <v>5</v>
      </c>
      <c r="B5532" s="1">
        <v>45888</v>
      </c>
      <c r="C5532">
        <v>12</v>
      </c>
      <c r="D5532">
        <v>6.6000000000000003E-2</v>
      </c>
      <c r="E5532" t="s">
        <v>6</v>
      </c>
      <c r="F5532">
        <v>0.16631000000000001</v>
      </c>
    </row>
    <row r="5533" spans="1:6" x14ac:dyDescent="0.3">
      <c r="A5533" t="s">
        <v>5</v>
      </c>
      <c r="B5533" s="1">
        <v>45888</v>
      </c>
      <c r="C5533">
        <v>13</v>
      </c>
      <c r="D5533">
        <v>8.4000000000000005E-2</v>
      </c>
      <c r="E5533" t="s">
        <v>6</v>
      </c>
      <c r="F5533">
        <v>0.15112999999999999</v>
      </c>
    </row>
    <row r="5534" spans="1:6" x14ac:dyDescent="0.3">
      <c r="A5534" t="s">
        <v>5</v>
      </c>
      <c r="B5534" s="1">
        <v>45888</v>
      </c>
      <c r="C5534">
        <v>14</v>
      </c>
      <c r="D5534">
        <v>6.0999999999999999E-2</v>
      </c>
      <c r="E5534" t="s">
        <v>6</v>
      </c>
      <c r="F5534">
        <v>0.14671999999999999</v>
      </c>
    </row>
    <row r="5535" spans="1:6" x14ac:dyDescent="0.3">
      <c r="A5535" t="s">
        <v>5</v>
      </c>
      <c r="B5535" s="1">
        <v>45888</v>
      </c>
      <c r="C5535">
        <v>15</v>
      </c>
      <c r="D5535">
        <v>6.5000000000000002E-2</v>
      </c>
      <c r="E5535" t="s">
        <v>6</v>
      </c>
      <c r="F5535">
        <v>8.3069999999999991E-2</v>
      </c>
    </row>
    <row r="5536" spans="1:6" x14ac:dyDescent="0.3">
      <c r="A5536" t="s">
        <v>5</v>
      </c>
      <c r="B5536" s="1">
        <v>45888</v>
      </c>
      <c r="C5536">
        <v>16</v>
      </c>
      <c r="D5536">
        <v>8.4000000000000005E-2</v>
      </c>
      <c r="E5536" t="s">
        <v>6</v>
      </c>
      <c r="F5536">
        <v>9.5769999999999994E-2</v>
      </c>
    </row>
    <row r="5537" spans="1:6" x14ac:dyDescent="0.3">
      <c r="A5537" t="s">
        <v>5</v>
      </c>
      <c r="B5537" s="1">
        <v>45888</v>
      </c>
      <c r="C5537">
        <v>17</v>
      </c>
      <c r="D5537">
        <v>6.2E-2</v>
      </c>
      <c r="E5537" t="s">
        <v>6</v>
      </c>
      <c r="F5537">
        <v>0.10360999999999999</v>
      </c>
    </row>
    <row r="5538" spans="1:6" x14ac:dyDescent="0.3">
      <c r="A5538" t="s">
        <v>5</v>
      </c>
      <c r="B5538" s="1">
        <v>45888</v>
      </c>
      <c r="C5538">
        <v>18</v>
      </c>
      <c r="D5538">
        <v>6.5000000000000002E-2</v>
      </c>
      <c r="E5538" t="s">
        <v>6</v>
      </c>
      <c r="F5538">
        <v>0.10593999999999999</v>
      </c>
    </row>
    <row r="5539" spans="1:6" x14ac:dyDescent="0.3">
      <c r="A5539" t="s">
        <v>5</v>
      </c>
      <c r="B5539" s="1">
        <v>45888</v>
      </c>
      <c r="C5539">
        <v>19</v>
      </c>
      <c r="D5539">
        <v>8.4000000000000005E-2</v>
      </c>
      <c r="E5539" t="s">
        <v>6</v>
      </c>
      <c r="F5539">
        <v>0.18806</v>
      </c>
    </row>
    <row r="5540" spans="1:6" x14ac:dyDescent="0.3">
      <c r="A5540" t="s">
        <v>5</v>
      </c>
      <c r="B5540" s="1">
        <v>45888</v>
      </c>
      <c r="C5540">
        <v>20</v>
      </c>
      <c r="D5540">
        <v>6.3E-2</v>
      </c>
      <c r="E5540" t="s">
        <v>6</v>
      </c>
      <c r="F5540">
        <v>0.21447999999999998</v>
      </c>
    </row>
    <row r="5541" spans="1:6" x14ac:dyDescent="0.3">
      <c r="A5541" t="s">
        <v>5</v>
      </c>
      <c r="B5541" s="1">
        <v>45888</v>
      </c>
      <c r="C5541">
        <v>21</v>
      </c>
      <c r="D5541">
        <v>6.4000000000000001E-2</v>
      </c>
      <c r="E5541" t="s">
        <v>6</v>
      </c>
      <c r="F5541">
        <v>0.22409000000000001</v>
      </c>
    </row>
    <row r="5542" spans="1:6" x14ac:dyDescent="0.3">
      <c r="A5542" t="s">
        <v>5</v>
      </c>
      <c r="B5542" s="1">
        <v>45888</v>
      </c>
      <c r="C5542">
        <v>22</v>
      </c>
      <c r="D5542">
        <v>8.5000000000000006E-2</v>
      </c>
      <c r="E5542" t="s">
        <v>6</v>
      </c>
      <c r="F5542">
        <v>0.23607</v>
      </c>
    </row>
    <row r="5543" spans="1:6" x14ac:dyDescent="0.3">
      <c r="A5543" t="s">
        <v>5</v>
      </c>
      <c r="B5543" s="1">
        <v>45888</v>
      </c>
      <c r="C5543">
        <v>23</v>
      </c>
      <c r="D5543">
        <v>6.4000000000000001E-2</v>
      </c>
      <c r="E5543" t="s">
        <v>6</v>
      </c>
      <c r="F5543">
        <v>0.17068</v>
      </c>
    </row>
    <row r="5544" spans="1:6" x14ac:dyDescent="0.3">
      <c r="A5544" t="s">
        <v>5</v>
      </c>
      <c r="B5544" s="1">
        <v>45888</v>
      </c>
      <c r="C5544">
        <v>24</v>
      </c>
      <c r="D5544">
        <v>6.3E-2</v>
      </c>
      <c r="E5544" t="s">
        <v>6</v>
      </c>
      <c r="F5544">
        <v>0.16388</v>
      </c>
    </row>
    <row r="5545" spans="1:6" x14ac:dyDescent="0.3">
      <c r="A5545" t="s">
        <v>5</v>
      </c>
      <c r="B5545" s="1">
        <v>45889</v>
      </c>
      <c r="C5545">
        <v>1</v>
      </c>
      <c r="D5545">
        <v>8.5000000000000006E-2</v>
      </c>
      <c r="E5545" t="s">
        <v>6</v>
      </c>
      <c r="F5545">
        <v>0.13941000000000001</v>
      </c>
    </row>
    <row r="5546" spans="1:6" x14ac:dyDescent="0.3">
      <c r="A5546" t="s">
        <v>5</v>
      </c>
      <c r="B5546" s="1">
        <v>45889</v>
      </c>
      <c r="C5546">
        <v>2</v>
      </c>
      <c r="D5546">
        <v>6.7000000000000004E-2</v>
      </c>
      <c r="E5546" t="s">
        <v>6</v>
      </c>
      <c r="F5546">
        <v>0.13268000000000002</v>
      </c>
    </row>
    <row r="5547" spans="1:6" x14ac:dyDescent="0.3">
      <c r="A5547" t="s">
        <v>5</v>
      </c>
      <c r="B5547" s="1">
        <v>45889</v>
      </c>
      <c r="C5547">
        <v>3</v>
      </c>
      <c r="D5547">
        <v>6.0999999999999999E-2</v>
      </c>
      <c r="E5547" t="s">
        <v>6</v>
      </c>
      <c r="F5547">
        <v>0.12872999999999998</v>
      </c>
    </row>
    <row r="5548" spans="1:6" x14ac:dyDescent="0.3">
      <c r="A5548" t="s">
        <v>5</v>
      </c>
      <c r="B5548" s="1">
        <v>45889</v>
      </c>
      <c r="C5548">
        <v>4</v>
      </c>
      <c r="D5548">
        <v>8.5000000000000006E-2</v>
      </c>
      <c r="E5548" t="s">
        <v>6</v>
      </c>
      <c r="F5548">
        <v>0.12323000000000001</v>
      </c>
    </row>
    <row r="5549" spans="1:6" x14ac:dyDescent="0.3">
      <c r="A5549" t="s">
        <v>5</v>
      </c>
      <c r="B5549" s="1">
        <v>45889</v>
      </c>
      <c r="C5549">
        <v>5</v>
      </c>
      <c r="D5549">
        <v>6.7000000000000004E-2</v>
      </c>
      <c r="E5549" t="s">
        <v>6</v>
      </c>
      <c r="F5549">
        <v>0.11892</v>
      </c>
    </row>
    <row r="5550" spans="1:6" x14ac:dyDescent="0.3">
      <c r="A5550" t="s">
        <v>5</v>
      </c>
      <c r="B5550" s="1">
        <v>45889</v>
      </c>
      <c r="C5550">
        <v>6</v>
      </c>
      <c r="D5550">
        <v>0.06</v>
      </c>
      <c r="E5550" t="s">
        <v>6</v>
      </c>
      <c r="F5550">
        <v>0.12397</v>
      </c>
    </row>
    <row r="5551" spans="1:6" x14ac:dyDescent="0.3">
      <c r="A5551" t="s">
        <v>5</v>
      </c>
      <c r="B5551" s="1">
        <v>45889</v>
      </c>
      <c r="C5551">
        <v>7</v>
      </c>
      <c r="D5551">
        <v>8.4000000000000005E-2</v>
      </c>
      <c r="E5551" t="s">
        <v>6</v>
      </c>
      <c r="F5551">
        <v>0.13386000000000001</v>
      </c>
    </row>
    <row r="5552" spans="1:6" x14ac:dyDescent="0.3">
      <c r="A5552" t="s">
        <v>5</v>
      </c>
      <c r="B5552" s="1">
        <v>45889</v>
      </c>
      <c r="C5552">
        <v>8</v>
      </c>
      <c r="D5552">
        <v>6.9000000000000006E-2</v>
      </c>
      <c r="E5552" t="s">
        <v>6</v>
      </c>
      <c r="F5552">
        <v>0.14878</v>
      </c>
    </row>
    <row r="5553" spans="1:6" x14ac:dyDescent="0.3">
      <c r="A5553" t="s">
        <v>5</v>
      </c>
      <c r="B5553" s="1">
        <v>45889</v>
      </c>
      <c r="C5553">
        <v>9</v>
      </c>
      <c r="D5553">
        <v>5.8999999999999997E-2</v>
      </c>
      <c r="E5553" t="s">
        <v>6</v>
      </c>
      <c r="F5553">
        <v>0.15887999999999999</v>
      </c>
    </row>
    <row r="5554" spans="1:6" x14ac:dyDescent="0.3">
      <c r="A5554" t="s">
        <v>5</v>
      </c>
      <c r="B5554" s="1">
        <v>45889</v>
      </c>
      <c r="C5554">
        <v>10</v>
      </c>
      <c r="D5554">
        <v>8.2000000000000003E-2</v>
      </c>
      <c r="E5554" t="s">
        <v>6</v>
      </c>
      <c r="F5554">
        <v>0.13633000000000001</v>
      </c>
    </row>
    <row r="5555" spans="1:6" x14ac:dyDescent="0.3">
      <c r="A5555" t="s">
        <v>5</v>
      </c>
      <c r="B5555" s="1">
        <v>45889</v>
      </c>
      <c r="C5555">
        <v>11</v>
      </c>
      <c r="D5555">
        <v>7.0999999999999994E-2</v>
      </c>
      <c r="E5555" t="s">
        <v>6</v>
      </c>
      <c r="F5555">
        <v>0.17784</v>
      </c>
    </row>
    <row r="5556" spans="1:6" x14ac:dyDescent="0.3">
      <c r="A5556" t="s">
        <v>5</v>
      </c>
      <c r="B5556" s="1">
        <v>45889</v>
      </c>
      <c r="C5556">
        <v>12</v>
      </c>
      <c r="D5556">
        <v>0.06</v>
      </c>
      <c r="E5556" t="s">
        <v>6</v>
      </c>
      <c r="F5556">
        <v>0.17690999999999998</v>
      </c>
    </row>
    <row r="5557" spans="1:6" x14ac:dyDescent="0.3">
      <c r="A5557" t="s">
        <v>5</v>
      </c>
      <c r="B5557" s="1">
        <v>45889</v>
      </c>
      <c r="C5557">
        <v>13</v>
      </c>
      <c r="D5557">
        <v>0.08</v>
      </c>
      <c r="E5557" t="s">
        <v>6</v>
      </c>
      <c r="F5557">
        <v>0.17574999999999999</v>
      </c>
    </row>
    <row r="5558" spans="1:6" x14ac:dyDescent="0.3">
      <c r="A5558" t="s">
        <v>5</v>
      </c>
      <c r="B5558" s="1">
        <v>45889</v>
      </c>
      <c r="C5558">
        <v>14</v>
      </c>
      <c r="D5558">
        <v>7.3999999999999996E-2</v>
      </c>
      <c r="E5558" t="s">
        <v>6</v>
      </c>
      <c r="F5558">
        <v>0.15855000000000002</v>
      </c>
    </row>
    <row r="5559" spans="1:6" x14ac:dyDescent="0.3">
      <c r="A5559" t="s">
        <v>5</v>
      </c>
      <c r="B5559" s="1">
        <v>45889</v>
      </c>
      <c r="C5559">
        <v>15</v>
      </c>
      <c r="D5559">
        <v>0.06</v>
      </c>
      <c r="E5559" t="s">
        <v>6</v>
      </c>
      <c r="F5559">
        <v>8.9709999999999998E-2</v>
      </c>
    </row>
    <row r="5560" spans="1:6" x14ac:dyDescent="0.3">
      <c r="A5560" t="s">
        <v>5</v>
      </c>
      <c r="B5560" s="1">
        <v>45889</v>
      </c>
      <c r="C5560">
        <v>16</v>
      </c>
      <c r="D5560">
        <v>7.6999999999999999E-2</v>
      </c>
      <c r="E5560" t="s">
        <v>6</v>
      </c>
      <c r="F5560">
        <v>8.5239999999999996E-2</v>
      </c>
    </row>
    <row r="5561" spans="1:6" x14ac:dyDescent="0.3">
      <c r="A5561" t="s">
        <v>5</v>
      </c>
      <c r="B5561" s="1">
        <v>45889</v>
      </c>
      <c r="C5561">
        <v>17</v>
      </c>
      <c r="D5561">
        <v>7.8E-2</v>
      </c>
      <c r="E5561" t="s">
        <v>6</v>
      </c>
      <c r="F5561">
        <v>8.591E-2</v>
      </c>
    </row>
    <row r="5562" spans="1:6" x14ac:dyDescent="0.3">
      <c r="A5562" t="s">
        <v>5</v>
      </c>
      <c r="B5562" s="1">
        <v>45889</v>
      </c>
      <c r="C5562">
        <v>18</v>
      </c>
      <c r="D5562">
        <v>0.06</v>
      </c>
      <c r="E5562" t="s">
        <v>6</v>
      </c>
      <c r="F5562">
        <v>9.5510000000000012E-2</v>
      </c>
    </row>
    <row r="5563" spans="1:6" x14ac:dyDescent="0.3">
      <c r="A5563" t="s">
        <v>5</v>
      </c>
      <c r="B5563" s="1">
        <v>45889</v>
      </c>
      <c r="C5563">
        <v>19</v>
      </c>
      <c r="D5563">
        <v>7.2999999999999995E-2</v>
      </c>
      <c r="E5563" t="s">
        <v>6</v>
      </c>
      <c r="F5563">
        <v>0.17831</v>
      </c>
    </row>
    <row r="5564" spans="1:6" x14ac:dyDescent="0.3">
      <c r="A5564" t="s">
        <v>5</v>
      </c>
      <c r="B5564" s="1">
        <v>45889</v>
      </c>
      <c r="C5564">
        <v>20</v>
      </c>
      <c r="D5564">
        <v>8.2000000000000003E-2</v>
      </c>
      <c r="E5564" t="s">
        <v>6</v>
      </c>
      <c r="F5564">
        <v>0.19885</v>
      </c>
    </row>
    <row r="5565" spans="1:6" x14ac:dyDescent="0.3">
      <c r="A5565" t="s">
        <v>5</v>
      </c>
      <c r="B5565" s="1">
        <v>45889</v>
      </c>
      <c r="C5565">
        <v>21</v>
      </c>
      <c r="D5565">
        <v>5.8999999999999997E-2</v>
      </c>
      <c r="E5565" t="s">
        <v>6</v>
      </c>
      <c r="F5565">
        <v>0.20932000000000001</v>
      </c>
    </row>
    <row r="5566" spans="1:6" x14ac:dyDescent="0.3">
      <c r="A5566" t="s">
        <v>5</v>
      </c>
      <c r="B5566" s="1">
        <v>45889</v>
      </c>
      <c r="C5566">
        <v>22</v>
      </c>
      <c r="D5566">
        <v>7.0999999999999994E-2</v>
      </c>
      <c r="E5566" t="s">
        <v>6</v>
      </c>
      <c r="F5566">
        <v>0.23235</v>
      </c>
    </row>
    <row r="5567" spans="1:6" x14ac:dyDescent="0.3">
      <c r="A5567" t="s">
        <v>5</v>
      </c>
      <c r="B5567" s="1">
        <v>45889</v>
      </c>
      <c r="C5567">
        <v>23</v>
      </c>
      <c r="D5567">
        <v>8.3000000000000004E-2</v>
      </c>
      <c r="E5567" t="s">
        <v>6</v>
      </c>
      <c r="F5567">
        <v>0.16484000000000001</v>
      </c>
    </row>
    <row r="5568" spans="1:6" x14ac:dyDescent="0.3">
      <c r="A5568" t="s">
        <v>5</v>
      </c>
      <c r="B5568" s="1">
        <v>45889</v>
      </c>
      <c r="C5568">
        <v>24</v>
      </c>
      <c r="D5568">
        <v>0.06</v>
      </c>
      <c r="E5568" t="s">
        <v>6</v>
      </c>
      <c r="F5568">
        <v>0.15233000000000002</v>
      </c>
    </row>
    <row r="5569" spans="1:6" x14ac:dyDescent="0.3">
      <c r="A5569" t="s">
        <v>5</v>
      </c>
      <c r="B5569" s="1">
        <v>45890</v>
      </c>
      <c r="C5569">
        <v>1</v>
      </c>
      <c r="D5569">
        <v>7.0000000000000007E-2</v>
      </c>
      <c r="E5569" t="s">
        <v>6</v>
      </c>
      <c r="F5569">
        <v>0.14446000000000001</v>
      </c>
    </row>
    <row r="5570" spans="1:6" x14ac:dyDescent="0.3">
      <c r="A5570" t="s">
        <v>5</v>
      </c>
      <c r="B5570" s="1">
        <v>45890</v>
      </c>
      <c r="C5570">
        <v>2</v>
      </c>
      <c r="D5570">
        <v>8.4000000000000005E-2</v>
      </c>
      <c r="E5570" t="s">
        <v>6</v>
      </c>
      <c r="F5570">
        <v>0.13905000000000001</v>
      </c>
    </row>
    <row r="5571" spans="1:6" x14ac:dyDescent="0.3">
      <c r="A5571" t="s">
        <v>5</v>
      </c>
      <c r="B5571" s="1">
        <v>45890</v>
      </c>
      <c r="C5571">
        <v>3</v>
      </c>
      <c r="D5571">
        <v>0.06</v>
      </c>
      <c r="E5571" t="s">
        <v>6</v>
      </c>
      <c r="F5571">
        <v>0.1368</v>
      </c>
    </row>
    <row r="5572" spans="1:6" x14ac:dyDescent="0.3">
      <c r="A5572" t="s">
        <v>5</v>
      </c>
      <c r="B5572" s="1">
        <v>45890</v>
      </c>
      <c r="C5572">
        <v>4</v>
      </c>
      <c r="D5572">
        <v>6.7000000000000004E-2</v>
      </c>
      <c r="E5572" t="s">
        <v>6</v>
      </c>
      <c r="F5572">
        <v>0.13336000000000001</v>
      </c>
    </row>
    <row r="5573" spans="1:6" x14ac:dyDescent="0.3">
      <c r="A5573" t="s">
        <v>5</v>
      </c>
      <c r="B5573" s="1">
        <v>45890</v>
      </c>
      <c r="C5573">
        <v>5</v>
      </c>
      <c r="D5573">
        <v>8.5000000000000006E-2</v>
      </c>
      <c r="E5573" t="s">
        <v>6</v>
      </c>
      <c r="F5573">
        <v>0.13231999999999999</v>
      </c>
    </row>
    <row r="5574" spans="1:6" x14ac:dyDescent="0.3">
      <c r="A5574" t="s">
        <v>5</v>
      </c>
      <c r="B5574" s="1">
        <v>45890</v>
      </c>
      <c r="C5574">
        <v>6</v>
      </c>
      <c r="D5574">
        <v>6.2E-2</v>
      </c>
      <c r="E5574" t="s">
        <v>6</v>
      </c>
      <c r="F5574">
        <v>0.13306000000000001</v>
      </c>
    </row>
    <row r="5575" spans="1:6" x14ac:dyDescent="0.3">
      <c r="A5575" t="s">
        <v>5</v>
      </c>
      <c r="B5575" s="1">
        <v>45890</v>
      </c>
      <c r="C5575">
        <v>7</v>
      </c>
      <c r="D5575">
        <v>6.4000000000000001E-2</v>
      </c>
      <c r="E5575" t="s">
        <v>6</v>
      </c>
      <c r="F5575">
        <v>0.13578000000000001</v>
      </c>
    </row>
    <row r="5576" spans="1:6" x14ac:dyDescent="0.3">
      <c r="A5576" t="s">
        <v>5</v>
      </c>
      <c r="B5576" s="1">
        <v>45890</v>
      </c>
      <c r="C5576">
        <v>8</v>
      </c>
      <c r="D5576">
        <v>8.3000000000000004E-2</v>
      </c>
      <c r="E5576" t="s">
        <v>6</v>
      </c>
      <c r="F5576">
        <v>0.14849000000000001</v>
      </c>
    </row>
    <row r="5577" spans="1:6" x14ac:dyDescent="0.3">
      <c r="A5577" t="s">
        <v>5</v>
      </c>
      <c r="B5577" s="1">
        <v>45890</v>
      </c>
      <c r="C5577">
        <v>9</v>
      </c>
      <c r="D5577">
        <v>6.4000000000000001E-2</v>
      </c>
      <c r="E5577" t="s">
        <v>6</v>
      </c>
      <c r="F5577">
        <v>0.15831999999999999</v>
      </c>
    </row>
    <row r="5578" spans="1:6" x14ac:dyDescent="0.3">
      <c r="A5578" t="s">
        <v>5</v>
      </c>
      <c r="B5578" s="1">
        <v>45890</v>
      </c>
      <c r="C5578">
        <v>10</v>
      </c>
      <c r="D5578">
        <v>6.0999999999999999E-2</v>
      </c>
      <c r="E5578" t="s">
        <v>6</v>
      </c>
      <c r="F5578">
        <v>0.12117</v>
      </c>
    </row>
    <row r="5579" spans="1:6" x14ac:dyDescent="0.3">
      <c r="A5579" t="s">
        <v>5</v>
      </c>
      <c r="B5579" s="1">
        <v>45890</v>
      </c>
      <c r="C5579">
        <v>11</v>
      </c>
      <c r="D5579">
        <v>8.4000000000000005E-2</v>
      </c>
      <c r="E5579" t="s">
        <v>6</v>
      </c>
      <c r="F5579">
        <v>0.15822</v>
      </c>
    </row>
    <row r="5580" spans="1:6" x14ac:dyDescent="0.3">
      <c r="A5580" t="s">
        <v>5</v>
      </c>
      <c r="B5580" s="1">
        <v>45890</v>
      </c>
      <c r="C5580">
        <v>12</v>
      </c>
      <c r="D5580">
        <v>6.6000000000000003E-2</v>
      </c>
      <c r="E5580" t="s">
        <v>6</v>
      </c>
      <c r="F5580">
        <v>0.14163000000000001</v>
      </c>
    </row>
    <row r="5581" spans="1:6" x14ac:dyDescent="0.3">
      <c r="A5581" t="s">
        <v>5</v>
      </c>
      <c r="B5581" s="1">
        <v>45890</v>
      </c>
      <c r="C5581">
        <v>13</v>
      </c>
      <c r="D5581">
        <v>5.8999999999999997E-2</v>
      </c>
      <c r="E5581" t="s">
        <v>6</v>
      </c>
      <c r="F5581">
        <v>0.13857</v>
      </c>
    </row>
    <row r="5582" spans="1:6" x14ac:dyDescent="0.3">
      <c r="A5582" t="s">
        <v>5</v>
      </c>
      <c r="B5582" s="1">
        <v>45890</v>
      </c>
      <c r="C5582">
        <v>14</v>
      </c>
      <c r="D5582">
        <v>8.4000000000000005E-2</v>
      </c>
      <c r="E5582" t="s">
        <v>6</v>
      </c>
      <c r="F5582">
        <v>0.13431000000000001</v>
      </c>
    </row>
    <row r="5583" spans="1:6" x14ac:dyDescent="0.3">
      <c r="A5583" t="s">
        <v>5</v>
      </c>
      <c r="B5583" s="1">
        <v>45890</v>
      </c>
      <c r="C5583">
        <v>15</v>
      </c>
      <c r="D5583">
        <v>6.8000000000000005E-2</v>
      </c>
      <c r="E5583" t="s">
        <v>6</v>
      </c>
      <c r="F5583">
        <v>6.9159999999999999E-2</v>
      </c>
    </row>
    <row r="5584" spans="1:6" x14ac:dyDescent="0.3">
      <c r="A5584" t="s">
        <v>5</v>
      </c>
      <c r="B5584" s="1">
        <v>45890</v>
      </c>
      <c r="C5584">
        <v>16</v>
      </c>
      <c r="D5584">
        <v>5.8000000000000003E-2</v>
      </c>
      <c r="E5584" t="s">
        <v>6</v>
      </c>
      <c r="F5584">
        <v>6.7970000000000003E-2</v>
      </c>
    </row>
    <row r="5585" spans="1:6" x14ac:dyDescent="0.3">
      <c r="A5585" t="s">
        <v>5</v>
      </c>
      <c r="B5585" s="1">
        <v>45890</v>
      </c>
      <c r="C5585">
        <v>17</v>
      </c>
      <c r="D5585">
        <v>8.2000000000000003E-2</v>
      </c>
      <c r="E5585" t="s">
        <v>6</v>
      </c>
      <c r="F5585">
        <v>7.0360000000000006E-2</v>
      </c>
    </row>
    <row r="5586" spans="1:6" x14ac:dyDescent="0.3">
      <c r="A5586" t="s">
        <v>5</v>
      </c>
      <c r="B5586" s="1">
        <v>45890</v>
      </c>
      <c r="C5586">
        <v>18</v>
      </c>
      <c r="D5586">
        <v>7.0000000000000007E-2</v>
      </c>
      <c r="E5586" t="s">
        <v>6</v>
      </c>
      <c r="F5586">
        <v>7.0739999999999997E-2</v>
      </c>
    </row>
    <row r="5587" spans="1:6" x14ac:dyDescent="0.3">
      <c r="A5587" t="s">
        <v>5</v>
      </c>
      <c r="B5587" s="1">
        <v>45890</v>
      </c>
      <c r="C5587">
        <v>19</v>
      </c>
      <c r="D5587">
        <v>6.7000000000000004E-2</v>
      </c>
      <c r="E5587" t="s">
        <v>6</v>
      </c>
      <c r="F5587">
        <v>0.1595</v>
      </c>
    </row>
    <row r="5588" spans="1:6" x14ac:dyDescent="0.3">
      <c r="A5588" t="s">
        <v>5</v>
      </c>
      <c r="B5588" s="1">
        <v>45890</v>
      </c>
      <c r="C5588">
        <v>20</v>
      </c>
      <c r="D5588">
        <v>8.3000000000000004E-2</v>
      </c>
      <c r="E5588" t="s">
        <v>6</v>
      </c>
      <c r="F5588">
        <v>0.18675999999999998</v>
      </c>
    </row>
    <row r="5589" spans="1:6" x14ac:dyDescent="0.3">
      <c r="A5589" t="s">
        <v>5</v>
      </c>
      <c r="B5589" s="1">
        <v>45890</v>
      </c>
      <c r="C5589">
        <v>21</v>
      </c>
      <c r="D5589">
        <v>0.21</v>
      </c>
      <c r="E5589" t="s">
        <v>6</v>
      </c>
      <c r="F5589">
        <v>0.21715999999999999</v>
      </c>
    </row>
    <row r="5590" spans="1:6" x14ac:dyDescent="0.3">
      <c r="A5590" t="s">
        <v>5</v>
      </c>
      <c r="B5590" s="1">
        <v>45890</v>
      </c>
      <c r="C5590">
        <v>22</v>
      </c>
      <c r="D5590">
        <v>0.60399999999999998</v>
      </c>
      <c r="E5590" t="s">
        <v>6</v>
      </c>
      <c r="F5590">
        <v>0.22669999999999998</v>
      </c>
    </row>
    <row r="5591" spans="1:6" x14ac:dyDescent="0.3">
      <c r="A5591" t="s">
        <v>5</v>
      </c>
      <c r="B5591" s="1">
        <v>45890</v>
      </c>
      <c r="C5591">
        <v>23</v>
      </c>
      <c r="D5591">
        <v>0.442</v>
      </c>
      <c r="E5591" t="s">
        <v>6</v>
      </c>
      <c r="F5591">
        <v>0.15328</v>
      </c>
    </row>
    <row r="5592" spans="1:6" x14ac:dyDescent="0.3">
      <c r="A5592" t="s">
        <v>5</v>
      </c>
      <c r="B5592" s="1">
        <v>45890</v>
      </c>
      <c r="C5592">
        <v>24</v>
      </c>
      <c r="D5592">
        <v>0.28799999999999998</v>
      </c>
      <c r="E5592" t="s">
        <v>6</v>
      </c>
      <c r="F5592">
        <v>0.15218000000000001</v>
      </c>
    </row>
    <row r="5593" spans="1:6" x14ac:dyDescent="0.3">
      <c r="A5593" t="s">
        <v>5</v>
      </c>
      <c r="B5593" s="1">
        <v>45891</v>
      </c>
      <c r="C5593">
        <v>1</v>
      </c>
      <c r="D5593">
        <v>0.10100000000000001</v>
      </c>
      <c r="E5593" t="s">
        <v>6</v>
      </c>
      <c r="F5593">
        <v>0.13028999999999999</v>
      </c>
    </row>
    <row r="5594" spans="1:6" x14ac:dyDescent="0.3">
      <c r="A5594" t="s">
        <v>5</v>
      </c>
      <c r="B5594" s="1">
        <v>45891</v>
      </c>
      <c r="C5594">
        <v>2</v>
      </c>
      <c r="D5594">
        <v>0.124</v>
      </c>
      <c r="E5594" t="s">
        <v>6</v>
      </c>
      <c r="F5594">
        <v>0.12675</v>
      </c>
    </row>
    <row r="5595" spans="1:6" x14ac:dyDescent="0.3">
      <c r="A5595" t="s">
        <v>5</v>
      </c>
      <c r="B5595" s="1">
        <v>45891</v>
      </c>
      <c r="C5595">
        <v>3</v>
      </c>
      <c r="D5595">
        <v>0.13600000000000001</v>
      </c>
      <c r="E5595" t="s">
        <v>6</v>
      </c>
      <c r="F5595">
        <v>0.124</v>
      </c>
    </row>
    <row r="5596" spans="1:6" x14ac:dyDescent="0.3">
      <c r="A5596" t="s">
        <v>5</v>
      </c>
      <c r="B5596" s="1">
        <v>45891</v>
      </c>
      <c r="C5596">
        <v>4</v>
      </c>
      <c r="D5596">
        <v>8.5000000000000006E-2</v>
      </c>
      <c r="E5596" t="s">
        <v>6</v>
      </c>
      <c r="F5596">
        <v>0.11563</v>
      </c>
    </row>
    <row r="5597" spans="1:6" x14ac:dyDescent="0.3">
      <c r="A5597" t="s">
        <v>5</v>
      </c>
      <c r="B5597" s="1">
        <v>45891</v>
      </c>
      <c r="C5597">
        <v>5</v>
      </c>
      <c r="D5597">
        <v>6.2E-2</v>
      </c>
      <c r="E5597" t="s">
        <v>6</v>
      </c>
      <c r="F5597">
        <v>0.12143999999999999</v>
      </c>
    </row>
    <row r="5598" spans="1:6" x14ac:dyDescent="0.3">
      <c r="A5598" t="s">
        <v>5</v>
      </c>
      <c r="B5598" s="1">
        <v>45891</v>
      </c>
      <c r="C5598">
        <v>6</v>
      </c>
      <c r="D5598">
        <v>7.2999999999999995E-2</v>
      </c>
      <c r="E5598" t="s">
        <v>6</v>
      </c>
      <c r="F5598">
        <v>0.12059</v>
      </c>
    </row>
    <row r="5599" spans="1:6" x14ac:dyDescent="0.3">
      <c r="A5599" t="s">
        <v>5</v>
      </c>
      <c r="B5599" s="1">
        <v>45891</v>
      </c>
      <c r="C5599">
        <v>7</v>
      </c>
      <c r="D5599">
        <v>8.2000000000000003E-2</v>
      </c>
      <c r="E5599" t="s">
        <v>6</v>
      </c>
      <c r="F5599">
        <v>0.12465999999999999</v>
      </c>
    </row>
    <row r="5600" spans="1:6" x14ac:dyDescent="0.3">
      <c r="A5600" t="s">
        <v>5</v>
      </c>
      <c r="B5600" s="1">
        <v>45891</v>
      </c>
      <c r="C5600">
        <v>8</v>
      </c>
      <c r="D5600">
        <v>7.2999999999999995E-2</v>
      </c>
      <c r="E5600" t="s">
        <v>6</v>
      </c>
      <c r="F5600">
        <v>0.13208</v>
      </c>
    </row>
    <row r="5601" spans="1:6" x14ac:dyDescent="0.3">
      <c r="A5601" t="s">
        <v>5</v>
      </c>
      <c r="B5601" s="1">
        <v>45891</v>
      </c>
      <c r="C5601">
        <v>9</v>
      </c>
      <c r="D5601">
        <v>7.1999999999999995E-2</v>
      </c>
      <c r="E5601" t="s">
        <v>6</v>
      </c>
      <c r="F5601">
        <v>0.15331</v>
      </c>
    </row>
    <row r="5602" spans="1:6" x14ac:dyDescent="0.3">
      <c r="A5602" t="s">
        <v>5</v>
      </c>
      <c r="B5602" s="1">
        <v>45891</v>
      </c>
      <c r="C5602">
        <v>10</v>
      </c>
      <c r="D5602">
        <v>8.3000000000000004E-2</v>
      </c>
      <c r="E5602" t="s">
        <v>6</v>
      </c>
      <c r="F5602">
        <v>0.12472</v>
      </c>
    </row>
    <row r="5603" spans="1:6" x14ac:dyDescent="0.3">
      <c r="A5603" t="s">
        <v>5</v>
      </c>
      <c r="B5603" s="1">
        <v>45891</v>
      </c>
      <c r="C5603">
        <v>11</v>
      </c>
      <c r="D5603">
        <v>6.0999999999999999E-2</v>
      </c>
      <c r="E5603" t="s">
        <v>6</v>
      </c>
      <c r="F5603">
        <v>0.15096999999999999</v>
      </c>
    </row>
    <row r="5604" spans="1:6" x14ac:dyDescent="0.3">
      <c r="A5604" t="s">
        <v>5</v>
      </c>
      <c r="B5604" s="1">
        <v>45891</v>
      </c>
      <c r="C5604">
        <v>12</v>
      </c>
      <c r="D5604">
        <v>6.6000000000000003E-2</v>
      </c>
      <c r="E5604" t="s">
        <v>6</v>
      </c>
      <c r="F5604">
        <v>0.14043</v>
      </c>
    </row>
    <row r="5605" spans="1:6" x14ac:dyDescent="0.3">
      <c r="A5605" t="s">
        <v>5</v>
      </c>
      <c r="B5605" s="1">
        <v>45891</v>
      </c>
      <c r="C5605">
        <v>13</v>
      </c>
      <c r="D5605">
        <v>8.3000000000000004E-2</v>
      </c>
      <c r="E5605" t="s">
        <v>6</v>
      </c>
      <c r="F5605">
        <v>0.14196</v>
      </c>
    </row>
    <row r="5606" spans="1:6" x14ac:dyDescent="0.3">
      <c r="A5606" t="s">
        <v>5</v>
      </c>
      <c r="B5606" s="1">
        <v>45891</v>
      </c>
      <c r="C5606">
        <v>14</v>
      </c>
      <c r="D5606">
        <v>0.06</v>
      </c>
      <c r="E5606" t="s">
        <v>6</v>
      </c>
      <c r="F5606">
        <v>0.14221999999999999</v>
      </c>
    </row>
    <row r="5607" spans="1:6" x14ac:dyDescent="0.3">
      <c r="A5607" t="s">
        <v>5</v>
      </c>
      <c r="B5607" s="1">
        <v>45891</v>
      </c>
      <c r="C5607">
        <v>15</v>
      </c>
      <c r="D5607">
        <v>6.7000000000000004E-2</v>
      </c>
      <c r="E5607" t="s">
        <v>6</v>
      </c>
      <c r="F5607">
        <v>7.3980000000000004E-2</v>
      </c>
    </row>
    <row r="5608" spans="1:6" x14ac:dyDescent="0.3">
      <c r="A5608" t="s">
        <v>5</v>
      </c>
      <c r="B5608" s="1">
        <v>45891</v>
      </c>
      <c r="C5608">
        <v>16</v>
      </c>
      <c r="D5608">
        <v>8.3000000000000004E-2</v>
      </c>
      <c r="E5608" t="s">
        <v>6</v>
      </c>
      <c r="F5608">
        <v>7.3689999999999992E-2</v>
      </c>
    </row>
    <row r="5609" spans="1:6" x14ac:dyDescent="0.3">
      <c r="A5609" t="s">
        <v>5</v>
      </c>
      <c r="B5609" s="1">
        <v>45891</v>
      </c>
      <c r="C5609">
        <v>17</v>
      </c>
      <c r="D5609">
        <v>5.8000000000000003E-2</v>
      </c>
      <c r="E5609" t="s">
        <v>6</v>
      </c>
      <c r="F5609">
        <v>7.528E-2</v>
      </c>
    </row>
    <row r="5610" spans="1:6" x14ac:dyDescent="0.3">
      <c r="A5610" t="s">
        <v>5</v>
      </c>
      <c r="B5610" s="1">
        <v>45891</v>
      </c>
      <c r="C5610">
        <v>18</v>
      </c>
      <c r="D5610">
        <v>6.9000000000000006E-2</v>
      </c>
      <c r="E5610" t="s">
        <v>6</v>
      </c>
      <c r="F5610">
        <v>9.017E-2</v>
      </c>
    </row>
    <row r="5611" spans="1:6" x14ac:dyDescent="0.3">
      <c r="A5611" t="s">
        <v>5</v>
      </c>
      <c r="B5611" s="1">
        <v>45891</v>
      </c>
      <c r="C5611">
        <v>19</v>
      </c>
      <c r="D5611">
        <v>8.1000000000000003E-2</v>
      </c>
      <c r="E5611" t="s">
        <v>6</v>
      </c>
      <c r="F5611">
        <v>0.17294000000000001</v>
      </c>
    </row>
    <row r="5612" spans="1:6" x14ac:dyDescent="0.3">
      <c r="A5612" t="s">
        <v>5</v>
      </c>
      <c r="B5612" s="1">
        <v>45891</v>
      </c>
      <c r="C5612">
        <v>20</v>
      </c>
      <c r="D5612">
        <v>5.8999999999999997E-2</v>
      </c>
      <c r="E5612" t="s">
        <v>6</v>
      </c>
      <c r="F5612">
        <v>0.22447999999999999</v>
      </c>
    </row>
    <row r="5613" spans="1:6" x14ac:dyDescent="0.3">
      <c r="A5613" t="s">
        <v>5</v>
      </c>
      <c r="B5613" s="1">
        <v>45891</v>
      </c>
      <c r="C5613">
        <v>21</v>
      </c>
      <c r="D5613">
        <v>7.0000000000000007E-2</v>
      </c>
      <c r="E5613" t="s">
        <v>6</v>
      </c>
      <c r="F5613">
        <v>0.24625</v>
      </c>
    </row>
    <row r="5614" spans="1:6" x14ac:dyDescent="0.3">
      <c r="A5614" t="s">
        <v>5</v>
      </c>
      <c r="B5614" s="1">
        <v>45891</v>
      </c>
      <c r="C5614">
        <v>22</v>
      </c>
      <c r="D5614">
        <v>8.1000000000000003E-2</v>
      </c>
      <c r="E5614" t="s">
        <v>6</v>
      </c>
      <c r="F5614">
        <v>0.24209</v>
      </c>
    </row>
    <row r="5615" spans="1:6" x14ac:dyDescent="0.3">
      <c r="A5615" t="s">
        <v>5</v>
      </c>
      <c r="B5615" s="1">
        <v>45891</v>
      </c>
      <c r="C5615">
        <v>23</v>
      </c>
      <c r="D5615">
        <v>5.8999999999999997E-2</v>
      </c>
      <c r="E5615" t="s">
        <v>6</v>
      </c>
      <c r="F5615">
        <v>0.17496</v>
      </c>
    </row>
    <row r="5616" spans="1:6" x14ac:dyDescent="0.3">
      <c r="A5616" t="s">
        <v>5</v>
      </c>
      <c r="B5616" s="1">
        <v>45891</v>
      </c>
      <c r="C5616">
        <v>24</v>
      </c>
      <c r="D5616">
        <v>7.1999999999999995E-2</v>
      </c>
      <c r="E5616" t="s">
        <v>6</v>
      </c>
      <c r="F5616">
        <v>0.16797000000000001</v>
      </c>
    </row>
    <row r="5617" spans="1:6" x14ac:dyDescent="0.3">
      <c r="A5617" t="s">
        <v>5</v>
      </c>
      <c r="B5617" s="1">
        <v>45892</v>
      </c>
      <c r="C5617">
        <v>1</v>
      </c>
      <c r="D5617">
        <v>7.9000000000000001E-2</v>
      </c>
      <c r="E5617" t="s">
        <v>6</v>
      </c>
      <c r="F5617">
        <v>0.14335000000000001</v>
      </c>
    </row>
    <row r="5618" spans="1:6" x14ac:dyDescent="0.3">
      <c r="A5618" t="s">
        <v>5</v>
      </c>
      <c r="B5618" s="1">
        <v>45892</v>
      </c>
      <c r="C5618">
        <v>2</v>
      </c>
      <c r="D5618">
        <v>5.8000000000000003E-2</v>
      </c>
      <c r="E5618" t="s">
        <v>6</v>
      </c>
      <c r="F5618">
        <v>0.13824</v>
      </c>
    </row>
    <row r="5619" spans="1:6" x14ac:dyDescent="0.3">
      <c r="A5619" t="s">
        <v>5</v>
      </c>
      <c r="B5619" s="1">
        <v>45892</v>
      </c>
      <c r="C5619">
        <v>3</v>
      </c>
      <c r="D5619">
        <v>7.3999999999999996E-2</v>
      </c>
      <c r="E5619" t="s">
        <v>6</v>
      </c>
      <c r="F5619">
        <v>0.13134000000000001</v>
      </c>
    </row>
    <row r="5620" spans="1:6" x14ac:dyDescent="0.3">
      <c r="A5620" t="s">
        <v>5</v>
      </c>
      <c r="B5620" s="1">
        <v>45892</v>
      </c>
      <c r="C5620">
        <v>4</v>
      </c>
      <c r="D5620">
        <v>7.6999999999999999E-2</v>
      </c>
      <c r="E5620" t="s">
        <v>6</v>
      </c>
      <c r="F5620">
        <v>0.1242</v>
      </c>
    </row>
    <row r="5621" spans="1:6" x14ac:dyDescent="0.3">
      <c r="A5621" t="s">
        <v>5</v>
      </c>
      <c r="B5621" s="1">
        <v>45892</v>
      </c>
      <c r="C5621">
        <v>5</v>
      </c>
      <c r="D5621">
        <v>5.8000000000000003E-2</v>
      </c>
      <c r="E5621" t="s">
        <v>6</v>
      </c>
      <c r="F5621">
        <v>0.12246</v>
      </c>
    </row>
    <row r="5622" spans="1:6" x14ac:dyDescent="0.3">
      <c r="A5622" t="s">
        <v>5</v>
      </c>
      <c r="B5622" s="1">
        <v>45892</v>
      </c>
      <c r="C5622">
        <v>6</v>
      </c>
      <c r="D5622">
        <v>7.4999999999999997E-2</v>
      </c>
      <c r="E5622" t="s">
        <v>6</v>
      </c>
      <c r="F5622">
        <v>0.12568000000000001</v>
      </c>
    </row>
    <row r="5623" spans="1:6" x14ac:dyDescent="0.3">
      <c r="A5623" t="s">
        <v>5</v>
      </c>
      <c r="B5623" s="1">
        <v>45892</v>
      </c>
      <c r="C5623">
        <v>7</v>
      </c>
      <c r="D5623">
        <v>7.5999999999999998E-2</v>
      </c>
      <c r="E5623" t="s">
        <v>6</v>
      </c>
      <c r="F5623">
        <v>0.13153999999999999</v>
      </c>
    </row>
    <row r="5624" spans="1:6" x14ac:dyDescent="0.3">
      <c r="A5624" t="s">
        <v>5</v>
      </c>
      <c r="B5624" s="1">
        <v>45892</v>
      </c>
      <c r="C5624">
        <v>8</v>
      </c>
      <c r="D5624">
        <v>5.8000000000000003E-2</v>
      </c>
      <c r="E5624" t="s">
        <v>6</v>
      </c>
      <c r="F5624">
        <v>0.16256000000000001</v>
      </c>
    </row>
    <row r="5625" spans="1:6" x14ac:dyDescent="0.3">
      <c r="A5625" t="s">
        <v>5</v>
      </c>
      <c r="B5625" s="1">
        <v>45892</v>
      </c>
      <c r="C5625">
        <v>9</v>
      </c>
      <c r="D5625">
        <v>7.5999999999999998E-2</v>
      </c>
      <c r="E5625" t="s">
        <v>6</v>
      </c>
      <c r="F5625">
        <v>0.13086</v>
      </c>
    </row>
    <row r="5626" spans="1:6" x14ac:dyDescent="0.3">
      <c r="A5626" t="s">
        <v>5</v>
      </c>
      <c r="B5626" s="1">
        <v>45892</v>
      </c>
      <c r="C5626">
        <v>10</v>
      </c>
      <c r="D5626">
        <v>7.1999999999999995E-2</v>
      </c>
      <c r="E5626" t="s">
        <v>6</v>
      </c>
      <c r="F5626">
        <v>9.9540000000000003E-2</v>
      </c>
    </row>
    <row r="5627" spans="1:6" x14ac:dyDescent="0.3">
      <c r="A5627" t="s">
        <v>5</v>
      </c>
      <c r="B5627" s="1">
        <v>45892</v>
      </c>
      <c r="C5627">
        <v>11</v>
      </c>
      <c r="D5627">
        <v>5.8000000000000003E-2</v>
      </c>
      <c r="E5627" t="s">
        <v>6</v>
      </c>
      <c r="F5627">
        <v>4.9829999999999999E-2</v>
      </c>
    </row>
    <row r="5628" spans="1:6" x14ac:dyDescent="0.3">
      <c r="A5628" t="s">
        <v>5</v>
      </c>
      <c r="B5628" s="1">
        <v>45892</v>
      </c>
      <c r="C5628">
        <v>12</v>
      </c>
      <c r="D5628">
        <v>0.08</v>
      </c>
      <c r="E5628" t="s">
        <v>6</v>
      </c>
      <c r="F5628">
        <v>4.19E-2</v>
      </c>
    </row>
    <row r="5629" spans="1:6" x14ac:dyDescent="0.3">
      <c r="A5629" t="s">
        <v>5</v>
      </c>
      <c r="B5629" s="1">
        <v>45892</v>
      </c>
      <c r="C5629">
        <v>13</v>
      </c>
      <c r="D5629">
        <v>6.9000000000000006E-2</v>
      </c>
      <c r="E5629" t="s">
        <v>6</v>
      </c>
      <c r="F5629">
        <v>4.0809999999999999E-2</v>
      </c>
    </row>
    <row r="5630" spans="1:6" x14ac:dyDescent="0.3">
      <c r="A5630" t="s">
        <v>5</v>
      </c>
      <c r="B5630" s="1">
        <v>45892</v>
      </c>
      <c r="C5630">
        <v>14</v>
      </c>
      <c r="D5630">
        <v>5.8999999999999997E-2</v>
      </c>
      <c r="E5630" t="s">
        <v>6</v>
      </c>
      <c r="F5630">
        <v>3.9079999999999997E-2</v>
      </c>
    </row>
    <row r="5631" spans="1:6" x14ac:dyDescent="0.3">
      <c r="A5631" t="s">
        <v>5</v>
      </c>
      <c r="B5631" s="1">
        <v>45892</v>
      </c>
      <c r="C5631">
        <v>15</v>
      </c>
      <c r="D5631">
        <v>8.2000000000000003E-2</v>
      </c>
      <c r="E5631" t="s">
        <v>6</v>
      </c>
      <c r="F5631">
        <v>3.8729999999999994E-2</v>
      </c>
    </row>
    <row r="5632" spans="1:6" x14ac:dyDescent="0.3">
      <c r="A5632" t="s">
        <v>5</v>
      </c>
      <c r="B5632" s="1">
        <v>45892</v>
      </c>
      <c r="C5632">
        <v>16</v>
      </c>
      <c r="D5632">
        <v>6.7000000000000004E-2</v>
      </c>
      <c r="E5632" t="s">
        <v>6</v>
      </c>
      <c r="F5632">
        <v>4.4179999999999997E-2</v>
      </c>
    </row>
    <row r="5633" spans="1:6" x14ac:dyDescent="0.3">
      <c r="A5633" t="s">
        <v>5</v>
      </c>
      <c r="B5633" s="1">
        <v>45892</v>
      </c>
      <c r="C5633">
        <v>17</v>
      </c>
      <c r="D5633">
        <v>5.8999999999999997E-2</v>
      </c>
      <c r="E5633" t="s">
        <v>6</v>
      </c>
      <c r="F5633">
        <v>5.4259999999999996E-2</v>
      </c>
    </row>
    <row r="5634" spans="1:6" x14ac:dyDescent="0.3">
      <c r="A5634" t="s">
        <v>5</v>
      </c>
      <c r="B5634" s="1">
        <v>45892</v>
      </c>
      <c r="C5634">
        <v>18</v>
      </c>
      <c r="D5634">
        <v>8.3000000000000004E-2</v>
      </c>
      <c r="E5634" t="s">
        <v>6</v>
      </c>
      <c r="F5634">
        <v>8.3290000000000003E-2</v>
      </c>
    </row>
    <row r="5635" spans="1:6" x14ac:dyDescent="0.3">
      <c r="A5635" t="s">
        <v>5</v>
      </c>
      <c r="B5635" s="1">
        <v>45892</v>
      </c>
      <c r="C5635">
        <v>19</v>
      </c>
      <c r="D5635">
        <v>6.6000000000000003E-2</v>
      </c>
      <c r="E5635" t="s">
        <v>6</v>
      </c>
      <c r="F5635">
        <v>0.11181000000000001</v>
      </c>
    </row>
    <row r="5636" spans="1:6" x14ac:dyDescent="0.3">
      <c r="A5636" t="s">
        <v>5</v>
      </c>
      <c r="B5636" s="1">
        <v>45892</v>
      </c>
      <c r="C5636">
        <v>20</v>
      </c>
      <c r="D5636">
        <v>5.8999999999999997E-2</v>
      </c>
      <c r="E5636" t="s">
        <v>6</v>
      </c>
      <c r="F5636">
        <v>0.14973</v>
      </c>
    </row>
    <row r="5637" spans="1:6" x14ac:dyDescent="0.3">
      <c r="A5637" t="s">
        <v>5</v>
      </c>
      <c r="B5637" s="1">
        <v>45892</v>
      </c>
      <c r="C5637">
        <v>21</v>
      </c>
      <c r="D5637">
        <v>8.4000000000000005E-2</v>
      </c>
      <c r="E5637" t="s">
        <v>6</v>
      </c>
      <c r="F5637">
        <v>0.16524</v>
      </c>
    </row>
    <row r="5638" spans="1:6" x14ac:dyDescent="0.3">
      <c r="A5638" t="s">
        <v>5</v>
      </c>
      <c r="B5638" s="1">
        <v>45892</v>
      </c>
      <c r="C5638">
        <v>22</v>
      </c>
      <c r="D5638">
        <v>6.6000000000000003E-2</v>
      </c>
      <c r="E5638" t="s">
        <v>6</v>
      </c>
      <c r="F5638">
        <v>0.17911000000000002</v>
      </c>
    </row>
    <row r="5639" spans="1:6" x14ac:dyDescent="0.3">
      <c r="A5639" t="s">
        <v>5</v>
      </c>
      <c r="B5639" s="1">
        <v>45892</v>
      </c>
      <c r="C5639">
        <v>23</v>
      </c>
      <c r="D5639">
        <v>0.06</v>
      </c>
      <c r="E5639" t="s">
        <v>6</v>
      </c>
      <c r="F5639">
        <v>0.15788999999999997</v>
      </c>
    </row>
    <row r="5640" spans="1:6" x14ac:dyDescent="0.3">
      <c r="A5640" t="s">
        <v>5</v>
      </c>
      <c r="B5640" s="1">
        <v>45892</v>
      </c>
      <c r="C5640">
        <v>24</v>
      </c>
      <c r="D5640">
        <v>8.4000000000000005E-2</v>
      </c>
      <c r="E5640" t="s">
        <v>6</v>
      </c>
      <c r="F5640">
        <v>0.15631</v>
      </c>
    </row>
    <row r="5641" spans="1:6" x14ac:dyDescent="0.3">
      <c r="A5641" t="s">
        <v>5</v>
      </c>
      <c r="B5641" s="1">
        <v>45893</v>
      </c>
      <c r="C5641">
        <v>1</v>
      </c>
      <c r="D5641">
        <v>6.5000000000000002E-2</v>
      </c>
      <c r="E5641" t="s">
        <v>6</v>
      </c>
      <c r="F5641">
        <v>0.15108000000000002</v>
      </c>
    </row>
    <row r="5642" spans="1:6" x14ac:dyDescent="0.3">
      <c r="A5642" t="s">
        <v>5</v>
      </c>
      <c r="B5642" s="1">
        <v>45893</v>
      </c>
      <c r="C5642">
        <v>2</v>
      </c>
      <c r="D5642">
        <v>6.0999999999999999E-2</v>
      </c>
      <c r="E5642" t="s">
        <v>6</v>
      </c>
      <c r="F5642">
        <v>0.14851</v>
      </c>
    </row>
    <row r="5643" spans="1:6" x14ac:dyDescent="0.3">
      <c r="A5643" t="s">
        <v>5</v>
      </c>
      <c r="B5643" s="1">
        <v>45893</v>
      </c>
      <c r="C5643">
        <v>3</v>
      </c>
      <c r="D5643">
        <v>8.4000000000000005E-2</v>
      </c>
      <c r="E5643" t="s">
        <v>6</v>
      </c>
      <c r="F5643">
        <v>0.14713999999999999</v>
      </c>
    </row>
    <row r="5644" spans="1:6" x14ac:dyDescent="0.3">
      <c r="A5644" t="s">
        <v>5</v>
      </c>
      <c r="B5644" s="1">
        <v>45893</v>
      </c>
      <c r="C5644">
        <v>4</v>
      </c>
      <c r="D5644">
        <v>6.4000000000000001E-2</v>
      </c>
      <c r="E5644" t="s">
        <v>6</v>
      </c>
      <c r="F5644">
        <v>0.14402999999999999</v>
      </c>
    </row>
    <row r="5645" spans="1:6" x14ac:dyDescent="0.3">
      <c r="A5645" t="s">
        <v>5</v>
      </c>
      <c r="B5645" s="1">
        <v>45893</v>
      </c>
      <c r="C5645">
        <v>5</v>
      </c>
      <c r="D5645">
        <v>6.0999999999999999E-2</v>
      </c>
      <c r="E5645" t="s">
        <v>6</v>
      </c>
      <c r="F5645">
        <v>0.14349000000000001</v>
      </c>
    </row>
    <row r="5646" spans="1:6" x14ac:dyDescent="0.3">
      <c r="A5646" t="s">
        <v>5</v>
      </c>
      <c r="B5646" s="1">
        <v>45893</v>
      </c>
      <c r="C5646">
        <v>6</v>
      </c>
      <c r="D5646">
        <v>8.5000000000000006E-2</v>
      </c>
      <c r="E5646" t="s">
        <v>6</v>
      </c>
      <c r="F5646">
        <v>0.14343</v>
      </c>
    </row>
    <row r="5647" spans="1:6" x14ac:dyDescent="0.3">
      <c r="A5647" t="s">
        <v>5</v>
      </c>
      <c r="B5647" s="1">
        <v>45893</v>
      </c>
      <c r="C5647">
        <v>7</v>
      </c>
      <c r="D5647">
        <v>6.3E-2</v>
      </c>
      <c r="E5647" t="s">
        <v>6</v>
      </c>
      <c r="F5647">
        <v>0.14208000000000001</v>
      </c>
    </row>
    <row r="5648" spans="1:6" x14ac:dyDescent="0.3">
      <c r="A5648" t="s">
        <v>5</v>
      </c>
      <c r="B5648" s="1">
        <v>45893</v>
      </c>
      <c r="C5648">
        <v>8</v>
      </c>
      <c r="D5648">
        <v>6.2E-2</v>
      </c>
      <c r="E5648" t="s">
        <v>6</v>
      </c>
      <c r="F5648">
        <v>0.15828</v>
      </c>
    </row>
    <row r="5649" spans="1:6" x14ac:dyDescent="0.3">
      <c r="A5649" t="s">
        <v>5</v>
      </c>
      <c r="B5649" s="1">
        <v>45893</v>
      </c>
      <c r="C5649">
        <v>9</v>
      </c>
      <c r="D5649">
        <v>8.4000000000000005E-2</v>
      </c>
      <c r="E5649" t="s">
        <v>6</v>
      </c>
      <c r="F5649">
        <v>0.14113000000000001</v>
      </c>
    </row>
    <row r="5650" spans="1:6" x14ac:dyDescent="0.3">
      <c r="A5650" t="s">
        <v>5</v>
      </c>
      <c r="B5650" s="1">
        <v>45893</v>
      </c>
      <c r="C5650">
        <v>10</v>
      </c>
      <c r="D5650">
        <v>6.3E-2</v>
      </c>
      <c r="E5650" t="s">
        <v>6</v>
      </c>
      <c r="F5650">
        <v>7.0480000000000001E-2</v>
      </c>
    </row>
    <row r="5651" spans="1:6" x14ac:dyDescent="0.3">
      <c r="A5651" t="s">
        <v>5</v>
      </c>
      <c r="B5651" s="1">
        <v>45893</v>
      </c>
      <c r="C5651">
        <v>11</v>
      </c>
      <c r="D5651">
        <v>6.0999999999999999E-2</v>
      </c>
      <c r="E5651" t="s">
        <v>6</v>
      </c>
      <c r="F5651">
        <v>3.6799999999999999E-2</v>
      </c>
    </row>
    <row r="5652" spans="1:6" x14ac:dyDescent="0.3">
      <c r="A5652" t="s">
        <v>5</v>
      </c>
      <c r="B5652" s="1">
        <v>45893</v>
      </c>
      <c r="C5652">
        <v>12</v>
      </c>
      <c r="D5652">
        <v>8.3000000000000004E-2</v>
      </c>
      <c r="E5652" t="s">
        <v>6</v>
      </c>
      <c r="F5652">
        <v>4.4049999999999999E-2</v>
      </c>
    </row>
    <row r="5653" spans="1:6" x14ac:dyDescent="0.3">
      <c r="A5653" t="s">
        <v>5</v>
      </c>
      <c r="B5653" s="1">
        <v>45893</v>
      </c>
      <c r="C5653">
        <v>13</v>
      </c>
      <c r="D5653">
        <v>6.3E-2</v>
      </c>
      <c r="E5653" t="s">
        <v>6</v>
      </c>
      <c r="F5653">
        <v>4.2799999999999998E-2</v>
      </c>
    </row>
    <row r="5654" spans="1:6" x14ac:dyDescent="0.3">
      <c r="A5654" t="s">
        <v>5</v>
      </c>
      <c r="B5654" s="1">
        <v>45893</v>
      </c>
      <c r="C5654">
        <v>14</v>
      </c>
      <c r="D5654">
        <v>6.2E-2</v>
      </c>
      <c r="E5654" t="s">
        <v>6</v>
      </c>
      <c r="F5654">
        <v>4.1960000000000004E-2</v>
      </c>
    </row>
    <row r="5655" spans="1:6" x14ac:dyDescent="0.3">
      <c r="A5655" t="s">
        <v>5</v>
      </c>
      <c r="B5655" s="1">
        <v>45893</v>
      </c>
      <c r="C5655">
        <v>15</v>
      </c>
      <c r="D5655">
        <v>8.3000000000000004E-2</v>
      </c>
      <c r="E5655" t="s">
        <v>6</v>
      </c>
      <c r="F5655">
        <v>4.1779999999999998E-2</v>
      </c>
    </row>
    <row r="5656" spans="1:6" x14ac:dyDescent="0.3">
      <c r="A5656" t="s">
        <v>5</v>
      </c>
      <c r="B5656" s="1">
        <v>45893</v>
      </c>
      <c r="C5656">
        <v>16</v>
      </c>
      <c r="D5656">
        <v>6.3E-2</v>
      </c>
      <c r="E5656" t="s">
        <v>6</v>
      </c>
      <c r="F5656">
        <v>4.258E-2</v>
      </c>
    </row>
    <row r="5657" spans="1:6" x14ac:dyDescent="0.3">
      <c r="A5657" t="s">
        <v>5</v>
      </c>
      <c r="B5657" s="1">
        <v>45893</v>
      </c>
      <c r="C5657">
        <v>17</v>
      </c>
      <c r="D5657">
        <v>0.06</v>
      </c>
      <c r="E5657" t="s">
        <v>6</v>
      </c>
      <c r="F5657">
        <v>4.2799999999999998E-2</v>
      </c>
    </row>
    <row r="5658" spans="1:6" x14ac:dyDescent="0.3">
      <c r="A5658" t="s">
        <v>5</v>
      </c>
      <c r="B5658" s="1">
        <v>45893</v>
      </c>
      <c r="C5658">
        <v>18</v>
      </c>
      <c r="D5658">
        <v>8.4000000000000005E-2</v>
      </c>
      <c r="E5658" t="s">
        <v>6</v>
      </c>
      <c r="F5658">
        <v>5.3490000000000003E-2</v>
      </c>
    </row>
    <row r="5659" spans="1:6" x14ac:dyDescent="0.3">
      <c r="A5659" t="s">
        <v>5</v>
      </c>
      <c r="B5659" s="1">
        <v>45893</v>
      </c>
      <c r="C5659">
        <v>19</v>
      </c>
      <c r="D5659">
        <v>6.5000000000000002E-2</v>
      </c>
      <c r="E5659" t="s">
        <v>6</v>
      </c>
      <c r="F5659">
        <v>0.10879999999999999</v>
      </c>
    </row>
    <row r="5660" spans="1:6" x14ac:dyDescent="0.3">
      <c r="A5660" t="s">
        <v>5</v>
      </c>
      <c r="B5660" s="1">
        <v>45893</v>
      </c>
      <c r="C5660">
        <v>20</v>
      </c>
      <c r="D5660">
        <v>5.8999999999999997E-2</v>
      </c>
      <c r="E5660" t="s">
        <v>6</v>
      </c>
      <c r="F5660">
        <v>0.14527999999999999</v>
      </c>
    </row>
    <row r="5661" spans="1:6" x14ac:dyDescent="0.3">
      <c r="A5661" t="s">
        <v>5</v>
      </c>
      <c r="B5661" s="1">
        <v>45893</v>
      </c>
      <c r="C5661">
        <v>21</v>
      </c>
      <c r="D5661">
        <v>8.3000000000000004E-2</v>
      </c>
      <c r="E5661" t="s">
        <v>6</v>
      </c>
      <c r="F5661">
        <v>0.16324</v>
      </c>
    </row>
    <row r="5662" spans="1:6" x14ac:dyDescent="0.3">
      <c r="A5662" t="s">
        <v>5</v>
      </c>
      <c r="B5662" s="1">
        <v>45893</v>
      </c>
      <c r="C5662">
        <v>22</v>
      </c>
      <c r="D5662">
        <v>6.7000000000000004E-2</v>
      </c>
      <c r="E5662" t="s">
        <v>6</v>
      </c>
      <c r="F5662">
        <v>0.16097</v>
      </c>
    </row>
    <row r="5663" spans="1:6" x14ac:dyDescent="0.3">
      <c r="A5663" t="s">
        <v>5</v>
      </c>
      <c r="B5663" s="1">
        <v>45893</v>
      </c>
      <c r="C5663">
        <v>23</v>
      </c>
      <c r="D5663">
        <v>5.8999999999999997E-2</v>
      </c>
      <c r="E5663" t="s">
        <v>6</v>
      </c>
      <c r="F5663">
        <v>0.15790999999999999</v>
      </c>
    </row>
    <row r="5664" spans="1:6" x14ac:dyDescent="0.3">
      <c r="A5664" t="s">
        <v>5</v>
      </c>
      <c r="B5664" s="1">
        <v>45893</v>
      </c>
      <c r="C5664">
        <v>24</v>
      </c>
      <c r="D5664">
        <v>8.3000000000000004E-2</v>
      </c>
      <c r="E5664" t="s">
        <v>6</v>
      </c>
      <c r="F5664">
        <v>0.15196000000000001</v>
      </c>
    </row>
    <row r="5665" spans="1:6" x14ac:dyDescent="0.3">
      <c r="A5665" t="s">
        <v>5</v>
      </c>
      <c r="B5665" s="1">
        <v>45894</v>
      </c>
      <c r="C5665">
        <v>1</v>
      </c>
      <c r="D5665">
        <v>6.8000000000000005E-2</v>
      </c>
      <c r="E5665" t="s">
        <v>6</v>
      </c>
      <c r="F5665">
        <v>0.14050000000000001</v>
      </c>
    </row>
    <row r="5666" spans="1:6" x14ac:dyDescent="0.3">
      <c r="A5666" t="s">
        <v>5</v>
      </c>
      <c r="B5666" s="1">
        <v>45894</v>
      </c>
      <c r="C5666">
        <v>2</v>
      </c>
      <c r="D5666">
        <v>5.8000000000000003E-2</v>
      </c>
      <c r="E5666" t="s">
        <v>6</v>
      </c>
      <c r="F5666">
        <v>0.1366</v>
      </c>
    </row>
    <row r="5667" spans="1:6" x14ac:dyDescent="0.3">
      <c r="A5667" t="s">
        <v>5</v>
      </c>
      <c r="B5667" s="1">
        <v>45894</v>
      </c>
      <c r="C5667">
        <v>3</v>
      </c>
      <c r="D5667">
        <v>8.2000000000000003E-2</v>
      </c>
      <c r="E5667" t="s">
        <v>6</v>
      </c>
      <c r="F5667">
        <v>0.13438999999999998</v>
      </c>
    </row>
    <row r="5668" spans="1:6" x14ac:dyDescent="0.3">
      <c r="A5668" t="s">
        <v>5</v>
      </c>
      <c r="B5668" s="1">
        <v>45894</v>
      </c>
      <c r="C5668">
        <v>4</v>
      </c>
      <c r="D5668">
        <v>6.9000000000000006E-2</v>
      </c>
      <c r="E5668" t="s">
        <v>6</v>
      </c>
      <c r="F5668">
        <v>0.13097999999999999</v>
      </c>
    </row>
    <row r="5669" spans="1:6" x14ac:dyDescent="0.3">
      <c r="A5669" t="s">
        <v>5</v>
      </c>
      <c r="B5669" s="1">
        <v>45894</v>
      </c>
      <c r="C5669">
        <v>5</v>
      </c>
      <c r="D5669">
        <v>5.8999999999999997E-2</v>
      </c>
      <c r="E5669" t="s">
        <v>6</v>
      </c>
      <c r="F5669">
        <v>0.12847</v>
      </c>
    </row>
    <row r="5670" spans="1:6" x14ac:dyDescent="0.3">
      <c r="A5670" t="s">
        <v>5</v>
      </c>
      <c r="B5670" s="1">
        <v>45894</v>
      </c>
      <c r="C5670">
        <v>6</v>
      </c>
      <c r="D5670">
        <v>8.1000000000000003E-2</v>
      </c>
      <c r="E5670" t="s">
        <v>6</v>
      </c>
      <c r="F5670">
        <v>0.1336</v>
      </c>
    </row>
    <row r="5671" spans="1:6" x14ac:dyDescent="0.3">
      <c r="A5671" t="s">
        <v>5</v>
      </c>
      <c r="B5671" s="1">
        <v>45894</v>
      </c>
      <c r="C5671">
        <v>7</v>
      </c>
      <c r="D5671">
        <v>6.8000000000000005E-2</v>
      </c>
      <c r="E5671" t="s">
        <v>6</v>
      </c>
      <c r="F5671">
        <v>0.14080000000000001</v>
      </c>
    </row>
    <row r="5672" spans="1:6" x14ac:dyDescent="0.3">
      <c r="A5672" t="s">
        <v>5</v>
      </c>
      <c r="B5672" s="1">
        <v>45894</v>
      </c>
      <c r="C5672">
        <v>8</v>
      </c>
      <c r="D5672">
        <v>5.8000000000000003E-2</v>
      </c>
      <c r="E5672" t="s">
        <v>6</v>
      </c>
      <c r="F5672">
        <v>0.15056999999999998</v>
      </c>
    </row>
    <row r="5673" spans="1:6" x14ac:dyDescent="0.3">
      <c r="A5673" t="s">
        <v>5</v>
      </c>
      <c r="B5673" s="1">
        <v>45894</v>
      </c>
      <c r="C5673">
        <v>9</v>
      </c>
      <c r="D5673">
        <v>0.08</v>
      </c>
      <c r="E5673" t="s">
        <v>6</v>
      </c>
      <c r="F5673">
        <v>0.17369000000000001</v>
      </c>
    </row>
    <row r="5674" spans="1:6" x14ac:dyDescent="0.3">
      <c r="A5674" t="s">
        <v>5</v>
      </c>
      <c r="B5674" s="1">
        <v>45894</v>
      </c>
      <c r="C5674">
        <v>10</v>
      </c>
      <c r="D5674">
        <v>6.9000000000000006E-2</v>
      </c>
      <c r="E5674" t="s">
        <v>6</v>
      </c>
      <c r="F5674">
        <v>0.16459000000000001</v>
      </c>
    </row>
    <row r="5675" spans="1:6" x14ac:dyDescent="0.3">
      <c r="A5675" t="s">
        <v>5</v>
      </c>
      <c r="B5675" s="1">
        <v>45894</v>
      </c>
      <c r="C5675">
        <v>11</v>
      </c>
      <c r="D5675">
        <v>5.8000000000000003E-2</v>
      </c>
      <c r="E5675" t="s">
        <v>6</v>
      </c>
      <c r="F5675">
        <v>0.20799999999999999</v>
      </c>
    </row>
    <row r="5676" spans="1:6" x14ac:dyDescent="0.3">
      <c r="A5676" t="s">
        <v>5</v>
      </c>
      <c r="B5676" s="1">
        <v>45894</v>
      </c>
      <c r="C5676">
        <v>12</v>
      </c>
      <c r="D5676">
        <v>0.08</v>
      </c>
      <c r="E5676" t="s">
        <v>6</v>
      </c>
      <c r="F5676">
        <v>0.18042</v>
      </c>
    </row>
    <row r="5677" spans="1:6" x14ac:dyDescent="0.3">
      <c r="A5677" t="s">
        <v>5</v>
      </c>
      <c r="B5677" s="1">
        <v>45894</v>
      </c>
      <c r="C5677">
        <v>13</v>
      </c>
      <c r="D5677">
        <v>7.0000000000000007E-2</v>
      </c>
      <c r="E5677" t="s">
        <v>6</v>
      </c>
      <c r="F5677">
        <v>0.16931000000000002</v>
      </c>
    </row>
    <row r="5678" spans="1:6" x14ac:dyDescent="0.3">
      <c r="A5678" t="s">
        <v>5</v>
      </c>
      <c r="B5678" s="1">
        <v>45894</v>
      </c>
      <c r="C5678">
        <v>14</v>
      </c>
      <c r="D5678">
        <v>5.8999999999999997E-2</v>
      </c>
      <c r="E5678" t="s">
        <v>6</v>
      </c>
      <c r="F5678">
        <v>0.14393999999999998</v>
      </c>
    </row>
    <row r="5679" spans="1:6" x14ac:dyDescent="0.3">
      <c r="A5679" t="s">
        <v>5</v>
      </c>
      <c r="B5679" s="1">
        <v>45894</v>
      </c>
      <c r="C5679">
        <v>15</v>
      </c>
      <c r="D5679">
        <v>7.9000000000000001E-2</v>
      </c>
      <c r="E5679" t="s">
        <v>6</v>
      </c>
      <c r="F5679">
        <v>6.8209999999999993E-2</v>
      </c>
    </row>
    <row r="5680" spans="1:6" x14ac:dyDescent="0.3">
      <c r="A5680" t="s">
        <v>5</v>
      </c>
      <c r="B5680" s="1">
        <v>45894</v>
      </c>
      <c r="C5680">
        <v>16</v>
      </c>
      <c r="D5680">
        <v>7.0999999999999994E-2</v>
      </c>
      <c r="E5680" t="s">
        <v>6</v>
      </c>
      <c r="F5680">
        <v>6.8709999999999993E-2</v>
      </c>
    </row>
    <row r="5681" spans="1:6" x14ac:dyDescent="0.3">
      <c r="A5681" t="s">
        <v>5</v>
      </c>
      <c r="B5681" s="1">
        <v>45894</v>
      </c>
      <c r="C5681">
        <v>17</v>
      </c>
      <c r="D5681">
        <v>5.8999999999999997E-2</v>
      </c>
      <c r="E5681" t="s">
        <v>6</v>
      </c>
      <c r="F5681">
        <v>0.10394</v>
      </c>
    </row>
    <row r="5682" spans="1:6" x14ac:dyDescent="0.3">
      <c r="A5682" t="s">
        <v>5</v>
      </c>
      <c r="B5682" s="1">
        <v>45894</v>
      </c>
      <c r="C5682">
        <v>18</v>
      </c>
      <c r="D5682">
        <v>7.6999999999999999E-2</v>
      </c>
      <c r="E5682" t="s">
        <v>6</v>
      </c>
      <c r="F5682">
        <v>0.12012</v>
      </c>
    </row>
    <row r="5683" spans="1:6" x14ac:dyDescent="0.3">
      <c r="A5683" t="s">
        <v>5</v>
      </c>
      <c r="B5683" s="1">
        <v>45894</v>
      </c>
      <c r="C5683">
        <v>19</v>
      </c>
      <c r="D5683">
        <v>7.2999999999999995E-2</v>
      </c>
      <c r="E5683" t="s">
        <v>6</v>
      </c>
      <c r="F5683">
        <v>0.21878</v>
      </c>
    </row>
    <row r="5684" spans="1:6" x14ac:dyDescent="0.3">
      <c r="A5684" t="s">
        <v>5</v>
      </c>
      <c r="B5684" s="1">
        <v>45894</v>
      </c>
      <c r="C5684">
        <v>20</v>
      </c>
      <c r="D5684">
        <v>5.8000000000000003E-2</v>
      </c>
      <c r="E5684" t="s">
        <v>6</v>
      </c>
      <c r="F5684">
        <v>0.23585</v>
      </c>
    </row>
    <row r="5685" spans="1:6" x14ac:dyDescent="0.3">
      <c r="A5685" t="s">
        <v>5</v>
      </c>
      <c r="B5685" s="1">
        <v>45894</v>
      </c>
      <c r="C5685">
        <v>21</v>
      </c>
      <c r="D5685">
        <v>7.5999999999999998E-2</v>
      </c>
      <c r="E5685" t="s">
        <v>6</v>
      </c>
      <c r="F5685">
        <v>0.24818000000000001</v>
      </c>
    </row>
    <row r="5686" spans="1:6" x14ac:dyDescent="0.3">
      <c r="A5686" t="s">
        <v>5</v>
      </c>
      <c r="B5686" s="1">
        <v>45894</v>
      </c>
      <c r="C5686">
        <v>22</v>
      </c>
      <c r="D5686">
        <v>7.3999999999999996E-2</v>
      </c>
      <c r="E5686" t="s">
        <v>6</v>
      </c>
      <c r="F5686">
        <v>0.26588000000000001</v>
      </c>
    </row>
    <row r="5687" spans="1:6" x14ac:dyDescent="0.3">
      <c r="A5687" t="s">
        <v>5</v>
      </c>
      <c r="B5687" s="1">
        <v>45894</v>
      </c>
      <c r="C5687">
        <v>23</v>
      </c>
      <c r="D5687">
        <v>5.8999999999999997E-2</v>
      </c>
      <c r="E5687" t="s">
        <v>6</v>
      </c>
      <c r="F5687">
        <v>0.18077000000000001</v>
      </c>
    </row>
    <row r="5688" spans="1:6" x14ac:dyDescent="0.3">
      <c r="A5688" t="s">
        <v>5</v>
      </c>
      <c r="B5688" s="1">
        <v>45894</v>
      </c>
      <c r="C5688">
        <v>24</v>
      </c>
      <c r="D5688">
        <v>7.4999999999999997E-2</v>
      </c>
      <c r="E5688" t="s">
        <v>6</v>
      </c>
      <c r="F5688">
        <v>0.17308999999999999</v>
      </c>
    </row>
    <row r="5689" spans="1:6" x14ac:dyDescent="0.3">
      <c r="A5689" t="s">
        <v>5</v>
      </c>
      <c r="B5689" s="1">
        <v>45895</v>
      </c>
      <c r="C5689">
        <v>1</v>
      </c>
      <c r="D5689">
        <v>7.4999999999999997E-2</v>
      </c>
      <c r="E5689" t="s">
        <v>6</v>
      </c>
      <c r="F5689">
        <v>0.14221999999999999</v>
      </c>
    </row>
    <row r="5690" spans="1:6" x14ac:dyDescent="0.3">
      <c r="A5690" t="s">
        <v>5</v>
      </c>
      <c r="B5690" s="1">
        <v>45895</v>
      </c>
      <c r="C5690">
        <v>2</v>
      </c>
      <c r="D5690">
        <v>5.8999999999999997E-2</v>
      </c>
      <c r="E5690" t="s">
        <v>6</v>
      </c>
      <c r="F5690">
        <v>0.13905999999999999</v>
      </c>
    </row>
    <row r="5691" spans="1:6" x14ac:dyDescent="0.3">
      <c r="A5691" t="s">
        <v>5</v>
      </c>
      <c r="B5691" s="1">
        <v>45895</v>
      </c>
      <c r="C5691">
        <v>3</v>
      </c>
      <c r="D5691">
        <v>7.2999999999999995E-2</v>
      </c>
      <c r="E5691" t="s">
        <v>6</v>
      </c>
      <c r="F5691">
        <v>0.13811000000000001</v>
      </c>
    </row>
    <row r="5692" spans="1:6" x14ac:dyDescent="0.3">
      <c r="A5692" t="s">
        <v>5</v>
      </c>
      <c r="B5692" s="1">
        <v>45895</v>
      </c>
      <c r="C5692">
        <v>4</v>
      </c>
      <c r="D5692">
        <v>7.8E-2</v>
      </c>
      <c r="E5692" t="s">
        <v>6</v>
      </c>
      <c r="F5692">
        <v>0.13263999999999998</v>
      </c>
    </row>
    <row r="5693" spans="1:6" x14ac:dyDescent="0.3">
      <c r="A5693" t="s">
        <v>5</v>
      </c>
      <c r="B5693" s="1">
        <v>45895</v>
      </c>
      <c r="C5693">
        <v>5</v>
      </c>
      <c r="D5693">
        <v>5.8999999999999997E-2</v>
      </c>
      <c r="E5693" t="s">
        <v>6</v>
      </c>
      <c r="F5693">
        <v>0.13333</v>
      </c>
    </row>
    <row r="5694" spans="1:6" x14ac:dyDescent="0.3">
      <c r="A5694" t="s">
        <v>5</v>
      </c>
      <c r="B5694" s="1">
        <v>45895</v>
      </c>
      <c r="C5694">
        <v>6</v>
      </c>
      <c r="D5694">
        <v>7.0000000000000007E-2</v>
      </c>
      <c r="E5694" t="s">
        <v>6</v>
      </c>
      <c r="F5694">
        <v>0.13350999999999999</v>
      </c>
    </row>
    <row r="5695" spans="1:6" x14ac:dyDescent="0.3">
      <c r="A5695" t="s">
        <v>5</v>
      </c>
      <c r="B5695" s="1">
        <v>45895</v>
      </c>
      <c r="C5695">
        <v>7</v>
      </c>
      <c r="D5695">
        <v>0.08</v>
      </c>
      <c r="E5695" t="s">
        <v>6</v>
      </c>
      <c r="F5695">
        <v>0.14402000000000001</v>
      </c>
    </row>
    <row r="5696" spans="1:6" x14ac:dyDescent="0.3">
      <c r="A5696" t="s">
        <v>5</v>
      </c>
      <c r="B5696" s="1">
        <v>45895</v>
      </c>
      <c r="C5696">
        <v>8</v>
      </c>
      <c r="D5696">
        <v>5.8999999999999997E-2</v>
      </c>
      <c r="E5696" t="s">
        <v>6</v>
      </c>
      <c r="F5696">
        <v>0.1656</v>
      </c>
    </row>
    <row r="5697" spans="1:6" x14ac:dyDescent="0.3">
      <c r="A5697" t="s">
        <v>5</v>
      </c>
      <c r="B5697" s="1">
        <v>45895</v>
      </c>
      <c r="C5697">
        <v>9</v>
      </c>
      <c r="D5697">
        <v>6.7000000000000004E-2</v>
      </c>
      <c r="E5697" t="s">
        <v>6</v>
      </c>
      <c r="F5697">
        <v>0.17565999999999998</v>
      </c>
    </row>
    <row r="5698" spans="1:6" x14ac:dyDescent="0.3">
      <c r="A5698" t="s">
        <v>5</v>
      </c>
      <c r="B5698" s="1">
        <v>45895</v>
      </c>
      <c r="C5698">
        <v>10</v>
      </c>
      <c r="D5698">
        <v>8.2000000000000003E-2</v>
      </c>
      <c r="E5698" t="s">
        <v>6</v>
      </c>
      <c r="F5698">
        <v>0.158</v>
      </c>
    </row>
    <row r="5699" spans="1:6" x14ac:dyDescent="0.3">
      <c r="A5699" t="s">
        <v>5</v>
      </c>
      <c r="B5699" s="1">
        <v>45895</v>
      </c>
      <c r="C5699">
        <v>11</v>
      </c>
      <c r="D5699">
        <v>5.8999999999999997E-2</v>
      </c>
      <c r="E5699" t="s">
        <v>6</v>
      </c>
      <c r="F5699">
        <v>0.18809999999999999</v>
      </c>
    </row>
    <row r="5700" spans="1:6" x14ac:dyDescent="0.3">
      <c r="A5700" t="s">
        <v>5</v>
      </c>
      <c r="B5700" s="1">
        <v>45895</v>
      </c>
      <c r="C5700">
        <v>12</v>
      </c>
      <c r="D5700">
        <v>6.4000000000000001E-2</v>
      </c>
      <c r="E5700" t="s">
        <v>6</v>
      </c>
      <c r="F5700">
        <v>0.17765999999999998</v>
      </c>
    </row>
    <row r="5701" spans="1:6" x14ac:dyDescent="0.3">
      <c r="A5701" t="s">
        <v>5</v>
      </c>
      <c r="B5701" s="1">
        <v>45895</v>
      </c>
      <c r="C5701">
        <v>13</v>
      </c>
      <c r="D5701">
        <v>8.3000000000000004E-2</v>
      </c>
      <c r="E5701" t="s">
        <v>6</v>
      </c>
      <c r="F5701">
        <v>0.15594</v>
      </c>
    </row>
    <row r="5702" spans="1:6" x14ac:dyDescent="0.3">
      <c r="A5702" t="s">
        <v>5</v>
      </c>
      <c r="B5702" s="1">
        <v>45895</v>
      </c>
      <c r="C5702">
        <v>14</v>
      </c>
      <c r="D5702">
        <v>6.2E-2</v>
      </c>
      <c r="E5702" t="s">
        <v>6</v>
      </c>
      <c r="F5702">
        <v>0.13644000000000001</v>
      </c>
    </row>
    <row r="5703" spans="1:6" x14ac:dyDescent="0.3">
      <c r="A5703" t="s">
        <v>5</v>
      </c>
      <c r="B5703" s="1">
        <v>45895</v>
      </c>
      <c r="C5703">
        <v>15</v>
      </c>
      <c r="D5703">
        <v>8.7999999999999995E-2</v>
      </c>
      <c r="E5703" t="s">
        <v>6</v>
      </c>
      <c r="F5703">
        <v>8.5029999999999994E-2</v>
      </c>
    </row>
    <row r="5704" spans="1:6" x14ac:dyDescent="0.3">
      <c r="A5704" t="s">
        <v>5</v>
      </c>
      <c r="B5704" s="1">
        <v>45895</v>
      </c>
      <c r="C5704">
        <v>16</v>
      </c>
      <c r="D5704">
        <v>0.12</v>
      </c>
      <c r="E5704" t="s">
        <v>6</v>
      </c>
      <c r="F5704">
        <v>9.9610000000000004E-2</v>
      </c>
    </row>
    <row r="5705" spans="1:6" x14ac:dyDescent="0.3">
      <c r="A5705" t="s">
        <v>5</v>
      </c>
      <c r="B5705" s="1">
        <v>45895</v>
      </c>
      <c r="C5705">
        <v>17</v>
      </c>
      <c r="D5705">
        <v>8.8999999999999996E-2</v>
      </c>
      <c r="E5705" t="s">
        <v>6</v>
      </c>
      <c r="F5705">
        <v>0.11194</v>
      </c>
    </row>
    <row r="5706" spans="1:6" x14ac:dyDescent="0.3">
      <c r="A5706" t="s">
        <v>5</v>
      </c>
      <c r="B5706" s="1">
        <v>45895</v>
      </c>
      <c r="C5706">
        <v>18</v>
      </c>
      <c r="D5706">
        <v>8.5999999999999993E-2</v>
      </c>
      <c r="E5706" t="s">
        <v>6</v>
      </c>
      <c r="F5706">
        <v>0.11810999999999999</v>
      </c>
    </row>
    <row r="5707" spans="1:6" x14ac:dyDescent="0.3">
      <c r="A5707" t="s">
        <v>5</v>
      </c>
      <c r="B5707" s="1">
        <v>45895</v>
      </c>
      <c r="C5707">
        <v>19</v>
      </c>
      <c r="D5707">
        <v>7.5999999999999998E-2</v>
      </c>
      <c r="E5707" t="s">
        <v>6</v>
      </c>
      <c r="F5707">
        <v>0.19991</v>
      </c>
    </row>
    <row r="5708" spans="1:6" x14ac:dyDescent="0.3">
      <c r="A5708" t="s">
        <v>5</v>
      </c>
      <c r="B5708" s="1">
        <v>45895</v>
      </c>
      <c r="C5708">
        <v>20</v>
      </c>
      <c r="D5708">
        <v>5.8999999999999997E-2</v>
      </c>
      <c r="E5708" t="s">
        <v>6</v>
      </c>
      <c r="F5708">
        <v>0.22724</v>
      </c>
    </row>
    <row r="5709" spans="1:6" x14ac:dyDescent="0.3">
      <c r="A5709" t="s">
        <v>5</v>
      </c>
      <c r="B5709" s="1">
        <v>45895</v>
      </c>
      <c r="C5709">
        <v>21</v>
      </c>
      <c r="D5709">
        <v>7.8E-2</v>
      </c>
      <c r="E5709" t="s">
        <v>6</v>
      </c>
      <c r="F5709">
        <v>0.24181999999999998</v>
      </c>
    </row>
    <row r="5710" spans="1:6" x14ac:dyDescent="0.3">
      <c r="A5710" t="s">
        <v>5</v>
      </c>
      <c r="B5710" s="1">
        <v>45895</v>
      </c>
      <c r="C5710">
        <v>22</v>
      </c>
      <c r="D5710">
        <v>7.3999999999999996E-2</v>
      </c>
      <c r="E5710" t="s">
        <v>6</v>
      </c>
      <c r="F5710">
        <v>0.24793000000000001</v>
      </c>
    </row>
    <row r="5711" spans="1:6" x14ac:dyDescent="0.3">
      <c r="A5711" t="s">
        <v>5</v>
      </c>
      <c r="B5711" s="1">
        <v>45895</v>
      </c>
      <c r="C5711">
        <v>23</v>
      </c>
      <c r="D5711">
        <v>5.8999999999999997E-2</v>
      </c>
      <c r="E5711" t="s">
        <v>6</v>
      </c>
      <c r="F5711">
        <v>0.17232</v>
      </c>
    </row>
    <row r="5712" spans="1:6" x14ac:dyDescent="0.3">
      <c r="A5712" t="s">
        <v>5</v>
      </c>
      <c r="B5712" s="1">
        <v>45895</v>
      </c>
      <c r="C5712">
        <v>24</v>
      </c>
      <c r="D5712">
        <v>0.08</v>
      </c>
      <c r="E5712" t="s">
        <v>6</v>
      </c>
      <c r="F5712">
        <v>0.1671</v>
      </c>
    </row>
    <row r="5713" spans="1:6" x14ac:dyDescent="0.3">
      <c r="A5713" t="s">
        <v>5</v>
      </c>
      <c r="B5713" s="1">
        <v>45896</v>
      </c>
      <c r="C5713">
        <v>1</v>
      </c>
      <c r="D5713">
        <v>7.0999999999999994E-2</v>
      </c>
      <c r="E5713" t="s">
        <v>6</v>
      </c>
      <c r="F5713">
        <v>0.14324000000000001</v>
      </c>
    </row>
    <row r="5714" spans="1:6" x14ac:dyDescent="0.3">
      <c r="A5714" t="s">
        <v>5</v>
      </c>
      <c r="B5714" s="1">
        <v>45896</v>
      </c>
      <c r="C5714">
        <v>2</v>
      </c>
      <c r="D5714">
        <v>5.8999999999999997E-2</v>
      </c>
      <c r="E5714" t="s">
        <v>6</v>
      </c>
      <c r="F5714">
        <v>0.13704</v>
      </c>
    </row>
    <row r="5715" spans="1:6" x14ac:dyDescent="0.3">
      <c r="A5715" t="s">
        <v>5</v>
      </c>
      <c r="B5715" s="1">
        <v>45896</v>
      </c>
      <c r="C5715">
        <v>3</v>
      </c>
      <c r="D5715">
        <v>8.1000000000000003E-2</v>
      </c>
      <c r="E5715" t="s">
        <v>6</v>
      </c>
      <c r="F5715">
        <v>0.13586000000000001</v>
      </c>
    </row>
    <row r="5716" spans="1:6" x14ac:dyDescent="0.3">
      <c r="A5716" t="s">
        <v>5</v>
      </c>
      <c r="B5716" s="1">
        <v>45896</v>
      </c>
      <c r="C5716">
        <v>4</v>
      </c>
      <c r="D5716">
        <v>7.0999999999999994E-2</v>
      </c>
      <c r="E5716" t="s">
        <v>6</v>
      </c>
      <c r="F5716">
        <v>0.1288</v>
      </c>
    </row>
    <row r="5717" spans="1:6" x14ac:dyDescent="0.3">
      <c r="A5717" t="s">
        <v>5</v>
      </c>
      <c r="B5717" s="1">
        <v>45896</v>
      </c>
      <c r="C5717">
        <v>5</v>
      </c>
      <c r="D5717">
        <v>5.8999999999999997E-2</v>
      </c>
      <c r="E5717" t="s">
        <v>6</v>
      </c>
      <c r="F5717">
        <v>0.12372</v>
      </c>
    </row>
    <row r="5718" spans="1:6" x14ac:dyDescent="0.3">
      <c r="A5718" t="s">
        <v>5</v>
      </c>
      <c r="B5718" s="1">
        <v>45896</v>
      </c>
      <c r="C5718">
        <v>6</v>
      </c>
      <c r="D5718">
        <v>8.1000000000000003E-2</v>
      </c>
      <c r="E5718" t="s">
        <v>6</v>
      </c>
      <c r="F5718">
        <v>0.12304000000000001</v>
      </c>
    </row>
    <row r="5719" spans="1:6" x14ac:dyDescent="0.3">
      <c r="A5719" t="s">
        <v>5</v>
      </c>
      <c r="B5719" s="1">
        <v>45896</v>
      </c>
      <c r="C5719">
        <v>7</v>
      </c>
      <c r="D5719">
        <v>6.9000000000000006E-2</v>
      </c>
      <c r="E5719" t="s">
        <v>6</v>
      </c>
      <c r="F5719">
        <v>0.13635</v>
      </c>
    </row>
    <row r="5720" spans="1:6" x14ac:dyDescent="0.3">
      <c r="A5720" t="s">
        <v>5</v>
      </c>
      <c r="B5720" s="1">
        <v>45896</v>
      </c>
      <c r="C5720">
        <v>8</v>
      </c>
      <c r="D5720">
        <v>5.8000000000000003E-2</v>
      </c>
      <c r="E5720" t="s">
        <v>6</v>
      </c>
      <c r="F5720">
        <v>0.14813999999999999</v>
      </c>
    </row>
    <row r="5721" spans="1:6" x14ac:dyDescent="0.3">
      <c r="A5721" t="s">
        <v>5</v>
      </c>
      <c r="B5721" s="1">
        <v>45896</v>
      </c>
      <c r="C5721">
        <v>9</v>
      </c>
      <c r="D5721">
        <v>8.2000000000000003E-2</v>
      </c>
      <c r="E5721" t="s">
        <v>6</v>
      </c>
      <c r="F5721">
        <v>0.1701</v>
      </c>
    </row>
    <row r="5722" spans="1:6" x14ac:dyDescent="0.3">
      <c r="A5722" t="s">
        <v>5</v>
      </c>
      <c r="B5722" s="1">
        <v>45896</v>
      </c>
      <c r="C5722">
        <v>10</v>
      </c>
      <c r="D5722">
        <v>6.7000000000000004E-2</v>
      </c>
      <c r="E5722" t="s">
        <v>6</v>
      </c>
      <c r="F5722">
        <v>0.16322999999999999</v>
      </c>
    </row>
    <row r="5723" spans="1:6" x14ac:dyDescent="0.3">
      <c r="A5723" t="s">
        <v>5</v>
      </c>
      <c r="B5723" s="1">
        <v>45896</v>
      </c>
      <c r="C5723">
        <v>11</v>
      </c>
      <c r="D5723">
        <v>5.7000000000000002E-2</v>
      </c>
      <c r="E5723" t="s">
        <v>6</v>
      </c>
      <c r="F5723">
        <v>0.20574999999999999</v>
      </c>
    </row>
    <row r="5724" spans="1:6" x14ac:dyDescent="0.3">
      <c r="A5724" t="s">
        <v>5</v>
      </c>
      <c r="B5724" s="1">
        <v>45896</v>
      </c>
      <c r="C5724">
        <v>12</v>
      </c>
      <c r="D5724">
        <v>8.3000000000000004E-2</v>
      </c>
      <c r="E5724" t="s">
        <v>6</v>
      </c>
      <c r="F5724">
        <v>0.19997999999999999</v>
      </c>
    </row>
    <row r="5725" spans="1:6" x14ac:dyDescent="0.3">
      <c r="A5725" t="s">
        <v>5</v>
      </c>
      <c r="B5725" s="1">
        <v>45896</v>
      </c>
      <c r="C5725">
        <v>13</v>
      </c>
      <c r="D5725">
        <v>6.7000000000000004E-2</v>
      </c>
      <c r="E5725" t="s">
        <v>6</v>
      </c>
      <c r="F5725">
        <v>0.18447999999999998</v>
      </c>
    </row>
    <row r="5726" spans="1:6" x14ac:dyDescent="0.3">
      <c r="A5726" t="s">
        <v>5</v>
      </c>
      <c r="B5726" s="1">
        <v>45896</v>
      </c>
      <c r="C5726">
        <v>14</v>
      </c>
      <c r="D5726">
        <v>5.8000000000000003E-2</v>
      </c>
      <c r="E5726" t="s">
        <v>6</v>
      </c>
      <c r="F5726">
        <v>0.16613</v>
      </c>
    </row>
    <row r="5727" spans="1:6" x14ac:dyDescent="0.3">
      <c r="A5727" t="s">
        <v>5</v>
      </c>
      <c r="B5727" s="1">
        <v>45896</v>
      </c>
      <c r="C5727">
        <v>15</v>
      </c>
      <c r="D5727">
        <v>8.3000000000000004E-2</v>
      </c>
      <c r="E5727" t="s">
        <v>6</v>
      </c>
      <c r="F5727">
        <v>0.10198</v>
      </c>
    </row>
    <row r="5728" spans="1:6" x14ac:dyDescent="0.3">
      <c r="A5728" t="s">
        <v>5</v>
      </c>
      <c r="B5728" s="1">
        <v>45896</v>
      </c>
      <c r="C5728">
        <v>16</v>
      </c>
      <c r="D5728">
        <v>6.6000000000000003E-2</v>
      </c>
      <c r="E5728" t="s">
        <v>6</v>
      </c>
      <c r="F5728">
        <v>0.10546</v>
      </c>
    </row>
    <row r="5729" spans="1:6" x14ac:dyDescent="0.3">
      <c r="A5729" t="s">
        <v>5</v>
      </c>
      <c r="B5729" s="1">
        <v>45896</v>
      </c>
      <c r="C5729">
        <v>17</v>
      </c>
      <c r="D5729">
        <v>5.8999999999999997E-2</v>
      </c>
      <c r="E5729" t="s">
        <v>6</v>
      </c>
      <c r="F5729">
        <v>0.10665000000000001</v>
      </c>
    </row>
    <row r="5730" spans="1:6" x14ac:dyDescent="0.3">
      <c r="A5730" t="s">
        <v>5</v>
      </c>
      <c r="B5730" s="1">
        <v>45896</v>
      </c>
      <c r="C5730">
        <v>18</v>
      </c>
      <c r="D5730">
        <v>8.4000000000000005E-2</v>
      </c>
      <c r="E5730" t="s">
        <v>6</v>
      </c>
      <c r="F5730">
        <v>0.10786</v>
      </c>
    </row>
    <row r="5731" spans="1:6" x14ac:dyDescent="0.3">
      <c r="A5731" t="s">
        <v>5</v>
      </c>
      <c r="B5731" s="1">
        <v>45896</v>
      </c>
      <c r="C5731">
        <v>19</v>
      </c>
      <c r="D5731">
        <v>6.6000000000000003E-2</v>
      </c>
      <c r="E5731" t="s">
        <v>6</v>
      </c>
      <c r="F5731">
        <v>0.19090000000000001</v>
      </c>
    </row>
    <row r="5732" spans="1:6" x14ac:dyDescent="0.3">
      <c r="A5732" t="s">
        <v>5</v>
      </c>
      <c r="B5732" s="1">
        <v>45896</v>
      </c>
      <c r="C5732">
        <v>20</v>
      </c>
      <c r="D5732">
        <v>0.06</v>
      </c>
      <c r="E5732" t="s">
        <v>6</v>
      </c>
      <c r="F5732">
        <v>0.22202000000000002</v>
      </c>
    </row>
    <row r="5733" spans="1:6" x14ac:dyDescent="0.3">
      <c r="A5733" t="s">
        <v>5</v>
      </c>
      <c r="B5733" s="1">
        <v>45896</v>
      </c>
      <c r="C5733">
        <v>21</v>
      </c>
      <c r="D5733">
        <v>8.5000000000000006E-2</v>
      </c>
      <c r="E5733" t="s">
        <v>6</v>
      </c>
      <c r="F5733">
        <v>0.23257</v>
      </c>
    </row>
    <row r="5734" spans="1:6" x14ac:dyDescent="0.3">
      <c r="A5734" t="s">
        <v>5</v>
      </c>
      <c r="B5734" s="1">
        <v>45896</v>
      </c>
      <c r="C5734">
        <v>22</v>
      </c>
      <c r="D5734">
        <v>6.6000000000000003E-2</v>
      </c>
      <c r="E5734" t="s">
        <v>6</v>
      </c>
      <c r="F5734">
        <v>0.23627000000000001</v>
      </c>
    </row>
    <row r="5735" spans="1:6" x14ac:dyDescent="0.3">
      <c r="A5735" t="s">
        <v>5</v>
      </c>
      <c r="B5735" s="1">
        <v>45896</v>
      </c>
      <c r="C5735">
        <v>23</v>
      </c>
      <c r="D5735">
        <v>5.8999999999999997E-2</v>
      </c>
      <c r="E5735" t="s">
        <v>6</v>
      </c>
      <c r="F5735">
        <v>0.17096</v>
      </c>
    </row>
    <row r="5736" spans="1:6" x14ac:dyDescent="0.3">
      <c r="A5736" t="s">
        <v>5</v>
      </c>
      <c r="B5736" s="1">
        <v>45896</v>
      </c>
      <c r="C5736">
        <v>24</v>
      </c>
      <c r="D5736">
        <v>8.5000000000000006E-2</v>
      </c>
      <c r="E5736" t="s">
        <v>6</v>
      </c>
      <c r="F5736">
        <v>0.16127</v>
      </c>
    </row>
    <row r="5737" spans="1:6" x14ac:dyDescent="0.3">
      <c r="A5737" t="s">
        <v>5</v>
      </c>
      <c r="B5737" s="1">
        <v>45897</v>
      </c>
      <c r="C5737">
        <v>1</v>
      </c>
      <c r="D5737">
        <v>6.6000000000000003E-2</v>
      </c>
      <c r="E5737" t="s">
        <v>6</v>
      </c>
      <c r="F5737">
        <v>0.14915999999999999</v>
      </c>
    </row>
    <row r="5738" spans="1:6" x14ac:dyDescent="0.3">
      <c r="A5738" t="s">
        <v>5</v>
      </c>
      <c r="B5738" s="1">
        <v>45897</v>
      </c>
      <c r="C5738">
        <v>2</v>
      </c>
      <c r="D5738">
        <v>5.8999999999999997E-2</v>
      </c>
      <c r="E5738" t="s">
        <v>6</v>
      </c>
      <c r="F5738">
        <v>0.14079</v>
      </c>
    </row>
    <row r="5739" spans="1:6" x14ac:dyDescent="0.3">
      <c r="A5739" t="s">
        <v>5</v>
      </c>
      <c r="B5739" s="1">
        <v>45897</v>
      </c>
      <c r="C5739">
        <v>3</v>
      </c>
      <c r="D5739">
        <v>8.5000000000000006E-2</v>
      </c>
      <c r="E5739" t="s">
        <v>6</v>
      </c>
      <c r="F5739">
        <v>0.13886000000000001</v>
      </c>
    </row>
    <row r="5740" spans="1:6" x14ac:dyDescent="0.3">
      <c r="A5740" t="s">
        <v>5</v>
      </c>
      <c r="B5740" s="1">
        <v>45897</v>
      </c>
      <c r="C5740">
        <v>4</v>
      </c>
      <c r="D5740">
        <v>6.7000000000000004E-2</v>
      </c>
      <c r="E5740" t="s">
        <v>6</v>
      </c>
      <c r="F5740">
        <v>0.12398999999999999</v>
      </c>
    </row>
    <row r="5741" spans="1:6" x14ac:dyDescent="0.3">
      <c r="A5741" t="s">
        <v>5</v>
      </c>
      <c r="B5741" s="1">
        <v>45897</v>
      </c>
      <c r="C5741">
        <v>5</v>
      </c>
      <c r="D5741">
        <v>5.8999999999999997E-2</v>
      </c>
      <c r="E5741" t="s">
        <v>6</v>
      </c>
      <c r="F5741">
        <v>0.11965000000000001</v>
      </c>
    </row>
    <row r="5742" spans="1:6" x14ac:dyDescent="0.3">
      <c r="A5742" t="s">
        <v>5</v>
      </c>
      <c r="B5742" s="1">
        <v>45897</v>
      </c>
      <c r="C5742">
        <v>6</v>
      </c>
      <c r="D5742">
        <v>8.5000000000000006E-2</v>
      </c>
      <c r="E5742" t="s">
        <v>6</v>
      </c>
      <c r="F5742">
        <v>0.12606000000000001</v>
      </c>
    </row>
    <row r="5743" spans="1:6" x14ac:dyDescent="0.3">
      <c r="A5743" t="s">
        <v>5</v>
      </c>
      <c r="B5743" s="1">
        <v>45897</v>
      </c>
      <c r="C5743">
        <v>7</v>
      </c>
      <c r="D5743">
        <v>6.5000000000000002E-2</v>
      </c>
      <c r="E5743" t="s">
        <v>6</v>
      </c>
      <c r="F5743">
        <v>0.13561000000000001</v>
      </c>
    </row>
    <row r="5744" spans="1:6" x14ac:dyDescent="0.3">
      <c r="A5744" t="s">
        <v>5</v>
      </c>
      <c r="B5744" s="1">
        <v>45897</v>
      </c>
      <c r="C5744">
        <v>8</v>
      </c>
      <c r="D5744">
        <v>5.8999999999999997E-2</v>
      </c>
      <c r="E5744" t="s">
        <v>6</v>
      </c>
      <c r="F5744">
        <v>0.14421</v>
      </c>
    </row>
    <row r="5745" spans="1:6" x14ac:dyDescent="0.3">
      <c r="A5745" t="s">
        <v>5</v>
      </c>
      <c r="B5745" s="1">
        <v>45897</v>
      </c>
      <c r="C5745">
        <v>9</v>
      </c>
      <c r="D5745">
        <v>8.3000000000000004E-2</v>
      </c>
      <c r="E5745" t="s">
        <v>6</v>
      </c>
      <c r="F5745">
        <v>0.1663</v>
      </c>
    </row>
    <row r="5746" spans="1:6" x14ac:dyDescent="0.3">
      <c r="A5746" t="s">
        <v>5</v>
      </c>
      <c r="B5746" s="1">
        <v>45897</v>
      </c>
      <c r="C5746">
        <v>10</v>
      </c>
      <c r="D5746">
        <v>6.7000000000000004E-2</v>
      </c>
      <c r="E5746" t="s">
        <v>6</v>
      </c>
      <c r="F5746">
        <v>0.14502000000000001</v>
      </c>
    </row>
    <row r="5747" spans="1:6" x14ac:dyDescent="0.3">
      <c r="A5747" t="s">
        <v>5</v>
      </c>
      <c r="B5747" s="1">
        <v>45897</v>
      </c>
      <c r="C5747">
        <v>11</v>
      </c>
      <c r="D5747">
        <v>5.8999999999999997E-2</v>
      </c>
      <c r="E5747" t="s">
        <v>6</v>
      </c>
      <c r="F5747">
        <v>0.15087</v>
      </c>
    </row>
    <row r="5748" spans="1:6" x14ac:dyDescent="0.3">
      <c r="A5748" t="s">
        <v>5</v>
      </c>
      <c r="B5748" s="1">
        <v>45897</v>
      </c>
      <c r="C5748">
        <v>12</v>
      </c>
      <c r="D5748">
        <v>8.3000000000000004E-2</v>
      </c>
      <c r="E5748" t="s">
        <v>6</v>
      </c>
      <c r="F5748">
        <v>0.13487000000000002</v>
      </c>
    </row>
    <row r="5749" spans="1:6" x14ac:dyDescent="0.3">
      <c r="A5749" t="s">
        <v>5</v>
      </c>
      <c r="B5749" s="1">
        <v>45897</v>
      </c>
      <c r="C5749">
        <v>13</v>
      </c>
      <c r="D5749">
        <v>6.8000000000000005E-2</v>
      </c>
      <c r="E5749" t="s">
        <v>6</v>
      </c>
      <c r="F5749">
        <v>0.13256999999999999</v>
      </c>
    </row>
    <row r="5750" spans="1:6" x14ac:dyDescent="0.3">
      <c r="A5750" t="s">
        <v>5</v>
      </c>
      <c r="B5750" s="1">
        <v>45897</v>
      </c>
      <c r="C5750">
        <v>14</v>
      </c>
      <c r="D5750">
        <v>5.8999999999999997E-2</v>
      </c>
      <c r="E5750" t="s">
        <v>6</v>
      </c>
      <c r="F5750">
        <v>0.12975</v>
      </c>
    </row>
    <row r="5751" spans="1:6" x14ac:dyDescent="0.3">
      <c r="A5751" t="s">
        <v>5</v>
      </c>
      <c r="B5751" s="1">
        <v>45897</v>
      </c>
      <c r="C5751">
        <v>15</v>
      </c>
      <c r="D5751">
        <v>8.2000000000000003E-2</v>
      </c>
      <c r="E5751" t="s">
        <v>6</v>
      </c>
      <c r="F5751">
        <v>6.3930000000000001E-2</v>
      </c>
    </row>
    <row r="5752" spans="1:6" x14ac:dyDescent="0.3">
      <c r="A5752" t="s">
        <v>5</v>
      </c>
      <c r="B5752" s="1">
        <v>45897</v>
      </c>
      <c r="C5752">
        <v>16</v>
      </c>
      <c r="D5752">
        <v>6.9000000000000006E-2</v>
      </c>
      <c r="E5752" t="s">
        <v>6</v>
      </c>
      <c r="F5752">
        <v>6.3670000000000004E-2</v>
      </c>
    </row>
    <row r="5753" spans="1:6" x14ac:dyDescent="0.3">
      <c r="A5753" t="s">
        <v>5</v>
      </c>
      <c r="B5753" s="1">
        <v>45897</v>
      </c>
      <c r="C5753">
        <v>17</v>
      </c>
      <c r="D5753">
        <v>5.8000000000000003E-2</v>
      </c>
      <c r="E5753" t="s">
        <v>6</v>
      </c>
      <c r="F5753">
        <v>6.4450000000000007E-2</v>
      </c>
    </row>
    <row r="5754" spans="1:6" x14ac:dyDescent="0.3">
      <c r="A5754" t="s">
        <v>5</v>
      </c>
      <c r="B5754" s="1">
        <v>45897</v>
      </c>
      <c r="C5754">
        <v>18</v>
      </c>
      <c r="D5754">
        <v>8.1000000000000003E-2</v>
      </c>
      <c r="E5754" t="s">
        <v>6</v>
      </c>
      <c r="F5754">
        <v>6.5250000000000002E-2</v>
      </c>
    </row>
    <row r="5755" spans="1:6" x14ac:dyDescent="0.3">
      <c r="A5755" t="s">
        <v>5</v>
      </c>
      <c r="B5755" s="1">
        <v>45897</v>
      </c>
      <c r="C5755">
        <v>19</v>
      </c>
      <c r="D5755">
        <v>7.0999999999999994E-2</v>
      </c>
      <c r="E5755" t="s">
        <v>6</v>
      </c>
      <c r="F5755">
        <v>0.13813999999999999</v>
      </c>
    </row>
    <row r="5756" spans="1:6" x14ac:dyDescent="0.3">
      <c r="A5756" t="s">
        <v>5</v>
      </c>
      <c r="B5756" s="1">
        <v>45897</v>
      </c>
      <c r="C5756">
        <v>20</v>
      </c>
      <c r="D5756">
        <v>5.8999999999999997E-2</v>
      </c>
      <c r="E5756" t="s">
        <v>6</v>
      </c>
      <c r="F5756">
        <v>0.20805000000000001</v>
      </c>
    </row>
    <row r="5757" spans="1:6" x14ac:dyDescent="0.3">
      <c r="A5757" t="s">
        <v>5</v>
      </c>
      <c r="B5757" s="1">
        <v>45897</v>
      </c>
      <c r="C5757">
        <v>21</v>
      </c>
      <c r="D5757">
        <v>7.9000000000000001E-2</v>
      </c>
      <c r="E5757" t="s">
        <v>6</v>
      </c>
      <c r="F5757">
        <v>0.23555999999999999</v>
      </c>
    </row>
    <row r="5758" spans="1:6" x14ac:dyDescent="0.3">
      <c r="A5758" t="s">
        <v>5</v>
      </c>
      <c r="B5758" s="1">
        <v>45897</v>
      </c>
      <c r="C5758">
        <v>22</v>
      </c>
      <c r="D5758">
        <v>7.2999999999999995E-2</v>
      </c>
      <c r="E5758" t="s">
        <v>6</v>
      </c>
      <c r="F5758">
        <v>0.23466000000000001</v>
      </c>
    </row>
    <row r="5759" spans="1:6" x14ac:dyDescent="0.3">
      <c r="A5759" t="s">
        <v>5</v>
      </c>
      <c r="B5759" s="1">
        <v>45897</v>
      </c>
      <c r="C5759">
        <v>23</v>
      </c>
      <c r="D5759">
        <v>5.8999999999999997E-2</v>
      </c>
      <c r="E5759" t="s">
        <v>6</v>
      </c>
      <c r="F5759">
        <v>0.16647999999999999</v>
      </c>
    </row>
    <row r="5760" spans="1:6" x14ac:dyDescent="0.3">
      <c r="A5760" t="s">
        <v>5</v>
      </c>
      <c r="B5760" s="1">
        <v>45897</v>
      </c>
      <c r="C5760">
        <v>24</v>
      </c>
      <c r="D5760">
        <v>7.6999999999999999E-2</v>
      </c>
      <c r="E5760" t="s">
        <v>6</v>
      </c>
      <c r="F5760">
        <v>0.16296000000000002</v>
      </c>
    </row>
    <row r="5761" spans="1:6" x14ac:dyDescent="0.3">
      <c r="A5761" t="s">
        <v>5</v>
      </c>
      <c r="B5761" s="1">
        <v>45898</v>
      </c>
      <c r="C5761">
        <v>1</v>
      </c>
      <c r="D5761">
        <v>7.5999999999999998E-2</v>
      </c>
      <c r="E5761" t="s">
        <v>6</v>
      </c>
      <c r="F5761">
        <v>0.13835</v>
      </c>
    </row>
    <row r="5762" spans="1:6" x14ac:dyDescent="0.3">
      <c r="A5762" t="s">
        <v>5</v>
      </c>
      <c r="B5762" s="1">
        <v>45898</v>
      </c>
      <c r="C5762">
        <v>2</v>
      </c>
      <c r="D5762">
        <v>0.06</v>
      </c>
      <c r="E5762" t="s">
        <v>6</v>
      </c>
      <c r="F5762">
        <v>0.13516999999999998</v>
      </c>
    </row>
    <row r="5763" spans="1:6" x14ac:dyDescent="0.3">
      <c r="A5763" t="s">
        <v>5</v>
      </c>
      <c r="B5763" s="1">
        <v>45898</v>
      </c>
      <c r="C5763">
        <v>3</v>
      </c>
      <c r="D5763">
        <v>7.3999999999999996E-2</v>
      </c>
      <c r="E5763" t="s">
        <v>6</v>
      </c>
      <c r="F5763">
        <v>0.12968000000000002</v>
      </c>
    </row>
    <row r="5764" spans="1:6" x14ac:dyDescent="0.3">
      <c r="A5764" t="s">
        <v>5</v>
      </c>
      <c r="B5764" s="1">
        <v>45898</v>
      </c>
      <c r="C5764">
        <v>4</v>
      </c>
      <c r="D5764">
        <v>7.8E-2</v>
      </c>
      <c r="E5764" t="s">
        <v>6</v>
      </c>
      <c r="F5764">
        <v>0.11398999999999999</v>
      </c>
    </row>
    <row r="5765" spans="1:6" x14ac:dyDescent="0.3">
      <c r="A5765" t="s">
        <v>5</v>
      </c>
      <c r="B5765" s="1">
        <v>45898</v>
      </c>
      <c r="C5765">
        <v>5</v>
      </c>
      <c r="D5765">
        <v>5.8999999999999997E-2</v>
      </c>
      <c r="E5765" t="s">
        <v>6</v>
      </c>
      <c r="F5765">
        <v>0.10929999999999999</v>
      </c>
    </row>
    <row r="5766" spans="1:6" x14ac:dyDescent="0.3">
      <c r="A5766" t="s">
        <v>5</v>
      </c>
      <c r="B5766" s="1">
        <v>45898</v>
      </c>
      <c r="C5766">
        <v>6</v>
      </c>
      <c r="D5766">
        <v>7.1999999999999995E-2</v>
      </c>
      <c r="E5766" t="s">
        <v>6</v>
      </c>
      <c r="F5766">
        <v>0.10945999999999999</v>
      </c>
    </row>
    <row r="5767" spans="1:6" x14ac:dyDescent="0.3">
      <c r="A5767" t="s">
        <v>5</v>
      </c>
      <c r="B5767" s="1">
        <v>45898</v>
      </c>
      <c r="C5767">
        <v>7</v>
      </c>
      <c r="D5767">
        <v>7.9000000000000001E-2</v>
      </c>
      <c r="E5767" t="s">
        <v>6</v>
      </c>
      <c r="F5767">
        <v>0.14019000000000001</v>
      </c>
    </row>
    <row r="5768" spans="1:6" x14ac:dyDescent="0.3">
      <c r="A5768" t="s">
        <v>5</v>
      </c>
      <c r="B5768" s="1">
        <v>45898</v>
      </c>
      <c r="C5768">
        <v>8</v>
      </c>
      <c r="D5768">
        <v>5.8000000000000003E-2</v>
      </c>
      <c r="E5768" t="s">
        <v>6</v>
      </c>
      <c r="F5768">
        <v>0.14208999999999999</v>
      </c>
    </row>
    <row r="5769" spans="1:6" x14ac:dyDescent="0.3">
      <c r="A5769" t="s">
        <v>5</v>
      </c>
      <c r="B5769" s="1">
        <v>45898</v>
      </c>
      <c r="C5769">
        <v>9</v>
      </c>
      <c r="D5769">
        <v>6.9000000000000006E-2</v>
      </c>
      <c r="E5769" t="s">
        <v>6</v>
      </c>
      <c r="F5769">
        <v>0.15537999999999999</v>
      </c>
    </row>
    <row r="5770" spans="1:6" x14ac:dyDescent="0.3">
      <c r="A5770" t="s">
        <v>5</v>
      </c>
      <c r="B5770" s="1">
        <v>45898</v>
      </c>
      <c r="C5770">
        <v>10</v>
      </c>
      <c r="D5770">
        <v>0.08</v>
      </c>
      <c r="E5770" t="s">
        <v>6</v>
      </c>
      <c r="F5770">
        <v>0.11869</v>
      </c>
    </row>
    <row r="5771" spans="1:6" x14ac:dyDescent="0.3">
      <c r="A5771" t="s">
        <v>5</v>
      </c>
      <c r="B5771" s="1">
        <v>45898</v>
      </c>
      <c r="C5771">
        <v>11</v>
      </c>
      <c r="D5771">
        <v>5.8000000000000003E-2</v>
      </c>
      <c r="E5771" t="s">
        <v>6</v>
      </c>
      <c r="F5771">
        <v>0.14018</v>
      </c>
    </row>
    <row r="5772" spans="1:6" x14ac:dyDescent="0.3">
      <c r="A5772" t="s">
        <v>5</v>
      </c>
      <c r="B5772" s="1">
        <v>45898</v>
      </c>
      <c r="C5772">
        <v>12</v>
      </c>
      <c r="D5772">
        <v>6.7000000000000004E-2</v>
      </c>
      <c r="E5772" t="s">
        <v>6</v>
      </c>
      <c r="F5772">
        <v>0.14002000000000001</v>
      </c>
    </row>
    <row r="5773" spans="1:6" x14ac:dyDescent="0.3">
      <c r="A5773" t="s">
        <v>5</v>
      </c>
      <c r="B5773" s="1">
        <v>45898</v>
      </c>
      <c r="C5773">
        <v>13</v>
      </c>
      <c r="D5773">
        <v>8.1000000000000003E-2</v>
      </c>
      <c r="E5773" t="s">
        <v>6</v>
      </c>
      <c r="F5773">
        <v>0.13968</v>
      </c>
    </row>
    <row r="5774" spans="1:6" x14ac:dyDescent="0.3">
      <c r="A5774" t="s">
        <v>5</v>
      </c>
      <c r="B5774" s="1">
        <v>45898</v>
      </c>
      <c r="C5774">
        <v>14</v>
      </c>
      <c r="D5774">
        <v>5.8000000000000003E-2</v>
      </c>
      <c r="E5774" t="s">
        <v>6</v>
      </c>
      <c r="F5774">
        <v>0.13613</v>
      </c>
    </row>
    <row r="5775" spans="1:6" x14ac:dyDescent="0.3">
      <c r="A5775" t="s">
        <v>5</v>
      </c>
      <c r="B5775" s="1">
        <v>45898</v>
      </c>
      <c r="C5775">
        <v>15</v>
      </c>
      <c r="D5775">
        <v>6.5000000000000002E-2</v>
      </c>
      <c r="E5775" t="s">
        <v>6</v>
      </c>
      <c r="F5775">
        <v>7.0940000000000003E-2</v>
      </c>
    </row>
    <row r="5776" spans="1:6" x14ac:dyDescent="0.3">
      <c r="A5776" t="s">
        <v>5</v>
      </c>
      <c r="B5776" s="1">
        <v>45898</v>
      </c>
      <c r="C5776">
        <v>16</v>
      </c>
      <c r="D5776">
        <v>8.3000000000000004E-2</v>
      </c>
      <c r="E5776" t="s">
        <v>6</v>
      </c>
      <c r="F5776">
        <v>7.1809999999999999E-2</v>
      </c>
    </row>
    <row r="5777" spans="1:6" x14ac:dyDescent="0.3">
      <c r="A5777" t="s">
        <v>5</v>
      </c>
      <c r="B5777" s="1">
        <v>45898</v>
      </c>
      <c r="C5777">
        <v>17</v>
      </c>
      <c r="D5777">
        <v>5.8000000000000003E-2</v>
      </c>
      <c r="E5777" t="s">
        <v>6</v>
      </c>
      <c r="F5777">
        <v>7.1959999999999996E-2</v>
      </c>
    </row>
    <row r="5778" spans="1:6" x14ac:dyDescent="0.3">
      <c r="A5778" t="s">
        <v>5</v>
      </c>
      <c r="B5778" s="1">
        <v>45898</v>
      </c>
      <c r="C5778">
        <v>18</v>
      </c>
      <c r="D5778">
        <v>6.4000000000000001E-2</v>
      </c>
      <c r="E5778" t="s">
        <v>6</v>
      </c>
      <c r="F5778">
        <v>7.1790000000000007E-2</v>
      </c>
    </row>
    <row r="5779" spans="1:6" x14ac:dyDescent="0.3">
      <c r="A5779" t="s">
        <v>5</v>
      </c>
      <c r="B5779" s="1">
        <v>45898</v>
      </c>
      <c r="C5779">
        <v>19</v>
      </c>
      <c r="D5779">
        <v>8.3000000000000004E-2</v>
      </c>
      <c r="E5779" t="s">
        <v>6</v>
      </c>
      <c r="F5779">
        <v>0.14004</v>
      </c>
    </row>
    <row r="5780" spans="1:6" x14ac:dyDescent="0.3">
      <c r="A5780" t="s">
        <v>5</v>
      </c>
      <c r="B5780" s="1">
        <v>45898</v>
      </c>
      <c r="C5780">
        <v>20</v>
      </c>
      <c r="D5780">
        <v>0.06</v>
      </c>
      <c r="E5780" t="s">
        <v>6</v>
      </c>
      <c r="F5780">
        <v>0.20000999999999999</v>
      </c>
    </row>
    <row r="5781" spans="1:6" x14ac:dyDescent="0.3">
      <c r="A5781" t="s">
        <v>5</v>
      </c>
      <c r="B5781" s="1">
        <v>45898</v>
      </c>
      <c r="C5781">
        <v>21</v>
      </c>
      <c r="D5781">
        <v>6.3E-2</v>
      </c>
      <c r="E5781" t="s">
        <v>6</v>
      </c>
      <c r="F5781">
        <v>0.22734000000000001</v>
      </c>
    </row>
    <row r="5782" spans="1:6" x14ac:dyDescent="0.3">
      <c r="A5782" t="s">
        <v>5</v>
      </c>
      <c r="B5782" s="1">
        <v>45898</v>
      </c>
      <c r="C5782">
        <v>22</v>
      </c>
      <c r="D5782">
        <v>8.3000000000000004E-2</v>
      </c>
      <c r="E5782" t="s">
        <v>6</v>
      </c>
      <c r="F5782">
        <v>0.24206999999999998</v>
      </c>
    </row>
    <row r="5783" spans="1:6" x14ac:dyDescent="0.3">
      <c r="A5783" t="s">
        <v>5</v>
      </c>
      <c r="B5783" s="1">
        <v>45898</v>
      </c>
      <c r="C5783">
        <v>23</v>
      </c>
      <c r="D5783">
        <v>6.0999999999999999E-2</v>
      </c>
      <c r="E5783" t="s">
        <v>6</v>
      </c>
      <c r="F5783">
        <v>0.17235</v>
      </c>
    </row>
    <row r="5784" spans="1:6" x14ac:dyDescent="0.3">
      <c r="A5784" t="s">
        <v>5</v>
      </c>
      <c r="B5784" s="1">
        <v>45898</v>
      </c>
      <c r="C5784">
        <v>24</v>
      </c>
      <c r="D5784">
        <v>6.2E-2</v>
      </c>
      <c r="E5784" t="s">
        <v>6</v>
      </c>
      <c r="F5784">
        <v>0.16393000000000002</v>
      </c>
    </row>
    <row r="5785" spans="1:6" x14ac:dyDescent="0.3">
      <c r="A5785" t="s">
        <v>5</v>
      </c>
      <c r="B5785" s="1">
        <v>45899</v>
      </c>
      <c r="C5785">
        <v>1</v>
      </c>
      <c r="D5785">
        <v>8.4000000000000005E-2</v>
      </c>
      <c r="E5785" t="s">
        <v>6</v>
      </c>
      <c r="F5785">
        <v>0.1411</v>
      </c>
    </row>
    <row r="5786" spans="1:6" x14ac:dyDescent="0.3">
      <c r="A5786" t="s">
        <v>5</v>
      </c>
      <c r="B5786" s="1">
        <v>45899</v>
      </c>
      <c r="C5786">
        <v>2</v>
      </c>
      <c r="D5786">
        <v>6.2E-2</v>
      </c>
      <c r="E5786" t="s">
        <v>6</v>
      </c>
      <c r="F5786">
        <v>0.13781000000000002</v>
      </c>
    </row>
    <row r="5787" spans="1:6" x14ac:dyDescent="0.3">
      <c r="A5787" t="s">
        <v>5</v>
      </c>
      <c r="B5787" s="1">
        <v>45899</v>
      </c>
      <c r="C5787">
        <v>3</v>
      </c>
      <c r="D5787">
        <v>6.0999999999999999E-2</v>
      </c>
      <c r="E5787" t="s">
        <v>6</v>
      </c>
      <c r="F5787">
        <v>0.13966000000000001</v>
      </c>
    </row>
    <row r="5788" spans="1:6" x14ac:dyDescent="0.3">
      <c r="A5788" t="s">
        <v>5</v>
      </c>
      <c r="B5788" s="1">
        <v>45899</v>
      </c>
      <c r="C5788">
        <v>4</v>
      </c>
      <c r="D5788">
        <v>8.3000000000000004E-2</v>
      </c>
      <c r="E5788" t="s">
        <v>6</v>
      </c>
      <c r="F5788">
        <v>0.13215000000000002</v>
      </c>
    </row>
    <row r="5789" spans="1:6" x14ac:dyDescent="0.3">
      <c r="A5789" t="s">
        <v>5</v>
      </c>
      <c r="B5789" s="1">
        <v>45899</v>
      </c>
      <c r="C5789">
        <v>5</v>
      </c>
      <c r="D5789">
        <v>6.2E-2</v>
      </c>
      <c r="E5789" t="s">
        <v>6</v>
      </c>
      <c r="F5789">
        <v>0.13190000000000002</v>
      </c>
    </row>
    <row r="5790" spans="1:6" x14ac:dyDescent="0.3">
      <c r="A5790" t="s">
        <v>5</v>
      </c>
      <c r="B5790" s="1">
        <v>45899</v>
      </c>
      <c r="C5790">
        <v>6</v>
      </c>
      <c r="D5790">
        <v>6.0999999999999999E-2</v>
      </c>
      <c r="E5790" t="s">
        <v>6</v>
      </c>
      <c r="F5790">
        <v>0.13158</v>
      </c>
    </row>
    <row r="5791" spans="1:6" x14ac:dyDescent="0.3">
      <c r="A5791" t="s">
        <v>5</v>
      </c>
      <c r="B5791" s="1">
        <v>45899</v>
      </c>
      <c r="C5791">
        <v>7</v>
      </c>
      <c r="D5791">
        <v>8.2000000000000003E-2</v>
      </c>
      <c r="E5791" t="s">
        <v>6</v>
      </c>
      <c r="F5791">
        <v>0.13440000000000002</v>
      </c>
    </row>
    <row r="5792" spans="1:6" x14ac:dyDescent="0.3">
      <c r="A5792" t="s">
        <v>5</v>
      </c>
      <c r="B5792" s="1">
        <v>45899</v>
      </c>
      <c r="C5792">
        <v>8</v>
      </c>
      <c r="D5792">
        <v>6.3E-2</v>
      </c>
      <c r="E5792" t="s">
        <v>6</v>
      </c>
      <c r="F5792">
        <v>0.15256999999999998</v>
      </c>
    </row>
    <row r="5793" spans="1:6" x14ac:dyDescent="0.3">
      <c r="A5793" t="s">
        <v>5</v>
      </c>
      <c r="B5793" s="1">
        <v>45899</v>
      </c>
      <c r="C5793">
        <v>9</v>
      </c>
      <c r="D5793">
        <v>5.8999999999999997E-2</v>
      </c>
      <c r="E5793" t="s">
        <v>6</v>
      </c>
      <c r="F5793">
        <v>0.18218000000000001</v>
      </c>
    </row>
    <row r="5794" spans="1:6" x14ac:dyDescent="0.3">
      <c r="A5794" t="s">
        <v>5</v>
      </c>
      <c r="B5794" s="1">
        <v>45899</v>
      </c>
      <c r="C5794">
        <v>10</v>
      </c>
      <c r="D5794">
        <v>8.2000000000000003E-2</v>
      </c>
      <c r="E5794" t="s">
        <v>6</v>
      </c>
      <c r="F5794">
        <v>8.2650000000000001E-2</v>
      </c>
    </row>
    <row r="5795" spans="1:6" x14ac:dyDescent="0.3">
      <c r="A5795" t="s">
        <v>5</v>
      </c>
      <c r="B5795" s="1">
        <v>45899</v>
      </c>
      <c r="C5795">
        <v>11</v>
      </c>
      <c r="D5795">
        <v>6.3E-2</v>
      </c>
      <c r="E5795" t="s">
        <v>6</v>
      </c>
      <c r="F5795">
        <v>5.5240000000000004E-2</v>
      </c>
    </row>
    <row r="5796" spans="1:6" x14ac:dyDescent="0.3">
      <c r="A5796" t="s">
        <v>5</v>
      </c>
      <c r="B5796" s="1">
        <v>45899</v>
      </c>
      <c r="C5796">
        <v>12</v>
      </c>
      <c r="D5796">
        <v>5.8000000000000003E-2</v>
      </c>
      <c r="E5796" t="s">
        <v>6</v>
      </c>
      <c r="F5796">
        <v>4.3659999999999997E-2</v>
      </c>
    </row>
    <row r="5797" spans="1:6" x14ac:dyDescent="0.3">
      <c r="A5797" t="s">
        <v>5</v>
      </c>
      <c r="B5797" s="1">
        <v>45899</v>
      </c>
      <c r="C5797">
        <v>13</v>
      </c>
      <c r="D5797">
        <v>8.3000000000000004E-2</v>
      </c>
      <c r="E5797" t="s">
        <v>6</v>
      </c>
      <c r="F5797">
        <v>4.2759999999999999E-2</v>
      </c>
    </row>
    <row r="5798" spans="1:6" x14ac:dyDescent="0.3">
      <c r="A5798" t="s">
        <v>5</v>
      </c>
      <c r="B5798" s="1">
        <v>45899</v>
      </c>
      <c r="C5798">
        <v>14</v>
      </c>
      <c r="D5798">
        <v>6.3E-2</v>
      </c>
      <c r="E5798" t="s">
        <v>6</v>
      </c>
      <c r="F5798">
        <v>4.2459999999999998E-2</v>
      </c>
    </row>
    <row r="5799" spans="1:6" x14ac:dyDescent="0.3">
      <c r="A5799" t="s">
        <v>5</v>
      </c>
      <c r="B5799" s="1">
        <v>45899</v>
      </c>
      <c r="C5799">
        <v>15</v>
      </c>
      <c r="D5799">
        <v>5.8000000000000003E-2</v>
      </c>
      <c r="E5799" t="s">
        <v>6</v>
      </c>
      <c r="F5799">
        <v>4.2220000000000001E-2</v>
      </c>
    </row>
    <row r="5800" spans="1:6" x14ac:dyDescent="0.3">
      <c r="A5800" t="s">
        <v>5</v>
      </c>
      <c r="B5800" s="1">
        <v>45899</v>
      </c>
      <c r="C5800">
        <v>16</v>
      </c>
      <c r="D5800">
        <v>8.3000000000000004E-2</v>
      </c>
      <c r="E5800" t="s">
        <v>6</v>
      </c>
      <c r="F5800">
        <v>4.5359999999999998E-2</v>
      </c>
    </row>
    <row r="5801" spans="1:6" x14ac:dyDescent="0.3">
      <c r="A5801" t="s">
        <v>5</v>
      </c>
      <c r="B5801" s="1">
        <v>45899</v>
      </c>
      <c r="C5801">
        <v>17</v>
      </c>
      <c r="D5801">
        <v>6.4000000000000001E-2</v>
      </c>
      <c r="E5801" t="s">
        <v>6</v>
      </c>
      <c r="F5801">
        <v>4.5590000000000006E-2</v>
      </c>
    </row>
    <row r="5802" spans="1:6" x14ac:dyDescent="0.3">
      <c r="A5802" t="s">
        <v>5</v>
      </c>
      <c r="B5802" s="1">
        <v>45899</v>
      </c>
      <c r="C5802">
        <v>18</v>
      </c>
      <c r="D5802">
        <v>5.7000000000000002E-2</v>
      </c>
      <c r="E5802" t="s">
        <v>6</v>
      </c>
      <c r="F5802">
        <v>4.5920000000000002E-2</v>
      </c>
    </row>
    <row r="5803" spans="1:6" x14ac:dyDescent="0.3">
      <c r="A5803" t="s">
        <v>5</v>
      </c>
      <c r="B5803" s="1">
        <v>45899</v>
      </c>
      <c r="C5803">
        <v>19</v>
      </c>
      <c r="D5803">
        <v>8.3000000000000004E-2</v>
      </c>
      <c r="E5803" t="s">
        <v>6</v>
      </c>
      <c r="F5803">
        <v>5.62E-2</v>
      </c>
    </row>
    <row r="5804" spans="1:6" x14ac:dyDescent="0.3">
      <c r="A5804" t="s">
        <v>5</v>
      </c>
      <c r="B5804" s="1">
        <v>45899</v>
      </c>
      <c r="C5804">
        <v>20</v>
      </c>
      <c r="D5804">
        <v>6.5000000000000002E-2</v>
      </c>
      <c r="E5804" t="s">
        <v>6</v>
      </c>
      <c r="F5804">
        <v>0.11136</v>
      </c>
    </row>
    <row r="5805" spans="1:6" x14ac:dyDescent="0.3">
      <c r="A5805" t="s">
        <v>5</v>
      </c>
      <c r="B5805" s="1">
        <v>45899</v>
      </c>
      <c r="C5805">
        <v>21</v>
      </c>
      <c r="D5805">
        <v>5.8000000000000003E-2</v>
      </c>
      <c r="E5805" t="s">
        <v>6</v>
      </c>
      <c r="F5805">
        <v>0.13786000000000001</v>
      </c>
    </row>
    <row r="5806" spans="1:6" x14ac:dyDescent="0.3">
      <c r="A5806" t="s">
        <v>5</v>
      </c>
      <c r="B5806" s="1">
        <v>45899</v>
      </c>
      <c r="C5806">
        <v>22</v>
      </c>
      <c r="D5806">
        <v>0.08</v>
      </c>
      <c r="E5806" t="s">
        <v>6</v>
      </c>
      <c r="F5806">
        <v>0.15916999999999998</v>
      </c>
    </row>
    <row r="5807" spans="1:6" x14ac:dyDescent="0.3">
      <c r="A5807" t="s">
        <v>5</v>
      </c>
      <c r="B5807" s="1">
        <v>45899</v>
      </c>
      <c r="C5807">
        <v>23</v>
      </c>
      <c r="D5807">
        <v>6.7000000000000004E-2</v>
      </c>
      <c r="E5807" t="s">
        <v>6</v>
      </c>
      <c r="F5807">
        <v>0.15312999999999999</v>
      </c>
    </row>
    <row r="5808" spans="1:6" x14ac:dyDescent="0.3">
      <c r="A5808" t="s">
        <v>5</v>
      </c>
      <c r="B5808" s="1">
        <v>45899</v>
      </c>
      <c r="C5808">
        <v>24</v>
      </c>
      <c r="D5808">
        <v>5.8000000000000003E-2</v>
      </c>
      <c r="E5808" t="s">
        <v>6</v>
      </c>
      <c r="F5808">
        <v>0.14777000000000001</v>
      </c>
    </row>
    <row r="5809" spans="1:6" x14ac:dyDescent="0.3">
      <c r="A5809" t="s">
        <v>5</v>
      </c>
      <c r="B5809" s="1">
        <v>45900</v>
      </c>
      <c r="C5809">
        <v>1</v>
      </c>
      <c r="D5809">
        <v>0.08</v>
      </c>
      <c r="E5809" t="s">
        <v>6</v>
      </c>
      <c r="F5809">
        <v>0.1381</v>
      </c>
    </row>
    <row r="5810" spans="1:6" x14ac:dyDescent="0.3">
      <c r="A5810" t="s">
        <v>5</v>
      </c>
      <c r="B5810" s="1">
        <v>45900</v>
      </c>
      <c r="C5810">
        <v>2</v>
      </c>
      <c r="D5810">
        <v>6.9000000000000006E-2</v>
      </c>
      <c r="E5810" t="s">
        <v>6</v>
      </c>
      <c r="F5810">
        <v>0.13444999999999999</v>
      </c>
    </row>
    <row r="5811" spans="1:6" x14ac:dyDescent="0.3">
      <c r="A5811" t="s">
        <v>5</v>
      </c>
      <c r="B5811" s="1">
        <v>45900</v>
      </c>
      <c r="C5811">
        <v>3</v>
      </c>
      <c r="D5811">
        <v>5.8000000000000003E-2</v>
      </c>
      <c r="E5811" t="s">
        <v>6</v>
      </c>
      <c r="F5811">
        <v>0.13096000000000002</v>
      </c>
    </row>
    <row r="5812" spans="1:6" x14ac:dyDescent="0.3">
      <c r="A5812" t="s">
        <v>5</v>
      </c>
      <c r="B5812" s="1">
        <v>45900</v>
      </c>
      <c r="C5812">
        <v>4</v>
      </c>
      <c r="D5812">
        <v>7.8E-2</v>
      </c>
      <c r="E5812" t="s">
        <v>6</v>
      </c>
      <c r="F5812">
        <v>0.12828000000000001</v>
      </c>
    </row>
    <row r="5813" spans="1:6" x14ac:dyDescent="0.3">
      <c r="A5813" t="s">
        <v>5</v>
      </c>
      <c r="B5813" s="1">
        <v>45900</v>
      </c>
      <c r="C5813">
        <v>5</v>
      </c>
      <c r="D5813">
        <v>7.0000000000000007E-2</v>
      </c>
      <c r="E5813" t="s">
        <v>6</v>
      </c>
      <c r="F5813">
        <v>0.13256000000000001</v>
      </c>
    </row>
    <row r="5814" spans="1:6" x14ac:dyDescent="0.3">
      <c r="A5814" t="s">
        <v>5</v>
      </c>
      <c r="B5814" s="1">
        <v>45900</v>
      </c>
      <c r="C5814">
        <v>6</v>
      </c>
      <c r="D5814">
        <v>5.8000000000000003E-2</v>
      </c>
      <c r="E5814" t="s">
        <v>6</v>
      </c>
      <c r="F5814">
        <v>0.13236000000000001</v>
      </c>
    </row>
    <row r="5815" spans="1:6" x14ac:dyDescent="0.3">
      <c r="A5815" t="s">
        <v>5</v>
      </c>
      <c r="B5815" s="1">
        <v>45900</v>
      </c>
      <c r="C5815">
        <v>7</v>
      </c>
      <c r="D5815">
        <v>7.5999999999999998E-2</v>
      </c>
      <c r="E5815" t="s">
        <v>6</v>
      </c>
      <c r="F5815">
        <v>0.13190000000000002</v>
      </c>
    </row>
    <row r="5816" spans="1:6" x14ac:dyDescent="0.3">
      <c r="A5816" t="s">
        <v>5</v>
      </c>
      <c r="B5816" s="1">
        <v>45900</v>
      </c>
      <c r="C5816">
        <v>8</v>
      </c>
      <c r="D5816">
        <v>7.1999999999999995E-2</v>
      </c>
      <c r="E5816" t="s">
        <v>6</v>
      </c>
      <c r="F5816">
        <v>0.15162</v>
      </c>
    </row>
    <row r="5817" spans="1:6" x14ac:dyDescent="0.3">
      <c r="A5817" t="s">
        <v>5</v>
      </c>
      <c r="B5817" s="1">
        <v>45900</v>
      </c>
      <c r="C5817">
        <v>9</v>
      </c>
      <c r="D5817">
        <v>5.8000000000000003E-2</v>
      </c>
      <c r="E5817" t="s">
        <v>6</v>
      </c>
      <c r="F5817">
        <v>0.11613</v>
      </c>
    </row>
    <row r="5818" spans="1:6" x14ac:dyDescent="0.3">
      <c r="A5818" t="s">
        <v>5</v>
      </c>
      <c r="B5818" s="1">
        <v>45900</v>
      </c>
      <c r="C5818">
        <v>10</v>
      </c>
      <c r="D5818">
        <v>9.2999999999999999E-2</v>
      </c>
      <c r="E5818" t="s">
        <v>6</v>
      </c>
      <c r="F5818">
        <v>6.5189999999999998E-2</v>
      </c>
    </row>
    <row r="5819" spans="1:6" x14ac:dyDescent="0.3">
      <c r="A5819" t="s">
        <v>5</v>
      </c>
      <c r="B5819" s="1">
        <v>45900</v>
      </c>
      <c r="C5819">
        <v>11</v>
      </c>
      <c r="D5819">
        <v>0.13100000000000001</v>
      </c>
      <c r="E5819" t="s">
        <v>6</v>
      </c>
      <c r="F5819">
        <v>5.8599999999999999E-2</v>
      </c>
    </row>
    <row r="5820" spans="1:6" x14ac:dyDescent="0.3">
      <c r="A5820" t="s">
        <v>5</v>
      </c>
      <c r="B5820" s="1">
        <v>45900</v>
      </c>
      <c r="C5820">
        <v>12</v>
      </c>
      <c r="D5820">
        <v>8.6999999999999994E-2</v>
      </c>
      <c r="E5820" t="s">
        <v>6</v>
      </c>
      <c r="F5820">
        <v>0.06</v>
      </c>
    </row>
    <row r="5821" spans="1:6" x14ac:dyDescent="0.3">
      <c r="A5821" t="s">
        <v>5</v>
      </c>
      <c r="B5821" s="1">
        <v>45900</v>
      </c>
      <c r="C5821">
        <v>13</v>
      </c>
      <c r="D5821">
        <v>7.2999999999999995E-2</v>
      </c>
      <c r="E5821" t="s">
        <v>6</v>
      </c>
      <c r="F5821">
        <v>5.7070000000000003E-2</v>
      </c>
    </row>
    <row r="5822" spans="1:6" x14ac:dyDescent="0.3">
      <c r="A5822" t="s">
        <v>5</v>
      </c>
      <c r="B5822" s="1">
        <v>45900</v>
      </c>
      <c r="C5822">
        <v>14</v>
      </c>
      <c r="D5822">
        <v>5.8000000000000003E-2</v>
      </c>
      <c r="E5822" t="s">
        <v>6</v>
      </c>
      <c r="F5822">
        <v>5.7759999999999999E-2</v>
      </c>
    </row>
    <row r="5823" spans="1:6" x14ac:dyDescent="0.3">
      <c r="A5823" t="s">
        <v>5</v>
      </c>
      <c r="B5823" s="1">
        <v>45900</v>
      </c>
      <c r="C5823">
        <v>15</v>
      </c>
      <c r="D5823">
        <v>0.08</v>
      </c>
      <c r="E5823" t="s">
        <v>6</v>
      </c>
      <c r="F5823">
        <v>6.0229999999999999E-2</v>
      </c>
    </row>
    <row r="5824" spans="1:6" x14ac:dyDescent="0.3">
      <c r="A5824" t="s">
        <v>5</v>
      </c>
      <c r="B5824" s="1">
        <v>45900</v>
      </c>
      <c r="C5824">
        <v>16</v>
      </c>
      <c r="D5824">
        <v>6.4000000000000001E-2</v>
      </c>
      <c r="E5824" t="s">
        <v>6</v>
      </c>
      <c r="F5824">
        <v>6.268E-2</v>
      </c>
    </row>
    <row r="5825" spans="1:6" x14ac:dyDescent="0.3">
      <c r="A5825" t="s">
        <v>5</v>
      </c>
      <c r="B5825" s="1">
        <v>45900</v>
      </c>
      <c r="C5825">
        <v>17</v>
      </c>
      <c r="D5825">
        <v>6.0999999999999999E-2</v>
      </c>
      <c r="E5825" t="s">
        <v>6</v>
      </c>
      <c r="F5825">
        <v>6.2729999999999994E-2</v>
      </c>
    </row>
    <row r="5826" spans="1:6" x14ac:dyDescent="0.3">
      <c r="A5826" t="s">
        <v>5</v>
      </c>
      <c r="B5826" s="1">
        <v>45900</v>
      </c>
      <c r="C5826">
        <v>18</v>
      </c>
      <c r="D5826">
        <v>8.3000000000000004E-2</v>
      </c>
      <c r="E5826" t="s">
        <v>6</v>
      </c>
      <c r="F5826">
        <v>6.3189999999999996E-2</v>
      </c>
    </row>
    <row r="5827" spans="1:6" x14ac:dyDescent="0.3">
      <c r="A5827" t="s">
        <v>5</v>
      </c>
      <c r="B5827" s="1">
        <v>45900</v>
      </c>
      <c r="C5827">
        <v>19</v>
      </c>
      <c r="D5827">
        <v>5.7000000000000002E-2</v>
      </c>
      <c r="E5827" t="s">
        <v>6</v>
      </c>
      <c r="F5827">
        <v>5.9959999999999999E-2</v>
      </c>
    </row>
    <row r="5828" spans="1:6" x14ac:dyDescent="0.3">
      <c r="A5828" t="s">
        <v>5</v>
      </c>
      <c r="B5828" s="1">
        <v>45900</v>
      </c>
      <c r="C5828">
        <v>20</v>
      </c>
      <c r="D5828">
        <v>6.9000000000000006E-2</v>
      </c>
      <c r="E5828" t="s">
        <v>6</v>
      </c>
      <c r="F5828">
        <v>6.4269999999999994E-2</v>
      </c>
    </row>
    <row r="5829" spans="1:6" x14ac:dyDescent="0.3">
      <c r="A5829" t="s">
        <v>5</v>
      </c>
      <c r="B5829" s="1">
        <v>45900</v>
      </c>
      <c r="C5829">
        <v>21</v>
      </c>
      <c r="D5829">
        <v>7.5999999999999998E-2</v>
      </c>
      <c r="E5829" t="s">
        <v>6</v>
      </c>
      <c r="F5829">
        <v>0.11859</v>
      </c>
    </row>
    <row r="5830" spans="1:6" x14ac:dyDescent="0.3">
      <c r="A5830" t="s">
        <v>5</v>
      </c>
      <c r="B5830" s="1">
        <v>45900</v>
      </c>
      <c r="C5830">
        <v>22</v>
      </c>
      <c r="D5830">
        <v>6.5000000000000002E-2</v>
      </c>
      <c r="E5830" t="s">
        <v>6</v>
      </c>
      <c r="F5830">
        <v>0.12916999999999998</v>
      </c>
    </row>
    <row r="5831" spans="1:6" x14ac:dyDescent="0.3">
      <c r="A5831" t="s">
        <v>5</v>
      </c>
      <c r="B5831" s="1">
        <v>45900</v>
      </c>
      <c r="C5831">
        <v>23</v>
      </c>
      <c r="D5831">
        <v>0.39600000000000002</v>
      </c>
      <c r="E5831" t="s">
        <v>6</v>
      </c>
      <c r="F5831">
        <v>0.12637999999999999</v>
      </c>
    </row>
    <row r="5832" spans="1:6" x14ac:dyDescent="0.3">
      <c r="A5832" t="s">
        <v>5</v>
      </c>
      <c r="B5832" s="1">
        <v>45900</v>
      </c>
      <c r="C5832">
        <v>24</v>
      </c>
      <c r="D5832">
        <v>0.185</v>
      </c>
      <c r="E5832" t="s">
        <v>6</v>
      </c>
      <c r="F5832">
        <v>0.11693000000000001</v>
      </c>
    </row>
    <row r="5833" spans="1:6" x14ac:dyDescent="0.3">
      <c r="A5833" t="s">
        <v>5</v>
      </c>
      <c r="B5833" s="1">
        <v>45901</v>
      </c>
      <c r="C5833">
        <v>1</v>
      </c>
      <c r="D5833">
        <v>8.6999999999999994E-2</v>
      </c>
      <c r="E5833" t="s">
        <v>6</v>
      </c>
      <c r="F5833">
        <v>9.7700000000000009E-2</v>
      </c>
    </row>
    <row r="5834" spans="1:6" x14ac:dyDescent="0.3">
      <c r="A5834" t="s">
        <v>5</v>
      </c>
      <c r="B5834" s="1">
        <v>45901</v>
      </c>
      <c r="C5834">
        <v>2</v>
      </c>
      <c r="D5834">
        <v>0.09</v>
      </c>
      <c r="E5834" t="s">
        <v>6</v>
      </c>
      <c r="F5834">
        <v>8.183E-2</v>
      </c>
    </row>
    <row r="5835" spans="1:6" x14ac:dyDescent="0.3">
      <c r="A5835" t="s">
        <v>5</v>
      </c>
      <c r="B5835" s="1">
        <v>45901</v>
      </c>
      <c r="C5835">
        <v>3</v>
      </c>
      <c r="D5835">
        <v>6.6000000000000003E-2</v>
      </c>
      <c r="E5835" t="s">
        <v>6</v>
      </c>
      <c r="F5835">
        <v>8.8550000000000004E-2</v>
      </c>
    </row>
    <row r="5836" spans="1:6" x14ac:dyDescent="0.3">
      <c r="A5836" t="s">
        <v>5</v>
      </c>
      <c r="B5836" s="1">
        <v>45901</v>
      </c>
      <c r="C5836">
        <v>4</v>
      </c>
      <c r="D5836">
        <v>6.2E-2</v>
      </c>
      <c r="E5836" t="s">
        <v>6</v>
      </c>
      <c r="F5836">
        <v>8.5589999999999999E-2</v>
      </c>
    </row>
    <row r="5837" spans="1:6" x14ac:dyDescent="0.3">
      <c r="A5837" t="s">
        <v>5</v>
      </c>
      <c r="B5837" s="1">
        <v>45901</v>
      </c>
      <c r="C5837">
        <v>5</v>
      </c>
      <c r="D5837">
        <v>8.4000000000000005E-2</v>
      </c>
      <c r="E5837" t="s">
        <v>6</v>
      </c>
      <c r="F5837">
        <v>8.2970000000000002E-2</v>
      </c>
    </row>
    <row r="5838" spans="1:6" x14ac:dyDescent="0.3">
      <c r="A5838" t="s">
        <v>5</v>
      </c>
      <c r="B5838" s="1">
        <v>45901</v>
      </c>
      <c r="C5838">
        <v>6</v>
      </c>
      <c r="D5838">
        <v>5.8999999999999997E-2</v>
      </c>
      <c r="E5838" t="s">
        <v>6</v>
      </c>
      <c r="F5838">
        <v>9.1829999999999995E-2</v>
      </c>
    </row>
    <row r="5839" spans="1:6" x14ac:dyDescent="0.3">
      <c r="A5839" t="s">
        <v>5</v>
      </c>
      <c r="B5839" s="1">
        <v>45901</v>
      </c>
      <c r="C5839">
        <v>7</v>
      </c>
      <c r="D5839">
        <v>6.7000000000000004E-2</v>
      </c>
      <c r="E5839" t="s">
        <v>6</v>
      </c>
      <c r="F5839">
        <v>9.9280000000000007E-2</v>
      </c>
    </row>
    <row r="5840" spans="1:6" x14ac:dyDescent="0.3">
      <c r="A5840" t="s">
        <v>5</v>
      </c>
      <c r="B5840" s="1">
        <v>45901</v>
      </c>
      <c r="C5840">
        <v>8</v>
      </c>
      <c r="D5840">
        <v>7.8E-2</v>
      </c>
      <c r="E5840" t="s">
        <v>6</v>
      </c>
      <c r="F5840">
        <v>0.12132</v>
      </c>
    </row>
    <row r="5841" spans="1:6" x14ac:dyDescent="0.3">
      <c r="A5841" t="s">
        <v>5</v>
      </c>
      <c r="B5841" s="1">
        <v>45901</v>
      </c>
      <c r="C5841">
        <v>9</v>
      </c>
      <c r="D5841">
        <v>5.7000000000000002E-2</v>
      </c>
      <c r="E5841" t="s">
        <v>6</v>
      </c>
      <c r="F5841">
        <v>0.15247999999999998</v>
      </c>
    </row>
    <row r="5842" spans="1:6" x14ac:dyDescent="0.3">
      <c r="A5842" t="s">
        <v>5</v>
      </c>
      <c r="B5842" s="1">
        <v>45901</v>
      </c>
      <c r="C5842">
        <v>10</v>
      </c>
      <c r="D5842">
        <v>0.104</v>
      </c>
      <c r="E5842" t="s">
        <v>6</v>
      </c>
      <c r="F5842">
        <v>0.11883000000000001</v>
      </c>
    </row>
    <row r="5843" spans="1:6" x14ac:dyDescent="0.3">
      <c r="A5843" t="s">
        <v>5</v>
      </c>
      <c r="B5843" s="1">
        <v>45901</v>
      </c>
      <c r="C5843">
        <v>11</v>
      </c>
      <c r="D5843">
        <v>7.1999999999999995E-2</v>
      </c>
      <c r="E5843" t="s">
        <v>6</v>
      </c>
      <c r="F5843">
        <v>0.15509000000000001</v>
      </c>
    </row>
    <row r="5844" spans="1:6" x14ac:dyDescent="0.3">
      <c r="A5844" t="s">
        <v>5</v>
      </c>
      <c r="B5844" s="1">
        <v>45901</v>
      </c>
      <c r="C5844">
        <v>12</v>
      </c>
      <c r="D5844">
        <v>5.6000000000000001E-2</v>
      </c>
      <c r="E5844" t="s">
        <v>6</v>
      </c>
      <c r="F5844">
        <v>0.15167</v>
      </c>
    </row>
    <row r="5845" spans="1:6" x14ac:dyDescent="0.3">
      <c r="A5845" t="s">
        <v>5</v>
      </c>
      <c r="B5845" s="1">
        <v>45901</v>
      </c>
      <c r="C5845">
        <v>13</v>
      </c>
      <c r="D5845">
        <v>8.3000000000000004E-2</v>
      </c>
      <c r="E5845" t="s">
        <v>6</v>
      </c>
      <c r="F5845">
        <v>0.15143999999999999</v>
      </c>
    </row>
    <row r="5846" spans="1:6" x14ac:dyDescent="0.3">
      <c r="A5846" t="s">
        <v>5</v>
      </c>
      <c r="B5846" s="1">
        <v>45901</v>
      </c>
      <c r="C5846">
        <v>14</v>
      </c>
      <c r="D5846">
        <v>6.0999999999999999E-2</v>
      </c>
      <c r="E5846" t="s">
        <v>6</v>
      </c>
      <c r="F5846">
        <v>0.14865999999999999</v>
      </c>
    </row>
    <row r="5847" spans="1:6" x14ac:dyDescent="0.3">
      <c r="A5847" t="s">
        <v>5</v>
      </c>
      <c r="B5847" s="1">
        <v>45901</v>
      </c>
      <c r="C5847">
        <v>15</v>
      </c>
      <c r="D5847">
        <v>6.3E-2</v>
      </c>
      <c r="E5847" t="s">
        <v>6</v>
      </c>
      <c r="F5847">
        <v>8.3549999999999999E-2</v>
      </c>
    </row>
    <row r="5848" spans="1:6" x14ac:dyDescent="0.3">
      <c r="A5848" t="s">
        <v>5</v>
      </c>
      <c r="B5848" s="1">
        <v>45901</v>
      </c>
      <c r="C5848">
        <v>16</v>
      </c>
      <c r="D5848">
        <v>8.1000000000000003E-2</v>
      </c>
      <c r="E5848" t="s">
        <v>6</v>
      </c>
      <c r="F5848">
        <v>8.4430000000000005E-2</v>
      </c>
    </row>
    <row r="5849" spans="1:6" x14ac:dyDescent="0.3">
      <c r="A5849" t="s">
        <v>5</v>
      </c>
      <c r="B5849" s="1">
        <v>45901</v>
      </c>
      <c r="C5849">
        <v>17</v>
      </c>
      <c r="D5849">
        <v>5.6000000000000001E-2</v>
      </c>
      <c r="E5849" t="s">
        <v>6</v>
      </c>
      <c r="F5849">
        <v>8.294E-2</v>
      </c>
    </row>
    <row r="5850" spans="1:6" x14ac:dyDescent="0.3">
      <c r="A5850" t="s">
        <v>5</v>
      </c>
      <c r="B5850" s="1">
        <v>45901</v>
      </c>
      <c r="C5850">
        <v>18</v>
      </c>
      <c r="D5850">
        <v>6.9000000000000006E-2</v>
      </c>
      <c r="E5850" t="s">
        <v>6</v>
      </c>
      <c r="F5850">
        <v>8.2909999999999998E-2</v>
      </c>
    </row>
    <row r="5851" spans="1:6" x14ac:dyDescent="0.3">
      <c r="A5851" t="s">
        <v>5</v>
      </c>
      <c r="B5851" s="1">
        <v>45901</v>
      </c>
      <c r="C5851">
        <v>19</v>
      </c>
      <c r="D5851">
        <v>7.4999999999999997E-2</v>
      </c>
      <c r="E5851" t="s">
        <v>6</v>
      </c>
      <c r="F5851">
        <v>0.15474000000000002</v>
      </c>
    </row>
    <row r="5852" spans="1:6" x14ac:dyDescent="0.3">
      <c r="A5852" t="s">
        <v>5</v>
      </c>
      <c r="B5852" s="1">
        <v>45901</v>
      </c>
      <c r="C5852">
        <v>20</v>
      </c>
      <c r="D5852">
        <v>5.6000000000000001E-2</v>
      </c>
      <c r="E5852" t="s">
        <v>6</v>
      </c>
      <c r="F5852">
        <v>0.20971000000000001</v>
      </c>
    </row>
    <row r="5853" spans="1:6" x14ac:dyDescent="0.3">
      <c r="A5853" t="s">
        <v>5</v>
      </c>
      <c r="B5853" s="1">
        <v>45901</v>
      </c>
      <c r="C5853">
        <v>21</v>
      </c>
      <c r="D5853">
        <v>7.8E-2</v>
      </c>
      <c r="E5853" t="s">
        <v>6</v>
      </c>
      <c r="F5853">
        <v>0.23313</v>
      </c>
    </row>
    <row r="5854" spans="1:6" x14ac:dyDescent="0.3">
      <c r="A5854" t="s">
        <v>5</v>
      </c>
      <c r="B5854" s="1">
        <v>45901</v>
      </c>
      <c r="C5854">
        <v>22</v>
      </c>
      <c r="D5854">
        <v>6.7000000000000004E-2</v>
      </c>
      <c r="E5854" t="s">
        <v>6</v>
      </c>
      <c r="F5854">
        <v>0.25183</v>
      </c>
    </row>
    <row r="5855" spans="1:6" x14ac:dyDescent="0.3">
      <c r="A5855" t="s">
        <v>5</v>
      </c>
      <c r="B5855" s="1">
        <v>45901</v>
      </c>
      <c r="C5855">
        <v>23</v>
      </c>
      <c r="D5855">
        <v>5.7000000000000002E-2</v>
      </c>
      <c r="E5855" t="s">
        <v>6</v>
      </c>
      <c r="F5855">
        <v>0.17943000000000001</v>
      </c>
    </row>
    <row r="5856" spans="1:6" x14ac:dyDescent="0.3">
      <c r="A5856" t="s">
        <v>5</v>
      </c>
      <c r="B5856" s="1">
        <v>45901</v>
      </c>
      <c r="C5856">
        <v>24</v>
      </c>
      <c r="D5856">
        <v>8.4000000000000005E-2</v>
      </c>
      <c r="E5856" t="s">
        <v>6</v>
      </c>
      <c r="F5856">
        <v>0.16825000000000001</v>
      </c>
    </row>
    <row r="5857" spans="1:6" x14ac:dyDescent="0.3">
      <c r="A5857" t="s">
        <v>5</v>
      </c>
      <c r="B5857" s="1">
        <v>45902</v>
      </c>
      <c r="C5857">
        <v>1</v>
      </c>
      <c r="D5857">
        <v>5.8999999999999997E-2</v>
      </c>
      <c r="E5857" t="s">
        <v>6</v>
      </c>
      <c r="F5857">
        <v>0.14693000000000001</v>
      </c>
    </row>
    <row r="5858" spans="1:6" x14ac:dyDescent="0.3">
      <c r="A5858" t="s">
        <v>5</v>
      </c>
      <c r="B5858" s="1">
        <v>45902</v>
      </c>
      <c r="C5858">
        <v>2</v>
      </c>
      <c r="D5858">
        <v>6.5000000000000002E-2</v>
      </c>
      <c r="E5858" t="s">
        <v>6</v>
      </c>
      <c r="F5858">
        <v>0.14202999999999999</v>
      </c>
    </row>
    <row r="5859" spans="1:6" x14ac:dyDescent="0.3">
      <c r="A5859" t="s">
        <v>5</v>
      </c>
      <c r="B5859" s="1">
        <v>45902</v>
      </c>
      <c r="C5859">
        <v>3</v>
      </c>
      <c r="D5859">
        <v>7.9000000000000001E-2</v>
      </c>
      <c r="E5859" t="s">
        <v>6</v>
      </c>
      <c r="F5859">
        <v>0.13794000000000001</v>
      </c>
    </row>
    <row r="5860" spans="1:6" x14ac:dyDescent="0.3">
      <c r="A5860" t="s">
        <v>5</v>
      </c>
      <c r="B5860" s="1">
        <v>45902</v>
      </c>
      <c r="C5860">
        <v>4</v>
      </c>
      <c r="D5860">
        <v>5.7000000000000002E-2</v>
      </c>
      <c r="E5860" t="s">
        <v>6</v>
      </c>
      <c r="F5860">
        <v>0.12811</v>
      </c>
    </row>
    <row r="5861" spans="1:6" x14ac:dyDescent="0.3">
      <c r="A5861" t="s">
        <v>5</v>
      </c>
      <c r="B5861" s="1">
        <v>45902</v>
      </c>
      <c r="C5861">
        <v>5</v>
      </c>
      <c r="D5861">
        <v>7.2999999999999995E-2</v>
      </c>
      <c r="E5861" t="s">
        <v>6</v>
      </c>
      <c r="F5861">
        <v>0.12643000000000001</v>
      </c>
    </row>
    <row r="5862" spans="1:6" x14ac:dyDescent="0.3">
      <c r="A5862" t="s">
        <v>5</v>
      </c>
      <c r="B5862" s="1">
        <v>45902</v>
      </c>
      <c r="C5862">
        <v>6</v>
      </c>
      <c r="D5862">
        <v>7.0999999999999994E-2</v>
      </c>
      <c r="E5862" t="s">
        <v>6</v>
      </c>
      <c r="F5862">
        <v>0.12615999999999999</v>
      </c>
    </row>
    <row r="5863" spans="1:6" x14ac:dyDescent="0.3">
      <c r="A5863" t="s">
        <v>5</v>
      </c>
      <c r="B5863" s="1">
        <v>45902</v>
      </c>
      <c r="C5863">
        <v>7</v>
      </c>
      <c r="D5863">
        <v>5.6000000000000001E-2</v>
      </c>
      <c r="E5863" t="s">
        <v>6</v>
      </c>
      <c r="F5863">
        <v>0.13153000000000001</v>
      </c>
    </row>
    <row r="5864" spans="1:6" x14ac:dyDescent="0.3">
      <c r="A5864" t="s">
        <v>5</v>
      </c>
      <c r="B5864" s="1">
        <v>45902</v>
      </c>
      <c r="C5864">
        <v>8</v>
      </c>
      <c r="D5864">
        <v>7.9000000000000001E-2</v>
      </c>
      <c r="E5864" t="s">
        <v>6</v>
      </c>
      <c r="F5864">
        <v>0.14598</v>
      </c>
    </row>
    <row r="5865" spans="1:6" x14ac:dyDescent="0.3">
      <c r="A5865" t="s">
        <v>5</v>
      </c>
      <c r="B5865" s="1">
        <v>45902</v>
      </c>
      <c r="C5865">
        <v>9</v>
      </c>
      <c r="D5865">
        <v>6.4000000000000001E-2</v>
      </c>
      <c r="E5865" t="s">
        <v>6</v>
      </c>
      <c r="F5865">
        <v>0.16997999999999999</v>
      </c>
    </row>
    <row r="5866" spans="1:6" x14ac:dyDescent="0.3">
      <c r="A5866" t="s">
        <v>5</v>
      </c>
      <c r="B5866" s="1">
        <v>45902</v>
      </c>
      <c r="C5866">
        <v>10</v>
      </c>
      <c r="D5866">
        <v>5.8999999999999997E-2</v>
      </c>
      <c r="E5866" t="s">
        <v>6</v>
      </c>
      <c r="F5866">
        <v>0.10515000000000001</v>
      </c>
    </row>
    <row r="5867" spans="1:6" x14ac:dyDescent="0.3">
      <c r="A5867" t="s">
        <v>5</v>
      </c>
      <c r="B5867" s="1">
        <v>45902</v>
      </c>
      <c r="C5867">
        <v>11</v>
      </c>
      <c r="D5867">
        <v>8.2000000000000003E-2</v>
      </c>
      <c r="E5867" t="s">
        <v>6</v>
      </c>
      <c r="F5867">
        <v>0.13513</v>
      </c>
    </row>
    <row r="5868" spans="1:6" x14ac:dyDescent="0.3">
      <c r="A5868" t="s">
        <v>5</v>
      </c>
      <c r="B5868" s="1">
        <v>45902</v>
      </c>
      <c r="C5868">
        <v>12</v>
      </c>
      <c r="D5868">
        <v>5.6000000000000001E-2</v>
      </c>
      <c r="E5868" t="s">
        <v>6</v>
      </c>
      <c r="F5868">
        <v>0.12709999999999999</v>
      </c>
    </row>
    <row r="5869" spans="1:6" x14ac:dyDescent="0.3">
      <c r="A5869" t="s">
        <v>5</v>
      </c>
      <c r="B5869" s="1">
        <v>45902</v>
      </c>
      <c r="C5869">
        <v>13</v>
      </c>
      <c r="D5869">
        <v>6.8000000000000005E-2</v>
      </c>
      <c r="E5869" t="s">
        <v>6</v>
      </c>
      <c r="F5869">
        <v>0.12896000000000002</v>
      </c>
    </row>
    <row r="5870" spans="1:6" x14ac:dyDescent="0.3">
      <c r="A5870" t="s">
        <v>5</v>
      </c>
      <c r="B5870" s="1">
        <v>45902</v>
      </c>
      <c r="C5870">
        <v>14</v>
      </c>
      <c r="D5870">
        <v>7.4999999999999997E-2</v>
      </c>
      <c r="E5870" t="s">
        <v>6</v>
      </c>
      <c r="F5870">
        <v>0.12531</v>
      </c>
    </row>
    <row r="5871" spans="1:6" x14ac:dyDescent="0.3">
      <c r="A5871" t="s">
        <v>5</v>
      </c>
      <c r="B5871" s="1">
        <v>45902</v>
      </c>
      <c r="C5871">
        <v>15</v>
      </c>
      <c r="D5871">
        <v>5.6000000000000001E-2</v>
      </c>
      <c r="E5871" t="s">
        <v>6</v>
      </c>
      <c r="F5871">
        <v>5.9859999999999997E-2</v>
      </c>
    </row>
    <row r="5872" spans="1:6" x14ac:dyDescent="0.3">
      <c r="A5872" t="s">
        <v>5</v>
      </c>
      <c r="B5872" s="1">
        <v>45902</v>
      </c>
      <c r="C5872">
        <v>16</v>
      </c>
      <c r="D5872">
        <v>7.4999999999999997E-2</v>
      </c>
      <c r="E5872" t="s">
        <v>6</v>
      </c>
      <c r="F5872">
        <v>6.2039999999999998E-2</v>
      </c>
    </row>
    <row r="5873" spans="1:6" x14ac:dyDescent="0.3">
      <c r="A5873" t="s">
        <v>5</v>
      </c>
      <c r="B5873" s="1">
        <v>45902</v>
      </c>
      <c r="C5873">
        <v>17</v>
      </c>
      <c r="D5873">
        <v>6.8000000000000005E-2</v>
      </c>
      <c r="E5873" t="s">
        <v>6</v>
      </c>
      <c r="F5873">
        <v>6.2909999999999994E-2</v>
      </c>
    </row>
    <row r="5874" spans="1:6" x14ac:dyDescent="0.3">
      <c r="A5874" t="s">
        <v>5</v>
      </c>
      <c r="B5874" s="1">
        <v>45902</v>
      </c>
      <c r="C5874">
        <v>18</v>
      </c>
      <c r="D5874">
        <v>5.6000000000000001E-2</v>
      </c>
      <c r="E5874" t="s">
        <v>6</v>
      </c>
      <c r="F5874">
        <v>7.553E-2</v>
      </c>
    </row>
    <row r="5875" spans="1:6" x14ac:dyDescent="0.3">
      <c r="A5875" t="s">
        <v>5</v>
      </c>
      <c r="B5875" s="1">
        <v>45902</v>
      </c>
      <c r="C5875">
        <v>19</v>
      </c>
      <c r="D5875">
        <v>8.1000000000000003E-2</v>
      </c>
      <c r="E5875" t="s">
        <v>6</v>
      </c>
      <c r="F5875">
        <v>0.16325999999999999</v>
      </c>
    </row>
    <row r="5876" spans="1:6" x14ac:dyDescent="0.3">
      <c r="A5876" t="s">
        <v>5</v>
      </c>
      <c r="B5876" s="1">
        <v>45902</v>
      </c>
      <c r="C5876">
        <v>20</v>
      </c>
      <c r="D5876">
        <v>6.2E-2</v>
      </c>
      <c r="E5876" t="s">
        <v>6</v>
      </c>
      <c r="F5876">
        <v>0.22825999999999999</v>
      </c>
    </row>
    <row r="5877" spans="1:6" x14ac:dyDescent="0.3">
      <c r="A5877" t="s">
        <v>5</v>
      </c>
      <c r="B5877" s="1">
        <v>45902</v>
      </c>
      <c r="C5877">
        <v>21</v>
      </c>
      <c r="D5877">
        <v>6.2E-2</v>
      </c>
      <c r="E5877" t="s">
        <v>6</v>
      </c>
      <c r="F5877">
        <v>0.27814999999999995</v>
      </c>
    </row>
    <row r="5878" spans="1:6" x14ac:dyDescent="0.3">
      <c r="A5878" t="s">
        <v>5</v>
      </c>
      <c r="B5878" s="1">
        <v>45902</v>
      </c>
      <c r="C5878">
        <v>22</v>
      </c>
      <c r="D5878">
        <v>8.2000000000000003E-2</v>
      </c>
      <c r="E5878" t="s">
        <v>6</v>
      </c>
      <c r="F5878">
        <v>0.30063000000000001</v>
      </c>
    </row>
    <row r="5879" spans="1:6" x14ac:dyDescent="0.3">
      <c r="A5879" t="s">
        <v>5</v>
      </c>
      <c r="B5879" s="1">
        <v>45902</v>
      </c>
      <c r="C5879">
        <v>23</v>
      </c>
      <c r="D5879">
        <v>5.6000000000000001E-2</v>
      </c>
      <c r="E5879" t="s">
        <v>6</v>
      </c>
      <c r="F5879">
        <v>0.18634999999999999</v>
      </c>
    </row>
    <row r="5880" spans="1:6" x14ac:dyDescent="0.3">
      <c r="A5880" t="s">
        <v>5</v>
      </c>
      <c r="B5880" s="1">
        <v>45902</v>
      </c>
      <c r="C5880">
        <v>24</v>
      </c>
      <c r="D5880">
        <v>6.8000000000000005E-2</v>
      </c>
      <c r="E5880" t="s">
        <v>6</v>
      </c>
      <c r="F5880">
        <v>0.17402000000000001</v>
      </c>
    </row>
    <row r="5881" spans="1:6" x14ac:dyDescent="0.3">
      <c r="A5881" t="s">
        <v>5</v>
      </c>
      <c r="B5881" s="1">
        <v>45903</v>
      </c>
      <c r="C5881">
        <v>1</v>
      </c>
      <c r="D5881">
        <v>7.5999999999999998E-2</v>
      </c>
      <c r="E5881" t="s">
        <v>6</v>
      </c>
      <c r="F5881">
        <v>0.15344999999999998</v>
      </c>
    </row>
    <row r="5882" spans="1:6" x14ac:dyDescent="0.3">
      <c r="A5882" t="s">
        <v>5</v>
      </c>
      <c r="B5882" s="1">
        <v>45903</v>
      </c>
      <c r="C5882">
        <v>2</v>
      </c>
      <c r="D5882">
        <v>5.6000000000000001E-2</v>
      </c>
      <c r="E5882" t="s">
        <v>6</v>
      </c>
      <c r="F5882">
        <v>0.1434</v>
      </c>
    </row>
    <row r="5883" spans="1:6" x14ac:dyDescent="0.3">
      <c r="A5883" t="s">
        <v>5</v>
      </c>
      <c r="B5883" s="1">
        <v>45903</v>
      </c>
      <c r="C5883">
        <v>3</v>
      </c>
      <c r="D5883">
        <v>7.3999999999999996E-2</v>
      </c>
      <c r="E5883" t="s">
        <v>6</v>
      </c>
      <c r="F5883">
        <v>0.13500999999999999</v>
      </c>
    </row>
    <row r="5884" spans="1:6" x14ac:dyDescent="0.3">
      <c r="A5884" t="s">
        <v>5</v>
      </c>
      <c r="B5884" s="1">
        <v>45903</v>
      </c>
      <c r="C5884">
        <v>4</v>
      </c>
      <c r="D5884">
        <v>7.0000000000000007E-2</v>
      </c>
      <c r="E5884" t="s">
        <v>6</v>
      </c>
      <c r="F5884">
        <v>0.12797</v>
      </c>
    </row>
    <row r="5885" spans="1:6" x14ac:dyDescent="0.3">
      <c r="A5885" t="s">
        <v>5</v>
      </c>
      <c r="B5885" s="1">
        <v>45903</v>
      </c>
      <c r="C5885">
        <v>5</v>
      </c>
      <c r="D5885">
        <v>5.7000000000000002E-2</v>
      </c>
      <c r="E5885" t="s">
        <v>6</v>
      </c>
      <c r="F5885">
        <v>0.12329999999999999</v>
      </c>
    </row>
    <row r="5886" spans="1:6" x14ac:dyDescent="0.3">
      <c r="A5886" t="s">
        <v>5</v>
      </c>
      <c r="B5886" s="1">
        <v>45903</v>
      </c>
      <c r="C5886">
        <v>6</v>
      </c>
      <c r="D5886">
        <v>7.9000000000000001E-2</v>
      </c>
      <c r="E5886" t="s">
        <v>6</v>
      </c>
      <c r="F5886">
        <v>0.12273999999999999</v>
      </c>
    </row>
    <row r="5887" spans="1:6" x14ac:dyDescent="0.3">
      <c r="A5887" t="s">
        <v>5</v>
      </c>
      <c r="B5887" s="1">
        <v>45903</v>
      </c>
      <c r="C5887">
        <v>7</v>
      </c>
      <c r="D5887">
        <v>6.2E-2</v>
      </c>
      <c r="E5887" t="s">
        <v>6</v>
      </c>
      <c r="F5887">
        <v>0.13255</v>
      </c>
    </row>
    <row r="5888" spans="1:6" x14ac:dyDescent="0.3">
      <c r="A5888" t="s">
        <v>5</v>
      </c>
      <c r="B5888" s="1">
        <v>45903</v>
      </c>
      <c r="C5888">
        <v>8</v>
      </c>
      <c r="D5888">
        <v>0.06</v>
      </c>
      <c r="E5888" t="s">
        <v>6</v>
      </c>
      <c r="F5888">
        <v>0.14283000000000001</v>
      </c>
    </row>
    <row r="5889" spans="1:6" x14ac:dyDescent="0.3">
      <c r="A5889" t="s">
        <v>5</v>
      </c>
      <c r="B5889" s="1">
        <v>45903</v>
      </c>
      <c r="C5889">
        <v>9</v>
      </c>
      <c r="D5889">
        <v>8.2000000000000003E-2</v>
      </c>
      <c r="E5889" t="s">
        <v>6</v>
      </c>
      <c r="F5889">
        <v>0.15484000000000001</v>
      </c>
    </row>
    <row r="5890" spans="1:6" x14ac:dyDescent="0.3">
      <c r="A5890" t="s">
        <v>5</v>
      </c>
      <c r="B5890" s="1">
        <v>45903</v>
      </c>
      <c r="C5890">
        <v>10</v>
      </c>
      <c r="D5890">
        <v>5.6000000000000001E-2</v>
      </c>
      <c r="E5890" t="s">
        <v>6</v>
      </c>
      <c r="F5890">
        <v>8.4099999999999994E-2</v>
      </c>
    </row>
    <row r="5891" spans="1:6" x14ac:dyDescent="0.3">
      <c r="A5891" t="s">
        <v>5</v>
      </c>
      <c r="B5891" s="1">
        <v>45903</v>
      </c>
      <c r="C5891">
        <v>11</v>
      </c>
      <c r="D5891">
        <v>6.5000000000000002E-2</v>
      </c>
      <c r="E5891" t="s">
        <v>6</v>
      </c>
      <c r="F5891">
        <v>0.12568000000000001</v>
      </c>
    </row>
    <row r="5892" spans="1:6" x14ac:dyDescent="0.3">
      <c r="A5892" t="s">
        <v>5</v>
      </c>
      <c r="B5892" s="1">
        <v>45903</v>
      </c>
      <c r="C5892">
        <v>12</v>
      </c>
      <c r="D5892">
        <v>7.6999999999999999E-2</v>
      </c>
      <c r="E5892" t="s">
        <v>6</v>
      </c>
      <c r="F5892">
        <v>0.12783</v>
      </c>
    </row>
    <row r="5893" spans="1:6" x14ac:dyDescent="0.3">
      <c r="A5893" t="s">
        <v>5</v>
      </c>
      <c r="B5893" s="1">
        <v>45903</v>
      </c>
      <c r="C5893">
        <v>13</v>
      </c>
      <c r="D5893">
        <v>5.5E-2</v>
      </c>
      <c r="E5893" t="s">
        <v>6</v>
      </c>
      <c r="F5893">
        <v>0.12787999999999999</v>
      </c>
    </row>
    <row r="5894" spans="1:6" x14ac:dyDescent="0.3">
      <c r="A5894" t="s">
        <v>5</v>
      </c>
      <c r="B5894" s="1">
        <v>45903</v>
      </c>
      <c r="C5894">
        <v>14</v>
      </c>
      <c r="D5894">
        <v>7.0999999999999994E-2</v>
      </c>
      <c r="E5894" t="s">
        <v>6</v>
      </c>
      <c r="F5894">
        <v>0.12484999999999999</v>
      </c>
    </row>
    <row r="5895" spans="1:6" x14ac:dyDescent="0.3">
      <c r="A5895" t="s">
        <v>5</v>
      </c>
      <c r="B5895" s="1">
        <v>45903</v>
      </c>
      <c r="C5895">
        <v>15</v>
      </c>
      <c r="D5895">
        <v>7.0000000000000007E-2</v>
      </c>
      <c r="E5895" t="s">
        <v>6</v>
      </c>
      <c r="F5895">
        <v>5.9889999999999999E-2</v>
      </c>
    </row>
    <row r="5896" spans="1:6" x14ac:dyDescent="0.3">
      <c r="A5896" t="s">
        <v>5</v>
      </c>
      <c r="B5896" s="1">
        <v>45903</v>
      </c>
      <c r="C5896">
        <v>16</v>
      </c>
      <c r="D5896">
        <v>5.6000000000000001E-2</v>
      </c>
      <c r="E5896" t="s">
        <v>6</v>
      </c>
      <c r="F5896">
        <v>6.028E-2</v>
      </c>
    </row>
    <row r="5897" spans="1:6" x14ac:dyDescent="0.3">
      <c r="A5897" t="s">
        <v>5</v>
      </c>
      <c r="B5897" s="1">
        <v>45903</v>
      </c>
      <c r="C5897">
        <v>17</v>
      </c>
      <c r="D5897">
        <v>7.8E-2</v>
      </c>
      <c r="E5897" t="s">
        <v>6</v>
      </c>
      <c r="F5897">
        <v>6.0579999999999995E-2</v>
      </c>
    </row>
    <row r="5898" spans="1:6" x14ac:dyDescent="0.3">
      <c r="A5898" t="s">
        <v>5</v>
      </c>
      <c r="B5898" s="1">
        <v>45903</v>
      </c>
      <c r="C5898">
        <v>18</v>
      </c>
      <c r="D5898">
        <v>6.5000000000000002E-2</v>
      </c>
      <c r="E5898" t="s">
        <v>6</v>
      </c>
      <c r="F5898">
        <v>5.951E-2</v>
      </c>
    </row>
    <row r="5899" spans="1:6" x14ac:dyDescent="0.3">
      <c r="A5899" t="s">
        <v>5</v>
      </c>
      <c r="B5899" s="1">
        <v>45903</v>
      </c>
      <c r="C5899">
        <v>19</v>
      </c>
      <c r="D5899">
        <v>5.7000000000000002E-2</v>
      </c>
      <c r="E5899" t="s">
        <v>6</v>
      </c>
      <c r="F5899">
        <v>0.14311000000000001</v>
      </c>
    </row>
    <row r="5900" spans="1:6" x14ac:dyDescent="0.3">
      <c r="A5900" t="s">
        <v>5</v>
      </c>
      <c r="B5900" s="1">
        <v>45903</v>
      </c>
      <c r="C5900">
        <v>20</v>
      </c>
      <c r="D5900">
        <v>8.2000000000000003E-2</v>
      </c>
      <c r="E5900" t="s">
        <v>6</v>
      </c>
      <c r="F5900">
        <v>0.20746999999999999</v>
      </c>
    </row>
    <row r="5901" spans="1:6" x14ac:dyDescent="0.3">
      <c r="A5901" t="s">
        <v>5</v>
      </c>
      <c r="B5901" s="1">
        <v>45903</v>
      </c>
      <c r="C5901">
        <v>21</v>
      </c>
      <c r="D5901">
        <v>6.0999999999999999E-2</v>
      </c>
      <c r="E5901" t="s">
        <v>6</v>
      </c>
      <c r="F5901">
        <v>0.24011000000000002</v>
      </c>
    </row>
    <row r="5902" spans="1:6" x14ac:dyDescent="0.3">
      <c r="A5902" t="s">
        <v>5</v>
      </c>
      <c r="B5902" s="1">
        <v>45903</v>
      </c>
      <c r="C5902">
        <v>22</v>
      </c>
      <c r="D5902">
        <v>6.0999999999999999E-2</v>
      </c>
      <c r="E5902" t="s">
        <v>6</v>
      </c>
      <c r="F5902">
        <v>0.27350000000000002</v>
      </c>
    </row>
    <row r="5903" spans="1:6" x14ac:dyDescent="0.3">
      <c r="A5903" t="s">
        <v>5</v>
      </c>
      <c r="B5903" s="1">
        <v>45903</v>
      </c>
      <c r="C5903">
        <v>23</v>
      </c>
      <c r="D5903">
        <v>8.2000000000000003E-2</v>
      </c>
      <c r="E5903" t="s">
        <v>6</v>
      </c>
      <c r="F5903">
        <v>0.18040999999999999</v>
      </c>
    </row>
    <row r="5904" spans="1:6" x14ac:dyDescent="0.3">
      <c r="A5904" t="s">
        <v>5</v>
      </c>
      <c r="B5904" s="1">
        <v>45903</v>
      </c>
      <c r="C5904">
        <v>24</v>
      </c>
      <c r="D5904">
        <v>5.6000000000000001E-2</v>
      </c>
      <c r="E5904" t="s">
        <v>6</v>
      </c>
      <c r="F5904">
        <v>0.17519999999999999</v>
      </c>
    </row>
    <row r="5905" spans="1:6" x14ac:dyDescent="0.3">
      <c r="A5905" t="s">
        <v>5</v>
      </c>
      <c r="B5905" s="1">
        <v>45904</v>
      </c>
      <c r="C5905">
        <v>1</v>
      </c>
      <c r="D5905">
        <v>6.8000000000000005E-2</v>
      </c>
      <c r="E5905" t="s">
        <v>6</v>
      </c>
      <c r="F5905">
        <v>0.1406</v>
      </c>
    </row>
    <row r="5906" spans="1:6" x14ac:dyDescent="0.3">
      <c r="A5906" t="s">
        <v>5</v>
      </c>
      <c r="B5906" s="1">
        <v>45904</v>
      </c>
      <c r="C5906">
        <v>2</v>
      </c>
      <c r="D5906">
        <v>7.6999999999999999E-2</v>
      </c>
      <c r="E5906" t="s">
        <v>6</v>
      </c>
      <c r="F5906">
        <v>0.13572999999999999</v>
      </c>
    </row>
    <row r="5907" spans="1:6" x14ac:dyDescent="0.3">
      <c r="A5907" t="s">
        <v>5</v>
      </c>
      <c r="B5907" s="1">
        <v>45904</v>
      </c>
      <c r="C5907">
        <v>3</v>
      </c>
      <c r="D5907">
        <v>5.6000000000000001E-2</v>
      </c>
      <c r="E5907" t="s">
        <v>6</v>
      </c>
      <c r="F5907">
        <v>0.1321</v>
      </c>
    </row>
    <row r="5908" spans="1:6" x14ac:dyDescent="0.3">
      <c r="A5908" t="s">
        <v>5</v>
      </c>
      <c r="B5908" s="1">
        <v>45904</v>
      </c>
      <c r="C5908">
        <v>4</v>
      </c>
      <c r="D5908">
        <v>7.1999999999999995E-2</v>
      </c>
      <c r="E5908" t="s">
        <v>6</v>
      </c>
      <c r="F5908">
        <v>0.12135</v>
      </c>
    </row>
    <row r="5909" spans="1:6" x14ac:dyDescent="0.3">
      <c r="A5909" t="s">
        <v>5</v>
      </c>
      <c r="B5909" s="1">
        <v>45904</v>
      </c>
      <c r="C5909">
        <v>5</v>
      </c>
      <c r="D5909">
        <v>7.1999999999999995E-2</v>
      </c>
      <c r="E5909" t="s">
        <v>6</v>
      </c>
      <c r="F5909">
        <v>0.11948</v>
      </c>
    </row>
    <row r="5910" spans="1:6" x14ac:dyDescent="0.3">
      <c r="A5910" t="s">
        <v>5</v>
      </c>
      <c r="B5910" s="1">
        <v>45904</v>
      </c>
      <c r="C5910">
        <v>6</v>
      </c>
      <c r="D5910">
        <v>5.6000000000000001E-2</v>
      </c>
      <c r="E5910" t="s">
        <v>6</v>
      </c>
      <c r="F5910">
        <v>0.11978</v>
      </c>
    </row>
    <row r="5911" spans="1:6" x14ac:dyDescent="0.3">
      <c r="A5911" t="s">
        <v>5</v>
      </c>
      <c r="B5911" s="1">
        <v>45904</v>
      </c>
      <c r="C5911">
        <v>7</v>
      </c>
      <c r="D5911">
        <v>7.5999999999999998E-2</v>
      </c>
      <c r="E5911" t="s">
        <v>6</v>
      </c>
      <c r="F5911">
        <v>0.13190000000000002</v>
      </c>
    </row>
    <row r="5912" spans="1:6" x14ac:dyDescent="0.3">
      <c r="A5912" t="s">
        <v>5</v>
      </c>
      <c r="B5912" s="1">
        <v>45904</v>
      </c>
      <c r="C5912">
        <v>8</v>
      </c>
      <c r="D5912">
        <v>6.8000000000000005E-2</v>
      </c>
      <c r="E5912" t="s">
        <v>6</v>
      </c>
      <c r="F5912">
        <v>0.15678999999999998</v>
      </c>
    </row>
    <row r="5913" spans="1:6" x14ac:dyDescent="0.3">
      <c r="A5913" t="s">
        <v>5</v>
      </c>
      <c r="B5913" s="1">
        <v>45904</v>
      </c>
      <c r="C5913">
        <v>9</v>
      </c>
      <c r="D5913">
        <v>5.6000000000000001E-2</v>
      </c>
      <c r="E5913" t="s">
        <v>6</v>
      </c>
      <c r="F5913">
        <v>0.17013</v>
      </c>
    </row>
    <row r="5914" spans="1:6" x14ac:dyDescent="0.3">
      <c r="A5914" t="s">
        <v>5</v>
      </c>
      <c r="B5914" s="1">
        <v>45904</v>
      </c>
      <c r="C5914">
        <v>10</v>
      </c>
      <c r="D5914">
        <v>7.8E-2</v>
      </c>
      <c r="E5914" t="s">
        <v>6</v>
      </c>
      <c r="F5914">
        <v>0.12038</v>
      </c>
    </row>
    <row r="5915" spans="1:6" x14ac:dyDescent="0.3">
      <c r="A5915" t="s">
        <v>5</v>
      </c>
      <c r="B5915" s="1">
        <v>45904</v>
      </c>
      <c r="C5915">
        <v>11</v>
      </c>
      <c r="D5915">
        <v>6.4000000000000001E-2</v>
      </c>
      <c r="E5915" t="s">
        <v>6</v>
      </c>
      <c r="F5915">
        <v>0.151</v>
      </c>
    </row>
    <row r="5916" spans="1:6" x14ac:dyDescent="0.3">
      <c r="A5916" t="s">
        <v>5</v>
      </c>
      <c r="B5916" s="1">
        <v>45904</v>
      </c>
      <c r="C5916">
        <v>12</v>
      </c>
      <c r="D5916">
        <v>5.6000000000000001E-2</v>
      </c>
      <c r="E5916" t="s">
        <v>6</v>
      </c>
      <c r="F5916">
        <v>0.14152999999999999</v>
      </c>
    </row>
    <row r="5917" spans="1:6" x14ac:dyDescent="0.3">
      <c r="A5917" t="s">
        <v>5</v>
      </c>
      <c r="B5917" s="1">
        <v>45904</v>
      </c>
      <c r="C5917">
        <v>13</v>
      </c>
      <c r="D5917">
        <v>8.3000000000000004E-2</v>
      </c>
      <c r="E5917" t="s">
        <v>6</v>
      </c>
      <c r="F5917">
        <v>0.13803000000000001</v>
      </c>
    </row>
    <row r="5918" spans="1:6" x14ac:dyDescent="0.3">
      <c r="A5918" t="s">
        <v>5</v>
      </c>
      <c r="B5918" s="1">
        <v>45904</v>
      </c>
      <c r="C5918">
        <v>14</v>
      </c>
      <c r="D5918">
        <v>6.0999999999999999E-2</v>
      </c>
      <c r="E5918" t="s">
        <v>6</v>
      </c>
      <c r="F5918">
        <v>0.13325999999999999</v>
      </c>
    </row>
    <row r="5919" spans="1:6" x14ac:dyDescent="0.3">
      <c r="A5919" t="s">
        <v>5</v>
      </c>
      <c r="B5919" s="1">
        <v>45904</v>
      </c>
      <c r="C5919">
        <v>15</v>
      </c>
      <c r="D5919">
        <v>5.8999999999999997E-2</v>
      </c>
      <c r="E5919" t="s">
        <v>6</v>
      </c>
      <c r="F5919">
        <v>6.8250000000000005E-2</v>
      </c>
    </row>
    <row r="5920" spans="1:6" x14ac:dyDescent="0.3">
      <c r="A5920" t="s">
        <v>5</v>
      </c>
      <c r="B5920" s="1">
        <v>45904</v>
      </c>
      <c r="C5920">
        <v>16</v>
      </c>
      <c r="D5920">
        <v>8.2000000000000003E-2</v>
      </c>
      <c r="E5920" t="s">
        <v>6</v>
      </c>
      <c r="F5920">
        <v>6.8720000000000003E-2</v>
      </c>
    </row>
    <row r="5921" spans="1:6" x14ac:dyDescent="0.3">
      <c r="A5921" t="s">
        <v>5</v>
      </c>
      <c r="B5921" s="1">
        <v>45904</v>
      </c>
      <c r="C5921">
        <v>17</v>
      </c>
      <c r="D5921">
        <v>5.7000000000000002E-2</v>
      </c>
      <c r="E5921" t="s">
        <v>6</v>
      </c>
      <c r="F5921">
        <v>7.1069999999999994E-2</v>
      </c>
    </row>
    <row r="5922" spans="1:6" x14ac:dyDescent="0.3">
      <c r="A5922" t="s">
        <v>5</v>
      </c>
      <c r="B5922" s="1">
        <v>45904</v>
      </c>
      <c r="C5922">
        <v>18</v>
      </c>
      <c r="D5922">
        <v>6.4000000000000001E-2</v>
      </c>
      <c r="E5922" t="s">
        <v>6</v>
      </c>
      <c r="F5922">
        <v>7.5499999999999998E-2</v>
      </c>
    </row>
    <row r="5923" spans="1:6" x14ac:dyDescent="0.3">
      <c r="A5923" t="s">
        <v>5</v>
      </c>
      <c r="B5923" s="1">
        <v>45904</v>
      </c>
      <c r="C5923">
        <v>19</v>
      </c>
      <c r="D5923">
        <v>0.08</v>
      </c>
      <c r="E5923" t="s">
        <v>6</v>
      </c>
      <c r="F5923">
        <v>0.1615</v>
      </c>
    </row>
    <row r="5924" spans="1:6" x14ac:dyDescent="0.3">
      <c r="A5924" t="s">
        <v>5</v>
      </c>
      <c r="B5924" s="1">
        <v>45904</v>
      </c>
      <c r="C5924">
        <v>20</v>
      </c>
      <c r="D5924">
        <v>5.7000000000000002E-2</v>
      </c>
      <c r="E5924" t="s">
        <v>6</v>
      </c>
      <c r="F5924">
        <v>0.20852000000000001</v>
      </c>
    </row>
    <row r="5925" spans="1:6" x14ac:dyDescent="0.3">
      <c r="A5925" t="s">
        <v>5</v>
      </c>
      <c r="B5925" s="1">
        <v>45904</v>
      </c>
      <c r="C5925">
        <v>21</v>
      </c>
      <c r="D5925">
        <v>6.7000000000000004E-2</v>
      </c>
      <c r="E5925" t="s">
        <v>6</v>
      </c>
      <c r="F5925">
        <v>0.24145</v>
      </c>
    </row>
    <row r="5926" spans="1:6" x14ac:dyDescent="0.3">
      <c r="A5926" t="s">
        <v>5</v>
      </c>
      <c r="B5926" s="1">
        <v>45904</v>
      </c>
      <c r="C5926">
        <v>22</v>
      </c>
      <c r="D5926">
        <v>7.5999999999999998E-2</v>
      </c>
      <c r="E5926" t="s">
        <v>6</v>
      </c>
      <c r="F5926">
        <v>0.25057000000000001</v>
      </c>
    </row>
    <row r="5927" spans="1:6" x14ac:dyDescent="0.3">
      <c r="A5927" t="s">
        <v>5</v>
      </c>
      <c r="B5927" s="1">
        <v>45904</v>
      </c>
      <c r="C5927">
        <v>23</v>
      </c>
      <c r="D5927">
        <v>5.6000000000000001E-2</v>
      </c>
      <c r="E5927" t="s">
        <v>6</v>
      </c>
      <c r="F5927">
        <v>0.17297999999999999</v>
      </c>
    </row>
    <row r="5928" spans="1:6" x14ac:dyDescent="0.3">
      <c r="A5928" t="s">
        <v>5</v>
      </c>
      <c r="B5928" s="1">
        <v>45904</v>
      </c>
      <c r="C5928">
        <v>24</v>
      </c>
      <c r="D5928">
        <v>7.1999999999999995E-2</v>
      </c>
      <c r="E5928" t="s">
        <v>6</v>
      </c>
      <c r="F5928">
        <v>0.16000999999999999</v>
      </c>
    </row>
    <row r="5929" spans="1:6" x14ac:dyDescent="0.3">
      <c r="A5929" t="s">
        <v>5</v>
      </c>
      <c r="B5929" s="1">
        <v>45905</v>
      </c>
      <c r="C5929">
        <v>1</v>
      </c>
      <c r="D5929">
        <v>7.2999999999999995E-2</v>
      </c>
      <c r="E5929" t="s">
        <v>6</v>
      </c>
      <c r="F5929">
        <v>0.13704</v>
      </c>
    </row>
    <row r="5930" spans="1:6" x14ac:dyDescent="0.3">
      <c r="A5930" t="s">
        <v>5</v>
      </c>
      <c r="B5930" s="1">
        <v>45905</v>
      </c>
      <c r="C5930">
        <v>2</v>
      </c>
      <c r="D5930">
        <v>5.6000000000000001E-2</v>
      </c>
      <c r="E5930" t="s">
        <v>6</v>
      </c>
      <c r="F5930">
        <v>0.12809999999999999</v>
      </c>
    </row>
    <row r="5931" spans="1:6" x14ac:dyDescent="0.3">
      <c r="A5931" t="s">
        <v>5</v>
      </c>
      <c r="B5931" s="1">
        <v>45905</v>
      </c>
      <c r="C5931">
        <v>3</v>
      </c>
      <c r="D5931">
        <v>7.4999999999999997E-2</v>
      </c>
      <c r="E5931" t="s">
        <v>6</v>
      </c>
      <c r="F5931">
        <v>0.11468</v>
      </c>
    </row>
    <row r="5932" spans="1:6" x14ac:dyDescent="0.3">
      <c r="A5932" t="s">
        <v>5</v>
      </c>
      <c r="B5932" s="1">
        <v>45905</v>
      </c>
      <c r="C5932">
        <v>4</v>
      </c>
      <c r="D5932">
        <v>7.0000000000000007E-2</v>
      </c>
      <c r="E5932" t="s">
        <v>6</v>
      </c>
      <c r="F5932">
        <v>0.10607999999999999</v>
      </c>
    </row>
    <row r="5933" spans="1:6" x14ac:dyDescent="0.3">
      <c r="A5933" t="s">
        <v>5</v>
      </c>
      <c r="B5933" s="1">
        <v>45905</v>
      </c>
      <c r="C5933">
        <v>5</v>
      </c>
      <c r="D5933">
        <v>5.7000000000000002E-2</v>
      </c>
      <c r="E5933" t="s">
        <v>6</v>
      </c>
      <c r="F5933">
        <v>9.8569999999999991E-2</v>
      </c>
    </row>
    <row r="5934" spans="1:6" x14ac:dyDescent="0.3">
      <c r="A5934" t="s">
        <v>5</v>
      </c>
      <c r="B5934" s="1">
        <v>45905</v>
      </c>
      <c r="C5934">
        <v>6</v>
      </c>
      <c r="D5934">
        <v>7.6999999999999999E-2</v>
      </c>
      <c r="E5934" t="s">
        <v>6</v>
      </c>
      <c r="F5934">
        <v>0.10536</v>
      </c>
    </row>
    <row r="5935" spans="1:6" x14ac:dyDescent="0.3">
      <c r="A5935" t="s">
        <v>5</v>
      </c>
      <c r="B5935" s="1">
        <v>45905</v>
      </c>
      <c r="C5935">
        <v>7</v>
      </c>
      <c r="D5935">
        <v>6.7000000000000004E-2</v>
      </c>
      <c r="E5935" t="s">
        <v>6</v>
      </c>
      <c r="F5935">
        <v>0.12470999999999999</v>
      </c>
    </row>
    <row r="5936" spans="1:6" x14ac:dyDescent="0.3">
      <c r="A5936" t="s">
        <v>5</v>
      </c>
      <c r="B5936" s="1">
        <v>45905</v>
      </c>
      <c r="C5936">
        <v>8</v>
      </c>
      <c r="D5936">
        <v>8.2000000000000003E-2</v>
      </c>
      <c r="E5936" t="s">
        <v>6</v>
      </c>
      <c r="F5936">
        <v>0.13825000000000001</v>
      </c>
    </row>
    <row r="5937" spans="1:6" x14ac:dyDescent="0.3">
      <c r="A5937" t="s">
        <v>5</v>
      </c>
      <c r="B5937" s="1">
        <v>45905</v>
      </c>
      <c r="C5937">
        <v>9</v>
      </c>
      <c r="D5937">
        <v>0.11799999999999999</v>
      </c>
      <c r="E5937" t="s">
        <v>6</v>
      </c>
      <c r="F5937">
        <v>0.16471</v>
      </c>
    </row>
    <row r="5938" spans="1:6" x14ac:dyDescent="0.3">
      <c r="A5938" t="s">
        <v>5</v>
      </c>
      <c r="B5938" s="1">
        <v>45905</v>
      </c>
      <c r="C5938">
        <v>10</v>
      </c>
      <c r="D5938">
        <v>8.7999999999999995E-2</v>
      </c>
      <c r="E5938" t="s">
        <v>6</v>
      </c>
      <c r="F5938">
        <v>0.15189</v>
      </c>
    </row>
    <row r="5939" spans="1:6" x14ac:dyDescent="0.3">
      <c r="A5939" t="s">
        <v>5</v>
      </c>
      <c r="B5939" s="1">
        <v>45905</v>
      </c>
      <c r="C5939">
        <v>11</v>
      </c>
      <c r="D5939">
        <v>8.5000000000000006E-2</v>
      </c>
      <c r="E5939" t="s">
        <v>6</v>
      </c>
      <c r="F5939">
        <v>0.16963999999999999</v>
      </c>
    </row>
    <row r="5940" spans="1:6" x14ac:dyDescent="0.3">
      <c r="A5940" t="s">
        <v>5</v>
      </c>
      <c r="B5940" s="1">
        <v>45905</v>
      </c>
      <c r="C5940">
        <v>12</v>
      </c>
      <c r="D5940">
        <v>6.2E-2</v>
      </c>
      <c r="E5940" t="s">
        <v>6</v>
      </c>
      <c r="F5940">
        <v>0.14399000000000001</v>
      </c>
    </row>
    <row r="5941" spans="1:6" x14ac:dyDescent="0.3">
      <c r="A5941" t="s">
        <v>5</v>
      </c>
      <c r="B5941" s="1">
        <v>45905</v>
      </c>
      <c r="C5941">
        <v>13</v>
      </c>
      <c r="D5941">
        <v>6.4000000000000001E-2</v>
      </c>
      <c r="E5941" t="s">
        <v>6</v>
      </c>
      <c r="F5941">
        <v>0.13622000000000001</v>
      </c>
    </row>
    <row r="5942" spans="1:6" x14ac:dyDescent="0.3">
      <c r="A5942" t="s">
        <v>5</v>
      </c>
      <c r="B5942" s="1">
        <v>45905</v>
      </c>
      <c r="C5942">
        <v>14</v>
      </c>
      <c r="D5942">
        <v>7.9000000000000001E-2</v>
      </c>
      <c r="E5942" t="s">
        <v>6</v>
      </c>
      <c r="F5942">
        <v>0.13300999999999999</v>
      </c>
    </row>
    <row r="5943" spans="1:6" x14ac:dyDescent="0.3">
      <c r="A5943" t="s">
        <v>5</v>
      </c>
      <c r="B5943" s="1">
        <v>45905</v>
      </c>
      <c r="C5943">
        <v>15</v>
      </c>
      <c r="D5943">
        <v>5.6000000000000001E-2</v>
      </c>
      <c r="E5943" t="s">
        <v>6</v>
      </c>
      <c r="F5943">
        <v>6.5739999999999993E-2</v>
      </c>
    </row>
    <row r="5944" spans="1:6" x14ac:dyDescent="0.3">
      <c r="A5944" t="s">
        <v>5</v>
      </c>
      <c r="B5944" s="1">
        <v>45905</v>
      </c>
      <c r="C5944">
        <v>16</v>
      </c>
      <c r="D5944">
        <v>7.3999999999999996E-2</v>
      </c>
      <c r="E5944" t="s">
        <v>6</v>
      </c>
      <c r="F5944">
        <v>6.5890000000000004E-2</v>
      </c>
    </row>
    <row r="5945" spans="1:6" x14ac:dyDescent="0.3">
      <c r="A5945" t="s">
        <v>5</v>
      </c>
      <c r="B5945" s="1">
        <v>45905</v>
      </c>
      <c r="C5945">
        <v>17</v>
      </c>
      <c r="D5945">
        <v>6.9000000000000006E-2</v>
      </c>
      <c r="E5945" t="s">
        <v>6</v>
      </c>
      <c r="F5945">
        <v>6.6369999999999998E-2</v>
      </c>
    </row>
    <row r="5946" spans="1:6" x14ac:dyDescent="0.3">
      <c r="A5946" t="s">
        <v>5</v>
      </c>
      <c r="B5946" s="1">
        <v>45905</v>
      </c>
      <c r="C5946">
        <v>18</v>
      </c>
      <c r="D5946">
        <v>5.7000000000000002E-2</v>
      </c>
      <c r="E5946" t="s">
        <v>6</v>
      </c>
      <c r="F5946">
        <v>6.9519999999999998E-2</v>
      </c>
    </row>
    <row r="5947" spans="1:6" x14ac:dyDescent="0.3">
      <c r="A5947" t="s">
        <v>5</v>
      </c>
      <c r="B5947" s="1">
        <v>45905</v>
      </c>
      <c r="C5947">
        <v>19</v>
      </c>
      <c r="D5947">
        <v>8.4000000000000005E-2</v>
      </c>
      <c r="E5947" t="s">
        <v>6</v>
      </c>
      <c r="F5947">
        <v>0.18440000000000001</v>
      </c>
    </row>
    <row r="5948" spans="1:6" x14ac:dyDescent="0.3">
      <c r="A5948" t="s">
        <v>5</v>
      </c>
      <c r="B5948" s="1">
        <v>45905</v>
      </c>
      <c r="C5948">
        <v>20</v>
      </c>
      <c r="D5948">
        <v>5.8000000000000003E-2</v>
      </c>
      <c r="E5948" t="s">
        <v>6</v>
      </c>
      <c r="F5948">
        <v>0.23072000000000001</v>
      </c>
    </row>
    <row r="5949" spans="1:6" x14ac:dyDescent="0.3">
      <c r="A5949" t="s">
        <v>5</v>
      </c>
      <c r="B5949" s="1">
        <v>45905</v>
      </c>
      <c r="C5949">
        <v>21</v>
      </c>
      <c r="D5949">
        <v>6.7000000000000004E-2</v>
      </c>
      <c r="E5949" t="s">
        <v>6</v>
      </c>
      <c r="F5949">
        <v>0.24790999999999999</v>
      </c>
    </row>
    <row r="5950" spans="1:6" x14ac:dyDescent="0.3">
      <c r="A5950" t="s">
        <v>5</v>
      </c>
      <c r="B5950" s="1">
        <v>45905</v>
      </c>
      <c r="C5950">
        <v>22</v>
      </c>
      <c r="D5950">
        <v>7.3999999999999996E-2</v>
      </c>
      <c r="E5950" t="s">
        <v>6</v>
      </c>
      <c r="F5950">
        <v>0.24528999999999998</v>
      </c>
    </row>
    <row r="5951" spans="1:6" x14ac:dyDescent="0.3">
      <c r="A5951" t="s">
        <v>5</v>
      </c>
      <c r="B5951" s="1">
        <v>45905</v>
      </c>
      <c r="C5951">
        <v>23</v>
      </c>
      <c r="D5951">
        <v>5.6000000000000001E-2</v>
      </c>
      <c r="E5951" t="s">
        <v>6</v>
      </c>
      <c r="F5951">
        <v>0.16743</v>
      </c>
    </row>
    <row r="5952" spans="1:6" x14ac:dyDescent="0.3">
      <c r="A5952" t="s">
        <v>5</v>
      </c>
      <c r="B5952" s="1">
        <v>45905</v>
      </c>
      <c r="C5952">
        <v>24</v>
      </c>
      <c r="D5952">
        <v>7.8E-2</v>
      </c>
      <c r="E5952" t="s">
        <v>6</v>
      </c>
      <c r="F5952">
        <v>0.16190000000000002</v>
      </c>
    </row>
    <row r="5953" spans="1:6" x14ac:dyDescent="0.3">
      <c r="A5953" t="s">
        <v>5</v>
      </c>
      <c r="B5953" s="1">
        <v>45906</v>
      </c>
      <c r="C5953">
        <v>1</v>
      </c>
      <c r="D5953">
        <v>6.3E-2</v>
      </c>
      <c r="E5953" t="s">
        <v>6</v>
      </c>
      <c r="F5953">
        <v>0.1356</v>
      </c>
    </row>
    <row r="5954" spans="1:6" x14ac:dyDescent="0.3">
      <c r="A5954" t="s">
        <v>5</v>
      </c>
      <c r="B5954" s="1">
        <v>45906</v>
      </c>
      <c r="C5954">
        <v>2</v>
      </c>
      <c r="D5954">
        <v>6.3E-2</v>
      </c>
      <c r="E5954" t="s">
        <v>6</v>
      </c>
      <c r="F5954">
        <v>0.12021999999999999</v>
      </c>
    </row>
    <row r="5955" spans="1:6" x14ac:dyDescent="0.3">
      <c r="A5955" t="s">
        <v>5</v>
      </c>
      <c r="B5955" s="1">
        <v>45906</v>
      </c>
      <c r="C5955">
        <v>3</v>
      </c>
      <c r="D5955">
        <v>0.08</v>
      </c>
      <c r="E5955" t="s">
        <v>6</v>
      </c>
      <c r="F5955">
        <v>0.11003</v>
      </c>
    </row>
    <row r="5956" spans="1:6" x14ac:dyDescent="0.3">
      <c r="A5956" t="s">
        <v>5</v>
      </c>
      <c r="B5956" s="1">
        <v>45906</v>
      </c>
      <c r="C5956">
        <v>4</v>
      </c>
      <c r="D5956">
        <v>5.6000000000000001E-2</v>
      </c>
      <c r="E5956" t="s">
        <v>6</v>
      </c>
      <c r="F5956">
        <v>9.8209999999999992E-2</v>
      </c>
    </row>
    <row r="5957" spans="1:6" x14ac:dyDescent="0.3">
      <c r="A5957" t="s">
        <v>5</v>
      </c>
      <c r="B5957" s="1">
        <v>45906</v>
      </c>
      <c r="C5957">
        <v>5</v>
      </c>
      <c r="D5957">
        <v>7.1999999999999995E-2</v>
      </c>
      <c r="E5957" t="s">
        <v>6</v>
      </c>
      <c r="F5957">
        <v>9.2590000000000006E-2</v>
      </c>
    </row>
    <row r="5958" spans="1:6" x14ac:dyDescent="0.3">
      <c r="A5958" t="s">
        <v>5</v>
      </c>
      <c r="B5958" s="1">
        <v>45906</v>
      </c>
      <c r="C5958">
        <v>6</v>
      </c>
      <c r="D5958">
        <v>7.0999999999999994E-2</v>
      </c>
      <c r="E5958" t="s">
        <v>6</v>
      </c>
      <c r="F5958">
        <v>9.1260000000000008E-2</v>
      </c>
    </row>
    <row r="5959" spans="1:6" x14ac:dyDescent="0.3">
      <c r="A5959" t="s">
        <v>5</v>
      </c>
      <c r="B5959" s="1">
        <v>45906</v>
      </c>
      <c r="C5959">
        <v>7</v>
      </c>
      <c r="D5959">
        <v>5.6000000000000001E-2</v>
      </c>
      <c r="E5959" t="s">
        <v>6</v>
      </c>
      <c r="F5959">
        <v>9.2060000000000003E-2</v>
      </c>
    </row>
    <row r="5960" spans="1:6" x14ac:dyDescent="0.3">
      <c r="A5960" t="s">
        <v>5</v>
      </c>
      <c r="B5960" s="1">
        <v>45906</v>
      </c>
      <c r="C5960">
        <v>8</v>
      </c>
      <c r="D5960">
        <v>8.2000000000000003E-2</v>
      </c>
      <c r="E5960" t="s">
        <v>6</v>
      </c>
      <c r="F5960">
        <v>0.10567</v>
      </c>
    </row>
    <row r="5961" spans="1:6" x14ac:dyDescent="0.3">
      <c r="A5961" t="s">
        <v>5</v>
      </c>
      <c r="B5961" s="1">
        <v>45906</v>
      </c>
      <c r="C5961">
        <v>9</v>
      </c>
      <c r="D5961">
        <v>0.06</v>
      </c>
      <c r="E5961" t="s">
        <v>6</v>
      </c>
      <c r="F5961">
        <v>9.7869999999999999E-2</v>
      </c>
    </row>
    <row r="5962" spans="1:6" x14ac:dyDescent="0.3">
      <c r="A5962" t="s">
        <v>5</v>
      </c>
      <c r="B5962" s="1">
        <v>45906</v>
      </c>
      <c r="C5962">
        <v>10</v>
      </c>
      <c r="D5962">
        <v>6.3E-2</v>
      </c>
      <c r="E5962" t="s">
        <v>6</v>
      </c>
      <c r="F5962">
        <v>7.8299999999999995E-2</v>
      </c>
    </row>
    <row r="5963" spans="1:6" x14ac:dyDescent="0.3">
      <c r="A5963" t="s">
        <v>5</v>
      </c>
      <c r="B5963" s="1">
        <v>45906</v>
      </c>
      <c r="C5963">
        <v>11</v>
      </c>
      <c r="D5963">
        <v>7.6999999999999999E-2</v>
      </c>
      <c r="E5963" t="s">
        <v>6</v>
      </c>
      <c r="F5963">
        <v>6.4209999999999989E-2</v>
      </c>
    </row>
    <row r="5964" spans="1:6" x14ac:dyDescent="0.3">
      <c r="A5964" t="s">
        <v>5</v>
      </c>
      <c r="B5964" s="1">
        <v>45906</v>
      </c>
      <c r="C5964">
        <v>12</v>
      </c>
      <c r="D5964">
        <v>5.6000000000000001E-2</v>
      </c>
      <c r="E5964" t="s">
        <v>6</v>
      </c>
      <c r="F5964">
        <v>6.2810000000000005E-2</v>
      </c>
    </row>
    <row r="5965" spans="1:6" x14ac:dyDescent="0.3">
      <c r="A5965" t="s">
        <v>5</v>
      </c>
      <c r="B5965" s="1">
        <v>45906</v>
      </c>
      <c r="C5965">
        <v>13</v>
      </c>
      <c r="D5965">
        <v>7.4999999999999997E-2</v>
      </c>
      <c r="E5965" t="s">
        <v>6</v>
      </c>
      <c r="F5965">
        <v>6.318E-2</v>
      </c>
    </row>
    <row r="5966" spans="1:6" x14ac:dyDescent="0.3">
      <c r="A5966" t="s">
        <v>5</v>
      </c>
      <c r="B5966" s="1">
        <v>45906</v>
      </c>
      <c r="C5966">
        <v>14</v>
      </c>
      <c r="D5966">
        <v>6.7000000000000004E-2</v>
      </c>
      <c r="E5966" t="s">
        <v>6</v>
      </c>
      <c r="F5966">
        <v>6.1189999999999994E-2</v>
      </c>
    </row>
    <row r="5967" spans="1:6" x14ac:dyDescent="0.3">
      <c r="A5967" t="s">
        <v>5</v>
      </c>
      <c r="B5967" s="1">
        <v>45906</v>
      </c>
      <c r="C5967">
        <v>15</v>
      </c>
      <c r="D5967">
        <v>5.6000000000000001E-2</v>
      </c>
      <c r="E5967" t="s">
        <v>6</v>
      </c>
      <c r="F5967">
        <v>6.0880000000000004E-2</v>
      </c>
    </row>
    <row r="5968" spans="1:6" x14ac:dyDescent="0.3">
      <c r="A5968" t="s">
        <v>5</v>
      </c>
      <c r="B5968" s="1">
        <v>45906</v>
      </c>
      <c r="C5968">
        <v>16</v>
      </c>
      <c r="D5968">
        <v>8.3000000000000004E-2</v>
      </c>
      <c r="E5968" t="s">
        <v>6</v>
      </c>
      <c r="F5968">
        <v>6.2780000000000002E-2</v>
      </c>
    </row>
    <row r="5969" spans="1:6" x14ac:dyDescent="0.3">
      <c r="A5969" t="s">
        <v>5</v>
      </c>
      <c r="B5969" s="1">
        <v>45906</v>
      </c>
      <c r="C5969">
        <v>17</v>
      </c>
      <c r="D5969">
        <v>5.8000000000000003E-2</v>
      </c>
      <c r="E5969" t="s">
        <v>6</v>
      </c>
      <c r="F5969">
        <v>6.3820000000000002E-2</v>
      </c>
    </row>
    <row r="5970" spans="1:6" x14ac:dyDescent="0.3">
      <c r="A5970" t="s">
        <v>5</v>
      </c>
      <c r="B5970" s="1">
        <v>45906</v>
      </c>
      <c r="C5970">
        <v>18</v>
      </c>
      <c r="D5970">
        <v>6.6000000000000003E-2</v>
      </c>
      <c r="E5970" t="s">
        <v>6</v>
      </c>
      <c r="F5970">
        <v>6.3060000000000005E-2</v>
      </c>
    </row>
    <row r="5971" spans="1:6" x14ac:dyDescent="0.3">
      <c r="A5971" t="s">
        <v>5</v>
      </c>
      <c r="B5971" s="1">
        <v>45906</v>
      </c>
      <c r="C5971">
        <v>19</v>
      </c>
      <c r="D5971">
        <v>7.5999999999999998E-2</v>
      </c>
      <c r="E5971" t="s">
        <v>6</v>
      </c>
      <c r="F5971">
        <v>6.3469999999999999E-2</v>
      </c>
    </row>
    <row r="5972" spans="1:6" x14ac:dyDescent="0.3">
      <c r="A5972" t="s">
        <v>5</v>
      </c>
      <c r="B5972" s="1">
        <v>45906</v>
      </c>
      <c r="C5972">
        <v>20</v>
      </c>
      <c r="D5972">
        <v>5.7000000000000002E-2</v>
      </c>
      <c r="E5972" t="s">
        <v>6</v>
      </c>
      <c r="F5972">
        <v>8.6859999999999993E-2</v>
      </c>
    </row>
    <row r="5973" spans="1:6" x14ac:dyDescent="0.3">
      <c r="A5973" t="s">
        <v>5</v>
      </c>
      <c r="B5973" s="1">
        <v>45906</v>
      </c>
      <c r="C5973">
        <v>21</v>
      </c>
      <c r="D5973">
        <v>7.4999999999999997E-2</v>
      </c>
      <c r="E5973" t="s">
        <v>6</v>
      </c>
      <c r="F5973">
        <v>0.10047</v>
      </c>
    </row>
    <row r="5974" spans="1:6" x14ac:dyDescent="0.3">
      <c r="A5974" t="s">
        <v>5</v>
      </c>
      <c r="B5974" s="1">
        <v>45906</v>
      </c>
      <c r="C5974">
        <v>22</v>
      </c>
      <c r="D5974">
        <v>6.6000000000000003E-2</v>
      </c>
      <c r="E5974" t="s">
        <v>6</v>
      </c>
      <c r="F5974">
        <v>0.11968000000000001</v>
      </c>
    </row>
    <row r="5975" spans="1:6" x14ac:dyDescent="0.3">
      <c r="A5975" t="s">
        <v>5</v>
      </c>
      <c r="B5975" s="1">
        <v>45906</v>
      </c>
      <c r="C5975">
        <v>23</v>
      </c>
      <c r="D5975">
        <v>5.7000000000000002E-2</v>
      </c>
      <c r="E5975" t="s">
        <v>6</v>
      </c>
      <c r="F5975">
        <v>0.11759</v>
      </c>
    </row>
    <row r="5976" spans="1:6" x14ac:dyDescent="0.3">
      <c r="A5976" t="s">
        <v>5</v>
      </c>
      <c r="B5976" s="1">
        <v>45906</v>
      </c>
      <c r="C5976">
        <v>24</v>
      </c>
      <c r="D5976">
        <v>8.3000000000000004E-2</v>
      </c>
      <c r="E5976" t="s">
        <v>6</v>
      </c>
      <c r="F5976">
        <v>0.10263</v>
      </c>
    </row>
    <row r="5977" spans="1:6" x14ac:dyDescent="0.3">
      <c r="A5977" t="s">
        <v>5</v>
      </c>
      <c r="B5977" s="1">
        <v>45907</v>
      </c>
      <c r="C5977">
        <v>1</v>
      </c>
      <c r="D5977">
        <v>5.7000000000000002E-2</v>
      </c>
      <c r="E5977" t="s">
        <v>6</v>
      </c>
      <c r="F5977">
        <v>7.911E-2</v>
      </c>
    </row>
    <row r="5978" spans="1:6" x14ac:dyDescent="0.3">
      <c r="A5978" t="s">
        <v>5</v>
      </c>
      <c r="B5978" s="1">
        <v>45907</v>
      </c>
      <c r="C5978">
        <v>2</v>
      </c>
      <c r="D5978">
        <v>6.8000000000000005E-2</v>
      </c>
      <c r="E5978" t="s">
        <v>6</v>
      </c>
      <c r="F5978">
        <v>7.2819999999999996E-2</v>
      </c>
    </row>
    <row r="5979" spans="1:6" x14ac:dyDescent="0.3">
      <c r="A5979" t="s">
        <v>5</v>
      </c>
      <c r="B5979" s="1">
        <v>45907</v>
      </c>
      <c r="C5979">
        <v>3</v>
      </c>
      <c r="D5979">
        <v>7.4999999999999997E-2</v>
      </c>
      <c r="E5979" t="s">
        <v>6</v>
      </c>
      <c r="F5979">
        <v>8.7690000000000004E-2</v>
      </c>
    </row>
    <row r="5980" spans="1:6" x14ac:dyDescent="0.3">
      <c r="A5980" t="s">
        <v>5</v>
      </c>
      <c r="B5980" s="1">
        <v>45907</v>
      </c>
      <c r="C5980">
        <v>4</v>
      </c>
      <c r="D5980">
        <v>5.5E-2</v>
      </c>
      <c r="E5980" t="s">
        <v>6</v>
      </c>
      <c r="F5980">
        <v>8.6620000000000003E-2</v>
      </c>
    </row>
    <row r="5981" spans="1:6" x14ac:dyDescent="0.3">
      <c r="A5981" t="s">
        <v>5</v>
      </c>
      <c r="B5981" s="1">
        <v>45907</v>
      </c>
      <c r="C5981">
        <v>5</v>
      </c>
      <c r="D5981">
        <v>7.6999999999999999E-2</v>
      </c>
      <c r="E5981" t="s">
        <v>6</v>
      </c>
      <c r="F5981">
        <v>8.5290000000000005E-2</v>
      </c>
    </row>
    <row r="5982" spans="1:6" x14ac:dyDescent="0.3">
      <c r="A5982" t="s">
        <v>5</v>
      </c>
      <c r="B5982" s="1">
        <v>45907</v>
      </c>
      <c r="C5982">
        <v>6</v>
      </c>
      <c r="D5982">
        <v>6.6000000000000003E-2</v>
      </c>
      <c r="E5982" t="s">
        <v>6</v>
      </c>
      <c r="F5982">
        <v>9.3140000000000001E-2</v>
      </c>
    </row>
    <row r="5983" spans="1:6" x14ac:dyDescent="0.3">
      <c r="A5983" t="s">
        <v>5</v>
      </c>
      <c r="B5983" s="1">
        <v>45907</v>
      </c>
      <c r="C5983">
        <v>7</v>
      </c>
      <c r="D5983">
        <v>5.7000000000000002E-2</v>
      </c>
      <c r="E5983" t="s">
        <v>6</v>
      </c>
      <c r="F5983">
        <v>8.1439999999999999E-2</v>
      </c>
    </row>
    <row r="5984" spans="1:6" x14ac:dyDescent="0.3">
      <c r="A5984" t="s">
        <v>5</v>
      </c>
      <c r="B5984" s="1">
        <v>45907</v>
      </c>
      <c r="C5984">
        <v>8</v>
      </c>
      <c r="D5984">
        <v>8.3000000000000004E-2</v>
      </c>
      <c r="E5984" t="s">
        <v>6</v>
      </c>
      <c r="F5984">
        <v>9.534999999999999E-2</v>
      </c>
    </row>
    <row r="5985" spans="1:6" x14ac:dyDescent="0.3">
      <c r="A5985" t="s">
        <v>5</v>
      </c>
      <c r="B5985" s="1">
        <v>45907</v>
      </c>
      <c r="C5985">
        <v>9</v>
      </c>
      <c r="D5985">
        <v>5.6000000000000001E-2</v>
      </c>
      <c r="E5985" t="s">
        <v>6</v>
      </c>
      <c r="F5985">
        <v>0.10599</v>
      </c>
    </row>
    <row r="5986" spans="1:6" x14ac:dyDescent="0.3">
      <c r="A5986" t="s">
        <v>5</v>
      </c>
      <c r="B5986" s="1">
        <v>45907</v>
      </c>
      <c r="C5986">
        <v>10</v>
      </c>
      <c r="D5986">
        <v>6.5000000000000002E-2</v>
      </c>
      <c r="E5986" t="s">
        <v>6</v>
      </c>
      <c r="F5986">
        <v>9.2989999999999989E-2</v>
      </c>
    </row>
    <row r="5987" spans="1:6" x14ac:dyDescent="0.3">
      <c r="A5987" t="s">
        <v>5</v>
      </c>
      <c r="B5987" s="1">
        <v>45907</v>
      </c>
      <c r="C5987">
        <v>11</v>
      </c>
      <c r="D5987">
        <v>7.4999999999999997E-2</v>
      </c>
      <c r="E5987" t="s">
        <v>6</v>
      </c>
      <c r="F5987">
        <v>5.815E-2</v>
      </c>
    </row>
    <row r="5988" spans="1:6" x14ac:dyDescent="0.3">
      <c r="A5988" t="s">
        <v>5</v>
      </c>
      <c r="B5988" s="1">
        <v>45907</v>
      </c>
      <c r="C5988">
        <v>12</v>
      </c>
      <c r="D5988">
        <v>5.5E-2</v>
      </c>
      <c r="E5988" t="s">
        <v>6</v>
      </c>
      <c r="F5988">
        <v>5.7439999999999998E-2</v>
      </c>
    </row>
    <row r="5989" spans="1:6" x14ac:dyDescent="0.3">
      <c r="A5989" t="s">
        <v>5</v>
      </c>
      <c r="B5989" s="1">
        <v>45907</v>
      </c>
      <c r="C5989">
        <v>13</v>
      </c>
      <c r="D5989">
        <v>7.3999999999999996E-2</v>
      </c>
      <c r="E5989" t="s">
        <v>6</v>
      </c>
      <c r="F5989">
        <v>5.5590000000000001E-2</v>
      </c>
    </row>
    <row r="5990" spans="1:6" x14ac:dyDescent="0.3">
      <c r="A5990" t="s">
        <v>5</v>
      </c>
      <c r="B5990" s="1">
        <v>45907</v>
      </c>
      <c r="C5990">
        <v>14</v>
      </c>
      <c r="D5990">
        <v>6.6000000000000003E-2</v>
      </c>
      <c r="E5990" t="s">
        <v>6</v>
      </c>
      <c r="F5990">
        <v>5.4700000000000006E-2</v>
      </c>
    </row>
    <row r="5991" spans="1:6" x14ac:dyDescent="0.3">
      <c r="A5991" t="s">
        <v>5</v>
      </c>
      <c r="B5991" s="1">
        <v>45907</v>
      </c>
      <c r="C5991">
        <v>15</v>
      </c>
      <c r="D5991">
        <v>5.6000000000000001E-2</v>
      </c>
      <c r="E5991" t="s">
        <v>6</v>
      </c>
      <c r="F5991">
        <v>5.4600000000000003E-2</v>
      </c>
    </row>
    <row r="5992" spans="1:6" x14ac:dyDescent="0.3">
      <c r="A5992" t="s">
        <v>5</v>
      </c>
      <c r="B5992" s="1">
        <v>45907</v>
      </c>
      <c r="C5992">
        <v>16</v>
      </c>
      <c r="D5992">
        <v>8.3000000000000004E-2</v>
      </c>
      <c r="E5992" t="s">
        <v>6</v>
      </c>
      <c r="F5992">
        <v>5.5020000000000006E-2</v>
      </c>
    </row>
    <row r="5993" spans="1:6" x14ac:dyDescent="0.3">
      <c r="A5993" t="s">
        <v>5</v>
      </c>
      <c r="B5993" s="1">
        <v>45907</v>
      </c>
      <c r="C5993">
        <v>17</v>
      </c>
      <c r="D5993">
        <v>5.8000000000000003E-2</v>
      </c>
      <c r="E5993" t="s">
        <v>6</v>
      </c>
      <c r="F5993">
        <v>5.672E-2</v>
      </c>
    </row>
    <row r="5994" spans="1:6" x14ac:dyDescent="0.3">
      <c r="A5994" t="s">
        <v>5</v>
      </c>
      <c r="B5994" s="1">
        <v>45907</v>
      </c>
      <c r="C5994">
        <v>18</v>
      </c>
      <c r="D5994">
        <v>6.5000000000000002E-2</v>
      </c>
      <c r="E5994" t="s">
        <v>6</v>
      </c>
      <c r="F5994">
        <v>6.3049999999999995E-2</v>
      </c>
    </row>
    <row r="5995" spans="1:6" x14ac:dyDescent="0.3">
      <c r="A5995" t="s">
        <v>5</v>
      </c>
      <c r="B5995" s="1">
        <v>45907</v>
      </c>
      <c r="C5995">
        <v>19</v>
      </c>
      <c r="D5995">
        <v>7.6999999999999999E-2</v>
      </c>
      <c r="E5995" t="s">
        <v>6</v>
      </c>
      <c r="F5995">
        <v>0.10837999999999999</v>
      </c>
    </row>
    <row r="5996" spans="1:6" x14ac:dyDescent="0.3">
      <c r="A5996" t="s">
        <v>5</v>
      </c>
      <c r="B5996" s="1">
        <v>45907</v>
      </c>
      <c r="C5996">
        <v>20</v>
      </c>
      <c r="D5996">
        <v>5.6000000000000001E-2</v>
      </c>
      <c r="E5996" t="s">
        <v>6</v>
      </c>
      <c r="F5996">
        <v>0.23801</v>
      </c>
    </row>
    <row r="5997" spans="1:6" x14ac:dyDescent="0.3">
      <c r="A5997" t="s">
        <v>5</v>
      </c>
      <c r="B5997" s="1">
        <v>45907</v>
      </c>
      <c r="C5997">
        <v>21</v>
      </c>
      <c r="D5997">
        <v>0.84</v>
      </c>
      <c r="E5997" t="s">
        <v>6</v>
      </c>
      <c r="F5997">
        <v>0.17227999999999999</v>
      </c>
    </row>
    <row r="5998" spans="1:6" x14ac:dyDescent="0.3">
      <c r="A5998" t="s">
        <v>5</v>
      </c>
      <c r="B5998" s="1">
        <v>45907</v>
      </c>
      <c r="C5998">
        <v>22</v>
      </c>
      <c r="D5998">
        <v>0.49399999999999999</v>
      </c>
      <c r="E5998" t="s">
        <v>6</v>
      </c>
      <c r="F5998">
        <v>0.17172000000000001</v>
      </c>
    </row>
    <row r="5999" spans="1:6" x14ac:dyDescent="0.3">
      <c r="A5999" t="s">
        <v>5</v>
      </c>
      <c r="B5999" s="1">
        <v>45907</v>
      </c>
      <c r="C5999">
        <v>23</v>
      </c>
      <c r="D5999">
        <v>0.22700000000000001</v>
      </c>
      <c r="E5999" t="s">
        <v>6</v>
      </c>
      <c r="F5999">
        <v>0.16516999999999998</v>
      </c>
    </row>
    <row r="6000" spans="1:6" x14ac:dyDescent="0.3">
      <c r="A6000" t="s">
        <v>5</v>
      </c>
      <c r="B6000" s="1">
        <v>45907</v>
      </c>
      <c r="C6000">
        <v>24</v>
      </c>
      <c r="D6000">
        <v>0.159</v>
      </c>
      <c r="E6000" t="s">
        <v>6</v>
      </c>
      <c r="F6000">
        <v>0.15859999999999999</v>
      </c>
    </row>
    <row r="6001" spans="1:6" x14ac:dyDescent="0.3">
      <c r="A6001" t="s">
        <v>5</v>
      </c>
      <c r="B6001" s="1">
        <v>45908</v>
      </c>
      <c r="C6001">
        <v>1</v>
      </c>
      <c r="D6001">
        <v>0.16200000000000001</v>
      </c>
      <c r="E6001" t="s">
        <v>6</v>
      </c>
      <c r="F6001">
        <v>0.14030000000000001</v>
      </c>
    </row>
    <row r="6002" spans="1:6" x14ac:dyDescent="0.3">
      <c r="A6002" t="s">
        <v>5</v>
      </c>
      <c r="B6002" s="1">
        <v>45908</v>
      </c>
      <c r="C6002">
        <v>2</v>
      </c>
      <c r="D6002">
        <v>0.14899999999999999</v>
      </c>
      <c r="E6002" t="s">
        <v>6</v>
      </c>
      <c r="F6002">
        <v>0.13099</v>
      </c>
    </row>
    <row r="6003" spans="1:6" x14ac:dyDescent="0.3">
      <c r="A6003" t="s">
        <v>5</v>
      </c>
      <c r="B6003" s="1">
        <v>45908</v>
      </c>
      <c r="C6003">
        <v>3</v>
      </c>
      <c r="D6003">
        <v>0.13400000000000001</v>
      </c>
      <c r="E6003" t="s">
        <v>6</v>
      </c>
      <c r="F6003">
        <v>0.12847999999999998</v>
      </c>
    </row>
    <row r="6004" spans="1:6" x14ac:dyDescent="0.3">
      <c r="A6004" t="s">
        <v>5</v>
      </c>
      <c r="B6004" s="1">
        <v>45908</v>
      </c>
      <c r="C6004">
        <v>4</v>
      </c>
      <c r="D6004">
        <v>0.156</v>
      </c>
      <c r="E6004" t="s">
        <v>6</v>
      </c>
      <c r="F6004">
        <v>0.12293999999999999</v>
      </c>
    </row>
    <row r="6005" spans="1:6" x14ac:dyDescent="0.3">
      <c r="A6005" t="s">
        <v>5</v>
      </c>
      <c r="B6005" s="1">
        <v>45908</v>
      </c>
      <c r="C6005">
        <v>5</v>
      </c>
      <c r="D6005">
        <v>0.14000000000000001</v>
      </c>
      <c r="E6005" t="s">
        <v>6</v>
      </c>
      <c r="F6005">
        <v>0.11898</v>
      </c>
    </row>
    <row r="6006" spans="1:6" x14ac:dyDescent="0.3">
      <c r="A6006" t="s">
        <v>5</v>
      </c>
      <c r="B6006" s="1">
        <v>45908</v>
      </c>
      <c r="C6006">
        <v>6</v>
      </c>
      <c r="D6006">
        <v>0.13500000000000001</v>
      </c>
      <c r="E6006" t="s">
        <v>6</v>
      </c>
      <c r="F6006">
        <v>0.11923</v>
      </c>
    </row>
    <row r="6007" spans="1:6" x14ac:dyDescent="0.3">
      <c r="A6007" t="s">
        <v>5</v>
      </c>
      <c r="B6007" s="1">
        <v>45908</v>
      </c>
      <c r="C6007">
        <v>7</v>
      </c>
      <c r="D6007">
        <v>0.157</v>
      </c>
      <c r="E6007" t="s">
        <v>6</v>
      </c>
      <c r="F6007">
        <v>0.13084000000000001</v>
      </c>
    </row>
    <row r="6008" spans="1:6" x14ac:dyDescent="0.3">
      <c r="A6008" t="s">
        <v>5</v>
      </c>
      <c r="B6008" s="1">
        <v>45908</v>
      </c>
      <c r="C6008">
        <v>8</v>
      </c>
      <c r="D6008">
        <v>9.5000000000000001E-2</v>
      </c>
      <c r="E6008" t="s">
        <v>6</v>
      </c>
      <c r="F6008">
        <v>0.14199000000000001</v>
      </c>
    </row>
    <row r="6009" spans="1:6" x14ac:dyDescent="0.3">
      <c r="A6009" t="s">
        <v>5</v>
      </c>
      <c r="B6009" s="1">
        <v>45908</v>
      </c>
      <c r="C6009">
        <v>9</v>
      </c>
      <c r="D6009">
        <v>8.8999999999999996E-2</v>
      </c>
      <c r="E6009" t="s">
        <v>6</v>
      </c>
      <c r="F6009">
        <v>0.17518999999999998</v>
      </c>
    </row>
    <row r="6010" spans="1:6" x14ac:dyDescent="0.3">
      <c r="A6010" t="s">
        <v>5</v>
      </c>
      <c r="B6010" s="1">
        <v>45908</v>
      </c>
      <c r="C6010">
        <v>10</v>
      </c>
      <c r="D6010">
        <v>0.1</v>
      </c>
      <c r="E6010" t="s">
        <v>6</v>
      </c>
      <c r="F6010">
        <v>0.16358</v>
      </c>
    </row>
    <row r="6011" spans="1:6" x14ac:dyDescent="0.3">
      <c r="A6011" t="s">
        <v>5</v>
      </c>
      <c r="B6011" s="1">
        <v>45908</v>
      </c>
      <c r="C6011">
        <v>11</v>
      </c>
      <c r="D6011">
        <v>6.8000000000000005E-2</v>
      </c>
      <c r="E6011" t="s">
        <v>6</v>
      </c>
      <c r="F6011">
        <v>0.21528999999999998</v>
      </c>
    </row>
    <row r="6012" spans="1:6" x14ac:dyDescent="0.3">
      <c r="A6012" t="s">
        <v>5</v>
      </c>
      <c r="B6012" s="1">
        <v>45908</v>
      </c>
      <c r="C6012">
        <v>12</v>
      </c>
      <c r="D6012">
        <v>5.8999999999999997E-2</v>
      </c>
      <c r="E6012" t="s">
        <v>6</v>
      </c>
      <c r="F6012">
        <v>0.19100999999999999</v>
      </c>
    </row>
    <row r="6013" spans="1:6" x14ac:dyDescent="0.3">
      <c r="A6013" t="s">
        <v>5</v>
      </c>
      <c r="B6013" s="1">
        <v>45908</v>
      </c>
      <c r="C6013">
        <v>13</v>
      </c>
      <c r="D6013">
        <v>0.16</v>
      </c>
      <c r="E6013" t="s">
        <v>6</v>
      </c>
      <c r="F6013">
        <v>0.17951</v>
      </c>
    </row>
    <row r="6014" spans="1:6" x14ac:dyDescent="0.3">
      <c r="A6014" t="s">
        <v>5</v>
      </c>
      <c r="B6014" s="1">
        <v>45908</v>
      </c>
      <c r="C6014">
        <v>14</v>
      </c>
      <c r="D6014">
        <v>0.30599999999999999</v>
      </c>
      <c r="E6014" t="s">
        <v>6</v>
      </c>
      <c r="F6014">
        <v>0.16237000000000001</v>
      </c>
    </row>
    <row r="6015" spans="1:6" x14ac:dyDescent="0.3">
      <c r="A6015" t="s">
        <v>5</v>
      </c>
      <c r="B6015" s="1">
        <v>45908</v>
      </c>
      <c r="C6015">
        <v>15</v>
      </c>
      <c r="D6015">
        <v>0.25900000000000001</v>
      </c>
      <c r="E6015" t="s">
        <v>6</v>
      </c>
      <c r="F6015">
        <v>8.6019999999999999E-2</v>
      </c>
    </row>
    <row r="6016" spans="1:6" x14ac:dyDescent="0.3">
      <c r="A6016" t="s">
        <v>5</v>
      </c>
      <c r="B6016" s="1">
        <v>45908</v>
      </c>
      <c r="C6016">
        <v>16</v>
      </c>
      <c r="D6016">
        <v>0.191</v>
      </c>
      <c r="E6016" t="s">
        <v>6</v>
      </c>
      <c r="F6016">
        <v>8.5999999999999993E-2</v>
      </c>
    </row>
    <row r="6017" spans="1:6" x14ac:dyDescent="0.3">
      <c r="A6017" t="s">
        <v>5</v>
      </c>
      <c r="B6017" s="1">
        <v>45908</v>
      </c>
      <c r="C6017">
        <v>17</v>
      </c>
      <c r="D6017">
        <v>0.42299999999999999</v>
      </c>
      <c r="E6017" t="s">
        <v>6</v>
      </c>
      <c r="F6017">
        <v>8.6599999999999996E-2</v>
      </c>
    </row>
    <row r="6018" spans="1:6" x14ac:dyDescent="0.3">
      <c r="A6018" t="s">
        <v>5</v>
      </c>
      <c r="B6018" s="1">
        <v>45908</v>
      </c>
      <c r="C6018">
        <v>18</v>
      </c>
      <c r="D6018">
        <v>0.14399999999999999</v>
      </c>
      <c r="E6018" t="s">
        <v>6</v>
      </c>
      <c r="F6018">
        <v>0.10967</v>
      </c>
    </row>
    <row r="6019" spans="1:6" x14ac:dyDescent="0.3">
      <c r="A6019" t="s">
        <v>5</v>
      </c>
      <c r="B6019" s="1">
        <v>45908</v>
      </c>
      <c r="C6019">
        <v>19</v>
      </c>
      <c r="D6019">
        <v>9.8000000000000004E-2</v>
      </c>
      <c r="E6019" t="s">
        <v>6</v>
      </c>
      <c r="F6019">
        <v>0.20344999999999999</v>
      </c>
    </row>
    <row r="6020" spans="1:6" x14ac:dyDescent="0.3">
      <c r="A6020" t="s">
        <v>5</v>
      </c>
      <c r="B6020" s="1">
        <v>45908</v>
      </c>
      <c r="C6020">
        <v>20</v>
      </c>
      <c r="D6020">
        <v>0.29299999999999998</v>
      </c>
      <c r="E6020" t="s">
        <v>6</v>
      </c>
      <c r="F6020">
        <v>0.22038999999999997</v>
      </c>
    </row>
    <row r="6021" spans="1:6" x14ac:dyDescent="0.3">
      <c r="A6021" t="s">
        <v>5</v>
      </c>
      <c r="B6021" s="1">
        <v>45908</v>
      </c>
      <c r="C6021">
        <v>21</v>
      </c>
      <c r="D6021">
        <v>0.86799999999999999</v>
      </c>
      <c r="E6021" t="s">
        <v>6</v>
      </c>
      <c r="F6021">
        <v>0.22886000000000001</v>
      </c>
    </row>
    <row r="6022" spans="1:6" x14ac:dyDescent="0.3">
      <c r="A6022" t="s">
        <v>5</v>
      </c>
      <c r="B6022" s="1">
        <v>45908</v>
      </c>
      <c r="C6022">
        <v>22</v>
      </c>
      <c r="D6022">
        <v>0.32300000000000001</v>
      </c>
      <c r="E6022" t="s">
        <v>6</v>
      </c>
      <c r="F6022">
        <v>0.22274000000000002</v>
      </c>
    </row>
    <row r="6023" spans="1:6" x14ac:dyDescent="0.3">
      <c r="A6023" t="s">
        <v>5</v>
      </c>
      <c r="B6023" s="1">
        <v>45908</v>
      </c>
      <c r="C6023">
        <v>23</v>
      </c>
      <c r="D6023">
        <v>0.23799999999999999</v>
      </c>
      <c r="E6023" t="s">
        <v>6</v>
      </c>
      <c r="F6023">
        <v>0.15365999999999999</v>
      </c>
    </row>
    <row r="6024" spans="1:6" x14ac:dyDescent="0.3">
      <c r="A6024" t="s">
        <v>5</v>
      </c>
      <c r="B6024" s="1">
        <v>45908</v>
      </c>
      <c r="C6024">
        <v>24</v>
      </c>
      <c r="D6024">
        <v>0.191</v>
      </c>
      <c r="E6024" t="s">
        <v>6</v>
      </c>
      <c r="F6024">
        <v>0.13716999999999999</v>
      </c>
    </row>
    <row r="6025" spans="1:6" x14ac:dyDescent="0.3">
      <c r="A6025" t="s">
        <v>5</v>
      </c>
      <c r="B6025" s="1">
        <v>45909</v>
      </c>
      <c r="C6025">
        <v>1</v>
      </c>
      <c r="D6025">
        <v>0.14199999999999999</v>
      </c>
      <c r="E6025" t="s">
        <v>6</v>
      </c>
      <c r="F6025">
        <v>0.10676000000000001</v>
      </c>
    </row>
    <row r="6026" spans="1:6" x14ac:dyDescent="0.3">
      <c r="A6026" t="s">
        <v>5</v>
      </c>
      <c r="B6026" s="1">
        <v>45909</v>
      </c>
      <c r="C6026">
        <v>2</v>
      </c>
      <c r="D6026">
        <v>0.16</v>
      </c>
      <c r="E6026" t="s">
        <v>6</v>
      </c>
      <c r="F6026">
        <v>0.10728</v>
      </c>
    </row>
    <row r="6027" spans="1:6" x14ac:dyDescent="0.3">
      <c r="A6027" t="s">
        <v>5</v>
      </c>
      <c r="B6027" s="1">
        <v>45909</v>
      </c>
      <c r="C6027">
        <v>3</v>
      </c>
      <c r="D6027">
        <v>0.14199999999999999</v>
      </c>
      <c r="E6027" t="s">
        <v>6</v>
      </c>
      <c r="F6027">
        <v>0.10651999999999999</v>
      </c>
    </row>
    <row r="6028" spans="1:6" x14ac:dyDescent="0.3">
      <c r="A6028" t="s">
        <v>5</v>
      </c>
      <c r="B6028" s="1">
        <v>45909</v>
      </c>
      <c r="C6028">
        <v>4</v>
      </c>
      <c r="D6028">
        <v>0.13500000000000001</v>
      </c>
      <c r="E6028" t="s">
        <v>6</v>
      </c>
      <c r="F6028">
        <v>0.10371999999999999</v>
      </c>
    </row>
    <row r="6029" spans="1:6" x14ac:dyDescent="0.3">
      <c r="A6029" t="s">
        <v>5</v>
      </c>
      <c r="B6029" s="1">
        <v>45909</v>
      </c>
      <c r="C6029">
        <v>5</v>
      </c>
      <c r="D6029">
        <v>0.159</v>
      </c>
      <c r="E6029" t="s">
        <v>6</v>
      </c>
      <c r="F6029">
        <v>0.10418999999999999</v>
      </c>
    </row>
    <row r="6030" spans="1:6" x14ac:dyDescent="0.3">
      <c r="A6030" t="s">
        <v>5</v>
      </c>
      <c r="B6030" s="1">
        <v>45909</v>
      </c>
      <c r="C6030">
        <v>6</v>
      </c>
      <c r="D6030">
        <v>0.13800000000000001</v>
      </c>
      <c r="E6030" t="s">
        <v>6</v>
      </c>
      <c r="F6030">
        <v>0.11125</v>
      </c>
    </row>
    <row r="6031" spans="1:6" x14ac:dyDescent="0.3">
      <c r="A6031" t="s">
        <v>5</v>
      </c>
      <c r="B6031" s="1">
        <v>45909</v>
      </c>
      <c r="C6031">
        <v>7</v>
      </c>
      <c r="D6031">
        <v>0.13300000000000001</v>
      </c>
      <c r="E6031" t="s">
        <v>6</v>
      </c>
      <c r="F6031">
        <v>0.12723000000000001</v>
      </c>
    </row>
    <row r="6032" spans="1:6" x14ac:dyDescent="0.3">
      <c r="A6032" t="s">
        <v>5</v>
      </c>
      <c r="B6032" s="1">
        <v>45909</v>
      </c>
      <c r="C6032">
        <v>8</v>
      </c>
      <c r="D6032">
        <v>0.17599999999999999</v>
      </c>
      <c r="E6032" t="s">
        <v>6</v>
      </c>
      <c r="F6032">
        <v>0.14044000000000001</v>
      </c>
    </row>
    <row r="6033" spans="1:6" x14ac:dyDescent="0.3">
      <c r="A6033" t="s">
        <v>5</v>
      </c>
      <c r="B6033" s="1">
        <v>45909</v>
      </c>
      <c r="C6033">
        <v>9</v>
      </c>
      <c r="D6033">
        <v>0.14499999999999999</v>
      </c>
      <c r="E6033" t="s">
        <v>6</v>
      </c>
      <c r="F6033">
        <v>0.16394999999999998</v>
      </c>
    </row>
    <row r="6034" spans="1:6" x14ac:dyDescent="0.3">
      <c r="A6034" t="s">
        <v>5</v>
      </c>
      <c r="B6034" s="1">
        <v>45909</v>
      </c>
      <c r="C6034">
        <v>10</v>
      </c>
      <c r="D6034">
        <v>0.14799999999999999</v>
      </c>
      <c r="E6034" t="s">
        <v>6</v>
      </c>
      <c r="F6034">
        <v>0.14631</v>
      </c>
    </row>
    <row r="6035" spans="1:6" x14ac:dyDescent="0.3">
      <c r="A6035" t="s">
        <v>5</v>
      </c>
      <c r="B6035" s="1">
        <v>45909</v>
      </c>
      <c r="C6035">
        <v>11</v>
      </c>
      <c r="D6035">
        <v>0.185</v>
      </c>
      <c r="E6035" t="s">
        <v>6</v>
      </c>
      <c r="F6035">
        <v>0.18472999999999998</v>
      </c>
    </row>
    <row r="6036" spans="1:6" x14ac:dyDescent="0.3">
      <c r="A6036" t="s">
        <v>5</v>
      </c>
      <c r="B6036" s="1">
        <v>45909</v>
      </c>
      <c r="C6036">
        <v>12</v>
      </c>
      <c r="D6036">
        <v>0.17799999999999999</v>
      </c>
      <c r="E6036" t="s">
        <v>6</v>
      </c>
      <c r="F6036">
        <v>0.15930000000000002</v>
      </c>
    </row>
    <row r="6037" spans="1:6" x14ac:dyDescent="0.3">
      <c r="A6037" t="s">
        <v>5</v>
      </c>
      <c r="B6037" s="1">
        <v>45909</v>
      </c>
      <c r="C6037">
        <v>13</v>
      </c>
      <c r="D6037">
        <v>9.1999999999999998E-2</v>
      </c>
      <c r="E6037" t="s">
        <v>6</v>
      </c>
      <c r="F6037">
        <v>0.15433000000000002</v>
      </c>
    </row>
    <row r="6038" spans="1:6" x14ac:dyDescent="0.3">
      <c r="A6038" t="s">
        <v>5</v>
      </c>
      <c r="B6038" s="1">
        <v>45909</v>
      </c>
      <c r="C6038">
        <v>14</v>
      </c>
      <c r="D6038">
        <v>0.111</v>
      </c>
      <c r="E6038" t="s">
        <v>6</v>
      </c>
      <c r="F6038">
        <v>0.14435000000000001</v>
      </c>
    </row>
    <row r="6039" spans="1:6" x14ac:dyDescent="0.3">
      <c r="A6039" t="s">
        <v>5</v>
      </c>
      <c r="B6039" s="1">
        <v>45909</v>
      </c>
      <c r="C6039">
        <v>15</v>
      </c>
      <c r="D6039">
        <v>0.13500000000000001</v>
      </c>
      <c r="E6039" t="s">
        <v>6</v>
      </c>
      <c r="F6039">
        <v>7.8939999999999996E-2</v>
      </c>
    </row>
    <row r="6040" spans="1:6" x14ac:dyDescent="0.3">
      <c r="A6040" t="s">
        <v>5</v>
      </c>
      <c r="B6040" s="1">
        <v>45909</v>
      </c>
      <c r="C6040">
        <v>16</v>
      </c>
      <c r="D6040">
        <v>0.183</v>
      </c>
      <c r="E6040" t="s">
        <v>6</v>
      </c>
      <c r="F6040">
        <v>7.0499999999999993E-2</v>
      </c>
    </row>
    <row r="6041" spans="1:6" x14ac:dyDescent="0.3">
      <c r="A6041" t="s">
        <v>5</v>
      </c>
      <c r="B6041" s="1">
        <v>45909</v>
      </c>
      <c r="C6041">
        <v>17</v>
      </c>
      <c r="D6041">
        <v>0.16800000000000001</v>
      </c>
      <c r="E6041" t="s">
        <v>6</v>
      </c>
      <c r="F6041">
        <v>7.9129999999999992E-2</v>
      </c>
    </row>
    <row r="6042" spans="1:6" x14ac:dyDescent="0.3">
      <c r="A6042" t="s">
        <v>5</v>
      </c>
      <c r="B6042" s="1">
        <v>45909</v>
      </c>
      <c r="C6042">
        <v>18</v>
      </c>
      <c r="D6042">
        <v>7.3999999999999996E-2</v>
      </c>
      <c r="E6042" t="s">
        <v>6</v>
      </c>
      <c r="F6042">
        <v>9.5039999999999999E-2</v>
      </c>
    </row>
    <row r="6043" spans="1:6" x14ac:dyDescent="0.3">
      <c r="A6043" t="s">
        <v>5</v>
      </c>
      <c r="B6043" s="1">
        <v>45909</v>
      </c>
      <c r="C6043">
        <v>19</v>
      </c>
      <c r="D6043">
        <v>9.1999999999999998E-2</v>
      </c>
      <c r="E6043" t="s">
        <v>6</v>
      </c>
      <c r="F6043">
        <v>0.19019</v>
      </c>
    </row>
    <row r="6044" spans="1:6" x14ac:dyDescent="0.3">
      <c r="A6044" t="s">
        <v>5</v>
      </c>
      <c r="B6044" s="1">
        <v>45909</v>
      </c>
      <c r="C6044">
        <v>20</v>
      </c>
      <c r="D6044">
        <v>8.1000000000000003E-2</v>
      </c>
      <c r="E6044" t="s">
        <v>6</v>
      </c>
      <c r="F6044">
        <v>0.22408</v>
      </c>
    </row>
    <row r="6045" spans="1:6" x14ac:dyDescent="0.3">
      <c r="A6045" t="s">
        <v>5</v>
      </c>
      <c r="B6045" s="1">
        <v>45909</v>
      </c>
      <c r="C6045">
        <v>21</v>
      </c>
      <c r="D6045">
        <v>0.84199999999999997</v>
      </c>
      <c r="E6045" t="s">
        <v>6</v>
      </c>
      <c r="F6045">
        <v>0.24465999999999999</v>
      </c>
    </row>
    <row r="6046" spans="1:6" x14ac:dyDescent="0.3">
      <c r="A6046" t="s">
        <v>5</v>
      </c>
      <c r="B6046" s="1">
        <v>45909</v>
      </c>
      <c r="C6046">
        <v>22</v>
      </c>
      <c r="D6046">
        <v>0.34</v>
      </c>
      <c r="E6046" t="s">
        <v>6</v>
      </c>
      <c r="F6046">
        <v>0.25358000000000003</v>
      </c>
    </row>
    <row r="6047" spans="1:6" x14ac:dyDescent="0.3">
      <c r="A6047" t="s">
        <v>5</v>
      </c>
      <c r="B6047" s="1">
        <v>45909</v>
      </c>
      <c r="C6047">
        <v>23</v>
      </c>
      <c r="D6047">
        <v>0.49</v>
      </c>
      <c r="E6047" t="s">
        <v>6</v>
      </c>
      <c r="F6047">
        <v>0.17737</v>
      </c>
    </row>
    <row r="6048" spans="1:6" x14ac:dyDescent="0.3">
      <c r="A6048" t="s">
        <v>5</v>
      </c>
      <c r="B6048" s="1">
        <v>45909</v>
      </c>
      <c r="C6048">
        <v>24</v>
      </c>
      <c r="D6048">
        <v>0.39600000000000002</v>
      </c>
      <c r="E6048" t="s">
        <v>6</v>
      </c>
      <c r="F6048">
        <v>0.16525000000000001</v>
      </c>
    </row>
    <row r="6049" spans="1:6" x14ac:dyDescent="0.3">
      <c r="A6049" t="s">
        <v>5</v>
      </c>
      <c r="B6049" s="1">
        <v>45910</v>
      </c>
      <c r="C6049">
        <v>1</v>
      </c>
      <c r="D6049">
        <v>0.23</v>
      </c>
      <c r="E6049" t="s">
        <v>6</v>
      </c>
      <c r="F6049">
        <v>0.14269999999999999</v>
      </c>
    </row>
    <row r="6050" spans="1:6" x14ac:dyDescent="0.3">
      <c r="A6050" t="s">
        <v>5</v>
      </c>
      <c r="B6050" s="1">
        <v>45910</v>
      </c>
      <c r="C6050">
        <v>2</v>
      </c>
      <c r="D6050">
        <v>0.17299999999999999</v>
      </c>
      <c r="E6050" t="s">
        <v>6</v>
      </c>
      <c r="F6050">
        <v>0.13696</v>
      </c>
    </row>
    <row r="6051" spans="1:6" x14ac:dyDescent="0.3">
      <c r="A6051" t="s">
        <v>5</v>
      </c>
      <c r="B6051" s="1">
        <v>45910</v>
      </c>
      <c r="C6051">
        <v>3</v>
      </c>
      <c r="D6051">
        <v>0.17199999999999999</v>
      </c>
      <c r="E6051" t="s">
        <v>6</v>
      </c>
      <c r="F6051">
        <v>0.14208999999999999</v>
      </c>
    </row>
    <row r="6052" spans="1:6" x14ac:dyDescent="0.3">
      <c r="A6052" t="s">
        <v>5</v>
      </c>
      <c r="B6052" s="1">
        <v>45910</v>
      </c>
      <c r="C6052">
        <v>4</v>
      </c>
      <c r="D6052">
        <v>0.16200000000000001</v>
      </c>
      <c r="E6052" t="s">
        <v>6</v>
      </c>
      <c r="F6052">
        <v>0.13843</v>
      </c>
    </row>
    <row r="6053" spans="1:6" x14ac:dyDescent="0.3">
      <c r="A6053" t="s">
        <v>5</v>
      </c>
      <c r="B6053" s="1">
        <v>45910</v>
      </c>
      <c r="C6053">
        <v>5</v>
      </c>
      <c r="D6053">
        <v>0.14499999999999999</v>
      </c>
      <c r="E6053" t="s">
        <v>6</v>
      </c>
      <c r="F6053">
        <v>0.12665000000000001</v>
      </c>
    </row>
    <row r="6054" spans="1:6" x14ac:dyDescent="0.3">
      <c r="A6054" t="s">
        <v>5</v>
      </c>
      <c r="B6054" s="1">
        <v>45910</v>
      </c>
      <c r="C6054">
        <v>6</v>
      </c>
      <c r="D6054">
        <v>0.152</v>
      </c>
      <c r="E6054" t="s">
        <v>6</v>
      </c>
      <c r="F6054">
        <v>0.11635</v>
      </c>
    </row>
    <row r="6055" spans="1:6" x14ac:dyDescent="0.3">
      <c r="A6055" t="s">
        <v>5</v>
      </c>
      <c r="B6055" s="1">
        <v>45910</v>
      </c>
      <c r="C6055">
        <v>7</v>
      </c>
      <c r="D6055">
        <v>0.14899999999999999</v>
      </c>
      <c r="E6055" t="s">
        <v>6</v>
      </c>
      <c r="F6055">
        <v>0.13174</v>
      </c>
    </row>
    <row r="6056" spans="1:6" x14ac:dyDescent="0.3">
      <c r="A6056" t="s">
        <v>5</v>
      </c>
      <c r="B6056" s="1">
        <v>45910</v>
      </c>
      <c r="C6056">
        <v>8</v>
      </c>
      <c r="D6056">
        <v>9.2999999999999999E-2</v>
      </c>
      <c r="E6056" t="s">
        <v>6</v>
      </c>
      <c r="F6056">
        <v>0.13752</v>
      </c>
    </row>
    <row r="6057" spans="1:6" x14ac:dyDescent="0.3">
      <c r="A6057" t="s">
        <v>5</v>
      </c>
      <c r="B6057" s="1">
        <v>45910</v>
      </c>
      <c r="C6057">
        <v>9</v>
      </c>
      <c r="D6057">
        <v>8.6999999999999994E-2</v>
      </c>
      <c r="E6057" t="s">
        <v>6</v>
      </c>
      <c r="F6057">
        <v>0.15128999999999998</v>
      </c>
    </row>
    <row r="6058" spans="1:6" x14ac:dyDescent="0.3">
      <c r="A6058" t="s">
        <v>5</v>
      </c>
      <c r="B6058" s="1">
        <v>45910</v>
      </c>
      <c r="C6058">
        <v>10</v>
      </c>
      <c r="D6058">
        <v>0.11700000000000001</v>
      </c>
      <c r="E6058" t="s">
        <v>6</v>
      </c>
      <c r="F6058">
        <v>0.11840000000000001</v>
      </c>
    </row>
    <row r="6059" spans="1:6" x14ac:dyDescent="0.3">
      <c r="A6059" t="s">
        <v>5</v>
      </c>
      <c r="B6059" s="1">
        <v>45910</v>
      </c>
      <c r="C6059">
        <v>11</v>
      </c>
      <c r="D6059">
        <v>5.8000000000000003E-2</v>
      </c>
      <c r="E6059" t="s">
        <v>6</v>
      </c>
      <c r="F6059">
        <v>0.13975000000000001</v>
      </c>
    </row>
    <row r="6060" spans="1:6" x14ac:dyDescent="0.3">
      <c r="A6060" t="s">
        <v>5</v>
      </c>
      <c r="B6060" s="1">
        <v>45910</v>
      </c>
      <c r="C6060">
        <v>12</v>
      </c>
      <c r="D6060">
        <v>6.7000000000000004E-2</v>
      </c>
      <c r="E6060" t="s">
        <v>6</v>
      </c>
      <c r="F6060">
        <v>0.13269</v>
      </c>
    </row>
    <row r="6061" spans="1:6" x14ac:dyDescent="0.3">
      <c r="A6061" t="s">
        <v>5</v>
      </c>
      <c r="B6061" s="1">
        <v>45910</v>
      </c>
      <c r="C6061">
        <v>13</v>
      </c>
      <c r="D6061">
        <v>9.5000000000000001E-2</v>
      </c>
      <c r="E6061" t="s">
        <v>6</v>
      </c>
      <c r="F6061">
        <v>0.13266</v>
      </c>
    </row>
    <row r="6062" spans="1:6" x14ac:dyDescent="0.3">
      <c r="A6062" t="s">
        <v>5</v>
      </c>
      <c r="B6062" s="1">
        <v>45910</v>
      </c>
      <c r="C6062">
        <v>14</v>
      </c>
      <c r="D6062">
        <v>9.9000000000000005E-2</v>
      </c>
      <c r="E6062" t="s">
        <v>6</v>
      </c>
      <c r="F6062">
        <v>0.13003999999999999</v>
      </c>
    </row>
    <row r="6063" spans="1:6" x14ac:dyDescent="0.3">
      <c r="A6063" t="s">
        <v>5</v>
      </c>
      <c r="B6063" s="1">
        <v>45910</v>
      </c>
      <c r="C6063">
        <v>15</v>
      </c>
      <c r="D6063">
        <v>8.6999999999999994E-2</v>
      </c>
      <c r="E6063" t="s">
        <v>6</v>
      </c>
      <c r="F6063">
        <v>6.5120000000000011E-2</v>
      </c>
    </row>
    <row r="6064" spans="1:6" x14ac:dyDescent="0.3">
      <c r="A6064" t="s">
        <v>5</v>
      </c>
      <c r="B6064" s="1">
        <v>45910</v>
      </c>
      <c r="C6064">
        <v>16</v>
      </c>
      <c r="D6064">
        <v>0.08</v>
      </c>
      <c r="E6064" t="s">
        <v>6</v>
      </c>
      <c r="F6064">
        <v>6.5590000000000009E-2</v>
      </c>
    </row>
    <row r="6065" spans="1:6" x14ac:dyDescent="0.3">
      <c r="A6065" t="s">
        <v>5</v>
      </c>
      <c r="B6065" s="1">
        <v>45910</v>
      </c>
      <c r="C6065">
        <v>17</v>
      </c>
      <c r="D6065">
        <v>0.20200000000000001</v>
      </c>
      <c r="E6065" t="s">
        <v>6</v>
      </c>
      <c r="F6065">
        <v>6.5659999999999996E-2</v>
      </c>
    </row>
    <row r="6066" spans="1:6" x14ac:dyDescent="0.3">
      <c r="A6066" t="s">
        <v>5</v>
      </c>
      <c r="B6066" s="1">
        <v>45910</v>
      </c>
      <c r="C6066">
        <v>18</v>
      </c>
      <c r="D6066">
        <v>0.17899999999999999</v>
      </c>
      <c r="E6066" t="s">
        <v>6</v>
      </c>
      <c r="F6066">
        <v>7.084E-2</v>
      </c>
    </row>
    <row r="6067" spans="1:6" x14ac:dyDescent="0.3">
      <c r="A6067" t="s">
        <v>5</v>
      </c>
      <c r="B6067" s="1">
        <v>45910</v>
      </c>
      <c r="C6067">
        <v>19</v>
      </c>
      <c r="D6067">
        <v>0.4</v>
      </c>
      <c r="E6067" t="s">
        <v>6</v>
      </c>
      <c r="F6067">
        <v>0.15790000000000001</v>
      </c>
    </row>
    <row r="6068" spans="1:6" x14ac:dyDescent="0.3">
      <c r="A6068" t="s">
        <v>5</v>
      </c>
      <c r="B6068" s="1">
        <v>45910</v>
      </c>
      <c r="C6068">
        <v>20</v>
      </c>
      <c r="D6068">
        <v>0.112</v>
      </c>
      <c r="E6068" t="s">
        <v>6</v>
      </c>
      <c r="F6068">
        <v>0.20091999999999999</v>
      </c>
    </row>
    <row r="6069" spans="1:6" x14ac:dyDescent="0.3">
      <c r="A6069" t="s">
        <v>5</v>
      </c>
      <c r="B6069" s="1">
        <v>45910</v>
      </c>
      <c r="C6069">
        <v>21</v>
      </c>
      <c r="D6069">
        <v>0.11700000000000001</v>
      </c>
      <c r="E6069" t="s">
        <v>6</v>
      </c>
      <c r="F6069">
        <v>0.23821000000000001</v>
      </c>
    </row>
    <row r="6070" spans="1:6" x14ac:dyDescent="0.3">
      <c r="A6070" t="s">
        <v>5</v>
      </c>
      <c r="B6070" s="1">
        <v>45910</v>
      </c>
      <c r="C6070">
        <v>22</v>
      </c>
      <c r="D6070">
        <v>0.78900000000000003</v>
      </c>
      <c r="E6070" t="s">
        <v>6</v>
      </c>
      <c r="F6070">
        <v>0.24812000000000001</v>
      </c>
    </row>
    <row r="6071" spans="1:6" x14ac:dyDescent="0.3">
      <c r="A6071" t="s">
        <v>5</v>
      </c>
      <c r="B6071" s="1">
        <v>45910</v>
      </c>
      <c r="C6071">
        <v>23</v>
      </c>
      <c r="D6071">
        <v>0.40699999999999997</v>
      </c>
      <c r="E6071" t="s">
        <v>6</v>
      </c>
      <c r="F6071">
        <v>0.17510000000000001</v>
      </c>
    </row>
    <row r="6072" spans="1:6" x14ac:dyDescent="0.3">
      <c r="A6072" t="s">
        <v>5</v>
      </c>
      <c r="B6072" s="1">
        <v>45910</v>
      </c>
      <c r="C6072">
        <v>24</v>
      </c>
      <c r="D6072">
        <v>0.31900000000000001</v>
      </c>
      <c r="E6072" t="s">
        <v>6</v>
      </c>
      <c r="F6072">
        <v>0.16415000000000002</v>
      </c>
    </row>
    <row r="6073" spans="1:6" x14ac:dyDescent="0.3">
      <c r="A6073" t="s">
        <v>5</v>
      </c>
      <c r="B6073" s="1">
        <v>45911</v>
      </c>
      <c r="C6073">
        <v>1</v>
      </c>
      <c r="D6073">
        <v>0.151</v>
      </c>
      <c r="E6073" t="s">
        <v>6</v>
      </c>
      <c r="F6073">
        <v>0.13456000000000001</v>
      </c>
    </row>
    <row r="6074" spans="1:6" x14ac:dyDescent="0.3">
      <c r="A6074" t="s">
        <v>5</v>
      </c>
      <c r="B6074" s="1">
        <v>45911</v>
      </c>
      <c r="C6074">
        <v>2</v>
      </c>
      <c r="D6074">
        <v>8.3000000000000004E-2</v>
      </c>
      <c r="E6074" t="s">
        <v>6</v>
      </c>
      <c r="F6074">
        <v>0.12831999999999999</v>
      </c>
    </row>
    <row r="6075" spans="1:6" x14ac:dyDescent="0.3">
      <c r="A6075" t="s">
        <v>5</v>
      </c>
      <c r="B6075" s="1">
        <v>45911</v>
      </c>
      <c r="C6075">
        <v>3</v>
      </c>
      <c r="D6075">
        <v>7.6999999999999999E-2</v>
      </c>
      <c r="E6075" t="s">
        <v>6</v>
      </c>
      <c r="F6075">
        <v>0.11683</v>
      </c>
    </row>
    <row r="6076" spans="1:6" x14ac:dyDescent="0.3">
      <c r="A6076" t="s">
        <v>5</v>
      </c>
      <c r="B6076" s="1">
        <v>45911</v>
      </c>
      <c r="C6076">
        <v>4</v>
      </c>
      <c r="D6076">
        <v>8.5999999999999993E-2</v>
      </c>
      <c r="E6076" t="s">
        <v>6</v>
      </c>
      <c r="F6076">
        <v>0.11434999999999999</v>
      </c>
    </row>
    <row r="6077" spans="1:6" x14ac:dyDescent="0.3">
      <c r="A6077" t="s">
        <v>5</v>
      </c>
      <c r="B6077" s="1">
        <v>45911</v>
      </c>
      <c r="C6077">
        <v>5</v>
      </c>
      <c r="D6077">
        <v>7.1999999999999995E-2</v>
      </c>
      <c r="E6077" t="s">
        <v>6</v>
      </c>
      <c r="F6077">
        <v>0.11720999999999999</v>
      </c>
    </row>
    <row r="6078" spans="1:6" x14ac:dyDescent="0.3">
      <c r="A6078" t="s">
        <v>5</v>
      </c>
      <c r="B6078" s="1">
        <v>45911</v>
      </c>
      <c r="C6078">
        <v>6</v>
      </c>
      <c r="D6078">
        <v>6.2E-2</v>
      </c>
      <c r="E6078" t="s">
        <v>6</v>
      </c>
      <c r="F6078">
        <v>0.12112000000000001</v>
      </c>
    </row>
    <row r="6079" spans="1:6" x14ac:dyDescent="0.3">
      <c r="A6079" t="s">
        <v>5</v>
      </c>
      <c r="B6079" s="1">
        <v>45911</v>
      </c>
      <c r="C6079">
        <v>7</v>
      </c>
      <c r="D6079">
        <v>7.2999999999999995E-2</v>
      </c>
      <c r="E6079" t="s">
        <v>6</v>
      </c>
      <c r="F6079">
        <v>0.12803</v>
      </c>
    </row>
    <row r="6080" spans="1:6" x14ac:dyDescent="0.3">
      <c r="A6080" t="s">
        <v>5</v>
      </c>
      <c r="B6080" s="1">
        <v>45911</v>
      </c>
      <c r="C6080">
        <v>8</v>
      </c>
      <c r="D6080">
        <v>8.2000000000000003E-2</v>
      </c>
      <c r="E6080" t="s">
        <v>6</v>
      </c>
      <c r="F6080">
        <v>0.14455000000000001</v>
      </c>
    </row>
    <row r="6081" spans="1:6" x14ac:dyDescent="0.3">
      <c r="A6081" t="s">
        <v>5</v>
      </c>
      <c r="B6081" s="1">
        <v>45911</v>
      </c>
      <c r="C6081">
        <v>9</v>
      </c>
      <c r="D6081">
        <v>6.0999999999999999E-2</v>
      </c>
      <c r="E6081" t="s">
        <v>6</v>
      </c>
      <c r="F6081">
        <v>0.16059000000000001</v>
      </c>
    </row>
    <row r="6082" spans="1:6" x14ac:dyDescent="0.3">
      <c r="A6082" t="s">
        <v>5</v>
      </c>
      <c r="B6082" s="1">
        <v>45911</v>
      </c>
      <c r="C6082">
        <v>10</v>
      </c>
      <c r="D6082">
        <v>0.08</v>
      </c>
      <c r="E6082" t="s">
        <v>6</v>
      </c>
      <c r="F6082">
        <v>0.11427</v>
      </c>
    </row>
    <row r="6083" spans="1:6" x14ac:dyDescent="0.3">
      <c r="A6083" t="s">
        <v>5</v>
      </c>
      <c r="B6083" s="1">
        <v>45911</v>
      </c>
      <c r="C6083">
        <v>11</v>
      </c>
      <c r="D6083">
        <v>0.38900000000000001</v>
      </c>
      <c r="E6083" t="s">
        <v>6</v>
      </c>
      <c r="F6083">
        <v>0.12608</v>
      </c>
    </row>
    <row r="6084" spans="1:6" x14ac:dyDescent="0.3">
      <c r="A6084" t="s">
        <v>5</v>
      </c>
      <c r="B6084" s="1">
        <v>45911</v>
      </c>
      <c r="C6084">
        <v>12</v>
      </c>
      <c r="D6084">
        <v>0.51600000000000001</v>
      </c>
      <c r="E6084" t="s">
        <v>6</v>
      </c>
      <c r="F6084">
        <v>0.12618000000000001</v>
      </c>
    </row>
    <row r="6085" spans="1:6" x14ac:dyDescent="0.3">
      <c r="A6085" t="s">
        <v>5</v>
      </c>
      <c r="B6085" s="1">
        <v>45911</v>
      </c>
      <c r="C6085">
        <v>13</v>
      </c>
      <c r="D6085">
        <v>0.36099999999999999</v>
      </c>
      <c r="E6085" t="s">
        <v>6</v>
      </c>
      <c r="F6085">
        <v>0.12709999999999999</v>
      </c>
    </row>
    <row r="6086" spans="1:6" x14ac:dyDescent="0.3">
      <c r="A6086" t="s">
        <v>5</v>
      </c>
      <c r="B6086" s="1">
        <v>45911</v>
      </c>
      <c r="C6086">
        <v>14</v>
      </c>
      <c r="D6086">
        <v>0.16500000000000001</v>
      </c>
      <c r="E6086" t="s">
        <v>6</v>
      </c>
      <c r="F6086">
        <v>0.12415999999999999</v>
      </c>
    </row>
    <row r="6087" spans="1:6" x14ac:dyDescent="0.3">
      <c r="A6087" t="s">
        <v>5</v>
      </c>
      <c r="B6087" s="1">
        <v>45911</v>
      </c>
      <c r="C6087">
        <v>15</v>
      </c>
      <c r="D6087">
        <v>0.27800000000000002</v>
      </c>
      <c r="E6087" t="s">
        <v>6</v>
      </c>
      <c r="F6087">
        <v>5.901E-2</v>
      </c>
    </row>
    <row r="6088" spans="1:6" x14ac:dyDescent="0.3">
      <c r="A6088" t="s">
        <v>5</v>
      </c>
      <c r="B6088" s="1">
        <v>45911</v>
      </c>
      <c r="C6088">
        <v>16</v>
      </c>
      <c r="D6088">
        <v>0.39</v>
      </c>
      <c r="E6088" t="s">
        <v>6</v>
      </c>
      <c r="F6088">
        <v>5.9270000000000003E-2</v>
      </c>
    </row>
    <row r="6089" spans="1:6" x14ac:dyDescent="0.3">
      <c r="A6089" t="s">
        <v>5</v>
      </c>
      <c r="B6089" s="1">
        <v>45911</v>
      </c>
      <c r="C6089">
        <v>17</v>
      </c>
      <c r="D6089">
        <v>0.38200000000000001</v>
      </c>
      <c r="E6089" t="s">
        <v>6</v>
      </c>
      <c r="F6089">
        <v>6.1850000000000002E-2</v>
      </c>
    </row>
    <row r="6090" spans="1:6" x14ac:dyDescent="0.3">
      <c r="A6090" t="s">
        <v>5</v>
      </c>
      <c r="B6090" s="1">
        <v>45911</v>
      </c>
      <c r="C6090">
        <v>18</v>
      </c>
      <c r="D6090">
        <v>0.41099999999999998</v>
      </c>
      <c r="E6090" t="s">
        <v>6</v>
      </c>
      <c r="F6090">
        <v>6.1780000000000002E-2</v>
      </c>
    </row>
    <row r="6091" spans="1:6" x14ac:dyDescent="0.3">
      <c r="A6091" t="s">
        <v>5</v>
      </c>
      <c r="B6091" s="1">
        <v>45911</v>
      </c>
      <c r="C6091">
        <v>19</v>
      </c>
      <c r="D6091">
        <v>0.376</v>
      </c>
      <c r="E6091" t="s">
        <v>6</v>
      </c>
      <c r="F6091">
        <v>0.13954</v>
      </c>
    </row>
    <row r="6092" spans="1:6" x14ac:dyDescent="0.3">
      <c r="A6092" t="s">
        <v>5</v>
      </c>
      <c r="B6092" s="1">
        <v>45911</v>
      </c>
      <c r="C6092">
        <v>20</v>
      </c>
      <c r="D6092">
        <v>0.39300000000000002</v>
      </c>
      <c r="E6092" t="s">
        <v>6</v>
      </c>
      <c r="F6092">
        <v>0.22602</v>
      </c>
    </row>
    <row r="6093" spans="1:6" x14ac:dyDescent="0.3">
      <c r="A6093" t="s">
        <v>5</v>
      </c>
      <c r="B6093" s="1">
        <v>45911</v>
      </c>
      <c r="C6093">
        <v>21</v>
      </c>
      <c r="D6093">
        <v>0.57699999999999996</v>
      </c>
      <c r="E6093" t="s">
        <v>6</v>
      </c>
      <c r="F6093">
        <v>0.24450999999999998</v>
      </c>
    </row>
    <row r="6094" spans="1:6" x14ac:dyDescent="0.3">
      <c r="A6094" t="s">
        <v>5</v>
      </c>
      <c r="B6094" s="1">
        <v>45911</v>
      </c>
      <c r="C6094">
        <v>22</v>
      </c>
      <c r="D6094">
        <v>0.55900000000000005</v>
      </c>
      <c r="E6094" t="s">
        <v>6</v>
      </c>
      <c r="F6094">
        <v>0.28323999999999999</v>
      </c>
    </row>
    <row r="6095" spans="1:6" x14ac:dyDescent="0.3">
      <c r="A6095" t="s">
        <v>5</v>
      </c>
      <c r="B6095" s="1">
        <v>45911</v>
      </c>
      <c r="C6095">
        <v>23</v>
      </c>
      <c r="D6095">
        <v>0.48599999999999999</v>
      </c>
      <c r="E6095" t="s">
        <v>6</v>
      </c>
      <c r="F6095">
        <v>0.18753</v>
      </c>
    </row>
    <row r="6096" spans="1:6" x14ac:dyDescent="0.3">
      <c r="A6096" t="s">
        <v>5</v>
      </c>
      <c r="B6096" s="1">
        <v>45911</v>
      </c>
      <c r="C6096">
        <v>24</v>
      </c>
      <c r="D6096">
        <v>0.26400000000000001</v>
      </c>
      <c r="E6096" t="s">
        <v>6</v>
      </c>
      <c r="F6096">
        <v>0.17786000000000002</v>
      </c>
    </row>
    <row r="6097" spans="1:6" x14ac:dyDescent="0.3">
      <c r="A6097" t="s">
        <v>5</v>
      </c>
      <c r="B6097" s="1">
        <v>45912</v>
      </c>
      <c r="C6097">
        <v>1</v>
      </c>
      <c r="D6097">
        <v>0.48099999999999998</v>
      </c>
      <c r="E6097" t="s">
        <v>6</v>
      </c>
      <c r="F6097">
        <v>0.14460000000000001</v>
      </c>
    </row>
    <row r="6098" spans="1:6" x14ac:dyDescent="0.3">
      <c r="A6098" t="s">
        <v>5</v>
      </c>
      <c r="B6098" s="1">
        <v>45912</v>
      </c>
      <c r="C6098">
        <v>2</v>
      </c>
      <c r="D6098">
        <v>0.443</v>
      </c>
      <c r="E6098" t="s">
        <v>6</v>
      </c>
      <c r="F6098">
        <v>0.13381000000000001</v>
      </c>
    </row>
    <row r="6099" spans="1:6" x14ac:dyDescent="0.3">
      <c r="A6099" t="s">
        <v>5</v>
      </c>
      <c r="B6099" s="1">
        <v>45912</v>
      </c>
      <c r="C6099">
        <v>3</v>
      </c>
      <c r="D6099">
        <v>9.5000000000000001E-2</v>
      </c>
      <c r="E6099" t="s">
        <v>6</v>
      </c>
      <c r="F6099">
        <v>0.14227999999999999</v>
      </c>
    </row>
    <row r="6100" spans="1:6" x14ac:dyDescent="0.3">
      <c r="A6100" t="s">
        <v>5</v>
      </c>
      <c r="B6100" s="1">
        <v>45912</v>
      </c>
      <c r="C6100">
        <v>4</v>
      </c>
      <c r="D6100">
        <v>9.1999999999999998E-2</v>
      </c>
      <c r="E6100" t="s">
        <v>6</v>
      </c>
      <c r="F6100">
        <v>0.1389</v>
      </c>
    </row>
    <row r="6101" spans="1:6" x14ac:dyDescent="0.3">
      <c r="A6101" t="s">
        <v>5</v>
      </c>
      <c r="B6101" s="1">
        <v>45912</v>
      </c>
      <c r="C6101">
        <v>5</v>
      </c>
      <c r="D6101">
        <v>6.9000000000000006E-2</v>
      </c>
      <c r="E6101" t="s">
        <v>6</v>
      </c>
      <c r="F6101">
        <v>0.13883000000000001</v>
      </c>
    </row>
    <row r="6102" spans="1:6" x14ac:dyDescent="0.3">
      <c r="A6102" t="s">
        <v>5</v>
      </c>
      <c r="B6102" s="1">
        <v>45912</v>
      </c>
      <c r="C6102">
        <v>6</v>
      </c>
      <c r="D6102">
        <v>6.5000000000000002E-2</v>
      </c>
      <c r="E6102" t="s">
        <v>6</v>
      </c>
      <c r="F6102">
        <v>0.1406</v>
      </c>
    </row>
    <row r="6103" spans="1:6" x14ac:dyDescent="0.3">
      <c r="A6103" t="s">
        <v>5</v>
      </c>
      <c r="B6103" s="1">
        <v>45912</v>
      </c>
      <c r="C6103">
        <v>7</v>
      </c>
      <c r="D6103">
        <v>8.2000000000000003E-2</v>
      </c>
      <c r="E6103" t="s">
        <v>6</v>
      </c>
      <c r="F6103">
        <v>0.14463000000000001</v>
      </c>
    </row>
    <row r="6104" spans="1:6" x14ac:dyDescent="0.3">
      <c r="A6104" t="s">
        <v>5</v>
      </c>
      <c r="B6104" s="1">
        <v>45912</v>
      </c>
      <c r="C6104">
        <v>8</v>
      </c>
      <c r="D6104">
        <v>7.2999999999999995E-2</v>
      </c>
      <c r="E6104" t="s">
        <v>6</v>
      </c>
      <c r="F6104">
        <v>0.18452000000000002</v>
      </c>
    </row>
    <row r="6105" spans="1:6" x14ac:dyDescent="0.3">
      <c r="A6105" t="s">
        <v>5</v>
      </c>
      <c r="B6105" s="1">
        <v>45912</v>
      </c>
      <c r="C6105">
        <v>9</v>
      </c>
      <c r="D6105">
        <v>8.2000000000000003E-2</v>
      </c>
      <c r="E6105" t="s">
        <v>6</v>
      </c>
      <c r="F6105">
        <v>0.17912</v>
      </c>
    </row>
    <row r="6106" spans="1:6" x14ac:dyDescent="0.3">
      <c r="A6106" t="s">
        <v>5</v>
      </c>
      <c r="B6106" s="1">
        <v>45912</v>
      </c>
      <c r="C6106">
        <v>10</v>
      </c>
      <c r="D6106">
        <v>7.1999999999999995E-2</v>
      </c>
      <c r="E6106" t="s">
        <v>6</v>
      </c>
      <c r="F6106">
        <v>0.15243000000000001</v>
      </c>
    </row>
    <row r="6107" spans="1:6" x14ac:dyDescent="0.3">
      <c r="A6107" t="s">
        <v>5</v>
      </c>
      <c r="B6107" s="1">
        <v>45912</v>
      </c>
      <c r="C6107">
        <v>11</v>
      </c>
      <c r="D6107">
        <v>9.1999999999999998E-2</v>
      </c>
      <c r="E6107" t="s">
        <v>6</v>
      </c>
      <c r="F6107">
        <v>0.18465999999999999</v>
      </c>
    </row>
    <row r="6108" spans="1:6" x14ac:dyDescent="0.3">
      <c r="A6108" t="s">
        <v>5</v>
      </c>
      <c r="B6108" s="1">
        <v>45912</v>
      </c>
      <c r="C6108">
        <v>12</v>
      </c>
      <c r="D6108">
        <v>0.16300000000000001</v>
      </c>
      <c r="E6108" t="s">
        <v>6</v>
      </c>
      <c r="F6108">
        <v>0.13966999999999999</v>
      </c>
    </row>
    <row r="6109" spans="1:6" x14ac:dyDescent="0.3">
      <c r="A6109" t="s">
        <v>5</v>
      </c>
      <c r="B6109" s="1">
        <v>45912</v>
      </c>
      <c r="C6109">
        <v>13</v>
      </c>
      <c r="D6109">
        <v>0.88100000000000001</v>
      </c>
      <c r="E6109" t="s">
        <v>6</v>
      </c>
      <c r="F6109">
        <v>0.12343000000000001</v>
      </c>
    </row>
    <row r="6110" spans="1:6" x14ac:dyDescent="0.3">
      <c r="A6110" t="s">
        <v>5</v>
      </c>
      <c r="B6110" s="1">
        <v>45912</v>
      </c>
      <c r="C6110">
        <v>14</v>
      </c>
      <c r="D6110">
        <v>0.48</v>
      </c>
      <c r="E6110" t="s">
        <v>6</v>
      </c>
      <c r="F6110">
        <v>0.11593000000000001</v>
      </c>
    </row>
    <row r="6111" spans="1:6" x14ac:dyDescent="0.3">
      <c r="A6111" t="s">
        <v>5</v>
      </c>
      <c r="B6111" s="1">
        <v>45912</v>
      </c>
      <c r="C6111">
        <v>15</v>
      </c>
      <c r="D6111">
        <v>0.24299999999999999</v>
      </c>
      <c r="E6111" t="s">
        <v>6</v>
      </c>
      <c r="F6111">
        <v>4.9630000000000001E-2</v>
      </c>
    </row>
    <row r="6112" spans="1:6" x14ac:dyDescent="0.3">
      <c r="A6112" t="s">
        <v>5</v>
      </c>
      <c r="B6112" s="1">
        <v>45912</v>
      </c>
      <c r="C6112">
        <v>16</v>
      </c>
      <c r="D6112">
        <v>6.0999999999999999E-2</v>
      </c>
      <c r="E6112" t="s">
        <v>6</v>
      </c>
      <c r="F6112">
        <v>4.9189999999999998E-2</v>
      </c>
    </row>
    <row r="6113" spans="1:6" x14ac:dyDescent="0.3">
      <c r="A6113" t="s">
        <v>5</v>
      </c>
      <c r="B6113" s="1">
        <v>45912</v>
      </c>
      <c r="C6113">
        <v>17</v>
      </c>
      <c r="D6113">
        <v>6.5000000000000002E-2</v>
      </c>
      <c r="E6113" t="s">
        <v>6</v>
      </c>
      <c r="F6113">
        <v>5.3259999999999995E-2</v>
      </c>
    </row>
    <row r="6114" spans="1:6" x14ac:dyDescent="0.3">
      <c r="A6114" t="s">
        <v>5</v>
      </c>
      <c r="B6114" s="1">
        <v>45912</v>
      </c>
      <c r="C6114">
        <v>18</v>
      </c>
      <c r="D6114">
        <v>8.3000000000000004E-2</v>
      </c>
      <c r="E6114" t="s">
        <v>6</v>
      </c>
      <c r="F6114">
        <v>7.3520000000000002E-2</v>
      </c>
    </row>
    <row r="6115" spans="1:6" x14ac:dyDescent="0.3">
      <c r="A6115" t="s">
        <v>5</v>
      </c>
      <c r="B6115" s="1">
        <v>45912</v>
      </c>
      <c r="C6115">
        <v>19</v>
      </c>
      <c r="D6115">
        <v>6.7000000000000004E-2</v>
      </c>
      <c r="E6115" t="s">
        <v>6</v>
      </c>
      <c r="F6115">
        <v>0.17083999999999999</v>
      </c>
    </row>
    <row r="6116" spans="1:6" x14ac:dyDescent="0.3">
      <c r="A6116" t="s">
        <v>5</v>
      </c>
      <c r="B6116" s="1">
        <v>45912</v>
      </c>
      <c r="C6116">
        <v>20</v>
      </c>
      <c r="D6116">
        <v>0.06</v>
      </c>
      <c r="E6116" t="s">
        <v>6</v>
      </c>
      <c r="F6116">
        <v>0.24537</v>
      </c>
    </row>
    <row r="6117" spans="1:6" x14ac:dyDescent="0.3">
      <c r="A6117" t="s">
        <v>5</v>
      </c>
      <c r="B6117" s="1">
        <v>45912</v>
      </c>
      <c r="C6117">
        <v>21</v>
      </c>
      <c r="D6117">
        <v>7.3999999999999996E-2</v>
      </c>
      <c r="E6117" t="s">
        <v>6</v>
      </c>
      <c r="F6117">
        <v>0.25547999999999998</v>
      </c>
    </row>
    <row r="6118" spans="1:6" x14ac:dyDescent="0.3">
      <c r="A6118" t="s">
        <v>5</v>
      </c>
      <c r="B6118" s="1">
        <v>45912</v>
      </c>
      <c r="C6118">
        <v>22</v>
      </c>
      <c r="D6118">
        <v>7.4999999999999997E-2</v>
      </c>
      <c r="E6118" t="s">
        <v>6</v>
      </c>
      <c r="F6118">
        <v>0.27595999999999998</v>
      </c>
    </row>
    <row r="6119" spans="1:6" x14ac:dyDescent="0.3">
      <c r="A6119" t="s">
        <v>5</v>
      </c>
      <c r="B6119" s="1">
        <v>45912</v>
      </c>
      <c r="C6119">
        <v>23</v>
      </c>
      <c r="D6119">
        <v>0.125</v>
      </c>
      <c r="E6119" t="s">
        <v>6</v>
      </c>
      <c r="F6119">
        <v>0.16864999999999999</v>
      </c>
    </row>
    <row r="6120" spans="1:6" x14ac:dyDescent="0.3">
      <c r="A6120" t="s">
        <v>5</v>
      </c>
      <c r="B6120" s="1">
        <v>45912</v>
      </c>
      <c r="C6120">
        <v>24</v>
      </c>
      <c r="D6120">
        <v>0.121</v>
      </c>
      <c r="E6120" t="s">
        <v>6</v>
      </c>
      <c r="F6120">
        <v>0.16109999999999999</v>
      </c>
    </row>
    <row r="6121" spans="1:6" x14ac:dyDescent="0.3">
      <c r="A6121" t="s">
        <v>5</v>
      </c>
      <c r="B6121" s="1">
        <v>45913</v>
      </c>
      <c r="C6121">
        <v>1</v>
      </c>
      <c r="D6121">
        <v>6.6000000000000003E-2</v>
      </c>
      <c r="E6121" t="s">
        <v>6</v>
      </c>
      <c r="F6121">
        <v>0.14787</v>
      </c>
    </row>
    <row r="6122" spans="1:6" x14ac:dyDescent="0.3">
      <c r="A6122" t="s">
        <v>5</v>
      </c>
      <c r="B6122" s="1">
        <v>45913</v>
      </c>
      <c r="C6122">
        <v>2</v>
      </c>
      <c r="D6122">
        <v>6.5000000000000002E-2</v>
      </c>
      <c r="E6122" t="s">
        <v>6</v>
      </c>
      <c r="F6122">
        <v>0.14595</v>
      </c>
    </row>
    <row r="6123" spans="1:6" x14ac:dyDescent="0.3">
      <c r="A6123" t="s">
        <v>5</v>
      </c>
      <c r="B6123" s="1">
        <v>45913</v>
      </c>
      <c r="C6123">
        <v>3</v>
      </c>
      <c r="D6123">
        <v>8.4000000000000005E-2</v>
      </c>
      <c r="E6123" t="s">
        <v>6</v>
      </c>
      <c r="F6123">
        <v>0.15140999999999999</v>
      </c>
    </row>
    <row r="6124" spans="1:6" x14ac:dyDescent="0.3">
      <c r="A6124" t="s">
        <v>5</v>
      </c>
      <c r="B6124" s="1">
        <v>45913</v>
      </c>
      <c r="C6124">
        <v>4</v>
      </c>
      <c r="D6124">
        <v>5.8000000000000003E-2</v>
      </c>
      <c r="E6124" t="s">
        <v>6</v>
      </c>
      <c r="F6124">
        <v>0.14846000000000001</v>
      </c>
    </row>
    <row r="6125" spans="1:6" x14ac:dyDescent="0.3">
      <c r="A6125" t="s">
        <v>5</v>
      </c>
      <c r="B6125" s="1">
        <v>45913</v>
      </c>
      <c r="C6125">
        <v>5</v>
      </c>
      <c r="D6125">
        <v>6.5000000000000002E-2</v>
      </c>
      <c r="E6125" t="s">
        <v>6</v>
      </c>
      <c r="F6125">
        <v>0.14724000000000001</v>
      </c>
    </row>
    <row r="6126" spans="1:6" x14ac:dyDescent="0.3">
      <c r="A6126" t="s">
        <v>5</v>
      </c>
      <c r="B6126" s="1">
        <v>45913</v>
      </c>
      <c r="C6126">
        <v>6</v>
      </c>
      <c r="D6126">
        <v>7.9000000000000001E-2</v>
      </c>
      <c r="E6126" t="s">
        <v>6</v>
      </c>
      <c r="F6126">
        <v>0.14255999999999999</v>
      </c>
    </row>
    <row r="6127" spans="1:6" x14ac:dyDescent="0.3">
      <c r="A6127" t="s">
        <v>5</v>
      </c>
      <c r="B6127" s="1">
        <v>45913</v>
      </c>
      <c r="C6127">
        <v>7</v>
      </c>
      <c r="D6127">
        <v>5.7000000000000002E-2</v>
      </c>
      <c r="E6127" t="s">
        <v>6</v>
      </c>
      <c r="F6127">
        <v>0.14388000000000001</v>
      </c>
    </row>
    <row r="6128" spans="1:6" x14ac:dyDescent="0.3">
      <c r="A6128" t="s">
        <v>5</v>
      </c>
      <c r="B6128" s="1">
        <v>45913</v>
      </c>
      <c r="C6128">
        <v>8</v>
      </c>
      <c r="D6128">
        <v>6.8000000000000005E-2</v>
      </c>
      <c r="E6128" t="s">
        <v>6</v>
      </c>
      <c r="F6128">
        <v>0.14887999999999998</v>
      </c>
    </row>
    <row r="6129" spans="1:6" x14ac:dyDescent="0.3">
      <c r="A6129" t="s">
        <v>5</v>
      </c>
      <c r="B6129" s="1">
        <v>45913</v>
      </c>
      <c r="C6129">
        <v>9</v>
      </c>
      <c r="D6129">
        <v>7.4999999999999997E-2</v>
      </c>
      <c r="E6129" t="s">
        <v>6</v>
      </c>
      <c r="F6129">
        <v>0.14371</v>
      </c>
    </row>
    <row r="6130" spans="1:6" x14ac:dyDescent="0.3">
      <c r="A6130" t="s">
        <v>5</v>
      </c>
      <c r="B6130" s="1">
        <v>45913</v>
      </c>
      <c r="C6130">
        <v>10</v>
      </c>
      <c r="D6130">
        <v>5.6000000000000001E-2</v>
      </c>
      <c r="E6130" t="s">
        <v>6</v>
      </c>
      <c r="F6130">
        <v>0.11159999999999999</v>
      </c>
    </row>
    <row r="6131" spans="1:6" x14ac:dyDescent="0.3">
      <c r="A6131" t="s">
        <v>5</v>
      </c>
      <c r="B6131" s="1">
        <v>45913</v>
      </c>
      <c r="C6131">
        <v>11</v>
      </c>
      <c r="D6131">
        <v>7.1999999999999995E-2</v>
      </c>
      <c r="E6131" t="s">
        <v>6</v>
      </c>
      <c r="F6131">
        <v>4.8320000000000002E-2</v>
      </c>
    </row>
    <row r="6132" spans="1:6" x14ac:dyDescent="0.3">
      <c r="A6132" t="s">
        <v>5</v>
      </c>
      <c r="B6132" s="1">
        <v>45913</v>
      </c>
      <c r="C6132">
        <v>12</v>
      </c>
      <c r="D6132">
        <v>7.0999999999999994E-2</v>
      </c>
      <c r="E6132" t="s">
        <v>6</v>
      </c>
      <c r="F6132">
        <v>4.2020000000000002E-2</v>
      </c>
    </row>
    <row r="6133" spans="1:6" x14ac:dyDescent="0.3">
      <c r="A6133" t="s">
        <v>5</v>
      </c>
      <c r="B6133" s="1">
        <v>45913</v>
      </c>
      <c r="C6133">
        <v>13</v>
      </c>
      <c r="D6133">
        <v>5.7000000000000002E-2</v>
      </c>
      <c r="E6133" t="s">
        <v>6</v>
      </c>
      <c r="F6133">
        <v>3.9009999999999996E-2</v>
      </c>
    </row>
    <row r="6134" spans="1:6" x14ac:dyDescent="0.3">
      <c r="A6134" t="s">
        <v>5</v>
      </c>
      <c r="B6134" s="1">
        <v>45913</v>
      </c>
      <c r="C6134">
        <v>14</v>
      </c>
      <c r="D6134">
        <v>7.4999999999999997E-2</v>
      </c>
      <c r="E6134" t="s">
        <v>6</v>
      </c>
      <c r="F6134">
        <v>3.8840000000000006E-2</v>
      </c>
    </row>
    <row r="6135" spans="1:6" x14ac:dyDescent="0.3">
      <c r="A6135" t="s">
        <v>5</v>
      </c>
      <c r="B6135" s="1">
        <v>45913</v>
      </c>
      <c r="C6135">
        <v>15</v>
      </c>
      <c r="D6135">
        <v>6.7000000000000004E-2</v>
      </c>
      <c r="E6135" t="s">
        <v>6</v>
      </c>
      <c r="F6135">
        <v>3.8810000000000004E-2</v>
      </c>
    </row>
    <row r="6136" spans="1:6" x14ac:dyDescent="0.3">
      <c r="A6136" t="s">
        <v>5</v>
      </c>
      <c r="B6136" s="1">
        <v>45913</v>
      </c>
      <c r="C6136">
        <v>16</v>
      </c>
      <c r="D6136">
        <v>5.7000000000000002E-2</v>
      </c>
      <c r="E6136" t="s">
        <v>6</v>
      </c>
      <c r="F6136">
        <v>3.8850000000000003E-2</v>
      </c>
    </row>
    <row r="6137" spans="1:6" x14ac:dyDescent="0.3">
      <c r="A6137" t="s">
        <v>5</v>
      </c>
      <c r="B6137" s="1">
        <v>45913</v>
      </c>
      <c r="C6137">
        <v>17</v>
      </c>
      <c r="D6137">
        <v>7.9000000000000001E-2</v>
      </c>
      <c r="E6137" t="s">
        <v>6</v>
      </c>
      <c r="F6137">
        <v>3.9780000000000003E-2</v>
      </c>
    </row>
    <row r="6138" spans="1:6" x14ac:dyDescent="0.3">
      <c r="A6138" t="s">
        <v>5</v>
      </c>
      <c r="B6138" s="1">
        <v>45913</v>
      </c>
      <c r="C6138">
        <v>18</v>
      </c>
      <c r="D6138">
        <v>6.4000000000000001E-2</v>
      </c>
      <c r="E6138" t="s">
        <v>6</v>
      </c>
      <c r="F6138">
        <v>3.4729999999999997E-2</v>
      </c>
    </row>
    <row r="6139" spans="1:6" x14ac:dyDescent="0.3">
      <c r="A6139" t="s">
        <v>5</v>
      </c>
      <c r="B6139" s="1">
        <v>45913</v>
      </c>
      <c r="C6139">
        <v>19</v>
      </c>
      <c r="D6139">
        <v>5.7000000000000002E-2</v>
      </c>
      <c r="E6139" t="s">
        <v>6</v>
      </c>
      <c r="F6139">
        <v>4.8469999999999999E-2</v>
      </c>
    </row>
    <row r="6140" spans="1:6" x14ac:dyDescent="0.3">
      <c r="A6140" t="s">
        <v>5</v>
      </c>
      <c r="B6140" s="1">
        <v>45913</v>
      </c>
      <c r="C6140">
        <v>20</v>
      </c>
      <c r="D6140">
        <v>8.2000000000000003E-2</v>
      </c>
      <c r="E6140" t="s">
        <v>6</v>
      </c>
      <c r="F6140">
        <v>0.12720999999999999</v>
      </c>
    </row>
    <row r="6141" spans="1:6" x14ac:dyDescent="0.3">
      <c r="A6141" t="s">
        <v>5</v>
      </c>
      <c r="B6141" s="1">
        <v>45913</v>
      </c>
      <c r="C6141">
        <v>21</v>
      </c>
      <c r="D6141">
        <v>0.06</v>
      </c>
      <c r="E6141" t="s">
        <v>6</v>
      </c>
      <c r="F6141">
        <v>0.14099999999999999</v>
      </c>
    </row>
    <row r="6142" spans="1:6" x14ac:dyDescent="0.3">
      <c r="A6142" t="s">
        <v>5</v>
      </c>
      <c r="B6142" s="1">
        <v>45913</v>
      </c>
      <c r="C6142">
        <v>22</v>
      </c>
      <c r="D6142">
        <v>0.06</v>
      </c>
      <c r="E6142" t="s">
        <v>6</v>
      </c>
      <c r="F6142">
        <v>0.15015000000000001</v>
      </c>
    </row>
    <row r="6143" spans="1:6" x14ac:dyDescent="0.3">
      <c r="A6143" t="s">
        <v>5</v>
      </c>
      <c r="B6143" s="1">
        <v>45913</v>
      </c>
      <c r="C6143">
        <v>23</v>
      </c>
      <c r="D6143">
        <v>8.2000000000000003E-2</v>
      </c>
      <c r="E6143" t="s">
        <v>6</v>
      </c>
      <c r="F6143">
        <v>0.14405999999999999</v>
      </c>
    </row>
    <row r="6144" spans="1:6" x14ac:dyDescent="0.3">
      <c r="A6144" t="s">
        <v>5</v>
      </c>
      <c r="B6144" s="1">
        <v>45913</v>
      </c>
      <c r="C6144">
        <v>24</v>
      </c>
      <c r="D6144">
        <v>5.8000000000000003E-2</v>
      </c>
      <c r="E6144" t="s">
        <v>6</v>
      </c>
      <c r="F6144">
        <v>0.14127999999999999</v>
      </c>
    </row>
    <row r="6145" spans="1:6" x14ac:dyDescent="0.3">
      <c r="A6145" t="s">
        <v>5</v>
      </c>
      <c r="B6145" s="1">
        <v>45914</v>
      </c>
      <c r="C6145">
        <v>1</v>
      </c>
      <c r="D6145">
        <v>6.3E-2</v>
      </c>
      <c r="E6145" t="s">
        <v>6</v>
      </c>
      <c r="F6145">
        <v>0.13147999999999999</v>
      </c>
    </row>
    <row r="6146" spans="1:6" x14ac:dyDescent="0.3">
      <c r="A6146" t="s">
        <v>5</v>
      </c>
      <c r="B6146" s="1">
        <v>45914</v>
      </c>
      <c r="C6146">
        <v>2</v>
      </c>
      <c r="D6146">
        <v>0.08</v>
      </c>
      <c r="E6146" t="s">
        <v>6</v>
      </c>
      <c r="F6146">
        <v>0.12390999999999999</v>
      </c>
    </row>
    <row r="6147" spans="1:6" x14ac:dyDescent="0.3">
      <c r="A6147" t="s">
        <v>5</v>
      </c>
      <c r="B6147" s="1">
        <v>45914</v>
      </c>
      <c r="C6147">
        <v>3</v>
      </c>
      <c r="D6147">
        <v>5.6000000000000001E-2</v>
      </c>
      <c r="E6147" t="s">
        <v>6</v>
      </c>
      <c r="F6147">
        <v>0.12490999999999999</v>
      </c>
    </row>
    <row r="6148" spans="1:6" x14ac:dyDescent="0.3">
      <c r="A6148" t="s">
        <v>5</v>
      </c>
      <c r="B6148" s="1">
        <v>45914</v>
      </c>
      <c r="C6148">
        <v>4</v>
      </c>
      <c r="D6148">
        <v>6.7000000000000004E-2</v>
      </c>
      <c r="E6148" t="s">
        <v>6</v>
      </c>
      <c r="F6148">
        <v>0.12628</v>
      </c>
    </row>
    <row r="6149" spans="1:6" x14ac:dyDescent="0.3">
      <c r="A6149" t="s">
        <v>5</v>
      </c>
      <c r="B6149" s="1">
        <v>45914</v>
      </c>
      <c r="C6149">
        <v>5</v>
      </c>
      <c r="D6149">
        <v>7.5999999999999998E-2</v>
      </c>
      <c r="E6149" t="s">
        <v>6</v>
      </c>
      <c r="F6149">
        <v>0.12743000000000002</v>
      </c>
    </row>
    <row r="6150" spans="1:6" x14ac:dyDescent="0.3">
      <c r="A6150" t="s">
        <v>5</v>
      </c>
      <c r="B6150" s="1">
        <v>45914</v>
      </c>
      <c r="C6150">
        <v>6</v>
      </c>
      <c r="D6150">
        <v>5.6000000000000001E-2</v>
      </c>
      <c r="E6150" t="s">
        <v>6</v>
      </c>
      <c r="F6150">
        <v>0.13318000000000002</v>
      </c>
    </row>
    <row r="6151" spans="1:6" x14ac:dyDescent="0.3">
      <c r="A6151" t="s">
        <v>5</v>
      </c>
      <c r="B6151" s="1">
        <v>45914</v>
      </c>
      <c r="C6151">
        <v>7</v>
      </c>
      <c r="D6151">
        <v>6.9000000000000006E-2</v>
      </c>
      <c r="E6151" t="s">
        <v>6</v>
      </c>
      <c r="F6151">
        <v>0.13174</v>
      </c>
    </row>
    <row r="6152" spans="1:6" x14ac:dyDescent="0.3">
      <c r="A6152" t="s">
        <v>5</v>
      </c>
      <c r="B6152" s="1">
        <v>45914</v>
      </c>
      <c r="C6152">
        <v>8</v>
      </c>
      <c r="D6152">
        <v>7.2999999999999995E-2</v>
      </c>
      <c r="E6152" t="s">
        <v>6</v>
      </c>
      <c r="F6152">
        <v>0.14079</v>
      </c>
    </row>
    <row r="6153" spans="1:6" x14ac:dyDescent="0.3">
      <c r="A6153" t="s">
        <v>5</v>
      </c>
      <c r="B6153" s="1">
        <v>45914</v>
      </c>
      <c r="C6153">
        <v>9</v>
      </c>
      <c r="D6153">
        <v>5.6000000000000001E-2</v>
      </c>
      <c r="E6153" t="s">
        <v>6</v>
      </c>
      <c r="F6153">
        <v>0.13597000000000001</v>
      </c>
    </row>
    <row r="6154" spans="1:6" x14ac:dyDescent="0.3">
      <c r="A6154" t="s">
        <v>5</v>
      </c>
      <c r="B6154" s="1">
        <v>45914</v>
      </c>
      <c r="C6154">
        <v>10</v>
      </c>
      <c r="D6154">
        <v>7.2999999999999995E-2</v>
      </c>
      <c r="E6154" t="s">
        <v>6</v>
      </c>
      <c r="F6154">
        <v>8.1970000000000001E-2</v>
      </c>
    </row>
    <row r="6155" spans="1:6" x14ac:dyDescent="0.3">
      <c r="A6155" t="s">
        <v>5</v>
      </c>
      <c r="B6155" s="1">
        <v>45914</v>
      </c>
      <c r="C6155">
        <v>11</v>
      </c>
      <c r="D6155">
        <v>6.8000000000000005E-2</v>
      </c>
      <c r="E6155" t="s">
        <v>6</v>
      </c>
      <c r="F6155">
        <v>5.0979999999999998E-2</v>
      </c>
    </row>
    <row r="6156" spans="1:6" x14ac:dyDescent="0.3">
      <c r="A6156" t="s">
        <v>5</v>
      </c>
      <c r="B6156" s="1">
        <v>45914</v>
      </c>
      <c r="C6156">
        <v>12</v>
      </c>
      <c r="D6156">
        <v>5.5E-2</v>
      </c>
      <c r="E6156" t="s">
        <v>6</v>
      </c>
      <c r="F6156">
        <v>5.151E-2</v>
      </c>
    </row>
    <row r="6157" spans="1:6" x14ac:dyDescent="0.3">
      <c r="A6157" t="s">
        <v>5</v>
      </c>
      <c r="B6157" s="1">
        <v>45914</v>
      </c>
      <c r="C6157">
        <v>13</v>
      </c>
      <c r="D6157">
        <v>7.8E-2</v>
      </c>
      <c r="E6157" t="s">
        <v>6</v>
      </c>
      <c r="F6157">
        <v>5.1060000000000001E-2</v>
      </c>
    </row>
    <row r="6158" spans="1:6" x14ac:dyDescent="0.3">
      <c r="A6158" t="s">
        <v>5</v>
      </c>
      <c r="B6158" s="1">
        <v>45914</v>
      </c>
      <c r="C6158">
        <v>14</v>
      </c>
      <c r="D6158">
        <v>6.3E-2</v>
      </c>
      <c r="E6158" t="s">
        <v>6</v>
      </c>
      <c r="F6158">
        <v>4.9880000000000001E-2</v>
      </c>
    </row>
    <row r="6159" spans="1:6" x14ac:dyDescent="0.3">
      <c r="A6159" t="s">
        <v>5</v>
      </c>
      <c r="B6159" s="1">
        <v>45914</v>
      </c>
      <c r="C6159">
        <v>15</v>
      </c>
      <c r="D6159">
        <v>5.7000000000000002E-2</v>
      </c>
      <c r="E6159" t="s">
        <v>6</v>
      </c>
      <c r="F6159">
        <v>4.9790000000000001E-2</v>
      </c>
    </row>
    <row r="6160" spans="1:6" x14ac:dyDescent="0.3">
      <c r="A6160" t="s">
        <v>5</v>
      </c>
      <c r="B6160" s="1">
        <v>45914</v>
      </c>
      <c r="C6160">
        <v>16</v>
      </c>
      <c r="D6160">
        <v>8.1000000000000003E-2</v>
      </c>
      <c r="E6160" t="s">
        <v>6</v>
      </c>
      <c r="F6160">
        <v>5.0189999999999999E-2</v>
      </c>
    </row>
    <row r="6161" spans="1:6" x14ac:dyDescent="0.3">
      <c r="A6161" t="s">
        <v>5</v>
      </c>
      <c r="B6161" s="1">
        <v>45914</v>
      </c>
      <c r="C6161">
        <v>17</v>
      </c>
      <c r="D6161">
        <v>5.8000000000000003E-2</v>
      </c>
      <c r="E6161" t="s">
        <v>6</v>
      </c>
      <c r="F6161">
        <v>5.1060000000000001E-2</v>
      </c>
    </row>
    <row r="6162" spans="1:6" x14ac:dyDescent="0.3">
      <c r="A6162" t="s">
        <v>5</v>
      </c>
      <c r="B6162" s="1">
        <v>45914</v>
      </c>
      <c r="C6162">
        <v>18</v>
      </c>
      <c r="D6162">
        <v>7.6999999999999999E-2</v>
      </c>
      <c r="E6162" t="s">
        <v>6</v>
      </c>
      <c r="F6162">
        <v>5.2159999999999998E-2</v>
      </c>
    </row>
    <row r="6163" spans="1:6" x14ac:dyDescent="0.3">
      <c r="A6163" t="s">
        <v>5</v>
      </c>
      <c r="B6163" s="1">
        <v>45914</v>
      </c>
      <c r="C6163">
        <v>19</v>
      </c>
      <c r="D6163">
        <v>9.2999999999999999E-2</v>
      </c>
      <c r="E6163" t="s">
        <v>6</v>
      </c>
      <c r="F6163">
        <v>5.8599999999999999E-2</v>
      </c>
    </row>
    <row r="6164" spans="1:6" x14ac:dyDescent="0.3">
      <c r="A6164" t="s">
        <v>5</v>
      </c>
      <c r="B6164" s="1">
        <v>45914</v>
      </c>
      <c r="C6164">
        <v>20</v>
      </c>
      <c r="D6164">
        <v>0.13100000000000001</v>
      </c>
      <c r="E6164" t="s">
        <v>6</v>
      </c>
      <c r="F6164">
        <v>0.14341000000000001</v>
      </c>
    </row>
    <row r="6165" spans="1:6" x14ac:dyDescent="0.3">
      <c r="A6165" t="s">
        <v>5</v>
      </c>
      <c r="B6165" s="1">
        <v>45914</v>
      </c>
      <c r="C6165">
        <v>21</v>
      </c>
      <c r="D6165">
        <v>0.21299999999999999</v>
      </c>
      <c r="E6165" t="s">
        <v>6</v>
      </c>
      <c r="F6165">
        <v>0.15312000000000001</v>
      </c>
    </row>
    <row r="6166" spans="1:6" x14ac:dyDescent="0.3">
      <c r="A6166" t="s">
        <v>5</v>
      </c>
      <c r="B6166" s="1">
        <v>45914</v>
      </c>
      <c r="C6166">
        <v>22</v>
      </c>
      <c r="D6166">
        <v>0.35699999999999998</v>
      </c>
      <c r="E6166" t="s">
        <v>6</v>
      </c>
      <c r="F6166">
        <v>0.17865999999999999</v>
      </c>
    </row>
    <row r="6167" spans="1:6" x14ac:dyDescent="0.3">
      <c r="A6167" t="s">
        <v>5</v>
      </c>
      <c r="B6167" s="1">
        <v>45914</v>
      </c>
      <c r="C6167">
        <v>23</v>
      </c>
      <c r="D6167">
        <v>0.248</v>
      </c>
      <c r="E6167" t="s">
        <v>6</v>
      </c>
      <c r="F6167">
        <v>0.15678999999999998</v>
      </c>
    </row>
    <row r="6168" spans="1:6" x14ac:dyDescent="0.3">
      <c r="A6168" t="s">
        <v>5</v>
      </c>
      <c r="B6168" s="1">
        <v>45914</v>
      </c>
      <c r="C6168">
        <v>24</v>
      </c>
      <c r="D6168">
        <v>0.24099999999999999</v>
      </c>
      <c r="E6168" t="s">
        <v>6</v>
      </c>
      <c r="F6168">
        <v>0.15081</v>
      </c>
    </row>
    <row r="6169" spans="1:6" x14ac:dyDescent="0.3">
      <c r="A6169" t="s">
        <v>5</v>
      </c>
      <c r="B6169" s="1">
        <v>45915</v>
      </c>
      <c r="C6169">
        <v>1</v>
      </c>
      <c r="D6169">
        <v>0.22600000000000001</v>
      </c>
      <c r="E6169" t="s">
        <v>6</v>
      </c>
      <c r="F6169">
        <v>0.14363999999999999</v>
      </c>
    </row>
    <row r="6170" spans="1:6" x14ac:dyDescent="0.3">
      <c r="A6170" t="s">
        <v>5</v>
      </c>
      <c r="B6170" s="1">
        <v>45915</v>
      </c>
      <c r="C6170">
        <v>2</v>
      </c>
      <c r="D6170">
        <v>0.16200000000000001</v>
      </c>
      <c r="E6170" t="s">
        <v>6</v>
      </c>
      <c r="F6170">
        <v>0.14271999999999999</v>
      </c>
    </row>
    <row r="6171" spans="1:6" x14ac:dyDescent="0.3">
      <c r="A6171" t="s">
        <v>5</v>
      </c>
      <c r="B6171" s="1">
        <v>45915</v>
      </c>
      <c r="C6171">
        <v>3</v>
      </c>
      <c r="D6171">
        <v>0.16</v>
      </c>
      <c r="E6171" t="s">
        <v>6</v>
      </c>
      <c r="F6171">
        <v>0.13857</v>
      </c>
    </row>
    <row r="6172" spans="1:6" x14ac:dyDescent="0.3">
      <c r="A6172" t="s">
        <v>5</v>
      </c>
      <c r="B6172" s="1">
        <v>45915</v>
      </c>
      <c r="C6172">
        <v>4</v>
      </c>
      <c r="D6172">
        <v>0.13800000000000001</v>
      </c>
      <c r="E6172" t="s">
        <v>6</v>
      </c>
      <c r="F6172">
        <v>0.13605</v>
      </c>
    </row>
    <row r="6173" spans="1:6" x14ac:dyDescent="0.3">
      <c r="A6173" t="s">
        <v>5</v>
      </c>
      <c r="B6173" s="1">
        <v>45915</v>
      </c>
      <c r="C6173">
        <v>5</v>
      </c>
      <c r="D6173">
        <v>0.14199999999999999</v>
      </c>
      <c r="E6173" t="s">
        <v>6</v>
      </c>
      <c r="F6173">
        <v>0.13525000000000001</v>
      </c>
    </row>
    <row r="6174" spans="1:6" x14ac:dyDescent="0.3">
      <c r="A6174" t="s">
        <v>5</v>
      </c>
      <c r="B6174" s="1">
        <v>45915</v>
      </c>
      <c r="C6174">
        <v>6</v>
      </c>
      <c r="D6174">
        <v>0.158</v>
      </c>
      <c r="E6174" t="s">
        <v>6</v>
      </c>
      <c r="F6174">
        <v>0.14054</v>
      </c>
    </row>
    <row r="6175" spans="1:6" x14ac:dyDescent="0.3">
      <c r="A6175" t="s">
        <v>5</v>
      </c>
      <c r="B6175" s="1">
        <v>45915</v>
      </c>
      <c r="C6175">
        <v>7</v>
      </c>
      <c r="D6175">
        <v>0.13400000000000001</v>
      </c>
      <c r="E6175" t="s">
        <v>6</v>
      </c>
      <c r="F6175">
        <v>0.14646000000000001</v>
      </c>
    </row>
    <row r="6176" spans="1:6" x14ac:dyDescent="0.3">
      <c r="A6176" t="s">
        <v>5</v>
      </c>
      <c r="B6176" s="1">
        <v>45915</v>
      </c>
      <c r="C6176">
        <v>8</v>
      </c>
      <c r="D6176">
        <v>0.111</v>
      </c>
      <c r="E6176" t="s">
        <v>6</v>
      </c>
      <c r="F6176">
        <v>0.16372999999999999</v>
      </c>
    </row>
    <row r="6177" spans="1:6" x14ac:dyDescent="0.3">
      <c r="A6177" t="s">
        <v>5</v>
      </c>
      <c r="B6177" s="1">
        <v>45915</v>
      </c>
      <c r="C6177">
        <v>9</v>
      </c>
      <c r="D6177">
        <v>0.09</v>
      </c>
      <c r="E6177" t="s">
        <v>6</v>
      </c>
      <c r="F6177">
        <v>0.19222999999999998</v>
      </c>
    </row>
    <row r="6178" spans="1:6" x14ac:dyDescent="0.3">
      <c r="A6178" t="s">
        <v>5</v>
      </c>
      <c r="B6178" s="1">
        <v>45915</v>
      </c>
      <c r="C6178">
        <v>10</v>
      </c>
      <c r="D6178">
        <v>8.7999999999999995E-2</v>
      </c>
      <c r="E6178" t="s">
        <v>6</v>
      </c>
      <c r="F6178">
        <v>0.14942</v>
      </c>
    </row>
    <row r="6179" spans="1:6" x14ac:dyDescent="0.3">
      <c r="A6179" t="s">
        <v>5</v>
      </c>
      <c r="B6179" s="1">
        <v>45915</v>
      </c>
      <c r="C6179">
        <v>11</v>
      </c>
      <c r="D6179">
        <v>5.6000000000000001E-2</v>
      </c>
      <c r="E6179" t="s">
        <v>6</v>
      </c>
      <c r="F6179">
        <v>0.16175999999999999</v>
      </c>
    </row>
    <row r="6180" spans="1:6" x14ac:dyDescent="0.3">
      <c r="A6180" t="s">
        <v>5</v>
      </c>
      <c r="B6180" s="1">
        <v>45915</v>
      </c>
      <c r="C6180">
        <v>12</v>
      </c>
      <c r="D6180">
        <v>1.1240000000000001</v>
      </c>
      <c r="E6180" t="s">
        <v>6</v>
      </c>
      <c r="F6180">
        <v>0.13021000000000002</v>
      </c>
    </row>
    <row r="6181" spans="1:6" x14ac:dyDescent="0.3">
      <c r="A6181" t="s">
        <v>5</v>
      </c>
      <c r="B6181" s="1">
        <v>45915</v>
      </c>
      <c r="C6181">
        <v>13</v>
      </c>
      <c r="D6181">
        <v>0.85899999999999999</v>
      </c>
      <c r="E6181" t="s">
        <v>6</v>
      </c>
      <c r="F6181">
        <v>0.13075000000000001</v>
      </c>
    </row>
    <row r="6182" spans="1:6" x14ac:dyDescent="0.3">
      <c r="A6182" t="s">
        <v>5</v>
      </c>
      <c r="B6182" s="1">
        <v>45915</v>
      </c>
      <c r="C6182">
        <v>14</v>
      </c>
      <c r="D6182">
        <v>0.76800000000000002</v>
      </c>
      <c r="E6182" t="s">
        <v>6</v>
      </c>
      <c r="F6182">
        <v>0.12395999999999999</v>
      </c>
    </row>
    <row r="6183" spans="1:6" x14ac:dyDescent="0.3">
      <c r="A6183" t="s">
        <v>5</v>
      </c>
      <c r="B6183" s="1">
        <v>45915</v>
      </c>
      <c r="C6183">
        <v>15</v>
      </c>
      <c r="D6183">
        <v>1.3720000000000001</v>
      </c>
      <c r="E6183" t="s">
        <v>6</v>
      </c>
      <c r="F6183">
        <v>5.6090000000000001E-2</v>
      </c>
    </row>
    <row r="6184" spans="1:6" x14ac:dyDescent="0.3">
      <c r="A6184" t="s">
        <v>5</v>
      </c>
      <c r="B6184" s="1">
        <v>45915</v>
      </c>
      <c r="C6184">
        <v>16</v>
      </c>
      <c r="D6184">
        <v>0.42399999999999999</v>
      </c>
      <c r="E6184" t="s">
        <v>6</v>
      </c>
      <c r="F6184">
        <v>5.774E-2</v>
      </c>
    </row>
    <row r="6185" spans="1:6" x14ac:dyDescent="0.3">
      <c r="A6185" t="s">
        <v>5</v>
      </c>
      <c r="B6185" s="1">
        <v>45915</v>
      </c>
      <c r="C6185">
        <v>17</v>
      </c>
      <c r="D6185">
        <v>0.97299999999999998</v>
      </c>
      <c r="E6185" t="s">
        <v>6</v>
      </c>
      <c r="F6185">
        <v>5.9630000000000002E-2</v>
      </c>
    </row>
    <row r="6186" spans="1:6" x14ac:dyDescent="0.3">
      <c r="A6186" t="s">
        <v>5</v>
      </c>
      <c r="B6186" s="1">
        <v>45915</v>
      </c>
      <c r="C6186">
        <v>18</v>
      </c>
      <c r="D6186">
        <v>0.39200000000000002</v>
      </c>
      <c r="E6186" t="s">
        <v>6</v>
      </c>
      <c r="F6186">
        <v>7.3880000000000001E-2</v>
      </c>
    </row>
    <row r="6187" spans="1:6" x14ac:dyDescent="0.3">
      <c r="A6187" t="s">
        <v>5</v>
      </c>
      <c r="B6187" s="1">
        <v>45915</v>
      </c>
      <c r="C6187">
        <v>19</v>
      </c>
      <c r="D6187">
        <v>0.16700000000000001</v>
      </c>
      <c r="E6187" t="s">
        <v>6</v>
      </c>
      <c r="F6187">
        <v>0.17254</v>
      </c>
    </row>
    <row r="6188" spans="1:6" x14ac:dyDescent="0.3">
      <c r="A6188" t="s">
        <v>5</v>
      </c>
      <c r="B6188" s="1">
        <v>45915</v>
      </c>
      <c r="C6188">
        <v>20</v>
      </c>
      <c r="D6188">
        <v>0.34300000000000003</v>
      </c>
      <c r="E6188" t="s">
        <v>6</v>
      </c>
      <c r="F6188">
        <v>0.22587000000000002</v>
      </c>
    </row>
    <row r="6189" spans="1:6" x14ac:dyDescent="0.3">
      <c r="A6189" t="s">
        <v>5</v>
      </c>
      <c r="B6189" s="1">
        <v>45915</v>
      </c>
      <c r="C6189">
        <v>21</v>
      </c>
      <c r="D6189">
        <v>1.395</v>
      </c>
      <c r="E6189" t="s">
        <v>6</v>
      </c>
      <c r="F6189">
        <v>0.24542</v>
      </c>
    </row>
    <row r="6190" spans="1:6" x14ac:dyDescent="0.3">
      <c r="A6190" t="s">
        <v>5</v>
      </c>
      <c r="B6190" s="1">
        <v>45915</v>
      </c>
      <c r="C6190">
        <v>22</v>
      </c>
      <c r="D6190">
        <v>1.5089999999999999</v>
      </c>
      <c r="E6190" t="s">
        <v>6</v>
      </c>
      <c r="F6190">
        <v>0.24789</v>
      </c>
    </row>
    <row r="6191" spans="1:6" x14ac:dyDescent="0.3">
      <c r="A6191" t="s">
        <v>5</v>
      </c>
      <c r="B6191" s="1">
        <v>45915</v>
      </c>
      <c r="C6191">
        <v>23</v>
      </c>
      <c r="D6191">
        <v>1.03</v>
      </c>
      <c r="E6191" t="s">
        <v>6</v>
      </c>
      <c r="F6191">
        <v>0.17127000000000001</v>
      </c>
    </row>
    <row r="6192" spans="1:6" x14ac:dyDescent="0.3">
      <c r="A6192" t="s">
        <v>5</v>
      </c>
      <c r="B6192" s="1">
        <v>45915</v>
      </c>
      <c r="C6192">
        <v>24</v>
      </c>
      <c r="D6192">
        <v>0.49099999999999999</v>
      </c>
      <c r="E6192" t="s">
        <v>6</v>
      </c>
      <c r="F6192">
        <v>0.16097</v>
      </c>
    </row>
    <row r="6193" spans="1:6" x14ac:dyDescent="0.3">
      <c r="A6193" t="s">
        <v>5</v>
      </c>
      <c r="B6193" s="1">
        <v>45916</v>
      </c>
      <c r="C6193">
        <v>1</v>
      </c>
      <c r="D6193">
        <v>0.51900000000000002</v>
      </c>
      <c r="E6193" t="s">
        <v>6</v>
      </c>
      <c r="F6193">
        <v>0.12006</v>
      </c>
    </row>
    <row r="6194" spans="1:6" x14ac:dyDescent="0.3">
      <c r="A6194" t="s">
        <v>5</v>
      </c>
      <c r="B6194" s="1">
        <v>45916</v>
      </c>
      <c r="C6194">
        <v>2</v>
      </c>
      <c r="D6194">
        <v>0.25</v>
      </c>
      <c r="E6194" t="s">
        <v>6</v>
      </c>
      <c r="F6194">
        <v>0.11905</v>
      </c>
    </row>
    <row r="6195" spans="1:6" x14ac:dyDescent="0.3">
      <c r="A6195" t="s">
        <v>5</v>
      </c>
      <c r="B6195" s="1">
        <v>45916</v>
      </c>
      <c r="C6195">
        <v>3</v>
      </c>
      <c r="D6195">
        <v>0.218</v>
      </c>
      <c r="E6195" t="s">
        <v>6</v>
      </c>
      <c r="F6195">
        <v>0.11828</v>
      </c>
    </row>
    <row r="6196" spans="1:6" x14ac:dyDescent="0.3">
      <c r="A6196" t="s">
        <v>5</v>
      </c>
      <c r="B6196" s="1">
        <v>45916</v>
      </c>
      <c r="C6196">
        <v>4</v>
      </c>
      <c r="D6196">
        <v>0.215</v>
      </c>
      <c r="E6196" t="s">
        <v>6</v>
      </c>
      <c r="F6196">
        <v>0.11605</v>
      </c>
    </row>
    <row r="6197" spans="1:6" x14ac:dyDescent="0.3">
      <c r="A6197" t="s">
        <v>5</v>
      </c>
      <c r="B6197" s="1">
        <v>45916</v>
      </c>
      <c r="C6197">
        <v>5</v>
      </c>
      <c r="D6197">
        <v>0.19400000000000001</v>
      </c>
      <c r="E6197" t="s">
        <v>6</v>
      </c>
      <c r="F6197">
        <v>0.12211</v>
      </c>
    </row>
    <row r="6198" spans="1:6" x14ac:dyDescent="0.3">
      <c r="A6198" t="s">
        <v>5</v>
      </c>
      <c r="B6198" s="1">
        <v>45916</v>
      </c>
      <c r="C6198">
        <v>6</v>
      </c>
      <c r="D6198">
        <v>0.19500000000000001</v>
      </c>
      <c r="E6198" t="s">
        <v>6</v>
      </c>
      <c r="F6198">
        <v>0.12559999999999999</v>
      </c>
    </row>
    <row r="6199" spans="1:6" x14ac:dyDescent="0.3">
      <c r="A6199" t="s">
        <v>5</v>
      </c>
      <c r="B6199" s="1">
        <v>45916</v>
      </c>
      <c r="C6199">
        <v>7</v>
      </c>
      <c r="D6199">
        <v>0.22500000000000001</v>
      </c>
      <c r="E6199" t="s">
        <v>6</v>
      </c>
      <c r="F6199">
        <v>0.13847000000000001</v>
      </c>
    </row>
    <row r="6200" spans="1:6" x14ac:dyDescent="0.3">
      <c r="A6200" t="s">
        <v>5</v>
      </c>
      <c r="B6200" s="1">
        <v>45916</v>
      </c>
      <c r="C6200">
        <v>8</v>
      </c>
      <c r="D6200">
        <v>0.214</v>
      </c>
      <c r="E6200" t="s">
        <v>6</v>
      </c>
      <c r="F6200">
        <v>0.14906</v>
      </c>
    </row>
    <row r="6201" spans="1:6" x14ac:dyDescent="0.3">
      <c r="A6201" t="s">
        <v>5</v>
      </c>
      <c r="B6201" s="1">
        <v>45916</v>
      </c>
      <c r="C6201">
        <v>9</v>
      </c>
      <c r="D6201">
        <v>0.28199999999999997</v>
      </c>
      <c r="E6201" t="s">
        <v>6</v>
      </c>
      <c r="F6201">
        <v>0.17485000000000001</v>
      </c>
    </row>
    <row r="6202" spans="1:6" x14ac:dyDescent="0.3">
      <c r="A6202" t="s">
        <v>5</v>
      </c>
      <c r="B6202" s="1">
        <v>45916</v>
      </c>
      <c r="C6202">
        <v>10</v>
      </c>
      <c r="D6202">
        <v>0.26900000000000002</v>
      </c>
      <c r="E6202" t="s">
        <v>6</v>
      </c>
      <c r="F6202">
        <v>0.15418000000000001</v>
      </c>
    </row>
    <row r="6203" spans="1:6" x14ac:dyDescent="0.3">
      <c r="A6203" t="s">
        <v>5</v>
      </c>
      <c r="B6203" s="1">
        <v>45916</v>
      </c>
      <c r="C6203">
        <v>11</v>
      </c>
      <c r="D6203">
        <v>0.185</v>
      </c>
      <c r="E6203" t="s">
        <v>6</v>
      </c>
      <c r="F6203">
        <v>0.16136</v>
      </c>
    </row>
    <row r="6204" spans="1:6" x14ac:dyDescent="0.3">
      <c r="A6204" t="s">
        <v>5</v>
      </c>
      <c r="B6204" s="1">
        <v>45916</v>
      </c>
      <c r="C6204">
        <v>12</v>
      </c>
      <c r="D6204">
        <v>0.312</v>
      </c>
      <c r="E6204" t="s">
        <v>6</v>
      </c>
      <c r="F6204">
        <v>0.13559000000000002</v>
      </c>
    </row>
    <row r="6205" spans="1:6" x14ac:dyDescent="0.3">
      <c r="A6205" t="s">
        <v>5</v>
      </c>
      <c r="B6205" s="1">
        <v>45916</v>
      </c>
      <c r="C6205">
        <v>13</v>
      </c>
      <c r="D6205">
        <v>0.26800000000000002</v>
      </c>
      <c r="E6205" t="s">
        <v>6</v>
      </c>
      <c r="F6205">
        <v>0.12861</v>
      </c>
    </row>
    <row r="6206" spans="1:6" x14ac:dyDescent="0.3">
      <c r="A6206" t="s">
        <v>5</v>
      </c>
      <c r="B6206" s="1">
        <v>45916</v>
      </c>
      <c r="C6206">
        <v>14</v>
      </c>
      <c r="D6206">
        <v>0.47599999999999998</v>
      </c>
      <c r="E6206" t="s">
        <v>6</v>
      </c>
      <c r="F6206">
        <v>0.12601000000000001</v>
      </c>
    </row>
    <row r="6207" spans="1:6" x14ac:dyDescent="0.3">
      <c r="A6207" t="s">
        <v>5</v>
      </c>
      <c r="B6207" s="1">
        <v>45916</v>
      </c>
      <c r="C6207">
        <v>15</v>
      </c>
      <c r="D6207">
        <v>0.88600000000000001</v>
      </c>
      <c r="E6207" t="s">
        <v>6</v>
      </c>
      <c r="F6207">
        <v>5.7180000000000002E-2</v>
      </c>
    </row>
    <row r="6208" spans="1:6" x14ac:dyDescent="0.3">
      <c r="A6208" t="s">
        <v>5</v>
      </c>
      <c r="B6208" s="1">
        <v>45916</v>
      </c>
      <c r="C6208">
        <v>16</v>
      </c>
      <c r="D6208">
        <v>1.367</v>
      </c>
      <c r="E6208" t="s">
        <v>6</v>
      </c>
      <c r="F6208">
        <v>5.4479999999999994E-2</v>
      </c>
    </row>
    <row r="6209" spans="1:6" x14ac:dyDescent="0.3">
      <c r="A6209" t="s">
        <v>5</v>
      </c>
      <c r="B6209" s="1">
        <v>45916</v>
      </c>
      <c r="C6209">
        <v>17</v>
      </c>
      <c r="D6209">
        <v>0.21</v>
      </c>
      <c r="E6209" t="s">
        <v>6</v>
      </c>
      <c r="F6209">
        <v>6.1369999999999994E-2</v>
      </c>
    </row>
    <row r="6210" spans="1:6" x14ac:dyDescent="0.3">
      <c r="A6210" t="s">
        <v>5</v>
      </c>
      <c r="B6210" s="1">
        <v>45916</v>
      </c>
      <c r="C6210">
        <v>18</v>
      </c>
      <c r="D6210">
        <v>0.13100000000000001</v>
      </c>
      <c r="E6210" t="s">
        <v>6</v>
      </c>
      <c r="F6210">
        <v>9.3689999999999996E-2</v>
      </c>
    </row>
    <row r="6211" spans="1:6" x14ac:dyDescent="0.3">
      <c r="A6211" t="s">
        <v>5</v>
      </c>
      <c r="B6211" s="1">
        <v>45916</v>
      </c>
      <c r="C6211">
        <v>19</v>
      </c>
      <c r="D6211">
        <v>0.17399999999999999</v>
      </c>
      <c r="E6211" t="s">
        <v>6</v>
      </c>
      <c r="F6211">
        <v>0.19431000000000001</v>
      </c>
    </row>
    <row r="6212" spans="1:6" x14ac:dyDescent="0.3">
      <c r="A6212" t="s">
        <v>5</v>
      </c>
      <c r="B6212" s="1">
        <v>45916</v>
      </c>
      <c r="C6212">
        <v>20</v>
      </c>
      <c r="D6212">
        <v>0.221</v>
      </c>
      <c r="E6212" t="s">
        <v>6</v>
      </c>
      <c r="F6212">
        <v>0.23524</v>
      </c>
    </row>
    <row r="6213" spans="1:6" x14ac:dyDescent="0.3">
      <c r="A6213" t="s">
        <v>5</v>
      </c>
      <c r="B6213" s="1">
        <v>45916</v>
      </c>
      <c r="C6213">
        <v>21</v>
      </c>
      <c r="D6213">
        <v>0.90400000000000003</v>
      </c>
      <c r="E6213" t="s">
        <v>6</v>
      </c>
      <c r="F6213">
        <v>0.26561000000000001</v>
      </c>
    </row>
    <row r="6214" spans="1:6" x14ac:dyDescent="0.3">
      <c r="A6214" t="s">
        <v>5</v>
      </c>
      <c r="B6214" s="1">
        <v>45916</v>
      </c>
      <c r="C6214">
        <v>22</v>
      </c>
      <c r="D6214">
        <v>1.2430000000000001</v>
      </c>
      <c r="E6214" t="s">
        <v>6</v>
      </c>
      <c r="F6214">
        <v>0.34008999999999995</v>
      </c>
    </row>
    <row r="6215" spans="1:6" x14ac:dyDescent="0.3">
      <c r="A6215" t="s">
        <v>5</v>
      </c>
      <c r="B6215" s="1">
        <v>45916</v>
      </c>
      <c r="C6215">
        <v>23</v>
      </c>
      <c r="D6215">
        <v>0.97899999999999998</v>
      </c>
      <c r="E6215" t="s">
        <v>6</v>
      </c>
      <c r="F6215">
        <v>0.17468</v>
      </c>
    </row>
    <row r="6216" spans="1:6" x14ac:dyDescent="0.3">
      <c r="A6216" t="s">
        <v>5</v>
      </c>
      <c r="B6216" s="1">
        <v>45916</v>
      </c>
      <c r="C6216">
        <v>24</v>
      </c>
      <c r="D6216">
        <v>0.28100000000000003</v>
      </c>
      <c r="E6216" t="s">
        <v>6</v>
      </c>
      <c r="F6216">
        <v>0.16791</v>
      </c>
    </row>
    <row r="6217" spans="1:6" x14ac:dyDescent="0.3">
      <c r="A6217" t="s">
        <v>5</v>
      </c>
      <c r="B6217" s="1">
        <v>45917</v>
      </c>
      <c r="C6217">
        <v>1</v>
      </c>
      <c r="D6217">
        <v>0.23799999999999999</v>
      </c>
      <c r="E6217" t="s">
        <v>6</v>
      </c>
      <c r="F6217">
        <v>0.14102000000000001</v>
      </c>
    </row>
    <row r="6218" spans="1:6" x14ac:dyDescent="0.3">
      <c r="A6218" t="s">
        <v>5</v>
      </c>
      <c r="B6218" s="1">
        <v>45917</v>
      </c>
      <c r="C6218">
        <v>2</v>
      </c>
      <c r="D6218">
        <v>0.22500000000000001</v>
      </c>
      <c r="E6218" t="s">
        <v>6</v>
      </c>
      <c r="F6218">
        <v>0.13954</v>
      </c>
    </row>
    <row r="6219" spans="1:6" x14ac:dyDescent="0.3">
      <c r="A6219" t="s">
        <v>5</v>
      </c>
      <c r="B6219" s="1">
        <v>45917</v>
      </c>
      <c r="C6219">
        <v>3</v>
      </c>
      <c r="D6219">
        <v>0.217</v>
      </c>
      <c r="E6219" t="s">
        <v>6</v>
      </c>
      <c r="F6219">
        <v>0.13878000000000001</v>
      </c>
    </row>
    <row r="6220" spans="1:6" x14ac:dyDescent="0.3">
      <c r="A6220" t="s">
        <v>5</v>
      </c>
      <c r="B6220" s="1">
        <v>45917</v>
      </c>
      <c r="C6220">
        <v>4</v>
      </c>
      <c r="D6220">
        <v>0.218</v>
      </c>
      <c r="E6220" t="s">
        <v>6</v>
      </c>
      <c r="F6220">
        <v>0.13244999999999998</v>
      </c>
    </row>
    <row r="6221" spans="1:6" x14ac:dyDescent="0.3">
      <c r="A6221" t="s">
        <v>5</v>
      </c>
      <c r="B6221" s="1">
        <v>45917</v>
      </c>
      <c r="C6221">
        <v>5</v>
      </c>
      <c r="D6221">
        <v>0.23400000000000001</v>
      </c>
      <c r="E6221" t="s">
        <v>6</v>
      </c>
      <c r="F6221">
        <v>0.13099</v>
      </c>
    </row>
    <row r="6222" spans="1:6" x14ac:dyDescent="0.3">
      <c r="A6222" t="s">
        <v>5</v>
      </c>
      <c r="B6222" s="1">
        <v>45917</v>
      </c>
      <c r="C6222">
        <v>6</v>
      </c>
      <c r="D6222">
        <v>0.218</v>
      </c>
      <c r="E6222" t="s">
        <v>6</v>
      </c>
      <c r="F6222">
        <v>0.13481000000000001</v>
      </c>
    </row>
    <row r="6223" spans="1:6" x14ac:dyDescent="0.3">
      <c r="A6223" t="s">
        <v>5</v>
      </c>
      <c r="B6223" s="1">
        <v>45917</v>
      </c>
      <c r="C6223">
        <v>7</v>
      </c>
      <c r="D6223">
        <v>0.20499999999999999</v>
      </c>
      <c r="E6223" t="s">
        <v>6</v>
      </c>
      <c r="F6223">
        <v>0.13481000000000001</v>
      </c>
    </row>
    <row r="6224" spans="1:6" x14ac:dyDescent="0.3">
      <c r="A6224" t="s">
        <v>5</v>
      </c>
      <c r="B6224" s="1">
        <v>45917</v>
      </c>
      <c r="C6224">
        <v>8</v>
      </c>
      <c r="D6224">
        <v>0.18099999999999999</v>
      </c>
      <c r="E6224" t="s">
        <v>6</v>
      </c>
      <c r="F6224">
        <v>0.14886000000000002</v>
      </c>
    </row>
    <row r="6225" spans="1:6" x14ac:dyDescent="0.3">
      <c r="A6225" t="s">
        <v>5</v>
      </c>
      <c r="B6225" s="1">
        <v>45917</v>
      </c>
      <c r="C6225">
        <v>9</v>
      </c>
      <c r="D6225">
        <v>0.16200000000000001</v>
      </c>
      <c r="E6225" t="s">
        <v>6</v>
      </c>
      <c r="F6225">
        <v>0.17066000000000001</v>
      </c>
    </row>
    <row r="6226" spans="1:6" x14ac:dyDescent="0.3">
      <c r="A6226" t="s">
        <v>5</v>
      </c>
      <c r="B6226" s="1">
        <v>45917</v>
      </c>
      <c r="C6226">
        <v>10</v>
      </c>
      <c r="D6226">
        <v>0.26200000000000001</v>
      </c>
      <c r="E6226" t="s">
        <v>6</v>
      </c>
      <c r="F6226">
        <v>0.15162999999999999</v>
      </c>
    </row>
    <row r="6227" spans="1:6" x14ac:dyDescent="0.3">
      <c r="A6227" t="s">
        <v>5</v>
      </c>
      <c r="B6227" s="1">
        <v>45917</v>
      </c>
      <c r="C6227">
        <v>11</v>
      </c>
      <c r="D6227">
        <v>0.14899999999999999</v>
      </c>
      <c r="E6227" t="s">
        <v>6</v>
      </c>
      <c r="F6227">
        <v>0.17563999999999999</v>
      </c>
    </row>
    <row r="6228" spans="1:6" x14ac:dyDescent="0.3">
      <c r="A6228" t="s">
        <v>5</v>
      </c>
      <c r="B6228" s="1">
        <v>45917</v>
      </c>
      <c r="C6228">
        <v>12</v>
      </c>
      <c r="D6228">
        <v>0.10100000000000001</v>
      </c>
      <c r="E6228" t="s">
        <v>6</v>
      </c>
      <c r="F6228">
        <v>0.15374000000000002</v>
      </c>
    </row>
    <row r="6229" spans="1:6" x14ac:dyDescent="0.3">
      <c r="A6229" t="s">
        <v>5</v>
      </c>
      <c r="B6229" s="1">
        <v>45917</v>
      </c>
      <c r="C6229">
        <v>13</v>
      </c>
      <c r="D6229">
        <v>0.56399999999999995</v>
      </c>
      <c r="E6229" t="s">
        <v>6</v>
      </c>
      <c r="F6229">
        <v>0.1331</v>
      </c>
    </row>
    <row r="6230" spans="1:6" x14ac:dyDescent="0.3">
      <c r="A6230" t="s">
        <v>5</v>
      </c>
      <c r="B6230" s="1">
        <v>45917</v>
      </c>
      <c r="C6230">
        <v>14</v>
      </c>
      <c r="D6230">
        <v>1.345</v>
      </c>
      <c r="E6230" t="s">
        <v>6</v>
      </c>
      <c r="F6230">
        <v>0.13049000000000002</v>
      </c>
    </row>
    <row r="6231" spans="1:6" x14ac:dyDescent="0.3">
      <c r="A6231" t="s">
        <v>5</v>
      </c>
      <c r="B6231" s="1">
        <v>45917</v>
      </c>
      <c r="C6231">
        <v>15</v>
      </c>
      <c r="D6231">
        <v>1.1279999999999999</v>
      </c>
      <c r="E6231" t="s">
        <v>6</v>
      </c>
      <c r="F6231">
        <v>6.0590000000000005E-2</v>
      </c>
    </row>
    <row r="6232" spans="1:6" x14ac:dyDescent="0.3">
      <c r="A6232" t="s">
        <v>5</v>
      </c>
      <c r="B6232" s="1">
        <v>45917</v>
      </c>
      <c r="C6232">
        <v>16</v>
      </c>
      <c r="D6232">
        <v>0.18099999999999999</v>
      </c>
      <c r="E6232" t="s">
        <v>6</v>
      </c>
      <c r="F6232">
        <v>6.2439999999999996E-2</v>
      </c>
    </row>
    <row r="6233" spans="1:6" x14ac:dyDescent="0.3">
      <c r="A6233" t="s">
        <v>5</v>
      </c>
      <c r="B6233" s="1">
        <v>45917</v>
      </c>
      <c r="C6233">
        <v>17</v>
      </c>
      <c r="D6233">
        <v>0.14599999999999999</v>
      </c>
      <c r="E6233" t="s">
        <v>6</v>
      </c>
      <c r="F6233">
        <v>6.7150000000000001E-2</v>
      </c>
    </row>
    <row r="6234" spans="1:6" x14ac:dyDescent="0.3">
      <c r="A6234" t="s">
        <v>5</v>
      </c>
      <c r="B6234" s="1">
        <v>45917</v>
      </c>
      <c r="C6234">
        <v>18</v>
      </c>
      <c r="D6234">
        <v>8.8999999999999996E-2</v>
      </c>
      <c r="E6234" t="s">
        <v>6</v>
      </c>
      <c r="F6234">
        <v>0.10038</v>
      </c>
    </row>
    <row r="6235" spans="1:6" x14ac:dyDescent="0.3">
      <c r="A6235" t="s">
        <v>5</v>
      </c>
      <c r="B6235" s="1">
        <v>45917</v>
      </c>
      <c r="C6235">
        <v>19</v>
      </c>
      <c r="D6235">
        <v>0.193</v>
      </c>
      <c r="E6235" t="s">
        <v>6</v>
      </c>
      <c r="F6235">
        <v>0.20061999999999999</v>
      </c>
    </row>
    <row r="6236" spans="1:6" x14ac:dyDescent="0.3">
      <c r="A6236" t="s">
        <v>5</v>
      </c>
      <c r="B6236" s="1">
        <v>45917</v>
      </c>
      <c r="C6236">
        <v>20</v>
      </c>
      <c r="D6236">
        <v>0.17</v>
      </c>
      <c r="E6236" t="s">
        <v>6</v>
      </c>
      <c r="F6236">
        <v>0.23438999999999999</v>
      </c>
    </row>
    <row r="6237" spans="1:6" x14ac:dyDescent="0.3">
      <c r="A6237" t="s">
        <v>5</v>
      </c>
      <c r="B6237" s="1">
        <v>45917</v>
      </c>
      <c r="C6237">
        <v>21</v>
      </c>
      <c r="D6237">
        <v>0.36399999999999999</v>
      </c>
      <c r="E6237" t="s">
        <v>6</v>
      </c>
      <c r="F6237">
        <v>0.28097000000000005</v>
      </c>
    </row>
    <row r="6238" spans="1:6" x14ac:dyDescent="0.3">
      <c r="A6238" t="s">
        <v>5</v>
      </c>
      <c r="B6238" s="1">
        <v>45917</v>
      </c>
      <c r="C6238">
        <v>22</v>
      </c>
      <c r="D6238">
        <v>1.0229999999999999</v>
      </c>
      <c r="E6238" t="s">
        <v>6</v>
      </c>
      <c r="F6238">
        <v>0.35428999999999999</v>
      </c>
    </row>
    <row r="6239" spans="1:6" x14ac:dyDescent="0.3">
      <c r="A6239" t="s">
        <v>5</v>
      </c>
      <c r="B6239" s="1">
        <v>45917</v>
      </c>
      <c r="C6239">
        <v>23</v>
      </c>
      <c r="D6239">
        <v>0.36399999999999999</v>
      </c>
      <c r="E6239" t="s">
        <v>6</v>
      </c>
      <c r="F6239">
        <v>0.17512</v>
      </c>
    </row>
    <row r="6240" spans="1:6" x14ac:dyDescent="0.3">
      <c r="A6240" t="s">
        <v>5</v>
      </c>
      <c r="B6240" s="1">
        <v>45917</v>
      </c>
      <c r="C6240">
        <v>24</v>
      </c>
      <c r="D6240">
        <v>0.42199999999999999</v>
      </c>
      <c r="E6240" t="s">
        <v>6</v>
      </c>
      <c r="F6240">
        <v>0.16231999999999999</v>
      </c>
    </row>
    <row r="6241" spans="1:6" x14ac:dyDescent="0.3">
      <c r="A6241" t="s">
        <v>5</v>
      </c>
      <c r="B6241" s="1">
        <v>45918</v>
      </c>
      <c r="C6241">
        <v>1</v>
      </c>
      <c r="D6241">
        <v>0.29799999999999999</v>
      </c>
      <c r="E6241" t="s">
        <v>6</v>
      </c>
      <c r="F6241">
        <v>0.13788999999999998</v>
      </c>
    </row>
    <row r="6242" spans="1:6" x14ac:dyDescent="0.3">
      <c r="A6242" t="s">
        <v>5</v>
      </c>
      <c r="B6242" s="1">
        <v>45918</v>
      </c>
      <c r="C6242">
        <v>2</v>
      </c>
      <c r="D6242">
        <v>0.308</v>
      </c>
      <c r="E6242" t="s">
        <v>6</v>
      </c>
      <c r="F6242">
        <v>0.13394</v>
      </c>
    </row>
    <row r="6243" spans="1:6" x14ac:dyDescent="0.3">
      <c r="A6243" t="s">
        <v>5</v>
      </c>
      <c r="B6243" s="1">
        <v>45918</v>
      </c>
      <c r="C6243">
        <v>3</v>
      </c>
      <c r="D6243">
        <v>0.224</v>
      </c>
      <c r="E6243" t="s">
        <v>6</v>
      </c>
      <c r="F6243">
        <v>0.13400000000000001</v>
      </c>
    </row>
    <row r="6244" spans="1:6" x14ac:dyDescent="0.3">
      <c r="A6244" t="s">
        <v>5</v>
      </c>
      <c r="B6244" s="1">
        <v>45918</v>
      </c>
      <c r="C6244">
        <v>4</v>
      </c>
      <c r="D6244">
        <v>0.20599999999999999</v>
      </c>
      <c r="E6244" t="s">
        <v>6</v>
      </c>
      <c r="F6244">
        <v>0.13138</v>
      </c>
    </row>
    <row r="6245" spans="1:6" x14ac:dyDescent="0.3">
      <c r="A6245" t="s">
        <v>5</v>
      </c>
      <c r="B6245" s="1">
        <v>45918</v>
      </c>
      <c r="C6245">
        <v>5</v>
      </c>
      <c r="D6245">
        <v>0.22600000000000001</v>
      </c>
      <c r="E6245" t="s">
        <v>6</v>
      </c>
      <c r="F6245">
        <v>0.13131000000000001</v>
      </c>
    </row>
    <row r="6246" spans="1:6" x14ac:dyDescent="0.3">
      <c r="A6246" t="s">
        <v>5</v>
      </c>
      <c r="B6246" s="1">
        <v>45918</v>
      </c>
      <c r="C6246">
        <v>6</v>
      </c>
      <c r="D6246">
        <v>0.19600000000000001</v>
      </c>
      <c r="E6246" t="s">
        <v>6</v>
      </c>
      <c r="F6246">
        <v>0.13125000000000001</v>
      </c>
    </row>
    <row r="6247" spans="1:6" x14ac:dyDescent="0.3">
      <c r="A6247" t="s">
        <v>5</v>
      </c>
      <c r="B6247" s="1">
        <v>45918</v>
      </c>
      <c r="C6247">
        <v>7</v>
      </c>
      <c r="D6247">
        <v>0.20699999999999999</v>
      </c>
      <c r="E6247" t="s">
        <v>6</v>
      </c>
      <c r="F6247">
        <v>0.13015000000000002</v>
      </c>
    </row>
    <row r="6248" spans="1:6" x14ac:dyDescent="0.3">
      <c r="A6248" t="s">
        <v>5</v>
      </c>
      <c r="B6248" s="1">
        <v>45918</v>
      </c>
      <c r="C6248">
        <v>8</v>
      </c>
      <c r="D6248">
        <v>0.19600000000000001</v>
      </c>
      <c r="E6248" t="s">
        <v>6</v>
      </c>
      <c r="F6248">
        <v>0.15084</v>
      </c>
    </row>
    <row r="6249" spans="1:6" x14ac:dyDescent="0.3">
      <c r="A6249" t="s">
        <v>5</v>
      </c>
      <c r="B6249" s="1">
        <v>45918</v>
      </c>
      <c r="C6249">
        <v>9</v>
      </c>
      <c r="D6249">
        <v>0.19800000000000001</v>
      </c>
      <c r="E6249" t="s">
        <v>6</v>
      </c>
      <c r="F6249">
        <v>0.15959999999999999</v>
      </c>
    </row>
    <row r="6250" spans="1:6" x14ac:dyDescent="0.3">
      <c r="A6250" t="s">
        <v>5</v>
      </c>
      <c r="B6250" s="1">
        <v>45918</v>
      </c>
      <c r="C6250">
        <v>10</v>
      </c>
      <c r="D6250">
        <v>0.22600000000000001</v>
      </c>
      <c r="E6250" t="s">
        <v>6</v>
      </c>
      <c r="F6250">
        <v>0.15253999999999998</v>
      </c>
    </row>
    <row r="6251" spans="1:6" x14ac:dyDescent="0.3">
      <c r="A6251" t="s">
        <v>5</v>
      </c>
      <c r="B6251" s="1">
        <v>45918</v>
      </c>
      <c r="C6251">
        <v>11</v>
      </c>
      <c r="D6251">
        <v>0.23</v>
      </c>
      <c r="E6251" t="s">
        <v>6</v>
      </c>
      <c r="F6251">
        <v>0.16641999999999998</v>
      </c>
    </row>
    <row r="6252" spans="1:6" x14ac:dyDescent="0.3">
      <c r="A6252" t="s">
        <v>5</v>
      </c>
      <c r="B6252" s="1">
        <v>45918</v>
      </c>
      <c r="C6252">
        <v>12</v>
      </c>
      <c r="D6252">
        <v>0.16300000000000001</v>
      </c>
      <c r="E6252" t="s">
        <v>6</v>
      </c>
      <c r="F6252">
        <v>0.17041999999999999</v>
      </c>
    </row>
    <row r="6253" spans="1:6" x14ac:dyDescent="0.3">
      <c r="A6253" t="s">
        <v>5</v>
      </c>
      <c r="B6253" s="1">
        <v>45918</v>
      </c>
      <c r="C6253">
        <v>13</v>
      </c>
      <c r="D6253">
        <v>0.20499999999999999</v>
      </c>
      <c r="E6253" t="s">
        <v>6</v>
      </c>
      <c r="F6253">
        <v>0.159</v>
      </c>
    </row>
    <row r="6254" spans="1:6" x14ac:dyDescent="0.3">
      <c r="A6254" t="s">
        <v>5</v>
      </c>
      <c r="B6254" s="1">
        <v>45918</v>
      </c>
      <c r="C6254">
        <v>14</v>
      </c>
      <c r="D6254">
        <v>0.17899999999999999</v>
      </c>
      <c r="E6254" t="s">
        <v>6</v>
      </c>
      <c r="F6254">
        <v>0.15666999999999998</v>
      </c>
    </row>
    <row r="6255" spans="1:6" x14ac:dyDescent="0.3">
      <c r="A6255" t="s">
        <v>5</v>
      </c>
      <c r="B6255" s="1">
        <v>45918</v>
      </c>
      <c r="C6255">
        <v>15</v>
      </c>
      <c r="D6255">
        <v>1.843</v>
      </c>
      <c r="E6255" t="s">
        <v>6</v>
      </c>
      <c r="F6255">
        <v>8.5019999999999998E-2</v>
      </c>
    </row>
    <row r="6256" spans="1:6" x14ac:dyDescent="0.3">
      <c r="A6256" t="s">
        <v>5</v>
      </c>
      <c r="B6256" s="1">
        <v>45918</v>
      </c>
      <c r="C6256">
        <v>16</v>
      </c>
      <c r="D6256">
        <v>1.6659999999999999</v>
      </c>
      <c r="E6256" t="s">
        <v>6</v>
      </c>
      <c r="F6256">
        <v>8.5129999999999997E-2</v>
      </c>
    </row>
    <row r="6257" spans="1:6" x14ac:dyDescent="0.3">
      <c r="A6257" t="s">
        <v>5</v>
      </c>
      <c r="B6257" s="1">
        <v>45918</v>
      </c>
      <c r="C6257">
        <v>17</v>
      </c>
      <c r="D6257">
        <v>1.772</v>
      </c>
      <c r="E6257" t="s">
        <v>6</v>
      </c>
      <c r="F6257">
        <v>9.7209999999999991E-2</v>
      </c>
    </row>
    <row r="6258" spans="1:6" x14ac:dyDescent="0.3">
      <c r="A6258" t="s">
        <v>5</v>
      </c>
      <c r="B6258" s="1">
        <v>45918</v>
      </c>
      <c r="C6258">
        <v>18</v>
      </c>
      <c r="D6258">
        <v>0.27900000000000003</v>
      </c>
      <c r="E6258" t="s">
        <v>6</v>
      </c>
      <c r="F6258">
        <v>0.11142000000000001</v>
      </c>
    </row>
    <row r="6259" spans="1:6" x14ac:dyDescent="0.3">
      <c r="A6259" t="s">
        <v>5</v>
      </c>
      <c r="B6259" s="1">
        <v>45918</v>
      </c>
      <c r="C6259">
        <v>19</v>
      </c>
      <c r="D6259">
        <v>0.20799999999999999</v>
      </c>
      <c r="E6259" t="s">
        <v>6</v>
      </c>
      <c r="F6259">
        <v>0.21137</v>
      </c>
    </row>
    <row r="6260" spans="1:6" x14ac:dyDescent="0.3">
      <c r="A6260" t="s">
        <v>5</v>
      </c>
      <c r="B6260" s="1">
        <v>45918</v>
      </c>
      <c r="C6260">
        <v>20</v>
      </c>
      <c r="D6260">
        <v>0.20300000000000001</v>
      </c>
      <c r="E6260" t="s">
        <v>6</v>
      </c>
      <c r="F6260">
        <v>0.23974000000000001</v>
      </c>
    </row>
    <row r="6261" spans="1:6" x14ac:dyDescent="0.3">
      <c r="A6261" t="s">
        <v>5</v>
      </c>
      <c r="B6261" s="1">
        <v>45918</v>
      </c>
      <c r="C6261">
        <v>21</v>
      </c>
      <c r="D6261">
        <v>0.38500000000000001</v>
      </c>
      <c r="E6261" t="s">
        <v>6</v>
      </c>
      <c r="F6261">
        <v>0.28129000000000004</v>
      </c>
    </row>
    <row r="6262" spans="1:6" x14ac:dyDescent="0.3">
      <c r="A6262" t="s">
        <v>5</v>
      </c>
      <c r="B6262" s="1">
        <v>45918</v>
      </c>
      <c r="C6262">
        <v>22</v>
      </c>
      <c r="D6262">
        <v>0.97</v>
      </c>
      <c r="E6262" t="s">
        <v>6</v>
      </c>
      <c r="F6262">
        <v>0.32885000000000003</v>
      </c>
    </row>
    <row r="6263" spans="1:6" x14ac:dyDescent="0.3">
      <c r="A6263" t="s">
        <v>5</v>
      </c>
      <c r="B6263" s="1">
        <v>45918</v>
      </c>
      <c r="C6263">
        <v>23</v>
      </c>
      <c r="D6263">
        <v>0.39</v>
      </c>
      <c r="E6263" t="s">
        <v>6</v>
      </c>
      <c r="F6263">
        <v>0.18099999999999999</v>
      </c>
    </row>
    <row r="6264" spans="1:6" x14ac:dyDescent="0.3">
      <c r="A6264" t="s">
        <v>5</v>
      </c>
      <c r="B6264" s="1">
        <v>45918</v>
      </c>
      <c r="C6264">
        <v>24</v>
      </c>
      <c r="D6264">
        <v>0.374</v>
      </c>
      <c r="E6264" t="s">
        <v>6</v>
      </c>
      <c r="F6264">
        <v>0.15800999999999998</v>
      </c>
    </row>
    <row r="6265" spans="1:6" x14ac:dyDescent="0.3">
      <c r="A6265" t="s">
        <v>5</v>
      </c>
      <c r="B6265" s="1">
        <v>45919</v>
      </c>
      <c r="C6265">
        <v>1</v>
      </c>
      <c r="D6265">
        <v>0.249</v>
      </c>
      <c r="E6265" t="s">
        <v>6</v>
      </c>
      <c r="F6265">
        <v>0.14421</v>
      </c>
    </row>
    <row r="6266" spans="1:6" x14ac:dyDescent="0.3">
      <c r="A6266" t="s">
        <v>5</v>
      </c>
      <c r="B6266" s="1">
        <v>45919</v>
      </c>
      <c r="C6266">
        <v>2</v>
      </c>
      <c r="D6266">
        <v>0.23699999999999999</v>
      </c>
      <c r="E6266" t="s">
        <v>6</v>
      </c>
      <c r="F6266">
        <v>0.14271999999999999</v>
      </c>
    </row>
    <row r="6267" spans="1:6" x14ac:dyDescent="0.3">
      <c r="A6267" t="s">
        <v>5</v>
      </c>
      <c r="B6267" s="1">
        <v>45919</v>
      </c>
      <c r="C6267">
        <v>3</v>
      </c>
      <c r="D6267">
        <v>0.218</v>
      </c>
      <c r="E6267" t="s">
        <v>6</v>
      </c>
      <c r="F6267">
        <v>0.14068</v>
      </c>
    </row>
    <row r="6268" spans="1:6" x14ac:dyDescent="0.3">
      <c r="A6268" t="s">
        <v>5</v>
      </c>
      <c r="B6268" s="1">
        <v>45919</v>
      </c>
      <c r="C6268">
        <v>4</v>
      </c>
      <c r="D6268">
        <v>0.23499999999999999</v>
      </c>
      <c r="E6268" t="s">
        <v>6</v>
      </c>
      <c r="F6268">
        <v>0.13763999999999998</v>
      </c>
    </row>
    <row r="6269" spans="1:6" x14ac:dyDescent="0.3">
      <c r="A6269" t="s">
        <v>5</v>
      </c>
      <c r="B6269" s="1">
        <v>45919</v>
      </c>
      <c r="C6269">
        <v>5</v>
      </c>
      <c r="D6269">
        <v>0.20799999999999999</v>
      </c>
      <c r="E6269" t="s">
        <v>6</v>
      </c>
      <c r="F6269">
        <v>0.13644000000000001</v>
      </c>
    </row>
    <row r="6270" spans="1:6" x14ac:dyDescent="0.3">
      <c r="A6270" t="s">
        <v>5</v>
      </c>
      <c r="B6270" s="1">
        <v>45919</v>
      </c>
      <c r="C6270">
        <v>6</v>
      </c>
      <c r="D6270">
        <v>0.22700000000000001</v>
      </c>
      <c r="E6270" t="s">
        <v>6</v>
      </c>
      <c r="F6270">
        <v>0.13674</v>
      </c>
    </row>
    <row r="6271" spans="1:6" x14ac:dyDescent="0.3">
      <c r="A6271" t="s">
        <v>5</v>
      </c>
      <c r="B6271" s="1">
        <v>45919</v>
      </c>
      <c r="C6271">
        <v>7</v>
      </c>
      <c r="D6271">
        <v>0.218</v>
      </c>
      <c r="E6271" t="s">
        <v>6</v>
      </c>
      <c r="F6271">
        <v>0.1399</v>
      </c>
    </row>
    <row r="6272" spans="1:6" x14ac:dyDescent="0.3">
      <c r="A6272" t="s">
        <v>5</v>
      </c>
      <c r="B6272" s="1">
        <v>45919</v>
      </c>
      <c r="C6272">
        <v>8</v>
      </c>
      <c r="D6272">
        <v>0.20499999999999999</v>
      </c>
      <c r="E6272" t="s">
        <v>6</v>
      </c>
      <c r="F6272">
        <v>0.14829000000000001</v>
      </c>
    </row>
    <row r="6273" spans="1:6" x14ac:dyDescent="0.3">
      <c r="A6273" t="s">
        <v>5</v>
      </c>
      <c r="B6273" s="1">
        <v>45919</v>
      </c>
      <c r="C6273">
        <v>9</v>
      </c>
      <c r="D6273">
        <v>0.224</v>
      </c>
      <c r="E6273" t="s">
        <v>6</v>
      </c>
      <c r="F6273">
        <v>0.16672000000000001</v>
      </c>
    </row>
    <row r="6274" spans="1:6" x14ac:dyDescent="0.3">
      <c r="A6274" t="s">
        <v>5</v>
      </c>
      <c r="B6274" s="1">
        <v>45919</v>
      </c>
      <c r="C6274">
        <v>10</v>
      </c>
      <c r="D6274">
        <v>0.23499999999999999</v>
      </c>
      <c r="E6274" t="s">
        <v>6</v>
      </c>
      <c r="F6274">
        <v>0.16428999999999999</v>
      </c>
    </row>
    <row r="6275" spans="1:6" x14ac:dyDescent="0.3">
      <c r="A6275" t="s">
        <v>5</v>
      </c>
      <c r="B6275" s="1">
        <v>45919</v>
      </c>
      <c r="C6275">
        <v>11</v>
      </c>
      <c r="D6275">
        <v>0.25</v>
      </c>
      <c r="E6275" t="s">
        <v>6</v>
      </c>
      <c r="F6275">
        <v>0.18242</v>
      </c>
    </row>
    <row r="6276" spans="1:6" x14ac:dyDescent="0.3">
      <c r="A6276" t="s">
        <v>5</v>
      </c>
      <c r="B6276" s="1">
        <v>45919</v>
      </c>
      <c r="C6276">
        <v>12</v>
      </c>
      <c r="D6276">
        <v>0.09</v>
      </c>
      <c r="E6276" t="s">
        <v>6</v>
      </c>
      <c r="F6276">
        <v>0.16512000000000002</v>
      </c>
    </row>
    <row r="6277" spans="1:6" x14ac:dyDescent="0.3">
      <c r="A6277" t="s">
        <v>5</v>
      </c>
      <c r="B6277" s="1">
        <v>45919</v>
      </c>
      <c r="C6277">
        <v>13</v>
      </c>
      <c r="D6277">
        <v>0.251</v>
      </c>
      <c r="E6277" t="s">
        <v>6</v>
      </c>
      <c r="F6277">
        <v>0.16125</v>
      </c>
    </row>
    <row r="6278" spans="1:6" x14ac:dyDescent="0.3">
      <c r="A6278" t="s">
        <v>5</v>
      </c>
      <c r="B6278" s="1">
        <v>45919</v>
      </c>
      <c r="C6278">
        <v>14</v>
      </c>
      <c r="D6278">
        <v>0.23499999999999999</v>
      </c>
      <c r="E6278" t="s">
        <v>6</v>
      </c>
      <c r="F6278">
        <v>0.15471000000000001</v>
      </c>
    </row>
    <row r="6279" spans="1:6" x14ac:dyDescent="0.3">
      <c r="A6279" t="s">
        <v>5</v>
      </c>
      <c r="B6279" s="1">
        <v>45919</v>
      </c>
      <c r="C6279">
        <v>15</v>
      </c>
      <c r="D6279">
        <v>1.0780000000000001</v>
      </c>
      <c r="E6279" t="s">
        <v>6</v>
      </c>
      <c r="F6279">
        <v>7.4620000000000006E-2</v>
      </c>
    </row>
    <row r="6280" spans="1:6" x14ac:dyDescent="0.3">
      <c r="A6280" t="s">
        <v>5</v>
      </c>
      <c r="B6280" s="1">
        <v>45919</v>
      </c>
      <c r="C6280">
        <v>16</v>
      </c>
      <c r="D6280">
        <v>1.2949999999999999</v>
      </c>
      <c r="E6280" t="s">
        <v>6</v>
      </c>
      <c r="F6280">
        <v>7.6480000000000006E-2</v>
      </c>
    </row>
    <row r="6281" spans="1:6" x14ac:dyDescent="0.3">
      <c r="A6281" t="s">
        <v>5</v>
      </c>
      <c r="B6281" s="1">
        <v>45919</v>
      </c>
      <c r="C6281">
        <v>17</v>
      </c>
      <c r="D6281">
        <v>1.3080000000000001</v>
      </c>
      <c r="E6281" t="s">
        <v>6</v>
      </c>
      <c r="F6281">
        <v>0.10104</v>
      </c>
    </row>
    <row r="6282" spans="1:6" x14ac:dyDescent="0.3">
      <c r="A6282" t="s">
        <v>5</v>
      </c>
      <c r="B6282" s="1">
        <v>45919</v>
      </c>
      <c r="C6282">
        <v>18</v>
      </c>
      <c r="D6282">
        <v>0.752</v>
      </c>
      <c r="E6282" t="s">
        <v>6</v>
      </c>
      <c r="F6282">
        <v>0.11751</v>
      </c>
    </row>
    <row r="6283" spans="1:6" x14ac:dyDescent="0.3">
      <c r="A6283" t="s">
        <v>5</v>
      </c>
      <c r="B6283" s="1">
        <v>45919</v>
      </c>
      <c r="C6283">
        <v>19</v>
      </c>
      <c r="D6283">
        <v>0.16400000000000001</v>
      </c>
      <c r="E6283" t="s">
        <v>6</v>
      </c>
      <c r="F6283">
        <v>0.19428000000000001</v>
      </c>
    </row>
    <row r="6284" spans="1:6" x14ac:dyDescent="0.3">
      <c r="A6284" t="s">
        <v>5</v>
      </c>
      <c r="B6284" s="1">
        <v>45919</v>
      </c>
      <c r="C6284">
        <v>20</v>
      </c>
      <c r="D6284">
        <v>0.107</v>
      </c>
      <c r="E6284" t="s">
        <v>6</v>
      </c>
      <c r="F6284">
        <v>0.23263</v>
      </c>
    </row>
    <row r="6285" spans="1:6" x14ac:dyDescent="0.3">
      <c r="A6285" t="s">
        <v>5</v>
      </c>
      <c r="B6285" s="1">
        <v>45919</v>
      </c>
      <c r="C6285">
        <v>21</v>
      </c>
      <c r="D6285">
        <v>7.2999999999999995E-2</v>
      </c>
      <c r="E6285" t="s">
        <v>6</v>
      </c>
      <c r="F6285">
        <v>0.24803999999999998</v>
      </c>
    </row>
    <row r="6286" spans="1:6" x14ac:dyDescent="0.3">
      <c r="A6286" t="s">
        <v>5</v>
      </c>
      <c r="B6286" s="1">
        <v>45919</v>
      </c>
      <c r="C6286">
        <v>22</v>
      </c>
      <c r="D6286">
        <v>0.10100000000000001</v>
      </c>
      <c r="E6286" t="s">
        <v>6</v>
      </c>
      <c r="F6286">
        <v>0.24680000000000002</v>
      </c>
    </row>
    <row r="6287" spans="1:6" x14ac:dyDescent="0.3">
      <c r="A6287" t="s">
        <v>5</v>
      </c>
      <c r="B6287" s="1">
        <v>45919</v>
      </c>
      <c r="C6287">
        <v>23</v>
      </c>
      <c r="D6287">
        <v>6.9000000000000006E-2</v>
      </c>
      <c r="E6287" t="s">
        <v>6</v>
      </c>
      <c r="F6287">
        <v>0.16190000000000002</v>
      </c>
    </row>
    <row r="6288" spans="1:6" x14ac:dyDescent="0.3">
      <c r="A6288" t="s">
        <v>5</v>
      </c>
      <c r="B6288" s="1">
        <v>45919</v>
      </c>
      <c r="C6288">
        <v>24</v>
      </c>
      <c r="D6288">
        <v>9.2999999999999999E-2</v>
      </c>
      <c r="E6288" t="s">
        <v>6</v>
      </c>
      <c r="F6288">
        <v>0.16265000000000002</v>
      </c>
    </row>
    <row r="6289" spans="1:6" x14ac:dyDescent="0.3">
      <c r="A6289" t="s">
        <v>5</v>
      </c>
      <c r="B6289" s="1">
        <v>45920</v>
      </c>
      <c r="C6289">
        <v>1</v>
      </c>
      <c r="D6289">
        <v>7.8E-2</v>
      </c>
      <c r="E6289" t="s">
        <v>6</v>
      </c>
      <c r="F6289">
        <v>0.15077000000000002</v>
      </c>
    </row>
    <row r="6290" spans="1:6" x14ac:dyDescent="0.3">
      <c r="A6290" t="s">
        <v>5</v>
      </c>
      <c r="B6290" s="1">
        <v>45920</v>
      </c>
      <c r="C6290">
        <v>2</v>
      </c>
      <c r="D6290">
        <v>0.08</v>
      </c>
      <c r="E6290" t="s">
        <v>6</v>
      </c>
      <c r="F6290">
        <v>0.14708000000000002</v>
      </c>
    </row>
    <row r="6291" spans="1:6" x14ac:dyDescent="0.3">
      <c r="A6291" t="s">
        <v>5</v>
      </c>
      <c r="B6291" s="1">
        <v>45920</v>
      </c>
      <c r="C6291">
        <v>3</v>
      </c>
      <c r="D6291">
        <v>0.09</v>
      </c>
      <c r="E6291" t="s">
        <v>6</v>
      </c>
      <c r="F6291">
        <v>0.14524999999999999</v>
      </c>
    </row>
    <row r="6292" spans="1:6" x14ac:dyDescent="0.3">
      <c r="A6292" t="s">
        <v>5</v>
      </c>
      <c r="B6292" s="1">
        <v>45920</v>
      </c>
      <c r="C6292">
        <v>4</v>
      </c>
      <c r="D6292">
        <v>6.7000000000000004E-2</v>
      </c>
      <c r="E6292" t="s">
        <v>6</v>
      </c>
      <c r="F6292">
        <v>0.13930999999999999</v>
      </c>
    </row>
    <row r="6293" spans="1:6" x14ac:dyDescent="0.3">
      <c r="A6293" t="s">
        <v>5</v>
      </c>
      <c r="B6293" s="1">
        <v>45920</v>
      </c>
      <c r="C6293">
        <v>5</v>
      </c>
      <c r="D6293">
        <v>9.0999999999999998E-2</v>
      </c>
      <c r="E6293" t="s">
        <v>6</v>
      </c>
      <c r="F6293">
        <v>0.14066000000000001</v>
      </c>
    </row>
    <row r="6294" spans="1:6" x14ac:dyDescent="0.3">
      <c r="A6294" t="s">
        <v>5</v>
      </c>
      <c r="B6294" s="1">
        <v>45920</v>
      </c>
      <c r="C6294">
        <v>6</v>
      </c>
      <c r="D6294">
        <v>7.8E-2</v>
      </c>
      <c r="E6294" t="s">
        <v>6</v>
      </c>
      <c r="F6294">
        <v>0.14076</v>
      </c>
    </row>
    <row r="6295" spans="1:6" x14ac:dyDescent="0.3">
      <c r="A6295" t="s">
        <v>5</v>
      </c>
      <c r="B6295" s="1">
        <v>45920</v>
      </c>
      <c r="C6295">
        <v>7</v>
      </c>
      <c r="D6295">
        <v>7.5999999999999998E-2</v>
      </c>
      <c r="E6295" t="s">
        <v>6</v>
      </c>
      <c r="F6295">
        <v>0.14402999999999999</v>
      </c>
    </row>
    <row r="6296" spans="1:6" x14ac:dyDescent="0.3">
      <c r="A6296" t="s">
        <v>5</v>
      </c>
      <c r="B6296" s="1">
        <v>45920</v>
      </c>
      <c r="C6296">
        <v>8</v>
      </c>
      <c r="D6296">
        <v>0.09</v>
      </c>
      <c r="E6296" t="s">
        <v>6</v>
      </c>
      <c r="F6296">
        <v>0.14448</v>
      </c>
    </row>
    <row r="6297" spans="1:6" x14ac:dyDescent="0.3">
      <c r="A6297" t="s">
        <v>5</v>
      </c>
      <c r="B6297" s="1">
        <v>45920</v>
      </c>
      <c r="C6297">
        <v>9</v>
      </c>
      <c r="D6297">
        <v>6.7000000000000004E-2</v>
      </c>
      <c r="E6297" t="s">
        <v>6</v>
      </c>
      <c r="F6297">
        <v>0.15540000000000001</v>
      </c>
    </row>
    <row r="6298" spans="1:6" x14ac:dyDescent="0.3">
      <c r="A6298" t="s">
        <v>5</v>
      </c>
      <c r="B6298" s="1">
        <v>45920</v>
      </c>
      <c r="C6298">
        <v>10</v>
      </c>
      <c r="D6298">
        <v>8.5000000000000006E-2</v>
      </c>
      <c r="E6298" t="s">
        <v>6</v>
      </c>
      <c r="F6298">
        <v>0.11455</v>
      </c>
    </row>
    <row r="6299" spans="1:6" x14ac:dyDescent="0.3">
      <c r="A6299" t="s">
        <v>5</v>
      </c>
      <c r="B6299" s="1">
        <v>45920</v>
      </c>
      <c r="C6299">
        <v>11</v>
      </c>
      <c r="D6299">
        <v>8.1000000000000003E-2</v>
      </c>
      <c r="E6299" t="s">
        <v>6</v>
      </c>
      <c r="F6299">
        <v>6.7720000000000002E-2</v>
      </c>
    </row>
    <row r="6300" spans="1:6" x14ac:dyDescent="0.3">
      <c r="A6300" t="s">
        <v>5</v>
      </c>
      <c r="B6300" s="1">
        <v>45920</v>
      </c>
      <c r="C6300">
        <v>12</v>
      </c>
      <c r="D6300">
        <v>7.0000000000000007E-2</v>
      </c>
      <c r="E6300" t="s">
        <v>6</v>
      </c>
      <c r="F6300">
        <v>3.7870000000000001E-2</v>
      </c>
    </row>
    <row r="6301" spans="1:6" x14ac:dyDescent="0.3">
      <c r="A6301" t="s">
        <v>5</v>
      </c>
      <c r="B6301" s="1">
        <v>45920</v>
      </c>
      <c r="C6301">
        <v>13</v>
      </c>
      <c r="D6301">
        <v>8.7999999999999995E-2</v>
      </c>
      <c r="E6301" t="s">
        <v>6</v>
      </c>
      <c r="F6301">
        <v>3.474E-2</v>
      </c>
    </row>
    <row r="6302" spans="1:6" x14ac:dyDescent="0.3">
      <c r="A6302" t="s">
        <v>5</v>
      </c>
      <c r="B6302" s="1">
        <v>45920</v>
      </c>
      <c r="C6302">
        <v>14</v>
      </c>
      <c r="D6302">
        <v>7.1999999999999995E-2</v>
      </c>
      <c r="E6302" t="s">
        <v>6</v>
      </c>
      <c r="F6302">
        <v>3.313E-2</v>
      </c>
    </row>
    <row r="6303" spans="1:6" x14ac:dyDescent="0.3">
      <c r="A6303" t="s">
        <v>5</v>
      </c>
      <c r="B6303" s="1">
        <v>45920</v>
      </c>
      <c r="C6303">
        <v>15</v>
      </c>
      <c r="D6303">
        <v>7.8E-2</v>
      </c>
      <c r="E6303" t="s">
        <v>6</v>
      </c>
      <c r="F6303">
        <v>3.4049999999999997E-2</v>
      </c>
    </row>
    <row r="6304" spans="1:6" x14ac:dyDescent="0.3">
      <c r="A6304" t="s">
        <v>5</v>
      </c>
      <c r="B6304" s="1">
        <v>45920</v>
      </c>
      <c r="C6304">
        <v>16</v>
      </c>
      <c r="D6304">
        <v>8.7999999999999995E-2</v>
      </c>
      <c r="E6304" t="s">
        <v>6</v>
      </c>
      <c r="F6304">
        <v>3.5150000000000001E-2</v>
      </c>
    </row>
    <row r="6305" spans="1:6" x14ac:dyDescent="0.3">
      <c r="A6305" t="s">
        <v>5</v>
      </c>
      <c r="B6305" s="1">
        <v>45920</v>
      </c>
      <c r="C6305">
        <v>17</v>
      </c>
      <c r="D6305">
        <v>6.5000000000000002E-2</v>
      </c>
      <c r="E6305" t="s">
        <v>6</v>
      </c>
      <c r="F6305">
        <v>3.984E-2</v>
      </c>
    </row>
    <row r="6306" spans="1:6" x14ac:dyDescent="0.3">
      <c r="A6306" t="s">
        <v>5</v>
      </c>
      <c r="B6306" s="1">
        <v>45920</v>
      </c>
      <c r="C6306">
        <v>18</v>
      </c>
      <c r="D6306">
        <v>8.7999999999999995E-2</v>
      </c>
      <c r="E6306" t="s">
        <v>6</v>
      </c>
      <c r="F6306">
        <v>5.3810000000000004E-2</v>
      </c>
    </row>
    <row r="6307" spans="1:6" x14ac:dyDescent="0.3">
      <c r="A6307" t="s">
        <v>5</v>
      </c>
      <c r="B6307" s="1">
        <v>45920</v>
      </c>
      <c r="C6307">
        <v>19</v>
      </c>
      <c r="D6307">
        <v>7.9000000000000001E-2</v>
      </c>
      <c r="E6307" t="s">
        <v>6</v>
      </c>
      <c r="F6307">
        <v>9.919E-2</v>
      </c>
    </row>
    <row r="6308" spans="1:6" x14ac:dyDescent="0.3">
      <c r="A6308" t="s">
        <v>5</v>
      </c>
      <c r="B6308" s="1">
        <v>45920</v>
      </c>
      <c r="C6308">
        <v>20</v>
      </c>
      <c r="D6308">
        <v>7.1999999999999995E-2</v>
      </c>
      <c r="E6308" t="s">
        <v>6</v>
      </c>
      <c r="F6308">
        <v>0.13558000000000001</v>
      </c>
    </row>
    <row r="6309" spans="1:6" x14ac:dyDescent="0.3">
      <c r="A6309" t="s">
        <v>5</v>
      </c>
      <c r="B6309" s="1">
        <v>45920</v>
      </c>
      <c r="C6309">
        <v>21</v>
      </c>
      <c r="D6309">
        <v>8.7999999999999995E-2</v>
      </c>
      <c r="E6309" t="s">
        <v>6</v>
      </c>
      <c r="F6309">
        <v>0.15233000000000002</v>
      </c>
    </row>
    <row r="6310" spans="1:6" x14ac:dyDescent="0.3">
      <c r="A6310" t="s">
        <v>5</v>
      </c>
      <c r="B6310" s="1">
        <v>45920</v>
      </c>
      <c r="C6310">
        <v>22</v>
      </c>
      <c r="D6310">
        <v>7.0000000000000007E-2</v>
      </c>
      <c r="E6310" t="s">
        <v>6</v>
      </c>
      <c r="F6310">
        <v>0.15375999999999998</v>
      </c>
    </row>
    <row r="6311" spans="1:6" x14ac:dyDescent="0.3">
      <c r="A6311" t="s">
        <v>5</v>
      </c>
      <c r="B6311" s="1">
        <v>45920</v>
      </c>
      <c r="C6311">
        <v>23</v>
      </c>
      <c r="D6311">
        <v>8.2000000000000003E-2</v>
      </c>
      <c r="E6311" t="s">
        <v>6</v>
      </c>
      <c r="F6311">
        <v>0.14887</v>
      </c>
    </row>
    <row r="6312" spans="1:6" x14ac:dyDescent="0.3">
      <c r="A6312" t="s">
        <v>5</v>
      </c>
      <c r="B6312" s="1">
        <v>45920</v>
      </c>
      <c r="C6312">
        <v>24</v>
      </c>
      <c r="D6312">
        <v>8.4000000000000005E-2</v>
      </c>
      <c r="E6312" t="s">
        <v>6</v>
      </c>
      <c r="F6312">
        <v>0.14662</v>
      </c>
    </row>
    <row r="6313" spans="1:6" x14ac:dyDescent="0.3">
      <c r="A6313" t="s">
        <v>5</v>
      </c>
      <c r="B6313" s="1">
        <v>45921</v>
      </c>
      <c r="C6313">
        <v>1</v>
      </c>
      <c r="D6313">
        <v>6.8000000000000005E-2</v>
      </c>
      <c r="E6313" t="s">
        <v>6</v>
      </c>
      <c r="F6313">
        <v>0.14574999999999999</v>
      </c>
    </row>
    <row r="6314" spans="1:6" x14ac:dyDescent="0.3">
      <c r="A6314" t="s">
        <v>5</v>
      </c>
      <c r="B6314" s="1">
        <v>45921</v>
      </c>
      <c r="C6314">
        <v>2</v>
      </c>
      <c r="D6314">
        <v>8.8999999999999996E-2</v>
      </c>
      <c r="E6314" t="s">
        <v>6</v>
      </c>
      <c r="F6314">
        <v>0.14471000000000001</v>
      </c>
    </row>
    <row r="6315" spans="1:6" x14ac:dyDescent="0.3">
      <c r="A6315" t="s">
        <v>5</v>
      </c>
      <c r="B6315" s="1">
        <v>45921</v>
      </c>
      <c r="C6315">
        <v>3</v>
      </c>
      <c r="D6315">
        <v>7.3999999999999996E-2</v>
      </c>
      <c r="E6315" t="s">
        <v>6</v>
      </c>
      <c r="F6315">
        <v>0.13928000000000001</v>
      </c>
    </row>
    <row r="6316" spans="1:6" x14ac:dyDescent="0.3">
      <c r="A6316" t="s">
        <v>5</v>
      </c>
      <c r="B6316" s="1">
        <v>45921</v>
      </c>
      <c r="C6316">
        <v>4</v>
      </c>
      <c r="D6316">
        <v>7.8E-2</v>
      </c>
      <c r="E6316" t="s">
        <v>6</v>
      </c>
      <c r="F6316">
        <v>0.14274000000000001</v>
      </c>
    </row>
    <row r="6317" spans="1:6" x14ac:dyDescent="0.3">
      <c r="A6317" t="s">
        <v>5</v>
      </c>
      <c r="B6317" s="1">
        <v>45921</v>
      </c>
      <c r="C6317">
        <v>5</v>
      </c>
      <c r="D6317">
        <v>8.6999999999999994E-2</v>
      </c>
      <c r="E6317" t="s">
        <v>6</v>
      </c>
      <c r="F6317">
        <v>0.14357</v>
      </c>
    </row>
    <row r="6318" spans="1:6" x14ac:dyDescent="0.3">
      <c r="A6318" t="s">
        <v>5</v>
      </c>
      <c r="B6318" s="1">
        <v>45921</v>
      </c>
      <c r="C6318">
        <v>6</v>
      </c>
      <c r="D6318">
        <v>6.6000000000000003E-2</v>
      </c>
      <c r="E6318" t="s">
        <v>6</v>
      </c>
      <c r="F6318">
        <v>0.13930999999999999</v>
      </c>
    </row>
    <row r="6319" spans="1:6" x14ac:dyDescent="0.3">
      <c r="A6319" t="s">
        <v>5</v>
      </c>
      <c r="B6319" s="1">
        <v>45921</v>
      </c>
      <c r="C6319">
        <v>7</v>
      </c>
      <c r="D6319">
        <v>8.8999999999999996E-2</v>
      </c>
      <c r="E6319" t="s">
        <v>6</v>
      </c>
      <c r="F6319">
        <v>0.13871</v>
      </c>
    </row>
    <row r="6320" spans="1:6" x14ac:dyDescent="0.3">
      <c r="A6320" t="s">
        <v>5</v>
      </c>
      <c r="B6320" s="1">
        <v>45921</v>
      </c>
      <c r="C6320">
        <v>8</v>
      </c>
      <c r="D6320">
        <v>7.4999999999999997E-2</v>
      </c>
      <c r="E6320" t="s">
        <v>6</v>
      </c>
      <c r="F6320">
        <v>0.14908000000000002</v>
      </c>
    </row>
    <row r="6321" spans="1:6" x14ac:dyDescent="0.3">
      <c r="A6321" t="s">
        <v>5</v>
      </c>
      <c r="B6321" s="1">
        <v>45921</v>
      </c>
      <c r="C6321">
        <v>9</v>
      </c>
      <c r="D6321">
        <v>7.6999999999999999E-2</v>
      </c>
      <c r="E6321" t="s">
        <v>6</v>
      </c>
      <c r="F6321">
        <v>0.13883999999999999</v>
      </c>
    </row>
    <row r="6322" spans="1:6" x14ac:dyDescent="0.3">
      <c r="A6322" t="s">
        <v>5</v>
      </c>
      <c r="B6322" s="1">
        <v>45921</v>
      </c>
      <c r="C6322">
        <v>10</v>
      </c>
      <c r="D6322">
        <v>8.7999999999999995E-2</v>
      </c>
      <c r="E6322" t="s">
        <v>6</v>
      </c>
      <c r="F6322">
        <v>8.7160000000000001E-2</v>
      </c>
    </row>
    <row r="6323" spans="1:6" x14ac:dyDescent="0.3">
      <c r="A6323" t="s">
        <v>5</v>
      </c>
      <c r="B6323" s="1">
        <v>45921</v>
      </c>
      <c r="C6323">
        <v>11</v>
      </c>
      <c r="D6323">
        <v>6.3E-2</v>
      </c>
      <c r="E6323" t="s">
        <v>6</v>
      </c>
      <c r="F6323">
        <v>6.8599999999999994E-2</v>
      </c>
    </row>
    <row r="6324" spans="1:6" x14ac:dyDescent="0.3">
      <c r="A6324" t="s">
        <v>5</v>
      </c>
      <c r="B6324" s="1">
        <v>45921</v>
      </c>
      <c r="C6324">
        <v>12</v>
      </c>
      <c r="D6324">
        <v>8.7999999999999995E-2</v>
      </c>
      <c r="E6324" t="s">
        <v>6</v>
      </c>
      <c r="F6324">
        <v>6.0080000000000001E-2</v>
      </c>
    </row>
    <row r="6325" spans="1:6" x14ac:dyDescent="0.3">
      <c r="A6325" t="s">
        <v>5</v>
      </c>
      <c r="B6325" s="1">
        <v>45921</v>
      </c>
      <c r="C6325">
        <v>13</v>
      </c>
      <c r="D6325">
        <v>7.4999999999999997E-2</v>
      </c>
      <c r="E6325" t="s">
        <v>6</v>
      </c>
      <c r="F6325">
        <v>5.8799999999999998E-2</v>
      </c>
    </row>
    <row r="6326" spans="1:6" x14ac:dyDescent="0.3">
      <c r="A6326" t="s">
        <v>5</v>
      </c>
      <c r="B6326" s="1">
        <v>45921</v>
      </c>
      <c r="C6326">
        <v>14</v>
      </c>
      <c r="D6326">
        <v>7.4999999999999997E-2</v>
      </c>
      <c r="E6326" t="s">
        <v>6</v>
      </c>
      <c r="F6326">
        <v>5.772E-2</v>
      </c>
    </row>
    <row r="6327" spans="1:6" x14ac:dyDescent="0.3">
      <c r="A6327" t="s">
        <v>5</v>
      </c>
      <c r="B6327" s="1">
        <v>45921</v>
      </c>
      <c r="C6327">
        <v>15</v>
      </c>
      <c r="D6327">
        <v>8.7999999999999995E-2</v>
      </c>
      <c r="E6327" t="s">
        <v>6</v>
      </c>
      <c r="F6327">
        <v>5.7509999999999999E-2</v>
      </c>
    </row>
    <row r="6328" spans="1:6" x14ac:dyDescent="0.3">
      <c r="A6328" t="s">
        <v>5</v>
      </c>
      <c r="B6328" s="1">
        <v>45921</v>
      </c>
      <c r="C6328">
        <v>16</v>
      </c>
      <c r="D6328">
        <v>6.3E-2</v>
      </c>
      <c r="E6328" t="s">
        <v>6</v>
      </c>
      <c r="F6328">
        <v>5.806E-2</v>
      </c>
    </row>
    <row r="6329" spans="1:6" x14ac:dyDescent="0.3">
      <c r="A6329" t="s">
        <v>5</v>
      </c>
      <c r="B6329" s="1">
        <v>45921</v>
      </c>
      <c r="C6329">
        <v>17</v>
      </c>
      <c r="D6329">
        <v>0.09</v>
      </c>
      <c r="E6329" t="s">
        <v>6</v>
      </c>
      <c r="F6329">
        <v>5.8799999999999998E-2</v>
      </c>
    </row>
    <row r="6330" spans="1:6" x14ac:dyDescent="0.3">
      <c r="A6330" t="s">
        <v>5</v>
      </c>
      <c r="B6330" s="1">
        <v>45921</v>
      </c>
      <c r="C6330">
        <v>18</v>
      </c>
      <c r="D6330">
        <v>7.4999999999999997E-2</v>
      </c>
      <c r="E6330" t="s">
        <v>6</v>
      </c>
      <c r="F6330">
        <v>5.96E-2</v>
      </c>
    </row>
    <row r="6331" spans="1:6" x14ac:dyDescent="0.3">
      <c r="A6331" t="s">
        <v>5</v>
      </c>
      <c r="B6331" s="1">
        <v>45921</v>
      </c>
      <c r="C6331">
        <v>19</v>
      </c>
      <c r="D6331">
        <v>7.5999999999999998E-2</v>
      </c>
      <c r="E6331" t="s">
        <v>6</v>
      </c>
      <c r="F6331">
        <v>6.132E-2</v>
      </c>
    </row>
    <row r="6332" spans="1:6" x14ac:dyDescent="0.3">
      <c r="A6332" t="s">
        <v>5</v>
      </c>
      <c r="B6332" s="1">
        <v>45921</v>
      </c>
      <c r="C6332">
        <v>20</v>
      </c>
      <c r="D6332">
        <v>0.114</v>
      </c>
      <c r="E6332" t="s">
        <v>6</v>
      </c>
      <c r="F6332">
        <v>0.10606</v>
      </c>
    </row>
    <row r="6333" spans="1:6" x14ac:dyDescent="0.3">
      <c r="A6333" t="s">
        <v>5</v>
      </c>
      <c r="B6333" s="1">
        <v>45921</v>
      </c>
      <c r="C6333">
        <v>21</v>
      </c>
      <c r="D6333">
        <v>0.27</v>
      </c>
      <c r="E6333" t="s">
        <v>6</v>
      </c>
      <c r="F6333">
        <v>0.13061</v>
      </c>
    </row>
    <row r="6334" spans="1:6" x14ac:dyDescent="0.3">
      <c r="A6334" t="s">
        <v>5</v>
      </c>
      <c r="B6334" s="1">
        <v>45921</v>
      </c>
      <c r="C6334">
        <v>22</v>
      </c>
      <c r="D6334">
        <v>1.4059999999999999</v>
      </c>
      <c r="E6334" t="s">
        <v>6</v>
      </c>
      <c r="F6334">
        <v>0.11712</v>
      </c>
    </row>
    <row r="6335" spans="1:6" x14ac:dyDescent="0.3">
      <c r="A6335" t="s">
        <v>5</v>
      </c>
      <c r="B6335" s="1">
        <v>45921</v>
      </c>
      <c r="C6335">
        <v>23</v>
      </c>
      <c r="D6335">
        <v>1.768</v>
      </c>
      <c r="E6335" t="s">
        <v>6</v>
      </c>
      <c r="F6335">
        <v>0.11170999999999999</v>
      </c>
    </row>
    <row r="6336" spans="1:6" x14ac:dyDescent="0.3">
      <c r="A6336" t="s">
        <v>5</v>
      </c>
      <c r="B6336" s="1">
        <v>45921</v>
      </c>
      <c r="C6336">
        <v>24</v>
      </c>
      <c r="D6336">
        <v>0.52800000000000002</v>
      </c>
      <c r="E6336" t="s">
        <v>6</v>
      </c>
      <c r="F6336">
        <v>9.7360000000000002E-2</v>
      </c>
    </row>
    <row r="6337" spans="1:6" x14ac:dyDescent="0.3">
      <c r="A6337" t="s">
        <v>5</v>
      </c>
      <c r="B6337" s="1">
        <v>45922</v>
      </c>
      <c r="C6337">
        <v>1</v>
      </c>
      <c r="D6337">
        <v>0.27400000000000002</v>
      </c>
      <c r="E6337" t="s">
        <v>6</v>
      </c>
      <c r="F6337">
        <v>9.9809999999999996E-2</v>
      </c>
    </row>
    <row r="6338" spans="1:6" x14ac:dyDescent="0.3">
      <c r="A6338" t="s">
        <v>5</v>
      </c>
      <c r="B6338" s="1">
        <v>45922</v>
      </c>
      <c r="C6338">
        <v>2</v>
      </c>
      <c r="D6338">
        <v>0.20100000000000001</v>
      </c>
      <c r="E6338" t="s">
        <v>6</v>
      </c>
      <c r="F6338">
        <v>0.10079</v>
      </c>
    </row>
    <row r="6339" spans="1:6" x14ac:dyDescent="0.3">
      <c r="A6339" t="s">
        <v>5</v>
      </c>
      <c r="B6339" s="1">
        <v>45922</v>
      </c>
      <c r="C6339">
        <v>3</v>
      </c>
      <c r="D6339">
        <v>0.19400000000000001</v>
      </c>
      <c r="E6339" t="s">
        <v>6</v>
      </c>
      <c r="F6339">
        <v>9.9089999999999998E-2</v>
      </c>
    </row>
    <row r="6340" spans="1:6" x14ac:dyDescent="0.3">
      <c r="A6340" t="s">
        <v>5</v>
      </c>
      <c r="B6340" s="1">
        <v>45922</v>
      </c>
      <c r="C6340">
        <v>4</v>
      </c>
      <c r="D6340">
        <v>0.182</v>
      </c>
      <c r="E6340" t="s">
        <v>6</v>
      </c>
      <c r="F6340">
        <v>9.9819999999999992E-2</v>
      </c>
    </row>
    <row r="6341" spans="1:6" x14ac:dyDescent="0.3">
      <c r="A6341" t="s">
        <v>5</v>
      </c>
      <c r="B6341" s="1">
        <v>45922</v>
      </c>
      <c r="C6341">
        <v>5</v>
      </c>
      <c r="D6341">
        <v>0.16800000000000001</v>
      </c>
      <c r="E6341" t="s">
        <v>6</v>
      </c>
      <c r="F6341">
        <v>0.10814</v>
      </c>
    </row>
    <row r="6342" spans="1:6" x14ac:dyDescent="0.3">
      <c r="A6342" t="s">
        <v>5</v>
      </c>
      <c r="B6342" s="1">
        <v>45922</v>
      </c>
      <c r="C6342">
        <v>6</v>
      </c>
      <c r="D6342">
        <v>0.17899999999999999</v>
      </c>
      <c r="E6342" t="s">
        <v>6</v>
      </c>
      <c r="F6342">
        <v>0.10167</v>
      </c>
    </row>
    <row r="6343" spans="1:6" x14ac:dyDescent="0.3">
      <c r="A6343" t="s">
        <v>5</v>
      </c>
      <c r="B6343" s="1">
        <v>45922</v>
      </c>
      <c r="C6343">
        <v>7</v>
      </c>
      <c r="D6343">
        <v>0.187</v>
      </c>
      <c r="E6343" t="s">
        <v>6</v>
      </c>
      <c r="F6343">
        <v>0.10213999999999999</v>
      </c>
    </row>
    <row r="6344" spans="1:6" x14ac:dyDescent="0.3">
      <c r="A6344" t="s">
        <v>5</v>
      </c>
      <c r="B6344" s="1">
        <v>45922</v>
      </c>
      <c r="C6344">
        <v>8</v>
      </c>
      <c r="D6344">
        <v>0.154</v>
      </c>
      <c r="E6344" t="s">
        <v>6</v>
      </c>
      <c r="F6344">
        <v>0.12615999999999999</v>
      </c>
    </row>
    <row r="6345" spans="1:6" x14ac:dyDescent="0.3">
      <c r="A6345" t="s">
        <v>5</v>
      </c>
      <c r="B6345" s="1">
        <v>45922</v>
      </c>
      <c r="C6345">
        <v>9</v>
      </c>
      <c r="D6345">
        <v>0.11600000000000001</v>
      </c>
      <c r="E6345" t="s">
        <v>6</v>
      </c>
      <c r="F6345">
        <v>0.14996999999999999</v>
      </c>
    </row>
    <row r="6346" spans="1:6" x14ac:dyDescent="0.3">
      <c r="A6346" t="s">
        <v>5</v>
      </c>
      <c r="B6346" s="1">
        <v>45922</v>
      </c>
      <c r="C6346">
        <v>10</v>
      </c>
      <c r="D6346">
        <v>0.20799999999999999</v>
      </c>
      <c r="E6346" t="s">
        <v>6</v>
      </c>
      <c r="F6346">
        <v>0.11244</v>
      </c>
    </row>
    <row r="6347" spans="1:6" x14ac:dyDescent="0.3">
      <c r="A6347" t="s">
        <v>5</v>
      </c>
      <c r="B6347" s="1">
        <v>45922</v>
      </c>
      <c r="C6347">
        <v>11</v>
      </c>
      <c r="D6347">
        <v>0.39200000000000002</v>
      </c>
      <c r="E6347" t="s">
        <v>6</v>
      </c>
      <c r="F6347">
        <v>0.14696999999999999</v>
      </c>
    </row>
    <row r="6348" spans="1:6" x14ac:dyDescent="0.3">
      <c r="A6348" t="s">
        <v>5</v>
      </c>
      <c r="B6348" s="1">
        <v>45922</v>
      </c>
      <c r="C6348">
        <v>12</v>
      </c>
      <c r="D6348">
        <v>0.21299999999999999</v>
      </c>
      <c r="E6348" t="s">
        <v>6</v>
      </c>
      <c r="F6348">
        <v>0.14458000000000001</v>
      </c>
    </row>
    <row r="6349" spans="1:6" x14ac:dyDescent="0.3">
      <c r="A6349" t="s">
        <v>5</v>
      </c>
      <c r="B6349" s="1">
        <v>45922</v>
      </c>
      <c r="C6349">
        <v>13</v>
      </c>
      <c r="D6349">
        <v>0.38800000000000001</v>
      </c>
      <c r="E6349" t="s">
        <v>6</v>
      </c>
      <c r="F6349">
        <v>0.14437</v>
      </c>
    </row>
    <row r="6350" spans="1:6" x14ac:dyDescent="0.3">
      <c r="A6350" t="s">
        <v>5</v>
      </c>
      <c r="B6350" s="1">
        <v>45922</v>
      </c>
      <c r="C6350">
        <v>14</v>
      </c>
      <c r="D6350">
        <v>0.35399999999999998</v>
      </c>
      <c r="E6350" t="s">
        <v>6</v>
      </c>
      <c r="F6350">
        <v>0.14258999999999999</v>
      </c>
    </row>
    <row r="6351" spans="1:6" x14ac:dyDescent="0.3">
      <c r="A6351" t="s">
        <v>5</v>
      </c>
      <c r="B6351" s="1">
        <v>45922</v>
      </c>
      <c r="C6351">
        <v>15</v>
      </c>
      <c r="D6351">
        <v>0.53200000000000003</v>
      </c>
      <c r="E6351" t="s">
        <v>6</v>
      </c>
      <c r="F6351">
        <v>7.7579999999999996E-2</v>
      </c>
    </row>
    <row r="6352" spans="1:6" x14ac:dyDescent="0.3">
      <c r="A6352" t="s">
        <v>5</v>
      </c>
      <c r="B6352" s="1">
        <v>45922</v>
      </c>
      <c r="C6352">
        <v>16</v>
      </c>
      <c r="D6352">
        <v>0.433</v>
      </c>
      <c r="E6352" t="s">
        <v>6</v>
      </c>
      <c r="F6352">
        <v>7.7909999999999993E-2</v>
      </c>
    </row>
    <row r="6353" spans="1:6" x14ac:dyDescent="0.3">
      <c r="A6353" t="s">
        <v>5</v>
      </c>
      <c r="B6353" s="1">
        <v>45922</v>
      </c>
      <c r="C6353">
        <v>17</v>
      </c>
      <c r="D6353">
        <v>0.15</v>
      </c>
      <c r="E6353" t="s">
        <v>6</v>
      </c>
      <c r="F6353">
        <v>7.8189999999999996E-2</v>
      </c>
    </row>
    <row r="6354" spans="1:6" x14ac:dyDescent="0.3">
      <c r="A6354" t="s">
        <v>5</v>
      </c>
      <c r="B6354" s="1">
        <v>45922</v>
      </c>
      <c r="C6354">
        <v>18</v>
      </c>
      <c r="D6354">
        <v>0.14000000000000001</v>
      </c>
      <c r="E6354" t="s">
        <v>6</v>
      </c>
      <c r="F6354">
        <v>7.8450000000000006E-2</v>
      </c>
    </row>
    <row r="6355" spans="1:6" x14ac:dyDescent="0.3">
      <c r="A6355" t="s">
        <v>5</v>
      </c>
      <c r="B6355" s="1">
        <v>45922</v>
      </c>
      <c r="C6355">
        <v>19</v>
      </c>
      <c r="D6355">
        <v>0.13800000000000001</v>
      </c>
      <c r="E6355" t="s">
        <v>6</v>
      </c>
      <c r="F6355">
        <v>0.16297999999999999</v>
      </c>
    </row>
    <row r="6356" spans="1:6" x14ac:dyDescent="0.3">
      <c r="A6356" t="s">
        <v>5</v>
      </c>
      <c r="B6356" s="1">
        <v>45922</v>
      </c>
      <c r="C6356">
        <v>20</v>
      </c>
      <c r="D6356">
        <v>0.218</v>
      </c>
      <c r="E6356" t="s">
        <v>6</v>
      </c>
      <c r="F6356">
        <v>0.22256999999999999</v>
      </c>
    </row>
    <row r="6357" spans="1:6" x14ac:dyDescent="0.3">
      <c r="A6357" t="s">
        <v>5</v>
      </c>
      <c r="B6357" s="1">
        <v>45922</v>
      </c>
      <c r="C6357">
        <v>21</v>
      </c>
      <c r="D6357">
        <v>0.16300000000000001</v>
      </c>
      <c r="E6357" t="s">
        <v>6</v>
      </c>
      <c r="F6357">
        <v>0.27331</v>
      </c>
    </row>
    <row r="6358" spans="1:6" x14ac:dyDescent="0.3">
      <c r="A6358" t="s">
        <v>5</v>
      </c>
      <c r="B6358" s="1">
        <v>45922</v>
      </c>
      <c r="C6358">
        <v>22</v>
      </c>
      <c r="D6358">
        <v>0.625</v>
      </c>
      <c r="E6358" t="s">
        <v>6</v>
      </c>
      <c r="F6358">
        <v>0.26727000000000001</v>
      </c>
    </row>
    <row r="6359" spans="1:6" x14ac:dyDescent="0.3">
      <c r="A6359" t="s">
        <v>5</v>
      </c>
      <c r="B6359" s="1">
        <v>45922</v>
      </c>
      <c r="C6359">
        <v>23</v>
      </c>
      <c r="D6359">
        <v>0.97099999999999997</v>
      </c>
      <c r="E6359" t="s">
        <v>6</v>
      </c>
      <c r="F6359">
        <v>0.17590999999999998</v>
      </c>
    </row>
    <row r="6360" spans="1:6" x14ac:dyDescent="0.3">
      <c r="A6360" t="s">
        <v>5</v>
      </c>
      <c r="B6360" s="1">
        <v>45922</v>
      </c>
      <c r="C6360">
        <v>24</v>
      </c>
      <c r="D6360">
        <v>0.56499999999999995</v>
      </c>
      <c r="E6360" t="s">
        <v>6</v>
      </c>
      <c r="F6360">
        <v>0.17552000000000001</v>
      </c>
    </row>
    <row r="6361" spans="1:6" x14ac:dyDescent="0.3">
      <c r="A6361" t="s">
        <v>5</v>
      </c>
      <c r="B6361" s="1">
        <v>45923</v>
      </c>
      <c r="C6361">
        <v>1</v>
      </c>
      <c r="D6361">
        <v>1.6040000000000001</v>
      </c>
      <c r="E6361" t="s">
        <v>6</v>
      </c>
      <c r="F6361">
        <v>0.13719000000000001</v>
      </c>
    </row>
    <row r="6362" spans="1:6" x14ac:dyDescent="0.3">
      <c r="A6362" t="s">
        <v>5</v>
      </c>
      <c r="B6362" s="1">
        <v>45923</v>
      </c>
      <c r="C6362">
        <v>2</v>
      </c>
      <c r="D6362">
        <v>0.68200000000000005</v>
      </c>
      <c r="E6362" t="s">
        <v>6</v>
      </c>
      <c r="F6362">
        <v>0.12114</v>
      </c>
    </row>
    <row r="6363" spans="1:6" x14ac:dyDescent="0.3">
      <c r="A6363" t="s">
        <v>5</v>
      </c>
      <c r="B6363" s="1">
        <v>45923</v>
      </c>
      <c r="C6363">
        <v>3</v>
      </c>
      <c r="D6363">
        <v>0.47499999999999998</v>
      </c>
      <c r="E6363" t="s">
        <v>6</v>
      </c>
      <c r="F6363">
        <v>0.14555000000000001</v>
      </c>
    </row>
    <row r="6364" spans="1:6" x14ac:dyDescent="0.3">
      <c r="A6364" t="s">
        <v>5</v>
      </c>
      <c r="B6364" s="1">
        <v>45923</v>
      </c>
      <c r="C6364">
        <v>4</v>
      </c>
      <c r="D6364">
        <v>0.22900000000000001</v>
      </c>
      <c r="E6364" t="s">
        <v>6</v>
      </c>
      <c r="F6364">
        <v>0.1346</v>
      </c>
    </row>
    <row r="6365" spans="1:6" x14ac:dyDescent="0.3">
      <c r="A6365" t="s">
        <v>5</v>
      </c>
      <c r="B6365" s="1">
        <v>45923</v>
      </c>
      <c r="C6365">
        <v>5</v>
      </c>
      <c r="D6365">
        <v>0.21199999999999999</v>
      </c>
      <c r="E6365" t="s">
        <v>6</v>
      </c>
      <c r="F6365">
        <v>0.13703000000000001</v>
      </c>
    </row>
    <row r="6366" spans="1:6" x14ac:dyDescent="0.3">
      <c r="A6366" t="s">
        <v>5</v>
      </c>
      <c r="B6366" s="1">
        <v>45923</v>
      </c>
      <c r="C6366">
        <v>6</v>
      </c>
      <c r="D6366">
        <v>0.19900000000000001</v>
      </c>
      <c r="E6366" t="s">
        <v>6</v>
      </c>
      <c r="F6366">
        <v>0.14007</v>
      </c>
    </row>
    <row r="6367" spans="1:6" x14ac:dyDescent="0.3">
      <c r="A6367" t="s">
        <v>5</v>
      </c>
      <c r="B6367" s="1">
        <v>45923</v>
      </c>
      <c r="C6367">
        <v>7</v>
      </c>
      <c r="D6367">
        <v>0.19400000000000001</v>
      </c>
      <c r="E6367" t="s">
        <v>6</v>
      </c>
      <c r="F6367">
        <v>0.14029</v>
      </c>
    </row>
    <row r="6368" spans="1:6" x14ac:dyDescent="0.3">
      <c r="A6368" t="s">
        <v>5</v>
      </c>
      <c r="B6368" s="1">
        <v>45923</v>
      </c>
      <c r="C6368">
        <v>8</v>
      </c>
      <c r="D6368">
        <v>0.2</v>
      </c>
      <c r="E6368" t="s">
        <v>6</v>
      </c>
      <c r="F6368">
        <v>0.13838</v>
      </c>
    </row>
    <row r="6369" spans="1:6" x14ac:dyDescent="0.3">
      <c r="A6369" t="s">
        <v>5</v>
      </c>
      <c r="B6369" s="1">
        <v>45923</v>
      </c>
      <c r="C6369">
        <v>9</v>
      </c>
      <c r="D6369">
        <v>0.20399999999999999</v>
      </c>
      <c r="E6369" t="s">
        <v>6</v>
      </c>
      <c r="F6369">
        <v>0.16313</v>
      </c>
    </row>
    <row r="6370" spans="1:6" x14ac:dyDescent="0.3">
      <c r="A6370" t="s">
        <v>5</v>
      </c>
      <c r="B6370" s="1">
        <v>45923</v>
      </c>
      <c r="C6370">
        <v>10</v>
      </c>
      <c r="D6370">
        <v>0.30199999999999999</v>
      </c>
      <c r="E6370" t="s">
        <v>6</v>
      </c>
      <c r="F6370">
        <v>0.11456000000000001</v>
      </c>
    </row>
    <row r="6371" spans="1:6" x14ac:dyDescent="0.3">
      <c r="A6371" t="s">
        <v>5</v>
      </c>
      <c r="B6371" s="1">
        <v>45923</v>
      </c>
      <c r="C6371">
        <v>11</v>
      </c>
      <c r="D6371">
        <v>9.9000000000000005E-2</v>
      </c>
      <c r="E6371" t="s">
        <v>6</v>
      </c>
      <c r="F6371">
        <v>0.14077000000000001</v>
      </c>
    </row>
    <row r="6372" spans="1:6" x14ac:dyDescent="0.3">
      <c r="A6372" t="s">
        <v>5</v>
      </c>
      <c r="B6372" s="1">
        <v>45923</v>
      </c>
      <c r="C6372">
        <v>12</v>
      </c>
      <c r="D6372">
        <v>8.8999999999999996E-2</v>
      </c>
      <c r="E6372" t="s">
        <v>6</v>
      </c>
      <c r="F6372">
        <v>0.13677</v>
      </c>
    </row>
    <row r="6373" spans="1:6" x14ac:dyDescent="0.3">
      <c r="A6373" t="s">
        <v>5</v>
      </c>
      <c r="B6373" s="1">
        <v>45923</v>
      </c>
      <c r="C6373">
        <v>13</v>
      </c>
      <c r="D6373">
        <v>0.58299999999999996</v>
      </c>
      <c r="E6373" t="s">
        <v>6</v>
      </c>
      <c r="F6373">
        <v>0.13550000000000001</v>
      </c>
    </row>
    <row r="6374" spans="1:6" x14ac:dyDescent="0.3">
      <c r="A6374" t="s">
        <v>5</v>
      </c>
      <c r="B6374" s="1">
        <v>45923</v>
      </c>
      <c r="C6374">
        <v>14</v>
      </c>
      <c r="D6374">
        <v>0.38</v>
      </c>
      <c r="E6374" t="s">
        <v>6</v>
      </c>
      <c r="F6374">
        <v>0.13253999999999999</v>
      </c>
    </row>
    <row r="6375" spans="1:6" x14ac:dyDescent="0.3">
      <c r="A6375" t="s">
        <v>5</v>
      </c>
      <c r="B6375" s="1">
        <v>45923</v>
      </c>
      <c r="C6375">
        <v>15</v>
      </c>
      <c r="D6375">
        <v>0.72399999999999998</v>
      </c>
      <c r="E6375" t="s">
        <v>6</v>
      </c>
      <c r="F6375">
        <v>6.7459999999999992E-2</v>
      </c>
    </row>
    <row r="6376" spans="1:6" x14ac:dyDescent="0.3">
      <c r="A6376" t="s">
        <v>5</v>
      </c>
      <c r="B6376" s="1">
        <v>45923</v>
      </c>
      <c r="C6376">
        <v>16</v>
      </c>
      <c r="D6376">
        <v>0.76600000000000001</v>
      </c>
      <c r="E6376" t="s">
        <v>6</v>
      </c>
      <c r="F6376">
        <v>6.7830000000000001E-2</v>
      </c>
    </row>
    <row r="6377" spans="1:6" x14ac:dyDescent="0.3">
      <c r="A6377" t="s">
        <v>5</v>
      </c>
      <c r="B6377" s="1">
        <v>45923</v>
      </c>
      <c r="C6377">
        <v>17</v>
      </c>
      <c r="D6377">
        <v>0.76900000000000002</v>
      </c>
      <c r="E6377" t="s">
        <v>6</v>
      </c>
      <c r="F6377">
        <v>6.7930000000000004E-2</v>
      </c>
    </row>
    <row r="6378" spans="1:6" x14ac:dyDescent="0.3">
      <c r="A6378" t="s">
        <v>5</v>
      </c>
      <c r="B6378" s="1">
        <v>45923</v>
      </c>
      <c r="C6378">
        <v>18</v>
      </c>
      <c r="D6378">
        <v>0.28299999999999997</v>
      </c>
      <c r="E6378" t="s">
        <v>6</v>
      </c>
      <c r="F6378">
        <v>7.0699999999999999E-2</v>
      </c>
    </row>
    <row r="6379" spans="1:6" x14ac:dyDescent="0.3">
      <c r="A6379" t="s">
        <v>5</v>
      </c>
      <c r="B6379" s="1">
        <v>45923</v>
      </c>
      <c r="C6379">
        <v>19</v>
      </c>
      <c r="D6379">
        <v>0.16200000000000001</v>
      </c>
      <c r="E6379" t="s">
        <v>6</v>
      </c>
      <c r="F6379">
        <v>0.16513999999999998</v>
      </c>
    </row>
    <row r="6380" spans="1:6" x14ac:dyDescent="0.3">
      <c r="A6380" t="s">
        <v>5</v>
      </c>
      <c r="B6380" s="1">
        <v>45923</v>
      </c>
      <c r="C6380">
        <v>20</v>
      </c>
      <c r="D6380">
        <v>0.11799999999999999</v>
      </c>
      <c r="E6380" t="s">
        <v>6</v>
      </c>
      <c r="F6380">
        <v>0.22792999999999999</v>
      </c>
    </row>
    <row r="6381" spans="1:6" x14ac:dyDescent="0.3">
      <c r="A6381" t="s">
        <v>5</v>
      </c>
      <c r="B6381" s="1">
        <v>45923</v>
      </c>
      <c r="C6381">
        <v>21</v>
      </c>
      <c r="D6381">
        <v>0.33100000000000002</v>
      </c>
      <c r="E6381" t="s">
        <v>6</v>
      </c>
      <c r="F6381">
        <v>0.24806</v>
      </c>
    </row>
    <row r="6382" spans="1:6" x14ac:dyDescent="0.3">
      <c r="A6382" t="s">
        <v>5</v>
      </c>
      <c r="B6382" s="1">
        <v>45923</v>
      </c>
      <c r="C6382">
        <v>22</v>
      </c>
      <c r="D6382">
        <v>1.1879999999999999</v>
      </c>
      <c r="E6382" t="s">
        <v>6</v>
      </c>
      <c r="F6382">
        <v>0.24229000000000001</v>
      </c>
    </row>
    <row r="6383" spans="1:6" x14ac:dyDescent="0.3">
      <c r="A6383" t="s">
        <v>5</v>
      </c>
      <c r="B6383" s="1">
        <v>45923</v>
      </c>
      <c r="C6383">
        <v>23</v>
      </c>
      <c r="D6383">
        <v>0.95399999999999996</v>
      </c>
      <c r="E6383" t="s">
        <v>6</v>
      </c>
      <c r="F6383">
        <v>0.15662999999999999</v>
      </c>
    </row>
    <row r="6384" spans="1:6" x14ac:dyDescent="0.3">
      <c r="A6384" t="s">
        <v>5</v>
      </c>
      <c r="B6384" s="1">
        <v>45923</v>
      </c>
      <c r="C6384">
        <v>24</v>
      </c>
      <c r="D6384">
        <v>0.71299999999999997</v>
      </c>
      <c r="E6384" t="s">
        <v>6</v>
      </c>
      <c r="F6384">
        <v>0.15855000000000002</v>
      </c>
    </row>
    <row r="6385" spans="1:6" x14ac:dyDescent="0.3">
      <c r="A6385" t="s">
        <v>5</v>
      </c>
      <c r="B6385" s="1">
        <v>45924</v>
      </c>
      <c r="C6385">
        <v>1</v>
      </c>
      <c r="D6385">
        <v>0.55900000000000005</v>
      </c>
      <c r="E6385" t="s">
        <v>6</v>
      </c>
      <c r="F6385">
        <v>0.11477</v>
      </c>
    </row>
    <row r="6386" spans="1:6" x14ac:dyDescent="0.3">
      <c r="A6386" t="s">
        <v>5</v>
      </c>
      <c r="B6386" s="1">
        <v>45924</v>
      </c>
      <c r="C6386">
        <v>2</v>
      </c>
      <c r="D6386">
        <v>0.52800000000000002</v>
      </c>
      <c r="E6386" t="s">
        <v>6</v>
      </c>
      <c r="F6386">
        <v>0.10227</v>
      </c>
    </row>
    <row r="6387" spans="1:6" x14ac:dyDescent="0.3">
      <c r="A6387" t="s">
        <v>5</v>
      </c>
      <c r="B6387" s="1">
        <v>45924</v>
      </c>
      <c r="C6387">
        <v>3</v>
      </c>
      <c r="D6387">
        <v>0.312</v>
      </c>
      <c r="E6387" t="s">
        <v>6</v>
      </c>
      <c r="F6387">
        <v>0.11336</v>
      </c>
    </row>
    <row r="6388" spans="1:6" x14ac:dyDescent="0.3">
      <c r="A6388" t="s">
        <v>5</v>
      </c>
      <c r="B6388" s="1">
        <v>45924</v>
      </c>
      <c r="C6388">
        <v>4</v>
      </c>
      <c r="D6388">
        <v>0.13100000000000001</v>
      </c>
      <c r="E6388" t="s">
        <v>6</v>
      </c>
      <c r="F6388">
        <v>0.10457999999999999</v>
      </c>
    </row>
    <row r="6389" spans="1:6" x14ac:dyDescent="0.3">
      <c r="A6389" t="s">
        <v>5</v>
      </c>
      <c r="B6389" s="1">
        <v>45924</v>
      </c>
      <c r="C6389">
        <v>5</v>
      </c>
      <c r="D6389">
        <v>0.155</v>
      </c>
      <c r="E6389" t="s">
        <v>6</v>
      </c>
      <c r="F6389">
        <v>0.10445</v>
      </c>
    </row>
    <row r="6390" spans="1:6" x14ac:dyDescent="0.3">
      <c r="A6390" t="s">
        <v>5</v>
      </c>
      <c r="B6390" s="1">
        <v>45924</v>
      </c>
      <c r="C6390">
        <v>6</v>
      </c>
      <c r="D6390">
        <v>0.185</v>
      </c>
      <c r="E6390" t="s">
        <v>6</v>
      </c>
      <c r="F6390">
        <v>0.11079</v>
      </c>
    </row>
    <row r="6391" spans="1:6" x14ac:dyDescent="0.3">
      <c r="A6391" t="s">
        <v>5</v>
      </c>
      <c r="B6391" s="1">
        <v>45924</v>
      </c>
      <c r="C6391">
        <v>7</v>
      </c>
      <c r="D6391">
        <v>0.20100000000000001</v>
      </c>
      <c r="E6391" t="s">
        <v>6</v>
      </c>
      <c r="F6391">
        <v>0.10645</v>
      </c>
    </row>
    <row r="6392" spans="1:6" x14ac:dyDescent="0.3">
      <c r="A6392" t="s">
        <v>5</v>
      </c>
      <c r="B6392" s="1">
        <v>45924</v>
      </c>
      <c r="C6392">
        <v>8</v>
      </c>
      <c r="D6392">
        <v>0.186</v>
      </c>
      <c r="E6392" t="s">
        <v>6</v>
      </c>
      <c r="F6392">
        <v>0.12140000000000001</v>
      </c>
    </row>
    <row r="6393" spans="1:6" x14ac:dyDescent="0.3">
      <c r="A6393" t="s">
        <v>5</v>
      </c>
      <c r="B6393" s="1">
        <v>45924</v>
      </c>
      <c r="C6393">
        <v>9</v>
      </c>
      <c r="D6393">
        <v>0.23100000000000001</v>
      </c>
      <c r="E6393" t="s">
        <v>6</v>
      </c>
      <c r="F6393">
        <v>0.15045</v>
      </c>
    </row>
    <row r="6394" spans="1:6" x14ac:dyDescent="0.3">
      <c r="A6394" t="s">
        <v>5</v>
      </c>
      <c r="B6394" s="1">
        <v>45924</v>
      </c>
      <c r="C6394">
        <v>10</v>
      </c>
      <c r="D6394">
        <v>0.248</v>
      </c>
      <c r="E6394" t="s">
        <v>6</v>
      </c>
      <c r="F6394">
        <v>0.13749</v>
      </c>
    </row>
    <row r="6395" spans="1:6" x14ac:dyDescent="0.3">
      <c r="A6395" t="s">
        <v>5</v>
      </c>
      <c r="B6395" s="1">
        <v>45924</v>
      </c>
      <c r="C6395">
        <v>11</v>
      </c>
      <c r="D6395">
        <v>0.82699999999999996</v>
      </c>
      <c r="E6395" t="s">
        <v>6</v>
      </c>
      <c r="F6395">
        <v>0.15118999999999999</v>
      </c>
    </row>
    <row r="6396" spans="1:6" x14ac:dyDescent="0.3">
      <c r="A6396" t="s">
        <v>5</v>
      </c>
      <c r="B6396" s="1">
        <v>45924</v>
      </c>
      <c r="C6396">
        <v>12</v>
      </c>
      <c r="D6396">
        <v>0.29299999999999998</v>
      </c>
      <c r="E6396" t="s">
        <v>6</v>
      </c>
      <c r="F6396">
        <v>0.14088000000000001</v>
      </c>
    </row>
    <row r="6397" spans="1:6" x14ac:dyDescent="0.3">
      <c r="A6397" t="s">
        <v>5</v>
      </c>
      <c r="B6397" s="1">
        <v>45924</v>
      </c>
      <c r="C6397">
        <v>13</v>
      </c>
      <c r="D6397">
        <v>0.23799999999999999</v>
      </c>
      <c r="E6397" t="s">
        <v>6</v>
      </c>
      <c r="F6397">
        <v>0.14038999999999999</v>
      </c>
    </row>
    <row r="6398" spans="1:6" x14ac:dyDescent="0.3">
      <c r="A6398" t="s">
        <v>5</v>
      </c>
      <c r="B6398" s="1">
        <v>45924</v>
      </c>
      <c r="C6398">
        <v>14</v>
      </c>
      <c r="D6398">
        <v>0.27800000000000002</v>
      </c>
      <c r="E6398" t="s">
        <v>6</v>
      </c>
      <c r="F6398">
        <v>0.13852</v>
      </c>
    </row>
    <row r="6399" spans="1:6" x14ac:dyDescent="0.3">
      <c r="A6399" t="s">
        <v>5</v>
      </c>
      <c r="B6399" s="1">
        <v>45924</v>
      </c>
      <c r="C6399">
        <v>15</v>
      </c>
      <c r="D6399">
        <v>0.36799999999999999</v>
      </c>
      <c r="E6399" t="s">
        <v>6</v>
      </c>
      <c r="F6399">
        <v>7.2770000000000001E-2</v>
      </c>
    </row>
    <row r="6400" spans="1:6" x14ac:dyDescent="0.3">
      <c r="A6400" t="s">
        <v>5</v>
      </c>
      <c r="B6400" s="1">
        <v>45924</v>
      </c>
      <c r="C6400">
        <v>16</v>
      </c>
      <c r="D6400">
        <v>0.94499999999999995</v>
      </c>
      <c r="E6400" t="s">
        <v>6</v>
      </c>
      <c r="F6400">
        <v>7.2290000000000007E-2</v>
      </c>
    </row>
    <row r="6401" spans="1:6" x14ac:dyDescent="0.3">
      <c r="A6401" t="s">
        <v>5</v>
      </c>
      <c r="B6401" s="1">
        <v>45924</v>
      </c>
      <c r="C6401">
        <v>17</v>
      </c>
      <c r="D6401">
        <v>0.318</v>
      </c>
      <c r="E6401" t="s">
        <v>6</v>
      </c>
      <c r="F6401">
        <v>7.3180000000000009E-2</v>
      </c>
    </row>
    <row r="6402" spans="1:6" x14ac:dyDescent="0.3">
      <c r="A6402" t="s">
        <v>5</v>
      </c>
      <c r="B6402" s="1">
        <v>45924</v>
      </c>
      <c r="C6402">
        <v>18</v>
      </c>
      <c r="D6402">
        <v>0.29399999999999998</v>
      </c>
      <c r="E6402" t="s">
        <v>6</v>
      </c>
      <c r="F6402">
        <v>9.6579999999999999E-2</v>
      </c>
    </row>
    <row r="6403" spans="1:6" x14ac:dyDescent="0.3">
      <c r="A6403" t="s">
        <v>5</v>
      </c>
      <c r="B6403" s="1">
        <v>45924</v>
      </c>
      <c r="C6403">
        <v>19</v>
      </c>
      <c r="D6403">
        <v>0.38</v>
      </c>
      <c r="E6403" t="s">
        <v>6</v>
      </c>
      <c r="F6403">
        <v>0.21936000000000003</v>
      </c>
    </row>
    <row r="6404" spans="1:6" x14ac:dyDescent="0.3">
      <c r="A6404" t="s">
        <v>5</v>
      </c>
      <c r="B6404" s="1">
        <v>45924</v>
      </c>
      <c r="C6404">
        <v>20</v>
      </c>
      <c r="D6404">
        <v>0.16300000000000001</v>
      </c>
      <c r="E6404" t="s">
        <v>6</v>
      </c>
      <c r="F6404">
        <v>0.24065</v>
      </c>
    </row>
    <row r="6405" spans="1:6" x14ac:dyDescent="0.3">
      <c r="A6405" t="s">
        <v>5</v>
      </c>
      <c r="B6405" s="1">
        <v>45924</v>
      </c>
      <c r="C6405">
        <v>21</v>
      </c>
      <c r="D6405">
        <v>0.16500000000000001</v>
      </c>
      <c r="E6405" t="s">
        <v>6</v>
      </c>
      <c r="F6405">
        <v>0.26447999999999999</v>
      </c>
    </row>
    <row r="6406" spans="1:6" x14ac:dyDescent="0.3">
      <c r="A6406" t="s">
        <v>5</v>
      </c>
      <c r="B6406" s="1">
        <v>45924</v>
      </c>
      <c r="C6406">
        <v>22</v>
      </c>
      <c r="D6406">
        <v>0.30399999999999999</v>
      </c>
      <c r="E6406" t="s">
        <v>6</v>
      </c>
      <c r="F6406">
        <v>0.25383</v>
      </c>
    </row>
    <row r="6407" spans="1:6" x14ac:dyDescent="0.3">
      <c r="A6407" t="s">
        <v>5</v>
      </c>
      <c r="B6407" s="1">
        <v>45924</v>
      </c>
      <c r="C6407">
        <v>23</v>
      </c>
      <c r="D6407">
        <v>0.23499999999999999</v>
      </c>
      <c r="E6407" t="s">
        <v>6</v>
      </c>
      <c r="F6407">
        <v>0.17465</v>
      </c>
    </row>
    <row r="6408" spans="1:6" x14ac:dyDescent="0.3">
      <c r="A6408" t="s">
        <v>5</v>
      </c>
      <c r="B6408" s="1">
        <v>45924</v>
      </c>
      <c r="C6408">
        <v>24</v>
      </c>
      <c r="D6408">
        <v>0.38400000000000001</v>
      </c>
      <c r="E6408" t="s">
        <v>6</v>
      </c>
      <c r="F6408">
        <v>0.16993</v>
      </c>
    </row>
    <row r="6409" spans="1:6" x14ac:dyDescent="0.3">
      <c r="A6409" t="s">
        <v>5</v>
      </c>
      <c r="B6409" s="1">
        <v>45925</v>
      </c>
      <c r="C6409">
        <v>1</v>
      </c>
      <c r="D6409">
        <v>0.34100000000000003</v>
      </c>
      <c r="E6409" t="s">
        <v>6</v>
      </c>
      <c r="F6409">
        <v>0.12271</v>
      </c>
    </row>
    <row r="6410" spans="1:6" x14ac:dyDescent="0.3">
      <c r="A6410" t="s">
        <v>5</v>
      </c>
      <c r="B6410" s="1">
        <v>45925</v>
      </c>
      <c r="C6410">
        <v>2</v>
      </c>
      <c r="D6410">
        <v>0.375</v>
      </c>
      <c r="E6410" t="s">
        <v>6</v>
      </c>
      <c r="F6410">
        <v>0.11597</v>
      </c>
    </row>
    <row r="6411" spans="1:6" x14ac:dyDescent="0.3">
      <c r="A6411" t="s">
        <v>5</v>
      </c>
      <c r="B6411" s="1">
        <v>45925</v>
      </c>
      <c r="C6411">
        <v>3</v>
      </c>
      <c r="D6411">
        <v>0.22</v>
      </c>
      <c r="E6411" t="s">
        <v>6</v>
      </c>
      <c r="F6411">
        <v>0.1171</v>
      </c>
    </row>
    <row r="6412" spans="1:6" x14ac:dyDescent="0.3">
      <c r="A6412" t="s">
        <v>5</v>
      </c>
      <c r="B6412" s="1">
        <v>45925</v>
      </c>
      <c r="C6412">
        <v>4</v>
      </c>
      <c r="D6412">
        <v>0.19900000000000001</v>
      </c>
      <c r="E6412" t="s">
        <v>6</v>
      </c>
      <c r="F6412">
        <v>0.11466</v>
      </c>
    </row>
    <row r="6413" spans="1:6" x14ac:dyDescent="0.3">
      <c r="A6413" t="s">
        <v>5</v>
      </c>
      <c r="B6413" s="1">
        <v>45925</v>
      </c>
      <c r="C6413">
        <v>5</v>
      </c>
      <c r="D6413">
        <v>0.186</v>
      </c>
      <c r="E6413" t="s">
        <v>6</v>
      </c>
      <c r="F6413">
        <v>0.11803</v>
      </c>
    </row>
    <row r="6414" spans="1:6" x14ac:dyDescent="0.3">
      <c r="A6414" t="s">
        <v>5</v>
      </c>
      <c r="B6414" s="1">
        <v>45925</v>
      </c>
      <c r="C6414">
        <v>6</v>
      </c>
      <c r="D6414">
        <v>0.18</v>
      </c>
      <c r="E6414" t="s">
        <v>6</v>
      </c>
      <c r="F6414">
        <v>0.11577</v>
      </c>
    </row>
    <row r="6415" spans="1:6" x14ac:dyDescent="0.3">
      <c r="A6415" t="s">
        <v>5</v>
      </c>
      <c r="B6415" s="1">
        <v>45925</v>
      </c>
      <c r="C6415">
        <v>7</v>
      </c>
      <c r="D6415">
        <v>0.182</v>
      </c>
      <c r="E6415" t="s">
        <v>6</v>
      </c>
      <c r="F6415">
        <v>0.12361</v>
      </c>
    </row>
    <row r="6416" spans="1:6" x14ac:dyDescent="0.3">
      <c r="A6416" t="s">
        <v>5</v>
      </c>
      <c r="B6416" s="1">
        <v>45925</v>
      </c>
      <c r="C6416">
        <v>8</v>
      </c>
      <c r="D6416">
        <v>0.151</v>
      </c>
      <c r="E6416" t="s">
        <v>6</v>
      </c>
      <c r="F6416">
        <v>0.14746000000000001</v>
      </c>
    </row>
    <row r="6417" spans="1:6" x14ac:dyDescent="0.3">
      <c r="A6417" t="s">
        <v>5</v>
      </c>
      <c r="B6417" s="1">
        <v>45925</v>
      </c>
      <c r="C6417">
        <v>9</v>
      </c>
      <c r="D6417">
        <v>0.13700000000000001</v>
      </c>
      <c r="E6417" t="s">
        <v>6</v>
      </c>
      <c r="F6417">
        <v>0.18562999999999999</v>
      </c>
    </row>
    <row r="6418" spans="1:6" x14ac:dyDescent="0.3">
      <c r="A6418" t="s">
        <v>5</v>
      </c>
      <c r="B6418" s="1">
        <v>45925</v>
      </c>
      <c r="C6418">
        <v>10</v>
      </c>
      <c r="D6418">
        <v>0.158</v>
      </c>
      <c r="E6418" t="s">
        <v>6</v>
      </c>
      <c r="F6418">
        <v>0.14899999999999999</v>
      </c>
    </row>
    <row r="6419" spans="1:6" x14ac:dyDescent="0.3">
      <c r="A6419" t="s">
        <v>5</v>
      </c>
      <c r="B6419" s="1">
        <v>45925</v>
      </c>
      <c r="C6419">
        <v>11</v>
      </c>
      <c r="D6419">
        <v>0.45900000000000002</v>
      </c>
      <c r="E6419" t="s">
        <v>6</v>
      </c>
      <c r="F6419">
        <v>0.17783000000000002</v>
      </c>
    </row>
    <row r="6420" spans="1:6" x14ac:dyDescent="0.3">
      <c r="A6420" t="s">
        <v>5</v>
      </c>
      <c r="B6420" s="1">
        <v>45925</v>
      </c>
      <c r="C6420">
        <v>12</v>
      </c>
      <c r="D6420">
        <v>0.94899999999999995</v>
      </c>
      <c r="E6420" t="s">
        <v>6</v>
      </c>
      <c r="F6420">
        <v>0.15221000000000001</v>
      </c>
    </row>
    <row r="6421" spans="1:6" x14ac:dyDescent="0.3">
      <c r="A6421" t="s">
        <v>5</v>
      </c>
      <c r="B6421" s="1">
        <v>45925</v>
      </c>
      <c r="C6421">
        <v>13</v>
      </c>
      <c r="D6421">
        <v>0.73299999999999998</v>
      </c>
      <c r="E6421" t="s">
        <v>6</v>
      </c>
      <c r="F6421">
        <v>0.15143000000000001</v>
      </c>
    </row>
    <row r="6422" spans="1:6" x14ac:dyDescent="0.3">
      <c r="A6422" t="s">
        <v>5</v>
      </c>
      <c r="B6422" s="1">
        <v>45925</v>
      </c>
      <c r="C6422">
        <v>14</v>
      </c>
      <c r="D6422">
        <v>0.09</v>
      </c>
      <c r="E6422" t="s">
        <v>6</v>
      </c>
      <c r="F6422">
        <v>0.14436000000000002</v>
      </c>
    </row>
    <row r="6423" spans="1:6" x14ac:dyDescent="0.3">
      <c r="A6423" t="s">
        <v>5</v>
      </c>
      <c r="B6423" s="1">
        <v>45925</v>
      </c>
      <c r="C6423">
        <v>15</v>
      </c>
      <c r="D6423">
        <v>0.13200000000000001</v>
      </c>
      <c r="E6423" t="s">
        <v>6</v>
      </c>
      <c r="F6423">
        <v>7.2690000000000005E-2</v>
      </c>
    </row>
    <row r="6424" spans="1:6" x14ac:dyDescent="0.3">
      <c r="A6424" t="s">
        <v>5</v>
      </c>
      <c r="B6424" s="1">
        <v>45925</v>
      </c>
      <c r="C6424">
        <v>16</v>
      </c>
      <c r="D6424">
        <v>0.96099999999999997</v>
      </c>
      <c r="E6424" t="s">
        <v>6</v>
      </c>
      <c r="F6424">
        <v>7.5930000000000011E-2</v>
      </c>
    </row>
    <row r="6425" spans="1:6" x14ac:dyDescent="0.3">
      <c r="A6425" t="s">
        <v>5</v>
      </c>
      <c r="B6425" s="1">
        <v>45925</v>
      </c>
      <c r="C6425">
        <v>17</v>
      </c>
      <c r="D6425">
        <v>0.13200000000000001</v>
      </c>
      <c r="E6425" t="s">
        <v>6</v>
      </c>
      <c r="F6425">
        <v>7.9480000000000009E-2</v>
      </c>
    </row>
    <row r="6426" spans="1:6" x14ac:dyDescent="0.3">
      <c r="A6426" t="s">
        <v>5</v>
      </c>
      <c r="B6426" s="1">
        <v>45925</v>
      </c>
      <c r="C6426">
        <v>18</v>
      </c>
      <c r="D6426">
        <v>0.3</v>
      </c>
      <c r="E6426" t="s">
        <v>6</v>
      </c>
      <c r="F6426">
        <v>0.10992</v>
      </c>
    </row>
    <row r="6427" spans="1:6" x14ac:dyDescent="0.3">
      <c r="A6427" t="s">
        <v>5</v>
      </c>
      <c r="B6427" s="1">
        <v>45925</v>
      </c>
      <c r="C6427">
        <v>19</v>
      </c>
      <c r="D6427">
        <v>0.251</v>
      </c>
      <c r="E6427" t="s">
        <v>6</v>
      </c>
      <c r="F6427">
        <v>0.20143</v>
      </c>
    </row>
    <row r="6428" spans="1:6" x14ac:dyDescent="0.3">
      <c r="A6428" t="s">
        <v>5</v>
      </c>
      <c r="B6428" s="1">
        <v>45925</v>
      </c>
      <c r="C6428">
        <v>20</v>
      </c>
      <c r="D6428">
        <v>0.13900000000000001</v>
      </c>
      <c r="E6428" t="s">
        <v>6</v>
      </c>
      <c r="F6428">
        <v>0.23993999999999999</v>
      </c>
    </row>
    <row r="6429" spans="1:6" x14ac:dyDescent="0.3">
      <c r="A6429" t="s">
        <v>5</v>
      </c>
      <c r="B6429" s="1">
        <v>45925</v>
      </c>
      <c r="C6429">
        <v>21</v>
      </c>
      <c r="D6429">
        <v>0.41799999999999998</v>
      </c>
      <c r="E6429" t="s">
        <v>6</v>
      </c>
      <c r="F6429">
        <v>0.31264999999999998</v>
      </c>
    </row>
    <row r="6430" spans="1:6" x14ac:dyDescent="0.3">
      <c r="A6430" t="s">
        <v>5</v>
      </c>
      <c r="B6430" s="1">
        <v>45925</v>
      </c>
      <c r="C6430">
        <v>22</v>
      </c>
      <c r="D6430">
        <v>1.0680000000000001</v>
      </c>
      <c r="E6430" t="s">
        <v>6</v>
      </c>
      <c r="F6430">
        <v>0.31186000000000003</v>
      </c>
    </row>
    <row r="6431" spans="1:6" x14ac:dyDescent="0.3">
      <c r="A6431" t="s">
        <v>5</v>
      </c>
      <c r="B6431" s="1">
        <v>45925</v>
      </c>
      <c r="C6431">
        <v>23</v>
      </c>
      <c r="D6431">
        <v>0.36899999999999999</v>
      </c>
      <c r="E6431" t="s">
        <v>6</v>
      </c>
      <c r="F6431">
        <v>0.19286</v>
      </c>
    </row>
    <row r="6432" spans="1:6" x14ac:dyDescent="0.3">
      <c r="A6432" t="s">
        <v>5</v>
      </c>
      <c r="B6432" s="1">
        <v>45925</v>
      </c>
      <c r="C6432">
        <v>24</v>
      </c>
      <c r="D6432">
        <v>0.28000000000000003</v>
      </c>
      <c r="E6432" t="s">
        <v>6</v>
      </c>
      <c r="F6432">
        <v>0.16225000000000001</v>
      </c>
    </row>
    <row r="6433" spans="1:6" x14ac:dyDescent="0.3">
      <c r="A6433" t="s">
        <v>5</v>
      </c>
      <c r="B6433" s="1">
        <v>45926</v>
      </c>
      <c r="C6433">
        <v>1</v>
      </c>
      <c r="D6433">
        <v>0.2</v>
      </c>
      <c r="E6433" t="s">
        <v>6</v>
      </c>
      <c r="F6433">
        <v>0.13533000000000001</v>
      </c>
    </row>
    <row r="6434" spans="1:6" x14ac:dyDescent="0.3">
      <c r="A6434" t="s">
        <v>5</v>
      </c>
      <c r="B6434" s="1">
        <v>45926</v>
      </c>
      <c r="C6434">
        <v>2</v>
      </c>
      <c r="D6434">
        <v>0.187</v>
      </c>
      <c r="E6434" t="s">
        <v>6</v>
      </c>
      <c r="F6434">
        <v>0.13319</v>
      </c>
    </row>
    <row r="6435" spans="1:6" x14ac:dyDescent="0.3">
      <c r="A6435" t="s">
        <v>5</v>
      </c>
      <c r="B6435" s="1">
        <v>45926</v>
      </c>
      <c r="C6435">
        <v>3</v>
      </c>
      <c r="D6435">
        <v>0.19</v>
      </c>
      <c r="E6435" t="s">
        <v>6</v>
      </c>
      <c r="F6435">
        <v>0.13056000000000001</v>
      </c>
    </row>
    <row r="6436" spans="1:6" x14ac:dyDescent="0.3">
      <c r="A6436" t="s">
        <v>5</v>
      </c>
      <c r="B6436" s="1">
        <v>45926</v>
      </c>
      <c r="C6436">
        <v>4</v>
      </c>
      <c r="D6436">
        <v>0.18099999999999999</v>
      </c>
      <c r="E6436" t="s">
        <v>6</v>
      </c>
      <c r="F6436">
        <v>0.12631999999999999</v>
      </c>
    </row>
    <row r="6437" spans="1:6" x14ac:dyDescent="0.3">
      <c r="A6437" t="s">
        <v>5</v>
      </c>
      <c r="B6437" s="1">
        <v>45926</v>
      </c>
      <c r="C6437">
        <v>5</v>
      </c>
      <c r="D6437">
        <v>0.19500000000000001</v>
      </c>
      <c r="E6437" t="s">
        <v>6</v>
      </c>
      <c r="F6437">
        <v>0.12651999999999999</v>
      </c>
    </row>
    <row r="6438" spans="1:6" x14ac:dyDescent="0.3">
      <c r="A6438" t="s">
        <v>5</v>
      </c>
      <c r="B6438" s="1">
        <v>45926</v>
      </c>
      <c r="C6438">
        <v>6</v>
      </c>
      <c r="D6438">
        <v>0.17499999999999999</v>
      </c>
      <c r="E6438" t="s">
        <v>6</v>
      </c>
      <c r="F6438">
        <v>0.13128000000000001</v>
      </c>
    </row>
    <row r="6439" spans="1:6" x14ac:dyDescent="0.3">
      <c r="A6439" t="s">
        <v>5</v>
      </c>
      <c r="B6439" s="1">
        <v>45926</v>
      </c>
      <c r="C6439">
        <v>7</v>
      </c>
      <c r="D6439">
        <v>0.186</v>
      </c>
      <c r="E6439" t="s">
        <v>6</v>
      </c>
      <c r="F6439">
        <v>0.13297999999999999</v>
      </c>
    </row>
    <row r="6440" spans="1:6" x14ac:dyDescent="0.3">
      <c r="A6440" t="s">
        <v>5</v>
      </c>
      <c r="B6440" s="1">
        <v>45926</v>
      </c>
      <c r="C6440">
        <v>8</v>
      </c>
      <c r="D6440">
        <v>0.22600000000000001</v>
      </c>
      <c r="E6440" t="s">
        <v>6</v>
      </c>
      <c r="F6440">
        <v>0.14874999999999999</v>
      </c>
    </row>
    <row r="6441" spans="1:6" x14ac:dyDescent="0.3">
      <c r="A6441" t="s">
        <v>5</v>
      </c>
      <c r="B6441" s="1">
        <v>45926</v>
      </c>
      <c r="C6441">
        <v>9</v>
      </c>
      <c r="D6441">
        <v>7.9000000000000001E-2</v>
      </c>
      <c r="E6441" t="s">
        <v>6</v>
      </c>
      <c r="F6441">
        <v>0.17452000000000001</v>
      </c>
    </row>
    <row r="6442" spans="1:6" x14ac:dyDescent="0.3">
      <c r="A6442" t="s">
        <v>5</v>
      </c>
      <c r="B6442" s="1">
        <v>45926</v>
      </c>
      <c r="C6442">
        <v>10</v>
      </c>
      <c r="D6442">
        <v>0.127</v>
      </c>
      <c r="E6442" t="s">
        <v>6</v>
      </c>
      <c r="F6442">
        <v>0.15859999999999999</v>
      </c>
    </row>
    <row r="6443" spans="1:6" x14ac:dyDescent="0.3">
      <c r="A6443" t="s">
        <v>5</v>
      </c>
      <c r="B6443" s="1">
        <v>45926</v>
      </c>
      <c r="C6443">
        <v>11</v>
      </c>
      <c r="D6443">
        <v>0.129</v>
      </c>
      <c r="E6443" t="s">
        <v>6</v>
      </c>
      <c r="F6443">
        <v>0.20316999999999999</v>
      </c>
    </row>
    <row r="6444" spans="1:6" x14ac:dyDescent="0.3">
      <c r="A6444" t="s">
        <v>5</v>
      </c>
      <c r="B6444" s="1">
        <v>45926</v>
      </c>
      <c r="C6444">
        <v>12</v>
      </c>
      <c r="D6444">
        <v>0.105</v>
      </c>
      <c r="E6444" t="s">
        <v>6</v>
      </c>
      <c r="F6444">
        <v>0.14895</v>
      </c>
    </row>
    <row r="6445" spans="1:6" x14ac:dyDescent="0.3">
      <c r="A6445" t="s">
        <v>5</v>
      </c>
      <c r="B6445" s="1">
        <v>45926</v>
      </c>
      <c r="C6445">
        <v>13</v>
      </c>
      <c r="D6445">
        <v>0.153</v>
      </c>
      <c r="E6445" t="s">
        <v>6</v>
      </c>
      <c r="F6445">
        <v>0.13878000000000001</v>
      </c>
    </row>
    <row r="6446" spans="1:6" x14ac:dyDescent="0.3">
      <c r="A6446" t="s">
        <v>5</v>
      </c>
      <c r="B6446" s="1">
        <v>45926</v>
      </c>
      <c r="C6446">
        <v>14</v>
      </c>
      <c r="D6446">
        <v>0.27800000000000002</v>
      </c>
      <c r="E6446" t="s">
        <v>6</v>
      </c>
      <c r="F6446">
        <v>0.13996</v>
      </c>
    </row>
    <row r="6447" spans="1:6" x14ac:dyDescent="0.3">
      <c r="A6447" t="s">
        <v>5</v>
      </c>
      <c r="B6447" s="1">
        <v>45926</v>
      </c>
      <c r="C6447">
        <v>15</v>
      </c>
      <c r="D6447">
        <v>0.32600000000000001</v>
      </c>
      <c r="E6447" t="s">
        <v>6</v>
      </c>
      <c r="F6447">
        <v>6.7170000000000007E-2</v>
      </c>
    </row>
    <row r="6448" spans="1:6" x14ac:dyDescent="0.3">
      <c r="A6448" t="s">
        <v>5</v>
      </c>
      <c r="B6448" s="1">
        <v>45926</v>
      </c>
      <c r="C6448">
        <v>16</v>
      </c>
      <c r="D6448">
        <v>1.222</v>
      </c>
      <c r="E6448" t="s">
        <v>6</v>
      </c>
      <c r="F6448">
        <v>9.3939999999999996E-2</v>
      </c>
    </row>
    <row r="6449" spans="1:6" x14ac:dyDescent="0.3">
      <c r="A6449" t="s">
        <v>5</v>
      </c>
      <c r="B6449" s="1">
        <v>45926</v>
      </c>
      <c r="C6449">
        <v>17</v>
      </c>
      <c r="D6449">
        <v>0.70499999999999996</v>
      </c>
      <c r="E6449" t="s">
        <v>6</v>
      </c>
      <c r="F6449">
        <v>0.10098</v>
      </c>
    </row>
    <row r="6450" spans="1:6" x14ac:dyDescent="0.3">
      <c r="A6450" t="s">
        <v>5</v>
      </c>
      <c r="B6450" s="1">
        <v>45926</v>
      </c>
      <c r="C6450">
        <v>18</v>
      </c>
      <c r="D6450">
        <v>0.68100000000000005</v>
      </c>
      <c r="E6450" t="s">
        <v>6</v>
      </c>
      <c r="F6450">
        <v>0.10851000000000001</v>
      </c>
    </row>
    <row r="6451" spans="1:6" x14ac:dyDescent="0.3">
      <c r="A6451" t="s">
        <v>5</v>
      </c>
      <c r="B6451" s="1">
        <v>45926</v>
      </c>
      <c r="C6451">
        <v>19</v>
      </c>
      <c r="D6451">
        <v>0.17100000000000001</v>
      </c>
      <c r="E6451" t="s">
        <v>6</v>
      </c>
      <c r="F6451">
        <v>0.21079000000000001</v>
      </c>
    </row>
    <row r="6452" spans="1:6" x14ac:dyDescent="0.3">
      <c r="A6452" t="s">
        <v>5</v>
      </c>
      <c r="B6452" s="1">
        <v>45926</v>
      </c>
      <c r="C6452">
        <v>20</v>
      </c>
      <c r="D6452">
        <v>7.6999999999999999E-2</v>
      </c>
      <c r="E6452" t="s">
        <v>6</v>
      </c>
      <c r="F6452">
        <v>0.24508000000000002</v>
      </c>
    </row>
    <row r="6453" spans="1:6" x14ac:dyDescent="0.3">
      <c r="A6453" t="s">
        <v>5</v>
      </c>
      <c r="B6453" s="1">
        <v>45926</v>
      </c>
      <c r="C6453">
        <v>21</v>
      </c>
      <c r="D6453">
        <v>7.3999999999999996E-2</v>
      </c>
      <c r="E6453" t="s">
        <v>6</v>
      </c>
      <c r="F6453">
        <v>0.27606999999999998</v>
      </c>
    </row>
    <row r="6454" spans="1:6" x14ac:dyDescent="0.3">
      <c r="A6454" t="s">
        <v>5</v>
      </c>
      <c r="B6454" s="1">
        <v>45926</v>
      </c>
      <c r="C6454">
        <v>22</v>
      </c>
      <c r="D6454">
        <v>6.7000000000000004E-2</v>
      </c>
      <c r="E6454" t="s">
        <v>6</v>
      </c>
      <c r="F6454">
        <v>0.28352999999999995</v>
      </c>
    </row>
    <row r="6455" spans="1:6" x14ac:dyDescent="0.3">
      <c r="A6455" t="s">
        <v>5</v>
      </c>
      <c r="B6455" s="1">
        <v>45926</v>
      </c>
      <c r="C6455">
        <v>23</v>
      </c>
      <c r="D6455">
        <v>0.08</v>
      </c>
      <c r="E6455" t="s">
        <v>6</v>
      </c>
      <c r="F6455">
        <v>0.17382</v>
      </c>
    </row>
    <row r="6456" spans="1:6" x14ac:dyDescent="0.3">
      <c r="A6456" t="s">
        <v>5</v>
      </c>
      <c r="B6456" s="1">
        <v>45926</v>
      </c>
      <c r="C6456">
        <v>24</v>
      </c>
      <c r="D6456">
        <v>5.8000000000000003E-2</v>
      </c>
      <c r="E6456" t="s">
        <v>6</v>
      </c>
      <c r="F6456">
        <v>0.16584000000000002</v>
      </c>
    </row>
    <row r="6457" spans="1:6" x14ac:dyDescent="0.3">
      <c r="A6457" t="s">
        <v>5</v>
      </c>
      <c r="B6457" s="1">
        <v>45927</v>
      </c>
      <c r="C6457">
        <v>1</v>
      </c>
      <c r="D6457">
        <v>0.08</v>
      </c>
      <c r="E6457" t="s">
        <v>6</v>
      </c>
      <c r="F6457">
        <v>0.15880000000000002</v>
      </c>
    </row>
    <row r="6458" spans="1:6" x14ac:dyDescent="0.3">
      <c r="A6458" t="s">
        <v>5</v>
      </c>
      <c r="B6458" s="1">
        <v>45927</v>
      </c>
      <c r="C6458">
        <v>2</v>
      </c>
      <c r="D6458">
        <v>5.8999999999999997E-2</v>
      </c>
      <c r="E6458" t="s">
        <v>6</v>
      </c>
      <c r="F6458">
        <v>0.15312000000000001</v>
      </c>
    </row>
    <row r="6459" spans="1:6" x14ac:dyDescent="0.3">
      <c r="A6459" t="s">
        <v>5</v>
      </c>
      <c r="B6459" s="1">
        <v>45927</v>
      </c>
      <c r="C6459">
        <v>3</v>
      </c>
      <c r="D6459">
        <v>7.4999999999999997E-2</v>
      </c>
      <c r="E6459" t="s">
        <v>6</v>
      </c>
      <c r="F6459">
        <v>0.15008000000000002</v>
      </c>
    </row>
    <row r="6460" spans="1:6" x14ac:dyDescent="0.3">
      <c r="A6460" t="s">
        <v>5</v>
      </c>
      <c r="B6460" s="1">
        <v>45927</v>
      </c>
      <c r="C6460">
        <v>4</v>
      </c>
      <c r="D6460">
        <v>6.8000000000000005E-2</v>
      </c>
      <c r="E6460" t="s">
        <v>6</v>
      </c>
      <c r="F6460">
        <v>0.15078</v>
      </c>
    </row>
    <row r="6461" spans="1:6" x14ac:dyDescent="0.3">
      <c r="A6461" t="s">
        <v>5</v>
      </c>
      <c r="B6461" s="1">
        <v>45927</v>
      </c>
      <c r="C6461">
        <v>5</v>
      </c>
      <c r="D6461">
        <v>6.6000000000000003E-2</v>
      </c>
      <c r="E6461" t="s">
        <v>6</v>
      </c>
      <c r="F6461">
        <v>0.14712999999999998</v>
      </c>
    </row>
    <row r="6462" spans="1:6" x14ac:dyDescent="0.3">
      <c r="A6462" t="s">
        <v>5</v>
      </c>
      <c r="B6462" s="1">
        <v>45927</v>
      </c>
      <c r="C6462">
        <v>6</v>
      </c>
      <c r="D6462">
        <v>7.4999999999999997E-2</v>
      </c>
      <c r="E6462" t="s">
        <v>6</v>
      </c>
      <c r="F6462">
        <v>0.14011999999999999</v>
      </c>
    </row>
    <row r="6463" spans="1:6" x14ac:dyDescent="0.3">
      <c r="A6463" t="s">
        <v>5</v>
      </c>
      <c r="B6463" s="1">
        <v>45927</v>
      </c>
      <c r="C6463">
        <v>7</v>
      </c>
      <c r="D6463">
        <v>5.7000000000000002E-2</v>
      </c>
      <c r="E6463" t="s">
        <v>6</v>
      </c>
      <c r="F6463">
        <v>0.13544</v>
      </c>
    </row>
    <row r="6464" spans="1:6" x14ac:dyDescent="0.3">
      <c r="A6464" t="s">
        <v>5</v>
      </c>
      <c r="B6464" s="1">
        <v>45927</v>
      </c>
      <c r="C6464">
        <v>8</v>
      </c>
      <c r="D6464">
        <v>7.5999999999999998E-2</v>
      </c>
      <c r="E6464" t="s">
        <v>6</v>
      </c>
      <c r="F6464">
        <v>0.14321</v>
      </c>
    </row>
    <row r="6465" spans="1:6" x14ac:dyDescent="0.3">
      <c r="A6465" t="s">
        <v>5</v>
      </c>
      <c r="B6465" s="1">
        <v>45927</v>
      </c>
      <c r="C6465">
        <v>9</v>
      </c>
      <c r="D6465">
        <v>5.6000000000000001E-2</v>
      </c>
      <c r="E6465" t="s">
        <v>6</v>
      </c>
      <c r="F6465">
        <v>0.15231999999999998</v>
      </c>
    </row>
    <row r="6466" spans="1:6" x14ac:dyDescent="0.3">
      <c r="A6466" t="s">
        <v>5</v>
      </c>
      <c r="B6466" s="1">
        <v>45927</v>
      </c>
      <c r="C6466">
        <v>10</v>
      </c>
      <c r="D6466">
        <v>7.3999999999999996E-2</v>
      </c>
      <c r="E6466" t="s">
        <v>6</v>
      </c>
      <c r="F6466">
        <v>0.1308</v>
      </c>
    </row>
    <row r="6467" spans="1:6" x14ac:dyDescent="0.3">
      <c r="A6467" t="s">
        <v>5</v>
      </c>
      <c r="B6467" s="1">
        <v>45927</v>
      </c>
      <c r="C6467">
        <v>11</v>
      </c>
      <c r="D6467">
        <v>6.3E-2</v>
      </c>
      <c r="E6467" t="s">
        <v>6</v>
      </c>
      <c r="F6467">
        <v>7.4709999999999999E-2</v>
      </c>
    </row>
    <row r="6468" spans="1:6" x14ac:dyDescent="0.3">
      <c r="A6468" t="s">
        <v>5</v>
      </c>
      <c r="B6468" s="1">
        <v>45927</v>
      </c>
      <c r="C6468">
        <v>12</v>
      </c>
      <c r="D6468">
        <v>6.7000000000000004E-2</v>
      </c>
      <c r="E6468" t="s">
        <v>6</v>
      </c>
      <c r="F6468">
        <v>5.7540000000000001E-2</v>
      </c>
    </row>
    <row r="6469" spans="1:6" x14ac:dyDescent="0.3">
      <c r="A6469" t="s">
        <v>5</v>
      </c>
      <c r="B6469" s="1">
        <v>45927</v>
      </c>
      <c r="C6469">
        <v>13</v>
      </c>
      <c r="D6469">
        <v>7.0999999999999994E-2</v>
      </c>
      <c r="E6469" t="s">
        <v>6</v>
      </c>
      <c r="F6469">
        <v>5.5399999999999998E-2</v>
      </c>
    </row>
    <row r="6470" spans="1:6" x14ac:dyDescent="0.3">
      <c r="A6470" t="s">
        <v>5</v>
      </c>
      <c r="B6470" s="1">
        <v>45927</v>
      </c>
      <c r="C6470">
        <v>14</v>
      </c>
      <c r="D6470">
        <v>5.8999999999999997E-2</v>
      </c>
      <c r="E6470" t="s">
        <v>6</v>
      </c>
      <c r="F6470">
        <v>5.074E-2</v>
      </c>
    </row>
    <row r="6471" spans="1:6" x14ac:dyDescent="0.3">
      <c r="A6471" t="s">
        <v>5</v>
      </c>
      <c r="B6471" s="1">
        <v>45927</v>
      </c>
      <c r="C6471">
        <v>15</v>
      </c>
      <c r="D6471">
        <v>7.5999999999999998E-2</v>
      </c>
      <c r="E6471" t="s">
        <v>6</v>
      </c>
      <c r="F6471">
        <v>4.4350000000000001E-2</v>
      </c>
    </row>
    <row r="6472" spans="1:6" x14ac:dyDescent="0.3">
      <c r="A6472" t="s">
        <v>5</v>
      </c>
      <c r="B6472" s="1">
        <v>45927</v>
      </c>
      <c r="C6472">
        <v>16</v>
      </c>
      <c r="D6472">
        <v>5.3999999999999999E-2</v>
      </c>
      <c r="E6472" t="s">
        <v>6</v>
      </c>
      <c r="F6472">
        <v>4.487E-2</v>
      </c>
    </row>
    <row r="6473" spans="1:6" x14ac:dyDescent="0.3">
      <c r="A6473" t="s">
        <v>5</v>
      </c>
      <c r="B6473" s="1">
        <v>45927</v>
      </c>
      <c r="C6473">
        <v>17</v>
      </c>
      <c r="D6473">
        <v>7.6999999999999999E-2</v>
      </c>
      <c r="E6473" t="s">
        <v>6</v>
      </c>
      <c r="F6473">
        <v>4.931E-2</v>
      </c>
    </row>
    <row r="6474" spans="1:6" x14ac:dyDescent="0.3">
      <c r="A6474" t="s">
        <v>5</v>
      </c>
      <c r="B6474" s="1">
        <v>45927</v>
      </c>
      <c r="C6474">
        <v>18</v>
      </c>
      <c r="D6474">
        <v>5.8000000000000003E-2</v>
      </c>
      <c r="E6474" t="s">
        <v>6</v>
      </c>
      <c r="F6474">
        <v>6.5340000000000009E-2</v>
      </c>
    </row>
    <row r="6475" spans="1:6" x14ac:dyDescent="0.3">
      <c r="A6475" t="s">
        <v>5</v>
      </c>
      <c r="B6475" s="1">
        <v>45927</v>
      </c>
      <c r="C6475">
        <v>19</v>
      </c>
      <c r="D6475">
        <v>7.2999999999999995E-2</v>
      </c>
      <c r="E6475" t="s">
        <v>6</v>
      </c>
      <c r="F6475">
        <v>0.11114</v>
      </c>
    </row>
    <row r="6476" spans="1:6" x14ac:dyDescent="0.3">
      <c r="A6476" t="s">
        <v>5</v>
      </c>
      <c r="B6476" s="1">
        <v>45927</v>
      </c>
      <c r="C6476">
        <v>20</v>
      </c>
      <c r="D6476">
        <v>6.4000000000000001E-2</v>
      </c>
      <c r="E6476" t="s">
        <v>6</v>
      </c>
      <c r="F6476">
        <v>0.14147999999999999</v>
      </c>
    </row>
    <row r="6477" spans="1:6" x14ac:dyDescent="0.3">
      <c r="A6477" t="s">
        <v>5</v>
      </c>
      <c r="B6477" s="1">
        <v>45927</v>
      </c>
      <c r="C6477">
        <v>21</v>
      </c>
      <c r="D6477">
        <v>6.6000000000000003E-2</v>
      </c>
      <c r="E6477" t="s">
        <v>6</v>
      </c>
      <c r="F6477">
        <v>0.14368999999999998</v>
      </c>
    </row>
    <row r="6478" spans="1:6" x14ac:dyDescent="0.3">
      <c r="A6478" t="s">
        <v>5</v>
      </c>
      <c r="B6478" s="1">
        <v>45927</v>
      </c>
      <c r="C6478">
        <v>22</v>
      </c>
      <c r="D6478">
        <v>7.0999999999999994E-2</v>
      </c>
      <c r="E6478" t="s">
        <v>6</v>
      </c>
      <c r="F6478">
        <v>0.1416</v>
      </c>
    </row>
    <row r="6479" spans="1:6" x14ac:dyDescent="0.3">
      <c r="A6479" t="s">
        <v>5</v>
      </c>
      <c r="B6479" s="1">
        <v>45927</v>
      </c>
      <c r="C6479">
        <v>23</v>
      </c>
      <c r="D6479">
        <v>5.8999999999999997E-2</v>
      </c>
      <c r="E6479" t="s">
        <v>6</v>
      </c>
      <c r="F6479">
        <v>0.13502</v>
      </c>
    </row>
    <row r="6480" spans="1:6" x14ac:dyDescent="0.3">
      <c r="A6480" t="s">
        <v>5</v>
      </c>
      <c r="B6480" s="1">
        <v>45927</v>
      </c>
      <c r="C6480">
        <v>24</v>
      </c>
      <c r="D6480">
        <v>7.6999999999999999E-2</v>
      </c>
      <c r="E6480" t="s">
        <v>6</v>
      </c>
      <c r="F6480">
        <v>0.13197</v>
      </c>
    </row>
    <row r="6481" spans="1:6" x14ac:dyDescent="0.3">
      <c r="A6481" t="s">
        <v>5</v>
      </c>
      <c r="B6481" s="1">
        <v>45928</v>
      </c>
      <c r="C6481">
        <v>1</v>
      </c>
      <c r="D6481">
        <v>5.5E-2</v>
      </c>
      <c r="E6481" t="s">
        <v>6</v>
      </c>
      <c r="F6481">
        <v>0.12159</v>
      </c>
    </row>
    <row r="6482" spans="1:6" x14ac:dyDescent="0.3">
      <c r="A6482" t="s">
        <v>5</v>
      </c>
      <c r="B6482" s="1">
        <v>45928</v>
      </c>
      <c r="C6482">
        <v>2</v>
      </c>
      <c r="D6482">
        <v>7.5999999999999998E-2</v>
      </c>
      <c r="E6482" t="s">
        <v>6</v>
      </c>
      <c r="F6482">
        <v>0.12065000000000001</v>
      </c>
    </row>
    <row r="6483" spans="1:6" x14ac:dyDescent="0.3">
      <c r="A6483" t="s">
        <v>5</v>
      </c>
      <c r="B6483" s="1">
        <v>45928</v>
      </c>
      <c r="C6483">
        <v>3</v>
      </c>
      <c r="D6483">
        <v>5.5E-2</v>
      </c>
      <c r="E6483" t="s">
        <v>6</v>
      </c>
      <c r="F6483">
        <v>0.12193000000000001</v>
      </c>
    </row>
    <row r="6484" spans="1:6" x14ac:dyDescent="0.3">
      <c r="A6484" t="s">
        <v>5</v>
      </c>
      <c r="B6484" s="1">
        <v>45928</v>
      </c>
      <c r="C6484">
        <v>4</v>
      </c>
      <c r="D6484">
        <v>7.5999999999999998E-2</v>
      </c>
      <c r="E6484" t="s">
        <v>6</v>
      </c>
      <c r="F6484">
        <v>0.12093999999999999</v>
      </c>
    </row>
    <row r="6485" spans="1:6" x14ac:dyDescent="0.3">
      <c r="A6485" t="s">
        <v>5</v>
      </c>
      <c r="B6485" s="1">
        <v>45928</v>
      </c>
      <c r="C6485">
        <v>5</v>
      </c>
      <c r="D6485">
        <v>6.0999999999999999E-2</v>
      </c>
      <c r="E6485" t="s">
        <v>6</v>
      </c>
      <c r="F6485">
        <v>0.12157</v>
      </c>
    </row>
    <row r="6486" spans="1:6" x14ac:dyDescent="0.3">
      <c r="A6486" t="s">
        <v>5</v>
      </c>
      <c r="B6486" s="1">
        <v>45928</v>
      </c>
      <c r="C6486">
        <v>6</v>
      </c>
      <c r="D6486">
        <v>7.0999999999999994E-2</v>
      </c>
      <c r="E6486" t="s">
        <v>6</v>
      </c>
      <c r="F6486">
        <v>0.12189</v>
      </c>
    </row>
    <row r="6487" spans="1:6" x14ac:dyDescent="0.3">
      <c r="A6487" t="s">
        <v>5</v>
      </c>
      <c r="B6487" s="1">
        <v>45928</v>
      </c>
      <c r="C6487">
        <v>7</v>
      </c>
      <c r="D6487">
        <v>6.6000000000000003E-2</v>
      </c>
      <c r="E6487" t="s">
        <v>6</v>
      </c>
      <c r="F6487">
        <v>0.12007</v>
      </c>
    </row>
    <row r="6488" spans="1:6" x14ac:dyDescent="0.3">
      <c r="A6488" t="s">
        <v>5</v>
      </c>
      <c r="B6488" s="1">
        <v>45928</v>
      </c>
      <c r="C6488">
        <v>8</v>
      </c>
      <c r="D6488">
        <v>6.5000000000000002E-2</v>
      </c>
      <c r="E6488" t="s">
        <v>6</v>
      </c>
      <c r="F6488">
        <v>0.12217</v>
      </c>
    </row>
    <row r="6489" spans="1:6" x14ac:dyDescent="0.3">
      <c r="A6489" t="s">
        <v>5</v>
      </c>
      <c r="B6489" s="1">
        <v>45928</v>
      </c>
      <c r="C6489">
        <v>9</v>
      </c>
      <c r="D6489">
        <v>7.0999999999999994E-2</v>
      </c>
      <c r="E6489" t="s">
        <v>6</v>
      </c>
      <c r="F6489">
        <v>0.12459000000000001</v>
      </c>
    </row>
    <row r="6490" spans="1:6" x14ac:dyDescent="0.3">
      <c r="A6490" t="s">
        <v>5</v>
      </c>
      <c r="B6490" s="1">
        <v>45928</v>
      </c>
      <c r="C6490">
        <v>10</v>
      </c>
      <c r="D6490">
        <v>5.8999999999999997E-2</v>
      </c>
      <c r="E6490" t="s">
        <v>6</v>
      </c>
      <c r="F6490">
        <v>0.11957999999999999</v>
      </c>
    </row>
    <row r="6491" spans="1:6" x14ac:dyDescent="0.3">
      <c r="A6491" t="s">
        <v>5</v>
      </c>
      <c r="B6491" s="1">
        <v>45928</v>
      </c>
      <c r="C6491">
        <v>11</v>
      </c>
      <c r="D6491">
        <v>7.4999999999999997E-2</v>
      </c>
      <c r="E6491" t="s">
        <v>6</v>
      </c>
      <c r="F6491">
        <v>9.6579999999999999E-2</v>
      </c>
    </row>
    <row r="6492" spans="1:6" x14ac:dyDescent="0.3">
      <c r="A6492" t="s">
        <v>5</v>
      </c>
      <c r="B6492" s="1">
        <v>45928</v>
      </c>
      <c r="C6492">
        <v>12</v>
      </c>
      <c r="D6492">
        <v>5.5E-2</v>
      </c>
      <c r="E6492" t="s">
        <v>6</v>
      </c>
      <c r="F6492">
        <v>8.5610000000000006E-2</v>
      </c>
    </row>
    <row r="6493" spans="1:6" x14ac:dyDescent="0.3">
      <c r="A6493" t="s">
        <v>5</v>
      </c>
      <c r="B6493" s="1">
        <v>45928</v>
      </c>
      <c r="C6493">
        <v>13</v>
      </c>
      <c r="D6493">
        <v>7.5999999999999998E-2</v>
      </c>
      <c r="E6493" t="s">
        <v>6</v>
      </c>
      <c r="F6493">
        <v>7.1129999999999999E-2</v>
      </c>
    </row>
    <row r="6494" spans="1:6" x14ac:dyDescent="0.3">
      <c r="A6494" t="s">
        <v>5</v>
      </c>
      <c r="B6494" s="1">
        <v>45928</v>
      </c>
      <c r="C6494">
        <v>14</v>
      </c>
      <c r="D6494">
        <v>5.3999999999999999E-2</v>
      </c>
      <c r="E6494" t="s">
        <v>6</v>
      </c>
      <c r="F6494">
        <v>6.2289999999999998E-2</v>
      </c>
    </row>
    <row r="6495" spans="1:6" x14ac:dyDescent="0.3">
      <c r="A6495" t="s">
        <v>5</v>
      </c>
      <c r="B6495" s="1">
        <v>45928</v>
      </c>
      <c r="C6495">
        <v>15</v>
      </c>
      <c r="D6495">
        <v>7.6999999999999999E-2</v>
      </c>
      <c r="E6495" t="s">
        <v>6</v>
      </c>
      <c r="F6495">
        <v>6.8870000000000001E-2</v>
      </c>
    </row>
    <row r="6496" spans="1:6" x14ac:dyDescent="0.3">
      <c r="A6496" t="s">
        <v>5</v>
      </c>
      <c r="B6496" s="1">
        <v>45928</v>
      </c>
      <c r="C6496">
        <v>16</v>
      </c>
      <c r="D6496">
        <v>5.6000000000000001E-2</v>
      </c>
      <c r="E6496" t="s">
        <v>6</v>
      </c>
      <c r="F6496">
        <v>7.0709999999999995E-2</v>
      </c>
    </row>
    <row r="6497" spans="1:6" x14ac:dyDescent="0.3">
      <c r="A6497" t="s">
        <v>5</v>
      </c>
      <c r="B6497" s="1">
        <v>45928</v>
      </c>
      <c r="C6497">
        <v>17</v>
      </c>
      <c r="D6497">
        <v>7.4999999999999997E-2</v>
      </c>
      <c r="E6497" t="s">
        <v>6</v>
      </c>
      <c r="F6497">
        <v>7.9379999999999992E-2</v>
      </c>
    </row>
    <row r="6498" spans="1:6" x14ac:dyDescent="0.3">
      <c r="A6498" t="s">
        <v>5</v>
      </c>
      <c r="B6498" s="1">
        <v>45928</v>
      </c>
      <c r="C6498">
        <v>18</v>
      </c>
      <c r="D6498">
        <v>0.06</v>
      </c>
      <c r="E6498" t="s">
        <v>6</v>
      </c>
      <c r="F6498">
        <v>9.6790000000000001E-2</v>
      </c>
    </row>
    <row r="6499" spans="1:6" x14ac:dyDescent="0.3">
      <c r="A6499" t="s">
        <v>5</v>
      </c>
      <c r="B6499" s="1">
        <v>45928</v>
      </c>
      <c r="C6499">
        <v>19</v>
      </c>
      <c r="D6499">
        <v>7.0999999999999994E-2</v>
      </c>
      <c r="E6499" t="s">
        <v>6</v>
      </c>
      <c r="F6499">
        <v>0.12189</v>
      </c>
    </row>
    <row r="6500" spans="1:6" x14ac:dyDescent="0.3">
      <c r="A6500" t="s">
        <v>5</v>
      </c>
      <c r="B6500" s="1">
        <v>45928</v>
      </c>
      <c r="C6500">
        <v>20</v>
      </c>
      <c r="D6500">
        <v>6.7000000000000004E-2</v>
      </c>
      <c r="E6500" t="s">
        <v>6</v>
      </c>
      <c r="F6500">
        <v>0.12913999999999998</v>
      </c>
    </row>
    <row r="6501" spans="1:6" x14ac:dyDescent="0.3">
      <c r="A6501" t="s">
        <v>5</v>
      </c>
      <c r="B6501" s="1">
        <v>45928</v>
      </c>
      <c r="C6501">
        <v>21</v>
      </c>
      <c r="D6501">
        <v>0.47599999999999998</v>
      </c>
      <c r="E6501" t="s">
        <v>6</v>
      </c>
      <c r="F6501">
        <v>0.13063999999999998</v>
      </c>
    </row>
    <row r="6502" spans="1:6" x14ac:dyDescent="0.3">
      <c r="A6502" t="s">
        <v>5</v>
      </c>
      <c r="B6502" s="1">
        <v>45928</v>
      </c>
      <c r="C6502">
        <v>22</v>
      </c>
      <c r="D6502">
        <v>0.433</v>
      </c>
      <c r="E6502" t="s">
        <v>6</v>
      </c>
      <c r="F6502">
        <v>0.11237999999999999</v>
      </c>
    </row>
    <row r="6503" spans="1:6" x14ac:dyDescent="0.3">
      <c r="A6503" t="s">
        <v>5</v>
      </c>
      <c r="B6503" s="1">
        <v>45928</v>
      </c>
      <c r="C6503">
        <v>23</v>
      </c>
      <c r="D6503">
        <v>0.27400000000000002</v>
      </c>
      <c r="E6503" t="s">
        <v>6</v>
      </c>
      <c r="F6503">
        <v>0.12337000000000001</v>
      </c>
    </row>
    <row r="6504" spans="1:6" x14ac:dyDescent="0.3">
      <c r="A6504" t="s">
        <v>5</v>
      </c>
      <c r="B6504" s="1">
        <v>45928</v>
      </c>
      <c r="C6504">
        <v>24</v>
      </c>
      <c r="D6504">
        <v>0.192</v>
      </c>
      <c r="E6504" t="s">
        <v>6</v>
      </c>
      <c r="F6504">
        <v>0.11505</v>
      </c>
    </row>
    <row r="6505" spans="1:6" x14ac:dyDescent="0.3">
      <c r="A6505" t="s">
        <v>5</v>
      </c>
      <c r="B6505" s="1">
        <v>45929</v>
      </c>
      <c r="C6505">
        <v>1</v>
      </c>
      <c r="D6505">
        <v>0.16600000000000001</v>
      </c>
      <c r="E6505" t="s">
        <v>6</v>
      </c>
      <c r="F6505">
        <v>0.10471</v>
      </c>
    </row>
    <row r="6506" spans="1:6" x14ac:dyDescent="0.3">
      <c r="A6506" t="s">
        <v>5</v>
      </c>
      <c r="B6506" s="1">
        <v>45929</v>
      </c>
      <c r="C6506">
        <v>2</v>
      </c>
      <c r="D6506">
        <v>0.13700000000000001</v>
      </c>
      <c r="E6506" t="s">
        <v>6</v>
      </c>
      <c r="F6506">
        <v>0.10244</v>
      </c>
    </row>
    <row r="6507" spans="1:6" x14ac:dyDescent="0.3">
      <c r="A6507" t="s">
        <v>5</v>
      </c>
      <c r="B6507" s="1">
        <v>45929</v>
      </c>
      <c r="C6507">
        <v>3</v>
      </c>
      <c r="D6507">
        <v>0.156</v>
      </c>
      <c r="E6507" t="s">
        <v>6</v>
      </c>
      <c r="F6507">
        <v>0.10070999999999999</v>
      </c>
    </row>
    <row r="6508" spans="1:6" x14ac:dyDescent="0.3">
      <c r="A6508" t="s">
        <v>5</v>
      </c>
      <c r="B6508" s="1">
        <v>45929</v>
      </c>
      <c r="C6508">
        <v>4</v>
      </c>
      <c r="D6508">
        <v>0.14699999999999999</v>
      </c>
      <c r="E6508" t="s">
        <v>6</v>
      </c>
      <c r="F6508">
        <v>8.8770000000000002E-2</v>
      </c>
    </row>
    <row r="6509" spans="1:6" x14ac:dyDescent="0.3">
      <c r="A6509" t="s">
        <v>5</v>
      </c>
      <c r="B6509" s="1">
        <v>45929</v>
      </c>
      <c r="C6509">
        <v>5</v>
      </c>
      <c r="D6509">
        <v>0.14499999999999999</v>
      </c>
      <c r="E6509" t="s">
        <v>6</v>
      </c>
      <c r="F6509">
        <v>8.6749999999999994E-2</v>
      </c>
    </row>
    <row r="6510" spans="1:6" x14ac:dyDescent="0.3">
      <c r="A6510" t="s">
        <v>5</v>
      </c>
      <c r="B6510" s="1">
        <v>45929</v>
      </c>
      <c r="C6510">
        <v>6</v>
      </c>
      <c r="D6510">
        <v>0.153</v>
      </c>
      <c r="E6510" t="s">
        <v>6</v>
      </c>
      <c r="F6510">
        <v>8.8029999999999997E-2</v>
      </c>
    </row>
    <row r="6511" spans="1:6" x14ac:dyDescent="0.3">
      <c r="A6511" t="s">
        <v>5</v>
      </c>
      <c r="B6511" s="1">
        <v>45929</v>
      </c>
      <c r="C6511">
        <v>7</v>
      </c>
      <c r="D6511">
        <v>0.13500000000000001</v>
      </c>
      <c r="E6511" t="s">
        <v>6</v>
      </c>
      <c r="F6511">
        <v>0.1043</v>
      </c>
    </row>
    <row r="6512" spans="1:6" x14ac:dyDescent="0.3">
      <c r="A6512" t="s">
        <v>5</v>
      </c>
      <c r="B6512" s="1">
        <v>45929</v>
      </c>
      <c r="C6512">
        <v>8</v>
      </c>
      <c r="D6512">
        <v>0.16500000000000001</v>
      </c>
      <c r="E6512" t="s">
        <v>6</v>
      </c>
      <c r="F6512">
        <v>0.12175</v>
      </c>
    </row>
    <row r="6513" spans="1:6" x14ac:dyDescent="0.3">
      <c r="A6513" t="s">
        <v>5</v>
      </c>
      <c r="B6513" s="1">
        <v>45929</v>
      </c>
      <c r="C6513">
        <v>9</v>
      </c>
      <c r="D6513">
        <v>0.128</v>
      </c>
      <c r="E6513" t="s">
        <v>6</v>
      </c>
      <c r="F6513">
        <v>0.15037999999999999</v>
      </c>
    </row>
    <row r="6514" spans="1:6" x14ac:dyDescent="0.3">
      <c r="A6514" t="s">
        <v>5</v>
      </c>
      <c r="B6514" s="1">
        <v>45929</v>
      </c>
      <c r="C6514">
        <v>10</v>
      </c>
      <c r="D6514">
        <v>0.11700000000000001</v>
      </c>
      <c r="E6514" t="s">
        <v>6</v>
      </c>
      <c r="F6514">
        <v>0.14468999999999999</v>
      </c>
    </row>
    <row r="6515" spans="1:6" x14ac:dyDescent="0.3">
      <c r="A6515" t="s">
        <v>5</v>
      </c>
      <c r="B6515" s="1">
        <v>45929</v>
      </c>
      <c r="C6515">
        <v>11</v>
      </c>
      <c r="D6515">
        <v>0.06</v>
      </c>
      <c r="E6515" t="s">
        <v>6</v>
      </c>
      <c r="F6515">
        <v>0.19621</v>
      </c>
    </row>
    <row r="6516" spans="1:6" x14ac:dyDescent="0.3">
      <c r="A6516" t="s">
        <v>5</v>
      </c>
      <c r="B6516" s="1">
        <v>45929</v>
      </c>
      <c r="C6516">
        <v>12</v>
      </c>
      <c r="D6516">
        <v>8.4000000000000005E-2</v>
      </c>
      <c r="E6516" t="s">
        <v>6</v>
      </c>
      <c r="F6516">
        <v>0.17412</v>
      </c>
    </row>
    <row r="6517" spans="1:6" x14ac:dyDescent="0.3">
      <c r="A6517" t="s">
        <v>5</v>
      </c>
      <c r="B6517" s="1">
        <v>45929</v>
      </c>
      <c r="C6517">
        <v>13</v>
      </c>
      <c r="D6517">
        <v>9.4E-2</v>
      </c>
      <c r="E6517" t="s">
        <v>6</v>
      </c>
      <c r="F6517">
        <v>0.16825999999999999</v>
      </c>
    </row>
    <row r="6518" spans="1:6" x14ac:dyDescent="0.3">
      <c r="A6518" t="s">
        <v>5</v>
      </c>
      <c r="B6518" s="1">
        <v>45929</v>
      </c>
      <c r="C6518">
        <v>14</v>
      </c>
      <c r="D6518">
        <v>0.495</v>
      </c>
      <c r="E6518" t="s">
        <v>6</v>
      </c>
      <c r="F6518">
        <v>0.15822</v>
      </c>
    </row>
    <row r="6519" spans="1:6" x14ac:dyDescent="0.3">
      <c r="A6519" t="s">
        <v>5</v>
      </c>
      <c r="B6519" s="1">
        <v>45929</v>
      </c>
      <c r="C6519">
        <v>15</v>
      </c>
      <c r="D6519">
        <v>0.622</v>
      </c>
      <c r="E6519" t="s">
        <v>6</v>
      </c>
      <c r="F6519">
        <v>8.6370000000000002E-2</v>
      </c>
    </row>
    <row r="6520" spans="1:6" x14ac:dyDescent="0.3">
      <c r="A6520" t="s">
        <v>5</v>
      </c>
      <c r="B6520" s="1">
        <v>45929</v>
      </c>
      <c r="C6520">
        <v>16</v>
      </c>
      <c r="D6520">
        <v>0.59199999999999997</v>
      </c>
      <c r="E6520" t="s">
        <v>6</v>
      </c>
      <c r="F6520">
        <v>9.3180000000000013E-2</v>
      </c>
    </row>
    <row r="6521" spans="1:6" x14ac:dyDescent="0.3">
      <c r="A6521" t="s">
        <v>5</v>
      </c>
      <c r="B6521" s="1">
        <v>45929</v>
      </c>
      <c r="C6521">
        <v>17</v>
      </c>
      <c r="D6521">
        <v>0.219</v>
      </c>
      <c r="E6521" t="s">
        <v>6</v>
      </c>
      <c r="F6521">
        <v>0.10087</v>
      </c>
    </row>
    <row r="6522" spans="1:6" x14ac:dyDescent="0.3">
      <c r="A6522" t="s">
        <v>5</v>
      </c>
      <c r="B6522" s="1">
        <v>45929</v>
      </c>
      <c r="C6522">
        <v>18</v>
      </c>
      <c r="D6522">
        <v>0.192</v>
      </c>
      <c r="E6522" t="s">
        <v>6</v>
      </c>
      <c r="F6522">
        <v>0.12140000000000001</v>
      </c>
    </row>
    <row r="6523" spans="1:6" x14ac:dyDescent="0.3">
      <c r="A6523" t="s">
        <v>5</v>
      </c>
      <c r="B6523" s="1">
        <v>45929</v>
      </c>
      <c r="C6523">
        <v>19</v>
      </c>
      <c r="D6523">
        <v>0.27900000000000003</v>
      </c>
      <c r="E6523" t="s">
        <v>6</v>
      </c>
      <c r="F6523">
        <v>0.22415000000000002</v>
      </c>
    </row>
    <row r="6524" spans="1:6" x14ac:dyDescent="0.3">
      <c r="A6524" t="s">
        <v>5</v>
      </c>
      <c r="B6524" s="1">
        <v>45929</v>
      </c>
      <c r="C6524">
        <v>20</v>
      </c>
      <c r="D6524">
        <v>0.22700000000000001</v>
      </c>
      <c r="E6524" t="s">
        <v>6</v>
      </c>
      <c r="F6524">
        <v>0.24049999999999999</v>
      </c>
    </row>
    <row r="6525" spans="1:6" x14ac:dyDescent="0.3">
      <c r="A6525" t="s">
        <v>5</v>
      </c>
      <c r="B6525" s="1">
        <v>45929</v>
      </c>
      <c r="C6525">
        <v>21</v>
      </c>
      <c r="D6525">
        <v>0.215</v>
      </c>
      <c r="E6525" t="s">
        <v>6</v>
      </c>
      <c r="F6525">
        <v>0.27455000000000002</v>
      </c>
    </row>
    <row r="6526" spans="1:6" x14ac:dyDescent="0.3">
      <c r="A6526" t="s">
        <v>5</v>
      </c>
      <c r="B6526" s="1">
        <v>45929</v>
      </c>
      <c r="C6526">
        <v>22</v>
      </c>
      <c r="D6526">
        <v>0.22</v>
      </c>
      <c r="E6526" t="s">
        <v>6</v>
      </c>
      <c r="F6526">
        <v>0.24312999999999999</v>
      </c>
    </row>
    <row r="6527" spans="1:6" x14ac:dyDescent="0.3">
      <c r="A6527" t="s">
        <v>5</v>
      </c>
      <c r="B6527" s="1">
        <v>45929</v>
      </c>
      <c r="C6527">
        <v>23</v>
      </c>
      <c r="D6527">
        <v>0.69299999999999995</v>
      </c>
      <c r="E6527" t="s">
        <v>6</v>
      </c>
      <c r="F6527">
        <v>0.16322</v>
      </c>
    </row>
    <row r="6528" spans="1:6" x14ac:dyDescent="0.3">
      <c r="A6528" t="s">
        <v>5</v>
      </c>
      <c r="B6528" s="1">
        <v>45929</v>
      </c>
      <c r="C6528">
        <v>24</v>
      </c>
      <c r="D6528">
        <v>0.497</v>
      </c>
      <c r="E6528" t="s">
        <v>6</v>
      </c>
      <c r="F6528">
        <v>0.16378000000000001</v>
      </c>
    </row>
    <row r="6529" spans="1:6" x14ac:dyDescent="0.3">
      <c r="A6529" t="s">
        <v>5</v>
      </c>
      <c r="B6529" s="1">
        <v>45930</v>
      </c>
      <c r="C6529">
        <v>1</v>
      </c>
      <c r="D6529">
        <v>0.29399999999999998</v>
      </c>
      <c r="E6529" t="s">
        <v>6</v>
      </c>
      <c r="F6529">
        <v>0.12890000000000001</v>
      </c>
    </row>
    <row r="6530" spans="1:6" x14ac:dyDescent="0.3">
      <c r="A6530" t="s">
        <v>5</v>
      </c>
      <c r="B6530" s="1">
        <v>45930</v>
      </c>
      <c r="C6530">
        <v>2</v>
      </c>
      <c r="D6530">
        <v>0.22900000000000001</v>
      </c>
      <c r="E6530" t="s">
        <v>6</v>
      </c>
      <c r="F6530">
        <v>0.12246</v>
      </c>
    </row>
    <row r="6531" spans="1:6" x14ac:dyDescent="0.3">
      <c r="A6531" t="s">
        <v>5</v>
      </c>
      <c r="B6531" s="1">
        <v>45930</v>
      </c>
      <c r="C6531">
        <v>3</v>
      </c>
      <c r="D6531">
        <v>0.216</v>
      </c>
      <c r="E6531" t="s">
        <v>6</v>
      </c>
      <c r="F6531">
        <v>0.1179</v>
      </c>
    </row>
    <row r="6532" spans="1:6" x14ac:dyDescent="0.3">
      <c r="A6532" t="s">
        <v>5</v>
      </c>
      <c r="B6532" s="1">
        <v>45930</v>
      </c>
      <c r="C6532">
        <v>4</v>
      </c>
      <c r="D6532">
        <v>0.19500000000000001</v>
      </c>
      <c r="E6532" t="s">
        <v>6</v>
      </c>
      <c r="F6532">
        <v>0.11115</v>
      </c>
    </row>
    <row r="6533" spans="1:6" x14ac:dyDescent="0.3">
      <c r="A6533" t="s">
        <v>5</v>
      </c>
      <c r="B6533" s="1">
        <v>45930</v>
      </c>
      <c r="C6533">
        <v>5</v>
      </c>
      <c r="D6533">
        <v>0.2</v>
      </c>
      <c r="E6533" t="s">
        <v>6</v>
      </c>
      <c r="F6533">
        <v>0.11314</v>
      </c>
    </row>
    <row r="6534" spans="1:6" x14ac:dyDescent="0.3">
      <c r="A6534" t="s">
        <v>5</v>
      </c>
      <c r="B6534" s="1">
        <v>45930</v>
      </c>
      <c r="C6534">
        <v>6</v>
      </c>
      <c r="D6534">
        <v>0.18</v>
      </c>
      <c r="E6534" t="s">
        <v>6</v>
      </c>
      <c r="F6534">
        <v>0.11448999999999999</v>
      </c>
    </row>
    <row r="6535" spans="1:6" x14ac:dyDescent="0.3">
      <c r="A6535" t="s">
        <v>5</v>
      </c>
      <c r="B6535" s="1">
        <v>45930</v>
      </c>
      <c r="C6535">
        <v>7</v>
      </c>
      <c r="D6535">
        <v>0.19500000000000001</v>
      </c>
      <c r="E6535" t="s">
        <v>6</v>
      </c>
      <c r="F6535">
        <v>0.13228000000000001</v>
      </c>
    </row>
    <row r="6536" spans="1:6" x14ac:dyDescent="0.3">
      <c r="A6536" t="s">
        <v>5</v>
      </c>
      <c r="B6536" s="1">
        <v>45930</v>
      </c>
      <c r="C6536">
        <v>8</v>
      </c>
      <c r="D6536">
        <v>0.17399999999999999</v>
      </c>
      <c r="E6536" t="s">
        <v>6</v>
      </c>
      <c r="F6536">
        <v>0.1389</v>
      </c>
    </row>
    <row r="6537" spans="1:6" x14ac:dyDescent="0.3">
      <c r="A6537" t="s">
        <v>5</v>
      </c>
      <c r="B6537" s="1">
        <v>45930</v>
      </c>
      <c r="C6537">
        <v>9</v>
      </c>
      <c r="D6537">
        <v>0.32500000000000001</v>
      </c>
      <c r="E6537" t="s">
        <v>6</v>
      </c>
      <c r="F6537">
        <v>0.18931000000000001</v>
      </c>
    </row>
    <row r="6538" spans="1:6" x14ac:dyDescent="0.3">
      <c r="A6538" t="s">
        <v>5</v>
      </c>
      <c r="B6538" s="1">
        <v>45930</v>
      </c>
      <c r="C6538">
        <v>10</v>
      </c>
      <c r="D6538">
        <v>0.251</v>
      </c>
      <c r="E6538" t="s">
        <v>6</v>
      </c>
      <c r="F6538">
        <v>0.15159</v>
      </c>
    </row>
    <row r="6539" spans="1:6" x14ac:dyDescent="0.3">
      <c r="A6539" t="s">
        <v>5</v>
      </c>
      <c r="B6539" s="1">
        <v>45930</v>
      </c>
      <c r="C6539">
        <v>11</v>
      </c>
      <c r="D6539">
        <v>0.153</v>
      </c>
      <c r="E6539" t="s">
        <v>6</v>
      </c>
      <c r="F6539">
        <v>0.18080000000000002</v>
      </c>
    </row>
    <row r="6540" spans="1:6" x14ac:dyDescent="0.3">
      <c r="A6540" t="s">
        <v>5</v>
      </c>
      <c r="B6540" s="1">
        <v>45930</v>
      </c>
      <c r="C6540">
        <v>12</v>
      </c>
      <c r="D6540">
        <v>0.114</v>
      </c>
      <c r="E6540" t="s">
        <v>6</v>
      </c>
      <c r="F6540">
        <v>0.14821000000000001</v>
      </c>
    </row>
    <row r="6541" spans="1:6" x14ac:dyDescent="0.3">
      <c r="A6541" t="s">
        <v>5</v>
      </c>
      <c r="B6541" s="1">
        <v>45930</v>
      </c>
      <c r="C6541">
        <v>13</v>
      </c>
      <c r="D6541">
        <v>0.28499999999999998</v>
      </c>
      <c r="E6541" t="s">
        <v>6</v>
      </c>
      <c r="F6541">
        <v>0.13994999999999999</v>
      </c>
    </row>
    <row r="6542" spans="1:6" x14ac:dyDescent="0.3">
      <c r="A6542" t="s">
        <v>5</v>
      </c>
      <c r="B6542" s="1">
        <v>45930</v>
      </c>
      <c r="C6542">
        <v>14</v>
      </c>
      <c r="D6542">
        <v>0.254</v>
      </c>
      <c r="E6542" t="s">
        <v>6</v>
      </c>
      <c r="F6542">
        <v>0.13441999999999998</v>
      </c>
    </row>
    <row r="6543" spans="1:6" x14ac:dyDescent="0.3">
      <c r="A6543" t="s">
        <v>5</v>
      </c>
      <c r="B6543" s="1">
        <v>45930</v>
      </c>
      <c r="C6543">
        <v>15</v>
      </c>
      <c r="D6543">
        <v>0.61699999999999999</v>
      </c>
      <c r="E6543" t="s">
        <v>6</v>
      </c>
      <c r="F6543">
        <v>7.0260000000000003E-2</v>
      </c>
    </row>
    <row r="6544" spans="1:6" x14ac:dyDescent="0.3">
      <c r="A6544" t="s">
        <v>5</v>
      </c>
      <c r="B6544" s="1">
        <v>45930</v>
      </c>
      <c r="C6544">
        <v>16</v>
      </c>
      <c r="D6544">
        <v>1.202</v>
      </c>
      <c r="E6544" t="s">
        <v>6</v>
      </c>
      <c r="F6544">
        <v>7.8909999999999994E-2</v>
      </c>
    </row>
    <row r="6545" spans="1:6" x14ac:dyDescent="0.3">
      <c r="A6545" t="s">
        <v>5</v>
      </c>
      <c r="B6545" s="1">
        <v>45930</v>
      </c>
      <c r="C6545">
        <v>17</v>
      </c>
      <c r="D6545">
        <v>0.66400000000000003</v>
      </c>
      <c r="E6545" t="s">
        <v>6</v>
      </c>
      <c r="F6545">
        <v>8.473E-2</v>
      </c>
    </row>
    <row r="6546" spans="1:6" x14ac:dyDescent="0.3">
      <c r="A6546" t="s">
        <v>5</v>
      </c>
      <c r="B6546" s="1">
        <v>45930</v>
      </c>
      <c r="C6546">
        <v>18</v>
      </c>
      <c r="D6546">
        <v>0.89700000000000002</v>
      </c>
      <c r="E6546" t="s">
        <v>6</v>
      </c>
      <c r="F6546">
        <v>0.11144</v>
      </c>
    </row>
    <row r="6547" spans="1:6" x14ac:dyDescent="0.3">
      <c r="A6547" t="s">
        <v>5</v>
      </c>
      <c r="B6547" s="1">
        <v>45930</v>
      </c>
      <c r="C6547">
        <v>19</v>
      </c>
      <c r="D6547">
        <v>0.41199999999999998</v>
      </c>
      <c r="E6547" t="s">
        <v>6</v>
      </c>
      <c r="F6547">
        <v>0.20880000000000001</v>
      </c>
    </row>
    <row r="6548" spans="1:6" x14ac:dyDescent="0.3">
      <c r="A6548" t="s">
        <v>5</v>
      </c>
      <c r="B6548" s="1">
        <v>45930</v>
      </c>
      <c r="C6548">
        <v>20</v>
      </c>
      <c r="D6548">
        <v>0.15</v>
      </c>
      <c r="E6548" t="s">
        <v>6</v>
      </c>
      <c r="F6548">
        <v>0.23871000000000001</v>
      </c>
    </row>
    <row r="6549" spans="1:6" x14ac:dyDescent="0.3">
      <c r="A6549" t="s">
        <v>5</v>
      </c>
      <c r="B6549" s="1">
        <v>45930</v>
      </c>
      <c r="C6549">
        <v>21</v>
      </c>
      <c r="D6549">
        <v>0.13700000000000001</v>
      </c>
      <c r="E6549" t="s">
        <v>6</v>
      </c>
      <c r="F6549">
        <v>0.33461000000000002</v>
      </c>
    </row>
    <row r="6550" spans="1:6" x14ac:dyDescent="0.3">
      <c r="A6550" t="s">
        <v>5</v>
      </c>
      <c r="B6550" s="1">
        <v>45930</v>
      </c>
      <c r="C6550">
        <v>22</v>
      </c>
      <c r="D6550">
        <v>0.47399999999999998</v>
      </c>
      <c r="E6550" t="s">
        <v>6</v>
      </c>
      <c r="F6550">
        <v>0.30085000000000001</v>
      </c>
    </row>
    <row r="6551" spans="1:6" x14ac:dyDescent="0.3">
      <c r="A6551" t="s">
        <v>5</v>
      </c>
      <c r="B6551" s="1">
        <v>45930</v>
      </c>
      <c r="C6551">
        <v>23</v>
      </c>
      <c r="D6551">
        <v>0.43099999999999999</v>
      </c>
      <c r="E6551" t="s">
        <v>6</v>
      </c>
      <c r="F6551">
        <v>0.17762999999999998</v>
      </c>
    </row>
    <row r="6552" spans="1:6" x14ac:dyDescent="0.3">
      <c r="A6552" t="s">
        <v>5</v>
      </c>
      <c r="B6552" s="1">
        <v>45930</v>
      </c>
      <c r="C6552">
        <v>24</v>
      </c>
      <c r="D6552">
        <v>0.42399999999999999</v>
      </c>
      <c r="E6552" t="s">
        <v>6</v>
      </c>
      <c r="F6552">
        <v>0.15833000000000003</v>
      </c>
    </row>
    <row r="6553" spans="1:6" x14ac:dyDescent="0.3">
      <c r="A6553" t="s">
        <v>5</v>
      </c>
      <c r="B6553" s="1">
        <v>45931</v>
      </c>
      <c r="C6553">
        <v>1</v>
      </c>
      <c r="D6553">
        <v>0.44500000000000001</v>
      </c>
      <c r="E6553" t="s">
        <v>6</v>
      </c>
      <c r="F6553">
        <v>0.13462000000000002</v>
      </c>
    </row>
    <row r="6554" spans="1:6" x14ac:dyDescent="0.3">
      <c r="A6554" t="s">
        <v>5</v>
      </c>
      <c r="B6554" s="1">
        <v>45931</v>
      </c>
      <c r="C6554">
        <v>2</v>
      </c>
      <c r="D6554">
        <v>0.42</v>
      </c>
      <c r="E6554" t="s">
        <v>6</v>
      </c>
      <c r="F6554">
        <v>0.13777</v>
      </c>
    </row>
    <row r="6555" spans="1:6" x14ac:dyDescent="0.3">
      <c r="A6555" t="s">
        <v>5</v>
      </c>
      <c r="B6555" s="1">
        <v>45931</v>
      </c>
      <c r="C6555">
        <v>3</v>
      </c>
      <c r="D6555">
        <v>0.40799999999999997</v>
      </c>
      <c r="E6555" t="s">
        <v>6</v>
      </c>
      <c r="F6555">
        <v>0.13688999999999998</v>
      </c>
    </row>
    <row r="6556" spans="1:6" x14ac:dyDescent="0.3">
      <c r="A6556" t="s">
        <v>5</v>
      </c>
      <c r="B6556" s="1">
        <v>45931</v>
      </c>
      <c r="C6556">
        <v>4</v>
      </c>
      <c r="D6556">
        <v>0.246</v>
      </c>
      <c r="E6556" t="s">
        <v>6</v>
      </c>
      <c r="F6556">
        <v>0.12877000000000002</v>
      </c>
    </row>
    <row r="6557" spans="1:6" x14ac:dyDescent="0.3">
      <c r="A6557" t="s">
        <v>5</v>
      </c>
      <c r="B6557" s="1">
        <v>45931</v>
      </c>
      <c r="C6557">
        <v>5</v>
      </c>
      <c r="D6557">
        <v>0.216</v>
      </c>
      <c r="E6557" t="s">
        <v>6</v>
      </c>
      <c r="F6557">
        <v>0.13340000000000002</v>
      </c>
    </row>
    <row r="6558" spans="1:6" x14ac:dyDescent="0.3">
      <c r="A6558" t="s">
        <v>5</v>
      </c>
      <c r="B6558" s="1">
        <v>45931</v>
      </c>
      <c r="C6558">
        <v>6</v>
      </c>
      <c r="D6558">
        <v>0.19</v>
      </c>
      <c r="E6558" t="s">
        <v>6</v>
      </c>
      <c r="F6558">
        <v>0.13315000000000002</v>
      </c>
    </row>
    <row r="6559" spans="1:6" x14ac:dyDescent="0.3">
      <c r="A6559" t="s">
        <v>5</v>
      </c>
      <c r="B6559" s="1">
        <v>45931</v>
      </c>
      <c r="C6559">
        <v>7</v>
      </c>
      <c r="D6559">
        <v>0.18</v>
      </c>
      <c r="E6559" t="s">
        <v>6</v>
      </c>
      <c r="F6559">
        <v>0.13281000000000001</v>
      </c>
    </row>
    <row r="6560" spans="1:6" x14ac:dyDescent="0.3">
      <c r="A6560" t="s">
        <v>5</v>
      </c>
      <c r="B6560" s="1">
        <v>45931</v>
      </c>
      <c r="C6560">
        <v>8</v>
      </c>
      <c r="D6560">
        <v>0.17699999999999999</v>
      </c>
      <c r="E6560" t="s">
        <v>6</v>
      </c>
      <c r="F6560">
        <v>0.14430000000000001</v>
      </c>
    </row>
    <row r="6561" spans="1:6" x14ac:dyDescent="0.3">
      <c r="A6561" t="s">
        <v>5</v>
      </c>
      <c r="B6561" s="1">
        <v>45931</v>
      </c>
      <c r="C6561">
        <v>9</v>
      </c>
      <c r="D6561">
        <v>0.158</v>
      </c>
      <c r="E6561" t="s">
        <v>6</v>
      </c>
      <c r="F6561">
        <v>0.19212000000000001</v>
      </c>
    </row>
    <row r="6562" spans="1:6" x14ac:dyDescent="0.3">
      <c r="A6562" t="s">
        <v>5</v>
      </c>
      <c r="B6562" s="1">
        <v>45931</v>
      </c>
      <c r="C6562">
        <v>10</v>
      </c>
      <c r="D6562">
        <v>0.19900000000000001</v>
      </c>
      <c r="E6562" t="s">
        <v>6</v>
      </c>
      <c r="F6562">
        <v>0.15378</v>
      </c>
    </row>
    <row r="6563" spans="1:6" x14ac:dyDescent="0.3">
      <c r="A6563" t="s">
        <v>5</v>
      </c>
      <c r="B6563" s="1">
        <v>45931</v>
      </c>
      <c r="C6563">
        <v>11</v>
      </c>
      <c r="D6563">
        <v>0.11799999999999999</v>
      </c>
      <c r="E6563" t="s">
        <v>6</v>
      </c>
      <c r="F6563">
        <v>0.18318999999999999</v>
      </c>
    </row>
    <row r="6564" spans="1:6" x14ac:dyDescent="0.3">
      <c r="A6564" t="s">
        <v>5</v>
      </c>
      <c r="B6564" s="1">
        <v>45931</v>
      </c>
      <c r="C6564">
        <v>12</v>
      </c>
      <c r="D6564">
        <v>0.114</v>
      </c>
      <c r="E6564" t="s">
        <v>6</v>
      </c>
      <c r="F6564">
        <v>0.15591999999999998</v>
      </c>
    </row>
    <row r="6565" spans="1:6" x14ac:dyDescent="0.3">
      <c r="A6565" t="s">
        <v>5</v>
      </c>
      <c r="B6565" s="1">
        <v>45931</v>
      </c>
      <c r="C6565">
        <v>13</v>
      </c>
      <c r="D6565">
        <v>0.16400000000000001</v>
      </c>
      <c r="E6565" t="s">
        <v>6</v>
      </c>
      <c r="F6565">
        <v>0.13519</v>
      </c>
    </row>
    <row r="6566" spans="1:6" x14ac:dyDescent="0.3">
      <c r="A6566" t="s">
        <v>5</v>
      </c>
      <c r="B6566" s="1">
        <v>45931</v>
      </c>
      <c r="C6566">
        <v>14</v>
      </c>
      <c r="D6566">
        <v>0.251</v>
      </c>
      <c r="E6566" t="s">
        <v>6</v>
      </c>
      <c r="F6566">
        <v>0.12332</v>
      </c>
    </row>
    <row r="6567" spans="1:6" x14ac:dyDescent="0.3">
      <c r="A6567" t="s">
        <v>5</v>
      </c>
      <c r="B6567" s="1">
        <v>45931</v>
      </c>
      <c r="C6567">
        <v>15</v>
      </c>
      <c r="D6567">
        <v>0.13500000000000001</v>
      </c>
      <c r="E6567" t="s">
        <v>6</v>
      </c>
      <c r="F6567">
        <v>5.6340000000000001E-2</v>
      </c>
    </row>
    <row r="6568" spans="1:6" x14ac:dyDescent="0.3">
      <c r="A6568" t="s">
        <v>5</v>
      </c>
      <c r="B6568" s="1">
        <v>45931</v>
      </c>
      <c r="C6568">
        <v>16</v>
      </c>
      <c r="D6568">
        <v>0.159</v>
      </c>
      <c r="E6568" t="s">
        <v>6</v>
      </c>
      <c r="F6568">
        <v>6.318E-2</v>
      </c>
    </row>
    <row r="6569" spans="1:6" x14ac:dyDescent="0.3">
      <c r="A6569" t="s">
        <v>5</v>
      </c>
      <c r="B6569" s="1">
        <v>45931</v>
      </c>
      <c r="C6569">
        <v>17</v>
      </c>
      <c r="D6569">
        <v>0.13800000000000001</v>
      </c>
      <c r="E6569" t="s">
        <v>6</v>
      </c>
      <c r="F6569">
        <v>8.3060000000000009E-2</v>
      </c>
    </row>
    <row r="6570" spans="1:6" x14ac:dyDescent="0.3">
      <c r="A6570" t="s">
        <v>5</v>
      </c>
      <c r="B6570" s="1">
        <v>45931</v>
      </c>
      <c r="C6570">
        <v>18</v>
      </c>
      <c r="D6570">
        <v>0.104</v>
      </c>
      <c r="E6570" t="s">
        <v>6</v>
      </c>
      <c r="F6570">
        <v>0.10138</v>
      </c>
    </row>
    <row r="6571" spans="1:6" x14ac:dyDescent="0.3">
      <c r="A6571" t="s">
        <v>5</v>
      </c>
      <c r="B6571" s="1">
        <v>45931</v>
      </c>
      <c r="C6571">
        <v>19</v>
      </c>
      <c r="D6571">
        <v>0.58299999999999996</v>
      </c>
      <c r="E6571" t="s">
        <v>6</v>
      </c>
      <c r="F6571">
        <v>0.21092</v>
      </c>
    </row>
    <row r="6572" spans="1:6" x14ac:dyDescent="0.3">
      <c r="A6572" t="s">
        <v>5</v>
      </c>
      <c r="B6572" s="1">
        <v>45931</v>
      </c>
      <c r="C6572">
        <v>20</v>
      </c>
      <c r="D6572">
        <v>0.30299999999999999</v>
      </c>
      <c r="E6572" t="s">
        <v>6</v>
      </c>
      <c r="F6572">
        <v>0.25235000000000002</v>
      </c>
    </row>
    <row r="6573" spans="1:6" x14ac:dyDescent="0.3">
      <c r="A6573" t="s">
        <v>5</v>
      </c>
      <c r="B6573" s="1">
        <v>45931</v>
      </c>
      <c r="C6573">
        <v>21</v>
      </c>
      <c r="D6573">
        <v>0.19600000000000001</v>
      </c>
      <c r="E6573" t="s">
        <v>6</v>
      </c>
      <c r="F6573">
        <v>0.35694999999999999</v>
      </c>
    </row>
    <row r="6574" spans="1:6" x14ac:dyDescent="0.3">
      <c r="A6574" t="s">
        <v>5</v>
      </c>
      <c r="B6574" s="1">
        <v>45931</v>
      </c>
      <c r="C6574">
        <v>22</v>
      </c>
      <c r="D6574">
        <v>0.127</v>
      </c>
      <c r="E6574" t="s">
        <v>6</v>
      </c>
      <c r="F6574">
        <v>0.25128</v>
      </c>
    </row>
    <row r="6575" spans="1:6" x14ac:dyDescent="0.3">
      <c r="A6575" t="s">
        <v>5</v>
      </c>
      <c r="B6575" s="1">
        <v>45931</v>
      </c>
      <c r="C6575">
        <v>23</v>
      </c>
      <c r="D6575">
        <v>0.24299999999999999</v>
      </c>
      <c r="E6575" t="s">
        <v>6</v>
      </c>
      <c r="F6575">
        <v>0.16447999999999999</v>
      </c>
    </row>
    <row r="6576" spans="1:6" x14ac:dyDescent="0.3">
      <c r="A6576" t="s">
        <v>5</v>
      </c>
      <c r="B6576" s="1">
        <v>45931</v>
      </c>
      <c r="C6576">
        <v>24</v>
      </c>
      <c r="D6576">
        <v>0.28299999999999997</v>
      </c>
      <c r="E6576" t="s">
        <v>6</v>
      </c>
      <c r="F6576">
        <v>0.16036</v>
      </c>
    </row>
    <row r="6577" spans="1:6" x14ac:dyDescent="0.3">
      <c r="A6577" t="s">
        <v>5</v>
      </c>
      <c r="B6577" s="1">
        <v>45932</v>
      </c>
      <c r="C6577">
        <v>1</v>
      </c>
      <c r="D6577">
        <v>0.25700000000000001</v>
      </c>
      <c r="E6577" t="s">
        <v>6</v>
      </c>
      <c r="F6577">
        <v>0.14035</v>
      </c>
    </row>
    <row r="6578" spans="1:6" x14ac:dyDescent="0.3">
      <c r="A6578" t="s">
        <v>5</v>
      </c>
      <c r="B6578" s="1">
        <v>45932</v>
      </c>
      <c r="C6578">
        <v>2</v>
      </c>
      <c r="D6578">
        <v>0.23899999999999999</v>
      </c>
      <c r="E6578" t="s">
        <v>6</v>
      </c>
      <c r="F6578">
        <v>0.13602</v>
      </c>
    </row>
    <row r="6579" spans="1:6" x14ac:dyDescent="0.3">
      <c r="A6579" t="s">
        <v>5</v>
      </c>
      <c r="B6579" s="1">
        <v>45932</v>
      </c>
      <c r="C6579">
        <v>3</v>
      </c>
      <c r="D6579">
        <v>0.20399999999999999</v>
      </c>
      <c r="E6579" t="s">
        <v>6</v>
      </c>
      <c r="F6579">
        <v>0.13119</v>
      </c>
    </row>
    <row r="6580" spans="1:6" x14ac:dyDescent="0.3">
      <c r="A6580" t="s">
        <v>5</v>
      </c>
      <c r="B6580" s="1">
        <v>45932</v>
      </c>
      <c r="C6580">
        <v>4</v>
      </c>
      <c r="D6580">
        <v>0.18</v>
      </c>
      <c r="E6580" t="s">
        <v>6</v>
      </c>
      <c r="F6580">
        <v>0.13038</v>
      </c>
    </row>
    <row r="6581" spans="1:6" x14ac:dyDescent="0.3">
      <c r="A6581" t="s">
        <v>5</v>
      </c>
      <c r="B6581" s="1">
        <v>45932</v>
      </c>
      <c r="C6581">
        <v>5</v>
      </c>
      <c r="D6581">
        <v>0.19</v>
      </c>
      <c r="E6581" t="s">
        <v>6</v>
      </c>
      <c r="F6581">
        <v>0.13417999999999999</v>
      </c>
    </row>
    <row r="6582" spans="1:6" x14ac:dyDescent="0.3">
      <c r="A6582" t="s">
        <v>5</v>
      </c>
      <c r="B6582" s="1">
        <v>45932</v>
      </c>
      <c r="C6582">
        <v>6</v>
      </c>
      <c r="D6582">
        <v>0.19600000000000001</v>
      </c>
      <c r="E6582" t="s">
        <v>6</v>
      </c>
      <c r="F6582">
        <v>0.13855000000000001</v>
      </c>
    </row>
    <row r="6583" spans="1:6" x14ac:dyDescent="0.3">
      <c r="A6583" t="s">
        <v>5</v>
      </c>
      <c r="B6583" s="1">
        <v>45932</v>
      </c>
      <c r="C6583">
        <v>7</v>
      </c>
      <c r="D6583">
        <v>0.183</v>
      </c>
      <c r="E6583" t="s">
        <v>6</v>
      </c>
      <c r="F6583">
        <v>0.13544999999999999</v>
      </c>
    </row>
    <row r="6584" spans="1:6" x14ac:dyDescent="0.3">
      <c r="A6584" t="s">
        <v>5</v>
      </c>
      <c r="B6584" s="1">
        <v>45932</v>
      </c>
      <c r="C6584">
        <v>8</v>
      </c>
      <c r="D6584">
        <v>0.17499999999999999</v>
      </c>
      <c r="E6584" t="s">
        <v>6</v>
      </c>
      <c r="F6584">
        <v>0.15189</v>
      </c>
    </row>
    <row r="6585" spans="1:6" x14ac:dyDescent="0.3">
      <c r="A6585" t="s">
        <v>5</v>
      </c>
      <c r="B6585" s="1">
        <v>45932</v>
      </c>
      <c r="C6585">
        <v>9</v>
      </c>
      <c r="D6585">
        <v>0.189</v>
      </c>
      <c r="E6585" t="s">
        <v>6</v>
      </c>
      <c r="F6585">
        <v>0.19268000000000002</v>
      </c>
    </row>
    <row r="6586" spans="1:6" x14ac:dyDescent="0.3">
      <c r="A6586" t="s">
        <v>5</v>
      </c>
      <c r="B6586" s="1">
        <v>45932</v>
      </c>
      <c r="C6586">
        <v>10</v>
      </c>
      <c r="D6586">
        <v>0.23</v>
      </c>
      <c r="E6586" t="s">
        <v>6</v>
      </c>
      <c r="F6586">
        <v>0.14824999999999999</v>
      </c>
    </row>
    <row r="6587" spans="1:6" x14ac:dyDescent="0.3">
      <c r="A6587" t="s">
        <v>5</v>
      </c>
      <c r="B6587" s="1">
        <v>45932</v>
      </c>
      <c r="C6587">
        <v>11</v>
      </c>
      <c r="D6587">
        <v>0.20100000000000001</v>
      </c>
      <c r="E6587" t="s">
        <v>6</v>
      </c>
      <c r="F6587">
        <v>0.17696999999999999</v>
      </c>
    </row>
    <row r="6588" spans="1:6" x14ac:dyDescent="0.3">
      <c r="A6588" t="s">
        <v>5</v>
      </c>
      <c r="B6588" s="1">
        <v>45932</v>
      </c>
      <c r="C6588">
        <v>12</v>
      </c>
      <c r="D6588">
        <v>0.248</v>
      </c>
      <c r="E6588" t="s">
        <v>6</v>
      </c>
      <c r="F6588">
        <v>0.14923</v>
      </c>
    </row>
    <row r="6589" spans="1:6" x14ac:dyDescent="0.3">
      <c r="A6589" t="s">
        <v>5</v>
      </c>
      <c r="B6589" s="1">
        <v>45932</v>
      </c>
      <c r="C6589">
        <v>13</v>
      </c>
      <c r="D6589">
        <v>0.315</v>
      </c>
      <c r="E6589" t="s">
        <v>6</v>
      </c>
      <c r="F6589">
        <v>0.13608000000000001</v>
      </c>
    </row>
    <row r="6590" spans="1:6" x14ac:dyDescent="0.3">
      <c r="A6590" t="s">
        <v>5</v>
      </c>
      <c r="B6590" s="1">
        <v>45932</v>
      </c>
      <c r="C6590">
        <v>14</v>
      </c>
      <c r="D6590">
        <v>0.83299999999999996</v>
      </c>
      <c r="E6590" t="s">
        <v>6</v>
      </c>
      <c r="F6590">
        <v>0.12852000000000002</v>
      </c>
    </row>
    <row r="6591" spans="1:6" x14ac:dyDescent="0.3">
      <c r="A6591" t="s">
        <v>5</v>
      </c>
      <c r="B6591" s="1">
        <v>45932</v>
      </c>
      <c r="C6591">
        <v>15</v>
      </c>
      <c r="D6591">
        <v>0.55800000000000005</v>
      </c>
      <c r="E6591" t="s">
        <v>6</v>
      </c>
      <c r="F6591">
        <v>6.3130000000000006E-2</v>
      </c>
    </row>
    <row r="6592" spans="1:6" x14ac:dyDescent="0.3">
      <c r="A6592" t="s">
        <v>5</v>
      </c>
      <c r="B6592" s="1">
        <v>45932</v>
      </c>
      <c r="C6592">
        <v>16</v>
      </c>
      <c r="D6592">
        <v>0.625</v>
      </c>
      <c r="E6592" t="s">
        <v>6</v>
      </c>
      <c r="F6592">
        <v>6.2850000000000003E-2</v>
      </c>
    </row>
    <row r="6593" spans="1:6" x14ac:dyDescent="0.3">
      <c r="A6593" t="s">
        <v>5</v>
      </c>
      <c r="B6593" s="1">
        <v>45932</v>
      </c>
      <c r="C6593">
        <v>17</v>
      </c>
      <c r="D6593">
        <v>0.436</v>
      </c>
      <c r="E6593" t="s">
        <v>6</v>
      </c>
      <c r="F6593">
        <v>7.9260000000000011E-2</v>
      </c>
    </row>
    <row r="6594" spans="1:6" x14ac:dyDescent="0.3">
      <c r="A6594" t="s">
        <v>5</v>
      </c>
      <c r="B6594" s="1">
        <v>45932</v>
      </c>
      <c r="C6594">
        <v>18</v>
      </c>
      <c r="D6594">
        <v>0.38200000000000001</v>
      </c>
      <c r="E6594" t="s">
        <v>6</v>
      </c>
      <c r="F6594">
        <v>9.5560000000000006E-2</v>
      </c>
    </row>
    <row r="6595" spans="1:6" x14ac:dyDescent="0.3">
      <c r="A6595" t="s">
        <v>5</v>
      </c>
      <c r="B6595" s="1">
        <v>45932</v>
      </c>
      <c r="C6595">
        <v>19</v>
      </c>
      <c r="D6595">
        <v>0.123</v>
      </c>
      <c r="E6595" t="s">
        <v>6</v>
      </c>
      <c r="F6595">
        <v>0.19533</v>
      </c>
    </row>
    <row r="6596" spans="1:6" x14ac:dyDescent="0.3">
      <c r="A6596" t="s">
        <v>5</v>
      </c>
      <c r="B6596" s="1">
        <v>45932</v>
      </c>
      <c r="C6596">
        <v>20</v>
      </c>
      <c r="D6596">
        <v>6.8000000000000005E-2</v>
      </c>
      <c r="E6596" t="s">
        <v>6</v>
      </c>
      <c r="F6596">
        <v>0.22719</v>
      </c>
    </row>
    <row r="6597" spans="1:6" x14ac:dyDescent="0.3">
      <c r="A6597" t="s">
        <v>5</v>
      </c>
      <c r="B6597" s="1">
        <v>45932</v>
      </c>
      <c r="C6597">
        <v>21</v>
      </c>
      <c r="D6597">
        <v>8.7999999999999995E-2</v>
      </c>
      <c r="E6597" t="s">
        <v>6</v>
      </c>
      <c r="F6597">
        <v>0.34341000000000005</v>
      </c>
    </row>
    <row r="6598" spans="1:6" x14ac:dyDescent="0.3">
      <c r="A6598" t="s">
        <v>5</v>
      </c>
      <c r="B6598" s="1">
        <v>45932</v>
      </c>
      <c r="C6598">
        <v>22</v>
      </c>
      <c r="D6598">
        <v>6.3E-2</v>
      </c>
      <c r="E6598" t="s">
        <v>6</v>
      </c>
      <c r="F6598">
        <v>0.28605000000000003</v>
      </c>
    </row>
    <row r="6599" spans="1:6" x14ac:dyDescent="0.3">
      <c r="A6599" t="s">
        <v>5</v>
      </c>
      <c r="B6599" s="1">
        <v>45932</v>
      </c>
      <c r="C6599">
        <v>23</v>
      </c>
      <c r="D6599">
        <v>8.2000000000000003E-2</v>
      </c>
      <c r="E6599" t="s">
        <v>6</v>
      </c>
      <c r="F6599">
        <v>0.17934999999999998</v>
      </c>
    </row>
    <row r="6600" spans="1:6" x14ac:dyDescent="0.3">
      <c r="A6600" t="s">
        <v>5</v>
      </c>
      <c r="B6600" s="1">
        <v>45932</v>
      </c>
      <c r="C6600">
        <v>24</v>
      </c>
      <c r="D6600">
        <v>7.3999999999999996E-2</v>
      </c>
      <c r="E6600" t="s">
        <v>6</v>
      </c>
      <c r="F6600">
        <v>0.16453000000000001</v>
      </c>
    </row>
    <row r="6601" spans="1:6" x14ac:dyDescent="0.3">
      <c r="A6601" t="s">
        <v>5</v>
      </c>
      <c r="B6601" s="1">
        <v>45933</v>
      </c>
      <c r="C6601">
        <v>1</v>
      </c>
      <c r="D6601">
        <v>0.56899999999999995</v>
      </c>
      <c r="E6601" t="s">
        <v>6</v>
      </c>
      <c r="F6601">
        <v>0.14915999999999999</v>
      </c>
    </row>
    <row r="6602" spans="1:6" x14ac:dyDescent="0.3">
      <c r="A6602" t="s">
        <v>5</v>
      </c>
      <c r="B6602" s="1">
        <v>45933</v>
      </c>
      <c r="C6602">
        <v>2</v>
      </c>
      <c r="D6602">
        <v>0.505</v>
      </c>
      <c r="E6602" t="s">
        <v>6</v>
      </c>
      <c r="F6602">
        <v>0.14545</v>
      </c>
    </row>
    <row r="6603" spans="1:6" x14ac:dyDescent="0.3">
      <c r="A6603" t="s">
        <v>5</v>
      </c>
      <c r="B6603" s="1">
        <v>45933</v>
      </c>
      <c r="C6603">
        <v>3</v>
      </c>
      <c r="D6603">
        <v>0.28100000000000003</v>
      </c>
      <c r="E6603" t="s">
        <v>6</v>
      </c>
      <c r="F6603">
        <v>0.13963999999999999</v>
      </c>
    </row>
    <row r="6604" spans="1:6" x14ac:dyDescent="0.3">
      <c r="A6604" t="s">
        <v>5</v>
      </c>
      <c r="B6604" s="1">
        <v>45933</v>
      </c>
      <c r="C6604">
        <v>4</v>
      </c>
      <c r="D6604">
        <v>0.17799999999999999</v>
      </c>
      <c r="E6604" t="s">
        <v>6</v>
      </c>
      <c r="F6604">
        <v>0.13438</v>
      </c>
    </row>
    <row r="6605" spans="1:6" x14ac:dyDescent="0.3">
      <c r="A6605" t="s">
        <v>5</v>
      </c>
      <c r="B6605" s="1">
        <v>45933</v>
      </c>
      <c r="C6605">
        <v>5</v>
      </c>
      <c r="D6605">
        <v>0.153</v>
      </c>
      <c r="E6605" t="s">
        <v>6</v>
      </c>
      <c r="F6605">
        <v>0.13358</v>
      </c>
    </row>
    <row r="6606" spans="1:6" x14ac:dyDescent="0.3">
      <c r="A6606" t="s">
        <v>5</v>
      </c>
      <c r="B6606" s="1">
        <v>45933</v>
      </c>
      <c r="C6606">
        <v>6</v>
      </c>
      <c r="D6606">
        <v>0.16</v>
      </c>
      <c r="E6606" t="s">
        <v>6</v>
      </c>
      <c r="F6606">
        <v>0.13508000000000001</v>
      </c>
    </row>
    <row r="6607" spans="1:6" x14ac:dyDescent="0.3">
      <c r="A6607" t="s">
        <v>5</v>
      </c>
      <c r="B6607" s="1">
        <v>45933</v>
      </c>
      <c r="C6607">
        <v>7</v>
      </c>
      <c r="D6607">
        <v>0.152</v>
      </c>
      <c r="E6607" t="s">
        <v>6</v>
      </c>
      <c r="F6607">
        <v>0.13730000000000001</v>
      </c>
    </row>
    <row r="6608" spans="1:6" x14ac:dyDescent="0.3">
      <c r="A6608" t="s">
        <v>5</v>
      </c>
      <c r="B6608" s="1">
        <v>45933</v>
      </c>
      <c r="C6608">
        <v>8</v>
      </c>
      <c r="D6608">
        <v>0.14399999999999999</v>
      </c>
      <c r="E6608" t="s">
        <v>6</v>
      </c>
      <c r="F6608">
        <v>0.14983000000000002</v>
      </c>
    </row>
    <row r="6609" spans="1:6" x14ac:dyDescent="0.3">
      <c r="A6609" t="s">
        <v>5</v>
      </c>
      <c r="B6609" s="1">
        <v>45933</v>
      </c>
      <c r="C6609">
        <v>9</v>
      </c>
      <c r="D6609">
        <v>0.152</v>
      </c>
      <c r="E6609" t="s">
        <v>6</v>
      </c>
      <c r="F6609">
        <v>0.18821000000000002</v>
      </c>
    </row>
    <row r="6610" spans="1:6" x14ac:dyDescent="0.3">
      <c r="A6610" t="s">
        <v>5</v>
      </c>
      <c r="B6610" s="1">
        <v>45933</v>
      </c>
      <c r="C6610">
        <v>10</v>
      </c>
      <c r="D6610">
        <v>0.152</v>
      </c>
      <c r="E6610" t="s">
        <v>6</v>
      </c>
      <c r="F6610">
        <v>0.16606000000000001</v>
      </c>
    </row>
    <row r="6611" spans="1:6" x14ac:dyDescent="0.3">
      <c r="A6611" t="s">
        <v>5</v>
      </c>
      <c r="B6611" s="1">
        <v>45933</v>
      </c>
      <c r="C6611">
        <v>11</v>
      </c>
      <c r="D6611">
        <v>0.19900000000000001</v>
      </c>
      <c r="E6611" t="s">
        <v>6</v>
      </c>
      <c r="F6611">
        <v>0.18437000000000001</v>
      </c>
    </row>
    <row r="6612" spans="1:6" x14ac:dyDescent="0.3">
      <c r="A6612" t="s">
        <v>5</v>
      </c>
      <c r="B6612" s="1">
        <v>45933</v>
      </c>
      <c r="C6612">
        <v>12</v>
      </c>
      <c r="D6612">
        <v>0.20499999999999999</v>
      </c>
      <c r="E6612" t="s">
        <v>6</v>
      </c>
      <c r="F6612">
        <v>0.16253999999999999</v>
      </c>
    </row>
    <row r="6613" spans="1:6" x14ac:dyDescent="0.3">
      <c r="A6613" t="s">
        <v>5</v>
      </c>
      <c r="B6613" s="1">
        <v>45933</v>
      </c>
      <c r="C6613">
        <v>13</v>
      </c>
      <c r="D6613">
        <v>0.76700000000000002</v>
      </c>
      <c r="E6613" t="s">
        <v>6</v>
      </c>
      <c r="F6613">
        <v>0.15456</v>
      </c>
    </row>
    <row r="6614" spans="1:6" x14ac:dyDescent="0.3">
      <c r="A6614" t="s">
        <v>5</v>
      </c>
      <c r="B6614" s="1">
        <v>45933</v>
      </c>
      <c r="C6614">
        <v>14</v>
      </c>
      <c r="D6614">
        <v>0.27200000000000002</v>
      </c>
      <c r="E6614" t="s">
        <v>6</v>
      </c>
      <c r="F6614">
        <v>0.14908000000000002</v>
      </c>
    </row>
    <row r="6615" spans="1:6" x14ac:dyDescent="0.3">
      <c r="A6615" t="s">
        <v>5</v>
      </c>
      <c r="B6615" s="1">
        <v>45933</v>
      </c>
      <c r="C6615">
        <v>15</v>
      </c>
      <c r="D6615">
        <v>1.0009999999999999</v>
      </c>
      <c r="E6615" t="s">
        <v>6</v>
      </c>
      <c r="F6615">
        <v>8.5260000000000002E-2</v>
      </c>
    </row>
    <row r="6616" spans="1:6" x14ac:dyDescent="0.3">
      <c r="A6616" t="s">
        <v>5</v>
      </c>
      <c r="B6616" s="1">
        <v>45933</v>
      </c>
      <c r="C6616">
        <v>16</v>
      </c>
      <c r="D6616">
        <v>0.39700000000000002</v>
      </c>
      <c r="E6616" t="s">
        <v>6</v>
      </c>
      <c r="F6616">
        <v>8.5080000000000003E-2</v>
      </c>
    </row>
    <row r="6617" spans="1:6" x14ac:dyDescent="0.3">
      <c r="A6617" t="s">
        <v>5</v>
      </c>
      <c r="B6617" s="1">
        <v>45933</v>
      </c>
      <c r="C6617">
        <v>17</v>
      </c>
      <c r="D6617">
        <v>0.32100000000000001</v>
      </c>
      <c r="E6617" t="s">
        <v>6</v>
      </c>
      <c r="F6617">
        <v>9.1359999999999997E-2</v>
      </c>
    </row>
    <row r="6618" spans="1:6" x14ac:dyDescent="0.3">
      <c r="A6618" t="s">
        <v>5</v>
      </c>
      <c r="B6618" s="1">
        <v>45933</v>
      </c>
      <c r="C6618">
        <v>18</v>
      </c>
      <c r="D6618">
        <v>0.51200000000000001</v>
      </c>
      <c r="E6618" t="s">
        <v>6</v>
      </c>
      <c r="F6618">
        <v>0.1105</v>
      </c>
    </row>
    <row r="6619" spans="1:6" x14ac:dyDescent="0.3">
      <c r="A6619" t="s">
        <v>5</v>
      </c>
      <c r="B6619" s="1">
        <v>45933</v>
      </c>
      <c r="C6619">
        <v>19</v>
      </c>
      <c r="D6619">
        <v>0.157</v>
      </c>
      <c r="E6619" t="s">
        <v>6</v>
      </c>
      <c r="F6619">
        <v>0.21612000000000001</v>
      </c>
    </row>
    <row r="6620" spans="1:6" x14ac:dyDescent="0.3">
      <c r="A6620" t="s">
        <v>5</v>
      </c>
      <c r="B6620" s="1">
        <v>45933</v>
      </c>
      <c r="C6620">
        <v>20</v>
      </c>
      <c r="D6620">
        <v>0.28100000000000003</v>
      </c>
      <c r="E6620" t="s">
        <v>6</v>
      </c>
      <c r="F6620">
        <v>0.23852000000000001</v>
      </c>
    </row>
    <row r="6621" spans="1:6" x14ac:dyDescent="0.3">
      <c r="A6621" t="s">
        <v>5</v>
      </c>
      <c r="B6621" s="1">
        <v>45933</v>
      </c>
      <c r="C6621">
        <v>21</v>
      </c>
      <c r="D6621">
        <v>9.7000000000000003E-2</v>
      </c>
      <c r="E6621" t="s">
        <v>6</v>
      </c>
      <c r="F6621">
        <v>0.25901999999999997</v>
      </c>
    </row>
    <row r="6622" spans="1:6" x14ac:dyDescent="0.3">
      <c r="A6622" t="s">
        <v>5</v>
      </c>
      <c r="B6622" s="1">
        <v>45933</v>
      </c>
      <c r="C6622">
        <v>22</v>
      </c>
      <c r="D6622">
        <v>1.292</v>
      </c>
      <c r="E6622" t="s">
        <v>6</v>
      </c>
      <c r="F6622">
        <v>0.25392999999999999</v>
      </c>
    </row>
    <row r="6623" spans="1:6" x14ac:dyDescent="0.3">
      <c r="A6623" t="s">
        <v>5</v>
      </c>
      <c r="B6623" s="1">
        <v>45933</v>
      </c>
      <c r="C6623">
        <v>23</v>
      </c>
      <c r="D6623">
        <v>0.38600000000000001</v>
      </c>
      <c r="E6623" t="s">
        <v>6</v>
      </c>
      <c r="F6623">
        <v>0.17560000000000001</v>
      </c>
    </row>
    <row r="6624" spans="1:6" x14ac:dyDescent="0.3">
      <c r="A6624" t="s">
        <v>5</v>
      </c>
      <c r="B6624" s="1">
        <v>45933</v>
      </c>
      <c r="C6624">
        <v>24</v>
      </c>
      <c r="D6624">
        <v>0.128</v>
      </c>
      <c r="E6624" t="s">
        <v>6</v>
      </c>
      <c r="F6624">
        <v>0.17302999999999999</v>
      </c>
    </row>
    <row r="6625" spans="1:6" x14ac:dyDescent="0.3">
      <c r="A6625" t="s">
        <v>5</v>
      </c>
      <c r="B6625" s="1">
        <v>45934</v>
      </c>
      <c r="C6625">
        <v>1</v>
      </c>
      <c r="D6625">
        <v>0.121</v>
      </c>
      <c r="E6625" t="s">
        <v>6</v>
      </c>
      <c r="F6625">
        <v>0.16807</v>
      </c>
    </row>
    <row r="6626" spans="1:6" x14ac:dyDescent="0.3">
      <c r="A6626" t="s">
        <v>5</v>
      </c>
      <c r="B6626" s="1">
        <v>45934</v>
      </c>
      <c r="C6626">
        <v>2</v>
      </c>
      <c r="D6626">
        <v>9.7000000000000003E-2</v>
      </c>
      <c r="E6626" t="s">
        <v>6</v>
      </c>
      <c r="F6626">
        <v>0.16125</v>
      </c>
    </row>
    <row r="6627" spans="1:6" x14ac:dyDescent="0.3">
      <c r="A6627" t="s">
        <v>5</v>
      </c>
      <c r="B6627" s="1">
        <v>45934</v>
      </c>
      <c r="C6627">
        <v>3</v>
      </c>
      <c r="D6627">
        <v>0.11600000000000001</v>
      </c>
      <c r="E6627" t="s">
        <v>6</v>
      </c>
      <c r="F6627">
        <v>0.16272999999999999</v>
      </c>
    </row>
    <row r="6628" spans="1:6" x14ac:dyDescent="0.3">
      <c r="A6628" t="s">
        <v>5</v>
      </c>
      <c r="B6628" s="1">
        <v>45934</v>
      </c>
      <c r="C6628">
        <v>4</v>
      </c>
      <c r="D6628">
        <v>0.115</v>
      </c>
      <c r="E6628" t="s">
        <v>6</v>
      </c>
      <c r="F6628">
        <v>0.15506999999999999</v>
      </c>
    </row>
    <row r="6629" spans="1:6" x14ac:dyDescent="0.3">
      <c r="A6629" t="s">
        <v>5</v>
      </c>
      <c r="B6629" s="1">
        <v>45934</v>
      </c>
      <c r="C6629">
        <v>5</v>
      </c>
      <c r="D6629">
        <v>9.6000000000000002E-2</v>
      </c>
      <c r="E6629" t="s">
        <v>6</v>
      </c>
      <c r="F6629">
        <v>0.15378</v>
      </c>
    </row>
    <row r="6630" spans="1:6" x14ac:dyDescent="0.3">
      <c r="A6630" t="s">
        <v>5</v>
      </c>
      <c r="B6630" s="1">
        <v>45934</v>
      </c>
      <c r="C6630">
        <v>6</v>
      </c>
      <c r="D6630">
        <v>0.11600000000000001</v>
      </c>
      <c r="E6630" t="s">
        <v>6</v>
      </c>
      <c r="F6630">
        <v>0.1595</v>
      </c>
    </row>
    <row r="6631" spans="1:6" x14ac:dyDescent="0.3">
      <c r="A6631" t="s">
        <v>5</v>
      </c>
      <c r="B6631" s="1">
        <v>45934</v>
      </c>
      <c r="C6631">
        <v>7</v>
      </c>
      <c r="D6631">
        <v>0.16900000000000001</v>
      </c>
      <c r="E6631" t="s">
        <v>6</v>
      </c>
      <c r="F6631">
        <v>0.15077000000000002</v>
      </c>
    </row>
    <row r="6632" spans="1:6" x14ac:dyDescent="0.3">
      <c r="A6632" t="s">
        <v>5</v>
      </c>
      <c r="B6632" s="1">
        <v>45934</v>
      </c>
      <c r="C6632">
        <v>8</v>
      </c>
      <c r="D6632">
        <v>0.39800000000000002</v>
      </c>
      <c r="E6632" t="s">
        <v>6</v>
      </c>
      <c r="F6632">
        <v>0.15515999999999999</v>
      </c>
    </row>
    <row r="6633" spans="1:6" x14ac:dyDescent="0.3">
      <c r="A6633" t="s">
        <v>5</v>
      </c>
      <c r="B6633" s="1">
        <v>45934</v>
      </c>
      <c r="C6633">
        <v>9</v>
      </c>
      <c r="D6633">
        <v>0.123</v>
      </c>
      <c r="E6633" t="s">
        <v>6</v>
      </c>
      <c r="F6633">
        <v>0.14943000000000001</v>
      </c>
    </row>
    <row r="6634" spans="1:6" x14ac:dyDescent="0.3">
      <c r="A6634" t="s">
        <v>5</v>
      </c>
      <c r="B6634" s="1">
        <v>45934</v>
      </c>
      <c r="C6634">
        <v>10</v>
      </c>
      <c r="D6634">
        <v>0.111</v>
      </c>
      <c r="E6634" t="s">
        <v>6</v>
      </c>
      <c r="F6634">
        <v>9.3140000000000001E-2</v>
      </c>
    </row>
    <row r="6635" spans="1:6" x14ac:dyDescent="0.3">
      <c r="A6635" t="s">
        <v>5</v>
      </c>
      <c r="B6635" s="1">
        <v>45934</v>
      </c>
      <c r="C6635">
        <v>11</v>
      </c>
      <c r="D6635">
        <v>8.5999999999999993E-2</v>
      </c>
      <c r="E6635" t="s">
        <v>6</v>
      </c>
      <c r="F6635">
        <v>5.5320000000000001E-2</v>
      </c>
    </row>
    <row r="6636" spans="1:6" x14ac:dyDescent="0.3">
      <c r="A6636" t="s">
        <v>5</v>
      </c>
      <c r="B6636" s="1">
        <v>45934</v>
      </c>
      <c r="C6636">
        <v>12</v>
      </c>
      <c r="D6636">
        <v>7.4999999999999997E-2</v>
      </c>
      <c r="E6636" t="s">
        <v>6</v>
      </c>
      <c r="F6636">
        <v>5.0939999999999999E-2</v>
      </c>
    </row>
    <row r="6637" spans="1:6" x14ac:dyDescent="0.3">
      <c r="A6637" t="s">
        <v>5</v>
      </c>
      <c r="B6637" s="1">
        <v>45934</v>
      </c>
      <c r="C6637">
        <v>13</v>
      </c>
      <c r="D6637">
        <v>6.0999999999999999E-2</v>
      </c>
      <c r="E6637" t="s">
        <v>6</v>
      </c>
      <c r="F6637">
        <v>5.0979999999999998E-2</v>
      </c>
    </row>
    <row r="6638" spans="1:6" x14ac:dyDescent="0.3">
      <c r="A6638" t="s">
        <v>5</v>
      </c>
      <c r="B6638" s="1">
        <v>45934</v>
      </c>
      <c r="C6638">
        <v>14</v>
      </c>
      <c r="D6638">
        <v>7.2999999999999995E-2</v>
      </c>
      <c r="E6638" t="s">
        <v>6</v>
      </c>
      <c r="F6638">
        <v>5.1189999999999999E-2</v>
      </c>
    </row>
    <row r="6639" spans="1:6" x14ac:dyDescent="0.3">
      <c r="A6639" t="s">
        <v>5</v>
      </c>
      <c r="B6639" s="1">
        <v>45934</v>
      </c>
      <c r="C6639">
        <v>15</v>
      </c>
      <c r="D6639">
        <v>7.4999999999999997E-2</v>
      </c>
      <c r="E6639" t="s">
        <v>6</v>
      </c>
      <c r="F6639">
        <v>5.1520000000000003E-2</v>
      </c>
    </row>
    <row r="6640" spans="1:6" x14ac:dyDescent="0.3">
      <c r="A6640" t="s">
        <v>5</v>
      </c>
      <c r="B6640" s="1">
        <v>45934</v>
      </c>
      <c r="C6640">
        <v>16</v>
      </c>
      <c r="D6640">
        <v>6.6000000000000003E-2</v>
      </c>
      <c r="E6640" t="s">
        <v>6</v>
      </c>
      <c r="F6640">
        <v>5.2969999999999996E-2</v>
      </c>
    </row>
    <row r="6641" spans="1:6" x14ac:dyDescent="0.3">
      <c r="A6641" t="s">
        <v>5</v>
      </c>
      <c r="B6641" s="1">
        <v>45934</v>
      </c>
      <c r="C6641">
        <v>17</v>
      </c>
      <c r="D6641">
        <v>6.2E-2</v>
      </c>
      <c r="E6641" t="s">
        <v>6</v>
      </c>
      <c r="F6641">
        <v>5.3130000000000004E-2</v>
      </c>
    </row>
    <row r="6642" spans="1:6" x14ac:dyDescent="0.3">
      <c r="A6642" t="s">
        <v>5</v>
      </c>
      <c r="B6642" s="1">
        <v>45934</v>
      </c>
      <c r="C6642">
        <v>18</v>
      </c>
      <c r="D6642">
        <v>7.4999999999999997E-2</v>
      </c>
      <c r="E6642" t="s">
        <v>6</v>
      </c>
      <c r="F6642">
        <v>5.0369999999999998E-2</v>
      </c>
    </row>
    <row r="6643" spans="1:6" x14ac:dyDescent="0.3">
      <c r="A6643" t="s">
        <v>5</v>
      </c>
      <c r="B6643" s="1">
        <v>45934</v>
      </c>
      <c r="C6643">
        <v>19</v>
      </c>
      <c r="D6643">
        <v>7.4999999999999997E-2</v>
      </c>
      <c r="E6643" t="s">
        <v>6</v>
      </c>
      <c r="F6643">
        <v>6.4700000000000008E-2</v>
      </c>
    </row>
    <row r="6644" spans="1:6" x14ac:dyDescent="0.3">
      <c r="A6644" t="s">
        <v>5</v>
      </c>
      <c r="B6644" s="1">
        <v>45934</v>
      </c>
      <c r="C6644">
        <v>20</v>
      </c>
      <c r="D6644">
        <v>0.06</v>
      </c>
      <c r="E6644" t="s">
        <v>6</v>
      </c>
      <c r="F6644">
        <v>0.12049</v>
      </c>
    </row>
    <row r="6645" spans="1:6" x14ac:dyDescent="0.3">
      <c r="A6645" t="s">
        <v>5</v>
      </c>
      <c r="B6645" s="1">
        <v>45934</v>
      </c>
      <c r="C6645">
        <v>21</v>
      </c>
      <c r="D6645">
        <v>6.9000000000000006E-2</v>
      </c>
      <c r="E6645" t="s">
        <v>6</v>
      </c>
      <c r="F6645">
        <v>0.12761</v>
      </c>
    </row>
    <row r="6646" spans="1:6" x14ac:dyDescent="0.3">
      <c r="A6646" t="s">
        <v>5</v>
      </c>
      <c r="B6646" s="1">
        <v>45934</v>
      </c>
      <c r="C6646">
        <v>22</v>
      </c>
      <c r="D6646">
        <v>7.4999999999999997E-2</v>
      </c>
      <c r="E6646" t="s">
        <v>6</v>
      </c>
      <c r="F6646">
        <v>0.12406</v>
      </c>
    </row>
    <row r="6647" spans="1:6" x14ac:dyDescent="0.3">
      <c r="A6647" t="s">
        <v>5</v>
      </c>
      <c r="B6647" s="1">
        <v>45934</v>
      </c>
      <c r="C6647">
        <v>23</v>
      </c>
      <c r="D6647">
        <v>6.9000000000000006E-2</v>
      </c>
      <c r="E6647" t="s">
        <v>6</v>
      </c>
      <c r="F6647">
        <v>0.11668000000000001</v>
      </c>
    </row>
    <row r="6648" spans="1:6" x14ac:dyDescent="0.3">
      <c r="A6648" t="s">
        <v>5</v>
      </c>
      <c r="B6648" s="1">
        <v>45934</v>
      </c>
      <c r="C6648">
        <v>24</v>
      </c>
      <c r="D6648">
        <v>0.06</v>
      </c>
      <c r="E6648" t="s">
        <v>6</v>
      </c>
      <c r="F6648">
        <v>9.5920000000000005E-2</v>
      </c>
    </row>
    <row r="6649" spans="1:6" x14ac:dyDescent="0.3">
      <c r="A6649" t="s">
        <v>5</v>
      </c>
      <c r="B6649" s="1">
        <v>45935</v>
      </c>
      <c r="C6649">
        <v>1</v>
      </c>
      <c r="D6649">
        <v>7.4999999999999997E-2</v>
      </c>
      <c r="E6649" t="s">
        <v>6</v>
      </c>
      <c r="F6649">
        <v>0.10945999999999999</v>
      </c>
    </row>
    <row r="6650" spans="1:6" x14ac:dyDescent="0.3">
      <c r="A6650" t="s">
        <v>5</v>
      </c>
      <c r="B6650" s="1">
        <v>45935</v>
      </c>
      <c r="C6650">
        <v>2</v>
      </c>
      <c r="D6650">
        <v>7.4999999999999997E-2</v>
      </c>
      <c r="E6650" t="s">
        <v>6</v>
      </c>
      <c r="F6650">
        <v>0.11097</v>
      </c>
    </row>
    <row r="6651" spans="1:6" x14ac:dyDescent="0.3">
      <c r="A6651" t="s">
        <v>5</v>
      </c>
      <c r="B6651" s="1">
        <v>45935</v>
      </c>
      <c r="C6651">
        <v>3</v>
      </c>
      <c r="D6651">
        <v>0.06</v>
      </c>
      <c r="E6651" t="s">
        <v>6</v>
      </c>
      <c r="F6651">
        <v>0.10965000000000001</v>
      </c>
    </row>
    <row r="6652" spans="1:6" x14ac:dyDescent="0.3">
      <c r="A6652" t="s">
        <v>5</v>
      </c>
      <c r="B6652" s="1">
        <v>45935</v>
      </c>
      <c r="C6652">
        <v>4</v>
      </c>
      <c r="D6652">
        <v>6.9000000000000006E-2</v>
      </c>
      <c r="E6652" t="s">
        <v>6</v>
      </c>
      <c r="F6652">
        <v>0.11039</v>
      </c>
    </row>
    <row r="6653" spans="1:6" x14ac:dyDescent="0.3">
      <c r="A6653" t="s">
        <v>5</v>
      </c>
      <c r="B6653" s="1">
        <v>45935</v>
      </c>
      <c r="C6653">
        <v>5</v>
      </c>
      <c r="D6653">
        <v>7.4999999999999997E-2</v>
      </c>
      <c r="E6653" t="s">
        <v>6</v>
      </c>
      <c r="F6653">
        <v>0.11023000000000001</v>
      </c>
    </row>
    <row r="6654" spans="1:6" x14ac:dyDescent="0.3">
      <c r="A6654" t="s">
        <v>5</v>
      </c>
      <c r="B6654" s="1">
        <v>45935</v>
      </c>
      <c r="C6654">
        <v>6</v>
      </c>
      <c r="D6654">
        <v>6.9000000000000006E-2</v>
      </c>
      <c r="E6654" t="s">
        <v>6</v>
      </c>
      <c r="F6654">
        <v>0.11072</v>
      </c>
    </row>
    <row r="6655" spans="1:6" x14ac:dyDescent="0.3">
      <c r="A6655" t="s">
        <v>5</v>
      </c>
      <c r="B6655" s="1">
        <v>45935</v>
      </c>
      <c r="C6655">
        <v>7</v>
      </c>
      <c r="D6655">
        <v>0.06</v>
      </c>
      <c r="E6655" t="s">
        <v>6</v>
      </c>
      <c r="F6655">
        <v>0.10906</v>
      </c>
    </row>
    <row r="6656" spans="1:6" x14ac:dyDescent="0.3">
      <c r="A6656" t="s">
        <v>5</v>
      </c>
      <c r="B6656" s="1">
        <v>45935</v>
      </c>
      <c r="C6656">
        <v>8</v>
      </c>
      <c r="D6656">
        <v>7.4999999999999997E-2</v>
      </c>
      <c r="E6656" t="s">
        <v>6</v>
      </c>
      <c r="F6656">
        <v>0.10768999999999999</v>
      </c>
    </row>
    <row r="6657" spans="1:6" x14ac:dyDescent="0.3">
      <c r="A6657" t="s">
        <v>5</v>
      </c>
      <c r="B6657" s="1">
        <v>45935</v>
      </c>
      <c r="C6657">
        <v>9</v>
      </c>
      <c r="D6657">
        <v>7.5999999999999998E-2</v>
      </c>
      <c r="E6657" t="s">
        <v>6</v>
      </c>
      <c r="F6657">
        <v>0.10589</v>
      </c>
    </row>
    <row r="6658" spans="1:6" x14ac:dyDescent="0.3">
      <c r="A6658" t="s">
        <v>5</v>
      </c>
      <c r="B6658" s="1">
        <v>45935</v>
      </c>
      <c r="C6658">
        <v>10</v>
      </c>
      <c r="D6658">
        <v>5.8000000000000003E-2</v>
      </c>
      <c r="E6658" t="s">
        <v>6</v>
      </c>
      <c r="F6658">
        <v>7.8549999999999995E-2</v>
      </c>
    </row>
    <row r="6659" spans="1:6" x14ac:dyDescent="0.3">
      <c r="A6659" t="s">
        <v>5</v>
      </c>
      <c r="B6659" s="1">
        <v>45935</v>
      </c>
      <c r="C6659">
        <v>11</v>
      </c>
      <c r="D6659">
        <v>6.9000000000000006E-2</v>
      </c>
      <c r="E6659" t="s">
        <v>6</v>
      </c>
      <c r="F6659">
        <v>7.576999999999999E-2</v>
      </c>
    </row>
    <row r="6660" spans="1:6" x14ac:dyDescent="0.3">
      <c r="A6660" t="s">
        <v>5</v>
      </c>
      <c r="B6660" s="1">
        <v>45935</v>
      </c>
      <c r="C6660">
        <v>12</v>
      </c>
      <c r="D6660">
        <v>7.4999999999999997E-2</v>
      </c>
      <c r="E6660" t="s">
        <v>6</v>
      </c>
      <c r="F6660">
        <v>7.6480000000000006E-2</v>
      </c>
    </row>
    <row r="6661" spans="1:6" x14ac:dyDescent="0.3">
      <c r="A6661" t="s">
        <v>5</v>
      </c>
      <c r="B6661" s="1">
        <v>45935</v>
      </c>
      <c r="C6661">
        <v>13</v>
      </c>
      <c r="D6661">
        <v>6.5000000000000002E-2</v>
      </c>
      <c r="E6661" t="s">
        <v>6</v>
      </c>
      <c r="F6661">
        <v>7.5859999999999997E-2</v>
      </c>
    </row>
    <row r="6662" spans="1:6" x14ac:dyDescent="0.3">
      <c r="A6662" t="s">
        <v>5</v>
      </c>
      <c r="B6662" s="1">
        <v>45935</v>
      </c>
      <c r="C6662">
        <v>14</v>
      </c>
      <c r="D6662">
        <v>6.3E-2</v>
      </c>
      <c r="E6662" t="s">
        <v>6</v>
      </c>
      <c r="F6662">
        <v>7.535E-2</v>
      </c>
    </row>
    <row r="6663" spans="1:6" x14ac:dyDescent="0.3">
      <c r="A6663" t="s">
        <v>5</v>
      </c>
      <c r="B6663" s="1">
        <v>45935</v>
      </c>
      <c r="C6663">
        <v>15</v>
      </c>
      <c r="D6663">
        <v>7.2999999999999995E-2</v>
      </c>
      <c r="E6663" t="s">
        <v>6</v>
      </c>
      <c r="F6663">
        <v>7.5579999999999994E-2</v>
      </c>
    </row>
    <row r="6664" spans="1:6" x14ac:dyDescent="0.3">
      <c r="A6664" t="s">
        <v>5</v>
      </c>
      <c r="B6664" s="1">
        <v>45935</v>
      </c>
      <c r="C6664">
        <v>16</v>
      </c>
      <c r="D6664">
        <v>7.1999999999999995E-2</v>
      </c>
      <c r="E6664" t="s">
        <v>6</v>
      </c>
      <c r="F6664">
        <v>7.6819999999999999E-2</v>
      </c>
    </row>
    <row r="6665" spans="1:6" x14ac:dyDescent="0.3">
      <c r="A6665" t="s">
        <v>5</v>
      </c>
      <c r="B6665" s="1">
        <v>45935</v>
      </c>
      <c r="C6665">
        <v>17</v>
      </c>
      <c r="D6665">
        <v>5.7000000000000002E-2</v>
      </c>
      <c r="E6665" t="s">
        <v>6</v>
      </c>
      <c r="F6665">
        <v>7.8209999999999988E-2</v>
      </c>
    </row>
    <row r="6666" spans="1:6" x14ac:dyDescent="0.3">
      <c r="A6666" t="s">
        <v>5</v>
      </c>
      <c r="B6666" s="1">
        <v>45935</v>
      </c>
      <c r="C6666">
        <v>18</v>
      </c>
      <c r="D6666">
        <v>7.0999999999999994E-2</v>
      </c>
      <c r="E6666" t="s">
        <v>6</v>
      </c>
      <c r="F6666">
        <v>7.9700000000000007E-2</v>
      </c>
    </row>
    <row r="6667" spans="1:6" x14ac:dyDescent="0.3">
      <c r="A6667" t="s">
        <v>5</v>
      </c>
      <c r="B6667" s="1">
        <v>45935</v>
      </c>
      <c r="C6667">
        <v>19</v>
      </c>
      <c r="D6667">
        <v>8.4000000000000005E-2</v>
      </c>
      <c r="E6667" t="s">
        <v>6</v>
      </c>
      <c r="F6667">
        <v>8.9090000000000003E-2</v>
      </c>
    </row>
    <row r="6668" spans="1:6" x14ac:dyDescent="0.3">
      <c r="A6668" t="s">
        <v>5</v>
      </c>
      <c r="B6668" s="1">
        <v>45935</v>
      </c>
      <c r="C6668">
        <v>20</v>
      </c>
      <c r="D6668">
        <v>8.8999999999999996E-2</v>
      </c>
      <c r="E6668" t="s">
        <v>6</v>
      </c>
      <c r="F6668">
        <v>0.12590999999999999</v>
      </c>
    </row>
    <row r="6669" spans="1:6" x14ac:dyDescent="0.3">
      <c r="A6669" t="s">
        <v>5</v>
      </c>
      <c r="B6669" s="1">
        <v>45935</v>
      </c>
      <c r="C6669">
        <v>21</v>
      </c>
      <c r="D6669">
        <v>0.22900000000000001</v>
      </c>
      <c r="E6669" t="s">
        <v>6</v>
      </c>
      <c r="F6669">
        <v>0.14138000000000001</v>
      </c>
    </row>
    <row r="6670" spans="1:6" x14ac:dyDescent="0.3">
      <c r="A6670" t="s">
        <v>5</v>
      </c>
      <c r="B6670" s="1">
        <v>45935</v>
      </c>
      <c r="C6670">
        <v>22</v>
      </c>
      <c r="D6670">
        <v>0.39900000000000002</v>
      </c>
      <c r="E6670" t="s">
        <v>6</v>
      </c>
      <c r="F6670">
        <v>0.15193999999999999</v>
      </c>
    </row>
    <row r="6671" spans="1:6" x14ac:dyDescent="0.3">
      <c r="A6671" t="s">
        <v>5</v>
      </c>
      <c r="B6671" s="1">
        <v>45935</v>
      </c>
      <c r="C6671">
        <v>23</v>
      </c>
      <c r="D6671">
        <v>0.312</v>
      </c>
      <c r="E6671" t="s">
        <v>6</v>
      </c>
      <c r="F6671">
        <v>0.12783</v>
      </c>
    </row>
    <row r="6672" spans="1:6" x14ac:dyDescent="0.3">
      <c r="A6672" t="s">
        <v>5</v>
      </c>
      <c r="B6672" s="1">
        <v>45935</v>
      </c>
      <c r="C6672">
        <v>24</v>
      </c>
      <c r="D6672">
        <v>0.29399999999999998</v>
      </c>
      <c r="E6672" t="s">
        <v>6</v>
      </c>
      <c r="F6672">
        <v>0.10783</v>
      </c>
    </row>
    <row r="6673" spans="1:6" x14ac:dyDescent="0.3">
      <c r="A6673" t="s">
        <v>5</v>
      </c>
      <c r="B6673" s="1">
        <v>45936</v>
      </c>
      <c r="C6673">
        <v>1</v>
      </c>
      <c r="D6673">
        <v>0.28699999999999998</v>
      </c>
      <c r="E6673" t="s">
        <v>6</v>
      </c>
      <c r="F6673">
        <v>9.078E-2</v>
      </c>
    </row>
    <row r="6674" spans="1:6" x14ac:dyDescent="0.3">
      <c r="A6674" t="s">
        <v>5</v>
      </c>
      <c r="B6674" s="1">
        <v>45936</v>
      </c>
      <c r="C6674">
        <v>2</v>
      </c>
      <c r="D6674">
        <v>0.23699999999999999</v>
      </c>
      <c r="E6674" t="s">
        <v>6</v>
      </c>
      <c r="F6674">
        <v>8.9980000000000004E-2</v>
      </c>
    </row>
    <row r="6675" spans="1:6" x14ac:dyDescent="0.3">
      <c r="A6675" t="s">
        <v>5</v>
      </c>
      <c r="B6675" s="1">
        <v>45936</v>
      </c>
      <c r="C6675">
        <v>3</v>
      </c>
      <c r="D6675">
        <v>0.18</v>
      </c>
      <c r="E6675" t="s">
        <v>6</v>
      </c>
      <c r="F6675">
        <v>9.196E-2</v>
      </c>
    </row>
    <row r="6676" spans="1:6" x14ac:dyDescent="0.3">
      <c r="A6676" t="s">
        <v>5</v>
      </c>
      <c r="B6676" s="1">
        <v>45936</v>
      </c>
      <c r="C6676">
        <v>4</v>
      </c>
      <c r="D6676">
        <v>0.158</v>
      </c>
      <c r="E6676" t="s">
        <v>6</v>
      </c>
      <c r="F6676">
        <v>9.5159999999999995E-2</v>
      </c>
    </row>
    <row r="6677" spans="1:6" x14ac:dyDescent="0.3">
      <c r="A6677" t="s">
        <v>5</v>
      </c>
      <c r="B6677" s="1">
        <v>45936</v>
      </c>
      <c r="C6677">
        <v>5</v>
      </c>
      <c r="D6677">
        <v>0.13900000000000001</v>
      </c>
      <c r="E6677" t="s">
        <v>6</v>
      </c>
      <c r="F6677">
        <v>9.7349999999999992E-2</v>
      </c>
    </row>
    <row r="6678" spans="1:6" x14ac:dyDescent="0.3">
      <c r="A6678" t="s">
        <v>5</v>
      </c>
      <c r="B6678" s="1">
        <v>45936</v>
      </c>
      <c r="C6678">
        <v>6</v>
      </c>
      <c r="D6678">
        <v>0.158</v>
      </c>
      <c r="E6678" t="s">
        <v>6</v>
      </c>
      <c r="F6678">
        <v>0.1052</v>
      </c>
    </row>
    <row r="6679" spans="1:6" x14ac:dyDescent="0.3">
      <c r="A6679" t="s">
        <v>5</v>
      </c>
      <c r="B6679" s="1">
        <v>45936</v>
      </c>
      <c r="C6679">
        <v>7</v>
      </c>
      <c r="D6679">
        <v>0.14499999999999999</v>
      </c>
      <c r="E6679" t="s">
        <v>6</v>
      </c>
      <c r="F6679">
        <v>0.12687999999999999</v>
      </c>
    </row>
    <row r="6680" spans="1:6" x14ac:dyDescent="0.3">
      <c r="A6680" t="s">
        <v>5</v>
      </c>
      <c r="B6680" s="1">
        <v>45936</v>
      </c>
      <c r="C6680">
        <v>8</v>
      </c>
      <c r="D6680">
        <v>0.14499999999999999</v>
      </c>
      <c r="E6680" t="s">
        <v>6</v>
      </c>
      <c r="F6680">
        <v>0.15303</v>
      </c>
    </row>
    <row r="6681" spans="1:6" x14ac:dyDescent="0.3">
      <c r="A6681" t="s">
        <v>5</v>
      </c>
      <c r="B6681" s="1">
        <v>45936</v>
      </c>
      <c r="C6681">
        <v>9</v>
      </c>
      <c r="D6681">
        <v>7.6999999999999999E-2</v>
      </c>
      <c r="E6681" t="s">
        <v>6</v>
      </c>
      <c r="F6681">
        <v>0.19650999999999999</v>
      </c>
    </row>
    <row r="6682" spans="1:6" x14ac:dyDescent="0.3">
      <c r="A6682" t="s">
        <v>5</v>
      </c>
      <c r="B6682" s="1">
        <v>45936</v>
      </c>
      <c r="C6682">
        <v>10</v>
      </c>
      <c r="D6682">
        <v>6.5000000000000002E-2</v>
      </c>
      <c r="E6682" t="s">
        <v>6</v>
      </c>
      <c r="F6682">
        <v>0.17365</v>
      </c>
    </row>
    <row r="6683" spans="1:6" x14ac:dyDescent="0.3">
      <c r="A6683" t="s">
        <v>5</v>
      </c>
      <c r="B6683" s="1">
        <v>45936</v>
      </c>
      <c r="C6683">
        <v>11</v>
      </c>
      <c r="D6683">
        <v>0.161</v>
      </c>
      <c r="E6683" t="s">
        <v>6</v>
      </c>
      <c r="F6683">
        <v>0.19753999999999999</v>
      </c>
    </row>
    <row r="6684" spans="1:6" x14ac:dyDescent="0.3">
      <c r="A6684" t="s">
        <v>5</v>
      </c>
      <c r="B6684" s="1">
        <v>45936</v>
      </c>
      <c r="C6684">
        <v>12</v>
      </c>
      <c r="D6684">
        <v>0.128</v>
      </c>
      <c r="E6684" t="s">
        <v>6</v>
      </c>
      <c r="F6684">
        <v>0.17263999999999999</v>
      </c>
    </row>
    <row r="6685" spans="1:6" x14ac:dyDescent="0.3">
      <c r="A6685" t="s">
        <v>5</v>
      </c>
      <c r="B6685" s="1">
        <v>45936</v>
      </c>
      <c r="C6685">
        <v>13</v>
      </c>
      <c r="D6685">
        <v>0.157</v>
      </c>
      <c r="E6685" t="s">
        <v>6</v>
      </c>
      <c r="F6685">
        <v>0.16980999999999999</v>
      </c>
    </row>
    <row r="6686" spans="1:6" x14ac:dyDescent="0.3">
      <c r="A6686" t="s">
        <v>5</v>
      </c>
      <c r="B6686" s="1">
        <v>45936</v>
      </c>
      <c r="C6686">
        <v>14</v>
      </c>
      <c r="D6686">
        <v>0.27600000000000002</v>
      </c>
      <c r="E6686" t="s">
        <v>6</v>
      </c>
      <c r="F6686">
        <v>0.16397999999999999</v>
      </c>
    </row>
    <row r="6687" spans="1:6" x14ac:dyDescent="0.3">
      <c r="A6687" t="s">
        <v>5</v>
      </c>
      <c r="B6687" s="1">
        <v>45936</v>
      </c>
      <c r="C6687">
        <v>15</v>
      </c>
      <c r="D6687">
        <v>0.13800000000000001</v>
      </c>
      <c r="E6687" t="s">
        <v>6</v>
      </c>
      <c r="F6687">
        <v>9.4730000000000009E-2</v>
      </c>
    </row>
    <row r="6688" spans="1:6" x14ac:dyDescent="0.3">
      <c r="A6688" t="s">
        <v>5</v>
      </c>
      <c r="B6688" s="1">
        <v>45936</v>
      </c>
      <c r="C6688">
        <v>16</v>
      </c>
      <c r="D6688">
        <v>0.17699999999999999</v>
      </c>
      <c r="E6688" t="s">
        <v>6</v>
      </c>
      <c r="F6688">
        <v>9.987E-2</v>
      </c>
    </row>
    <row r="6689" spans="1:6" x14ac:dyDescent="0.3">
      <c r="A6689" t="s">
        <v>5</v>
      </c>
      <c r="B6689" s="1">
        <v>45936</v>
      </c>
      <c r="C6689">
        <v>17</v>
      </c>
      <c r="D6689">
        <v>0.129</v>
      </c>
      <c r="E6689" t="s">
        <v>6</v>
      </c>
      <c r="F6689">
        <v>0.10381</v>
      </c>
    </row>
    <row r="6690" spans="1:6" x14ac:dyDescent="0.3">
      <c r="A6690" t="s">
        <v>5</v>
      </c>
      <c r="B6690" s="1">
        <v>45936</v>
      </c>
      <c r="C6690">
        <v>18</v>
      </c>
      <c r="D6690">
        <v>7.9000000000000001E-2</v>
      </c>
      <c r="E6690" t="s">
        <v>6</v>
      </c>
      <c r="F6690">
        <v>0.12961</v>
      </c>
    </row>
    <row r="6691" spans="1:6" x14ac:dyDescent="0.3">
      <c r="A6691" t="s">
        <v>5</v>
      </c>
      <c r="B6691" s="1">
        <v>45936</v>
      </c>
      <c r="C6691">
        <v>19</v>
      </c>
      <c r="D6691">
        <v>8.3000000000000004E-2</v>
      </c>
      <c r="E6691" t="s">
        <v>6</v>
      </c>
      <c r="F6691">
        <v>0.22647999999999999</v>
      </c>
    </row>
    <row r="6692" spans="1:6" x14ac:dyDescent="0.3">
      <c r="A6692" t="s">
        <v>5</v>
      </c>
      <c r="B6692" s="1">
        <v>45936</v>
      </c>
      <c r="C6692">
        <v>20</v>
      </c>
      <c r="D6692">
        <v>0.21199999999999999</v>
      </c>
      <c r="E6692" t="s">
        <v>6</v>
      </c>
      <c r="F6692">
        <v>0.27201999999999998</v>
      </c>
    </row>
    <row r="6693" spans="1:6" x14ac:dyDescent="0.3">
      <c r="A6693" t="s">
        <v>5</v>
      </c>
      <c r="B6693" s="1">
        <v>45936</v>
      </c>
      <c r="C6693">
        <v>21</v>
      </c>
      <c r="D6693">
        <v>0.33900000000000002</v>
      </c>
      <c r="E6693" t="s">
        <v>6</v>
      </c>
      <c r="F6693">
        <v>0.30235000000000001</v>
      </c>
    </row>
    <row r="6694" spans="1:6" x14ac:dyDescent="0.3">
      <c r="A6694" t="s">
        <v>5</v>
      </c>
      <c r="B6694" s="1">
        <v>45936</v>
      </c>
      <c r="C6694">
        <v>22</v>
      </c>
      <c r="D6694">
        <v>0.58399999999999996</v>
      </c>
      <c r="E6694" t="s">
        <v>6</v>
      </c>
      <c r="F6694">
        <v>0.30832999999999999</v>
      </c>
    </row>
    <row r="6695" spans="1:6" x14ac:dyDescent="0.3">
      <c r="A6695" t="s">
        <v>5</v>
      </c>
      <c r="B6695" s="1">
        <v>45936</v>
      </c>
      <c r="C6695">
        <v>23</v>
      </c>
      <c r="D6695">
        <v>0.46</v>
      </c>
      <c r="E6695" t="s">
        <v>6</v>
      </c>
      <c r="F6695">
        <v>0.19275</v>
      </c>
    </row>
    <row r="6696" spans="1:6" x14ac:dyDescent="0.3">
      <c r="A6696" t="s">
        <v>5</v>
      </c>
      <c r="B6696" s="1">
        <v>45936</v>
      </c>
      <c r="C6696">
        <v>24</v>
      </c>
      <c r="D6696">
        <v>0.48</v>
      </c>
      <c r="E6696" t="s">
        <v>6</v>
      </c>
      <c r="F6696">
        <v>0.16664999999999999</v>
      </c>
    </row>
    <row r="6697" spans="1:6" x14ac:dyDescent="0.3">
      <c r="A6697" t="s">
        <v>5</v>
      </c>
      <c r="B6697" s="1">
        <v>45937</v>
      </c>
      <c r="C6697">
        <v>1</v>
      </c>
      <c r="D6697">
        <v>1.1659999999999999</v>
      </c>
      <c r="E6697" t="s">
        <v>6</v>
      </c>
      <c r="F6697">
        <v>0.14360000000000001</v>
      </c>
    </row>
    <row r="6698" spans="1:6" x14ac:dyDescent="0.3">
      <c r="A6698" t="s">
        <v>5</v>
      </c>
      <c r="B6698" s="1">
        <v>45937</v>
      </c>
      <c r="C6698">
        <v>2</v>
      </c>
      <c r="D6698">
        <v>0.44400000000000001</v>
      </c>
      <c r="E6698" t="s">
        <v>6</v>
      </c>
      <c r="F6698">
        <v>0.14324999999999999</v>
      </c>
    </row>
    <row r="6699" spans="1:6" x14ac:dyDescent="0.3">
      <c r="A6699" t="s">
        <v>5</v>
      </c>
      <c r="B6699" s="1">
        <v>45937</v>
      </c>
      <c r="C6699">
        <v>3</v>
      </c>
      <c r="D6699">
        <v>0.62</v>
      </c>
      <c r="E6699" t="s">
        <v>6</v>
      </c>
      <c r="F6699">
        <v>0.14333000000000001</v>
      </c>
    </row>
    <row r="6700" spans="1:6" x14ac:dyDescent="0.3">
      <c r="A6700" t="s">
        <v>5</v>
      </c>
      <c r="B6700" s="1">
        <v>45937</v>
      </c>
      <c r="C6700">
        <v>4</v>
      </c>
      <c r="D6700">
        <v>0.20499999999999999</v>
      </c>
      <c r="E6700" t="s">
        <v>6</v>
      </c>
      <c r="F6700">
        <v>0.13603999999999999</v>
      </c>
    </row>
    <row r="6701" spans="1:6" x14ac:dyDescent="0.3">
      <c r="A6701" t="s">
        <v>5</v>
      </c>
      <c r="B6701" s="1">
        <v>45937</v>
      </c>
      <c r="C6701">
        <v>5</v>
      </c>
      <c r="D6701">
        <v>0.17799999999999999</v>
      </c>
      <c r="E6701" t="s">
        <v>6</v>
      </c>
      <c r="F6701">
        <v>0.13544</v>
      </c>
    </row>
    <row r="6702" spans="1:6" x14ac:dyDescent="0.3">
      <c r="A6702" t="s">
        <v>5</v>
      </c>
      <c r="B6702" s="1">
        <v>45937</v>
      </c>
      <c r="C6702">
        <v>6</v>
      </c>
      <c r="D6702">
        <v>0.19800000000000001</v>
      </c>
      <c r="E6702" t="s">
        <v>6</v>
      </c>
      <c r="F6702">
        <v>0.13409000000000001</v>
      </c>
    </row>
    <row r="6703" spans="1:6" x14ac:dyDescent="0.3">
      <c r="A6703" t="s">
        <v>5</v>
      </c>
      <c r="B6703" s="1">
        <v>45937</v>
      </c>
      <c r="C6703">
        <v>7</v>
      </c>
      <c r="D6703">
        <v>0.186</v>
      </c>
      <c r="E6703" t="s">
        <v>6</v>
      </c>
      <c r="F6703">
        <v>0.13603999999999999</v>
      </c>
    </row>
    <row r="6704" spans="1:6" x14ac:dyDescent="0.3">
      <c r="A6704" t="s">
        <v>5</v>
      </c>
      <c r="B6704" s="1">
        <v>45937</v>
      </c>
      <c r="C6704">
        <v>8</v>
      </c>
      <c r="D6704">
        <v>0.18099999999999999</v>
      </c>
      <c r="E6704" t="s">
        <v>6</v>
      </c>
      <c r="F6704">
        <v>0.14755000000000001</v>
      </c>
    </row>
    <row r="6705" spans="1:6" x14ac:dyDescent="0.3">
      <c r="A6705" t="s">
        <v>5</v>
      </c>
      <c r="B6705" s="1">
        <v>45937</v>
      </c>
      <c r="C6705">
        <v>9</v>
      </c>
      <c r="D6705">
        <v>0.19500000000000001</v>
      </c>
      <c r="E6705" t="s">
        <v>6</v>
      </c>
      <c r="F6705">
        <v>0.18903</v>
      </c>
    </row>
    <row r="6706" spans="1:6" x14ac:dyDescent="0.3">
      <c r="A6706" t="s">
        <v>5</v>
      </c>
      <c r="B6706" s="1">
        <v>45937</v>
      </c>
      <c r="C6706">
        <v>10</v>
      </c>
      <c r="D6706">
        <v>0.17599999999999999</v>
      </c>
      <c r="E6706" t="s">
        <v>6</v>
      </c>
      <c r="F6706">
        <v>0.16996</v>
      </c>
    </row>
    <row r="6707" spans="1:6" x14ac:dyDescent="0.3">
      <c r="A6707" t="s">
        <v>5</v>
      </c>
      <c r="B6707" s="1">
        <v>45937</v>
      </c>
      <c r="C6707">
        <v>11</v>
      </c>
      <c r="D6707">
        <v>0.127</v>
      </c>
      <c r="E6707" t="s">
        <v>6</v>
      </c>
      <c r="F6707">
        <v>0.19165000000000001</v>
      </c>
    </row>
    <row r="6708" spans="1:6" x14ac:dyDescent="0.3">
      <c r="A6708" t="s">
        <v>5</v>
      </c>
      <c r="B6708" s="1">
        <v>45937</v>
      </c>
      <c r="C6708">
        <v>12</v>
      </c>
      <c r="D6708">
        <v>0.38500000000000001</v>
      </c>
      <c r="E6708" t="s">
        <v>6</v>
      </c>
      <c r="F6708">
        <v>0.16778999999999999</v>
      </c>
    </row>
    <row r="6709" spans="1:6" x14ac:dyDescent="0.3">
      <c r="A6709" t="s">
        <v>5</v>
      </c>
      <c r="B6709" s="1">
        <v>45937</v>
      </c>
      <c r="C6709">
        <v>13</v>
      </c>
      <c r="D6709">
        <v>0.35099999999999998</v>
      </c>
      <c r="E6709" t="s">
        <v>6</v>
      </c>
      <c r="F6709">
        <v>0.16697000000000001</v>
      </c>
    </row>
    <row r="6710" spans="1:6" x14ac:dyDescent="0.3">
      <c r="A6710" t="s">
        <v>5</v>
      </c>
      <c r="B6710" s="1">
        <v>45937</v>
      </c>
      <c r="C6710">
        <v>14</v>
      </c>
      <c r="D6710">
        <v>0.23499999999999999</v>
      </c>
      <c r="E6710" t="s">
        <v>6</v>
      </c>
      <c r="F6710">
        <v>0.15306</v>
      </c>
    </row>
    <row r="6711" spans="1:6" x14ac:dyDescent="0.3">
      <c r="A6711" t="s">
        <v>5</v>
      </c>
      <c r="B6711" s="1">
        <v>45937</v>
      </c>
      <c r="C6711">
        <v>15</v>
      </c>
      <c r="D6711">
        <v>0.114</v>
      </c>
      <c r="E6711" t="s">
        <v>6</v>
      </c>
      <c r="F6711">
        <v>8.5930000000000006E-2</v>
      </c>
    </row>
    <row r="6712" spans="1:6" x14ac:dyDescent="0.3">
      <c r="A6712" t="s">
        <v>5</v>
      </c>
      <c r="B6712" s="1">
        <v>45937</v>
      </c>
      <c r="C6712">
        <v>16</v>
      </c>
      <c r="D6712">
        <v>7.9000000000000001E-2</v>
      </c>
      <c r="E6712" t="s">
        <v>6</v>
      </c>
      <c r="F6712">
        <v>9.221E-2</v>
      </c>
    </row>
    <row r="6713" spans="1:6" x14ac:dyDescent="0.3">
      <c r="A6713" t="s">
        <v>5</v>
      </c>
      <c r="B6713" s="1">
        <v>45937</v>
      </c>
      <c r="C6713">
        <v>17</v>
      </c>
      <c r="D6713">
        <v>8.2000000000000003E-2</v>
      </c>
      <c r="E6713" t="s">
        <v>6</v>
      </c>
      <c r="F6713">
        <v>0.10464</v>
      </c>
    </row>
    <row r="6714" spans="1:6" x14ac:dyDescent="0.3">
      <c r="A6714" t="s">
        <v>5</v>
      </c>
      <c r="B6714" s="1">
        <v>45937</v>
      </c>
      <c r="C6714">
        <v>18</v>
      </c>
      <c r="D6714">
        <v>6.3E-2</v>
      </c>
      <c r="E6714" t="s">
        <v>6</v>
      </c>
      <c r="F6714">
        <v>0.12862000000000001</v>
      </c>
    </row>
    <row r="6715" spans="1:6" x14ac:dyDescent="0.3">
      <c r="A6715" t="s">
        <v>5</v>
      </c>
      <c r="B6715" s="1">
        <v>45937</v>
      </c>
      <c r="C6715">
        <v>19</v>
      </c>
      <c r="D6715">
        <v>8.2000000000000003E-2</v>
      </c>
      <c r="E6715" t="s">
        <v>6</v>
      </c>
      <c r="F6715">
        <v>0.22536</v>
      </c>
    </row>
    <row r="6716" spans="1:6" x14ac:dyDescent="0.3">
      <c r="A6716" t="s">
        <v>5</v>
      </c>
      <c r="B6716" s="1">
        <v>45937</v>
      </c>
      <c r="C6716">
        <v>20</v>
      </c>
      <c r="D6716">
        <v>7.0999999999999994E-2</v>
      </c>
      <c r="E6716" t="s">
        <v>6</v>
      </c>
      <c r="F6716">
        <v>0.26939999999999997</v>
      </c>
    </row>
    <row r="6717" spans="1:6" x14ac:dyDescent="0.3">
      <c r="A6717" t="s">
        <v>5</v>
      </c>
      <c r="B6717" s="1">
        <v>45937</v>
      </c>
      <c r="C6717">
        <v>21</v>
      </c>
      <c r="D6717">
        <v>0.33700000000000002</v>
      </c>
      <c r="E6717" t="s">
        <v>6</v>
      </c>
      <c r="F6717">
        <v>0.29113</v>
      </c>
    </row>
    <row r="6718" spans="1:6" x14ac:dyDescent="0.3">
      <c r="A6718" t="s">
        <v>5</v>
      </c>
      <c r="B6718" s="1">
        <v>45937</v>
      </c>
      <c r="C6718">
        <v>22</v>
      </c>
      <c r="D6718">
        <v>0.47099999999999997</v>
      </c>
      <c r="E6718" t="s">
        <v>6</v>
      </c>
      <c r="F6718">
        <v>0.27889999999999998</v>
      </c>
    </row>
    <row r="6719" spans="1:6" x14ac:dyDescent="0.3">
      <c r="A6719" t="s">
        <v>5</v>
      </c>
      <c r="B6719" s="1">
        <v>45937</v>
      </c>
      <c r="C6719">
        <v>23</v>
      </c>
      <c r="D6719">
        <v>0.45900000000000002</v>
      </c>
      <c r="E6719" t="s">
        <v>6</v>
      </c>
      <c r="F6719">
        <v>0.17199</v>
      </c>
    </row>
    <row r="6720" spans="1:6" x14ac:dyDescent="0.3">
      <c r="A6720" t="s">
        <v>5</v>
      </c>
      <c r="B6720" s="1">
        <v>45937</v>
      </c>
      <c r="C6720">
        <v>24</v>
      </c>
      <c r="D6720">
        <v>0.41199999999999998</v>
      </c>
      <c r="E6720" t="s">
        <v>6</v>
      </c>
      <c r="F6720">
        <v>0.16771</v>
      </c>
    </row>
    <row r="6721" spans="1:6" x14ac:dyDescent="0.3">
      <c r="A6721" t="s">
        <v>5</v>
      </c>
      <c r="B6721" s="1">
        <v>45938</v>
      </c>
      <c r="C6721">
        <v>1</v>
      </c>
      <c r="D6721">
        <v>0.39800000000000002</v>
      </c>
      <c r="E6721" t="s">
        <v>6</v>
      </c>
      <c r="F6721">
        <v>0.14674999999999999</v>
      </c>
    </row>
    <row r="6722" spans="1:6" x14ac:dyDescent="0.3">
      <c r="A6722" t="s">
        <v>5</v>
      </c>
      <c r="B6722" s="1">
        <v>45938</v>
      </c>
      <c r="C6722">
        <v>2</v>
      </c>
      <c r="D6722">
        <v>0.38500000000000001</v>
      </c>
      <c r="E6722" t="s">
        <v>6</v>
      </c>
      <c r="F6722">
        <v>0.14013</v>
      </c>
    </row>
    <row r="6723" spans="1:6" x14ac:dyDescent="0.3">
      <c r="A6723" t="s">
        <v>5</v>
      </c>
      <c r="B6723" s="1">
        <v>45938</v>
      </c>
      <c r="C6723">
        <v>3</v>
      </c>
      <c r="D6723">
        <v>0.313</v>
      </c>
      <c r="E6723" t="s">
        <v>6</v>
      </c>
      <c r="F6723">
        <v>0.13750999999999999</v>
      </c>
    </row>
    <row r="6724" spans="1:6" x14ac:dyDescent="0.3">
      <c r="A6724" t="s">
        <v>5</v>
      </c>
      <c r="B6724" s="1">
        <v>45938</v>
      </c>
      <c r="C6724">
        <v>4</v>
      </c>
      <c r="D6724">
        <v>0.156</v>
      </c>
      <c r="E6724" t="s">
        <v>6</v>
      </c>
      <c r="F6724">
        <v>0.1326</v>
      </c>
    </row>
    <row r="6725" spans="1:6" x14ac:dyDescent="0.3">
      <c r="A6725" t="s">
        <v>5</v>
      </c>
      <c r="B6725" s="1">
        <v>45938</v>
      </c>
      <c r="C6725">
        <v>5</v>
      </c>
      <c r="D6725">
        <v>0.114</v>
      </c>
      <c r="E6725" t="s">
        <v>6</v>
      </c>
      <c r="F6725">
        <v>0.13300999999999999</v>
      </c>
    </row>
    <row r="6726" spans="1:6" x14ac:dyDescent="0.3">
      <c r="A6726" t="s">
        <v>5</v>
      </c>
      <c r="B6726" s="1">
        <v>45938</v>
      </c>
      <c r="C6726">
        <v>6</v>
      </c>
      <c r="D6726">
        <v>0.12</v>
      </c>
      <c r="E6726" t="s">
        <v>6</v>
      </c>
      <c r="F6726">
        <v>0.12921000000000002</v>
      </c>
    </row>
    <row r="6727" spans="1:6" x14ac:dyDescent="0.3">
      <c r="A6727" t="s">
        <v>5</v>
      </c>
      <c r="B6727" s="1">
        <v>45938</v>
      </c>
      <c r="C6727">
        <v>7</v>
      </c>
      <c r="D6727">
        <v>0.11799999999999999</v>
      </c>
      <c r="E6727" t="s">
        <v>6</v>
      </c>
      <c r="F6727">
        <v>0.13287000000000002</v>
      </c>
    </row>
    <row r="6728" spans="1:6" x14ac:dyDescent="0.3">
      <c r="A6728" t="s">
        <v>5</v>
      </c>
      <c r="B6728" s="1">
        <v>45938</v>
      </c>
      <c r="C6728">
        <v>8</v>
      </c>
      <c r="D6728">
        <v>0.14499999999999999</v>
      </c>
      <c r="E6728" t="s">
        <v>6</v>
      </c>
      <c r="F6728">
        <v>0.15712000000000001</v>
      </c>
    </row>
    <row r="6729" spans="1:6" x14ac:dyDescent="0.3">
      <c r="A6729" t="s">
        <v>5</v>
      </c>
      <c r="B6729" s="1">
        <v>45938</v>
      </c>
      <c r="C6729">
        <v>9</v>
      </c>
      <c r="D6729">
        <v>0.13600000000000001</v>
      </c>
      <c r="E6729" t="s">
        <v>6</v>
      </c>
      <c r="F6729">
        <v>0.21972</v>
      </c>
    </row>
    <row r="6730" spans="1:6" x14ac:dyDescent="0.3">
      <c r="A6730" t="s">
        <v>5</v>
      </c>
      <c r="B6730" s="1">
        <v>45938</v>
      </c>
      <c r="C6730">
        <v>10</v>
      </c>
      <c r="D6730">
        <v>0.14199999999999999</v>
      </c>
      <c r="E6730" t="s">
        <v>6</v>
      </c>
      <c r="F6730">
        <v>0.16093000000000002</v>
      </c>
    </row>
    <row r="6731" spans="1:6" x14ac:dyDescent="0.3">
      <c r="A6731" t="s">
        <v>5</v>
      </c>
      <c r="B6731" s="1">
        <v>45938</v>
      </c>
      <c r="C6731">
        <v>11</v>
      </c>
      <c r="D6731">
        <v>0.13300000000000001</v>
      </c>
      <c r="E6731" t="s">
        <v>6</v>
      </c>
      <c r="F6731">
        <v>0.21428</v>
      </c>
    </row>
    <row r="6732" spans="1:6" x14ac:dyDescent="0.3">
      <c r="A6732" t="s">
        <v>5</v>
      </c>
      <c r="B6732" s="1">
        <v>45938</v>
      </c>
      <c r="C6732">
        <v>12</v>
      </c>
      <c r="D6732">
        <v>0.13100000000000001</v>
      </c>
      <c r="E6732" t="s">
        <v>6</v>
      </c>
      <c r="F6732">
        <v>0.19549</v>
      </c>
    </row>
    <row r="6733" spans="1:6" x14ac:dyDescent="0.3">
      <c r="A6733" t="s">
        <v>5</v>
      </c>
      <c r="B6733" s="1">
        <v>45938</v>
      </c>
      <c r="C6733">
        <v>13</v>
      </c>
      <c r="D6733">
        <v>0.20899999999999999</v>
      </c>
      <c r="E6733" t="s">
        <v>6</v>
      </c>
      <c r="F6733">
        <v>0.19158</v>
      </c>
    </row>
    <row r="6734" spans="1:6" x14ac:dyDescent="0.3">
      <c r="A6734" t="s">
        <v>5</v>
      </c>
      <c r="B6734" s="1">
        <v>45938</v>
      </c>
      <c r="C6734">
        <v>14</v>
      </c>
      <c r="D6734">
        <v>0.17699999999999999</v>
      </c>
      <c r="E6734" t="s">
        <v>6</v>
      </c>
      <c r="F6734">
        <v>0.18006</v>
      </c>
    </row>
    <row r="6735" spans="1:6" x14ac:dyDescent="0.3">
      <c r="A6735" t="s">
        <v>5</v>
      </c>
      <c r="B6735" s="1">
        <v>45938</v>
      </c>
      <c r="C6735">
        <v>15</v>
      </c>
      <c r="D6735">
        <v>0.17799999999999999</v>
      </c>
      <c r="E6735" t="s">
        <v>6</v>
      </c>
      <c r="F6735">
        <v>0.11137999999999999</v>
      </c>
    </row>
    <row r="6736" spans="1:6" x14ac:dyDescent="0.3">
      <c r="A6736" t="s">
        <v>5</v>
      </c>
      <c r="B6736" s="1">
        <v>45938</v>
      </c>
      <c r="C6736">
        <v>16</v>
      </c>
      <c r="D6736">
        <v>8.8999999999999996E-2</v>
      </c>
      <c r="E6736" t="s">
        <v>6</v>
      </c>
      <c r="F6736">
        <v>0.11098000000000001</v>
      </c>
    </row>
    <row r="6737" spans="1:6" x14ac:dyDescent="0.3">
      <c r="A6737" t="s">
        <v>5</v>
      </c>
      <c r="B6737" s="1">
        <v>45938</v>
      </c>
      <c r="C6737">
        <v>17</v>
      </c>
      <c r="D6737">
        <v>8.5000000000000006E-2</v>
      </c>
      <c r="E6737" t="s">
        <v>6</v>
      </c>
      <c r="F6737">
        <v>0.10479000000000001</v>
      </c>
    </row>
    <row r="6738" spans="1:6" x14ac:dyDescent="0.3">
      <c r="A6738" t="s">
        <v>5</v>
      </c>
      <c r="B6738" s="1">
        <v>45938</v>
      </c>
      <c r="C6738">
        <v>18</v>
      </c>
      <c r="D6738">
        <v>0.105</v>
      </c>
      <c r="E6738" t="s">
        <v>6</v>
      </c>
      <c r="F6738">
        <v>0.12737000000000001</v>
      </c>
    </row>
    <row r="6739" spans="1:6" x14ac:dyDescent="0.3">
      <c r="A6739" t="s">
        <v>5</v>
      </c>
      <c r="B6739" s="1">
        <v>45938</v>
      </c>
      <c r="C6739">
        <v>19</v>
      </c>
      <c r="D6739">
        <v>0.11</v>
      </c>
      <c r="E6739" t="s">
        <v>6</v>
      </c>
      <c r="F6739">
        <v>0.20883000000000002</v>
      </c>
    </row>
    <row r="6740" spans="1:6" x14ac:dyDescent="0.3">
      <c r="A6740" t="s">
        <v>5</v>
      </c>
      <c r="B6740" s="1">
        <v>45938</v>
      </c>
      <c r="C6740">
        <v>20</v>
      </c>
      <c r="D6740">
        <v>0.20599999999999999</v>
      </c>
      <c r="E6740" t="s">
        <v>6</v>
      </c>
      <c r="F6740">
        <v>0.26800000000000002</v>
      </c>
    </row>
    <row r="6741" spans="1:6" x14ac:dyDescent="0.3">
      <c r="A6741" t="s">
        <v>5</v>
      </c>
      <c r="B6741" s="1">
        <v>45938</v>
      </c>
      <c r="C6741">
        <v>21</v>
      </c>
      <c r="D6741">
        <v>0.22700000000000001</v>
      </c>
      <c r="E6741" t="s">
        <v>6</v>
      </c>
      <c r="F6741">
        <v>0.26163999999999998</v>
      </c>
    </row>
    <row r="6742" spans="1:6" x14ac:dyDescent="0.3">
      <c r="A6742" t="s">
        <v>5</v>
      </c>
      <c r="B6742" s="1">
        <v>45938</v>
      </c>
      <c r="C6742">
        <v>22</v>
      </c>
      <c r="D6742">
        <v>0.22</v>
      </c>
      <c r="E6742" t="s">
        <v>6</v>
      </c>
      <c r="F6742">
        <v>0.22841</v>
      </c>
    </row>
    <row r="6743" spans="1:6" x14ac:dyDescent="0.3">
      <c r="A6743" t="s">
        <v>5</v>
      </c>
      <c r="B6743" s="1">
        <v>45938</v>
      </c>
      <c r="C6743">
        <v>23</v>
      </c>
      <c r="D6743">
        <v>0.26800000000000002</v>
      </c>
      <c r="E6743" t="s">
        <v>6</v>
      </c>
      <c r="F6743">
        <v>0.15803</v>
      </c>
    </row>
    <row r="6744" spans="1:6" x14ac:dyDescent="0.3">
      <c r="A6744" t="s">
        <v>5</v>
      </c>
      <c r="B6744" s="1">
        <v>45938</v>
      </c>
      <c r="C6744">
        <v>24</v>
      </c>
      <c r="D6744">
        <v>0.253</v>
      </c>
      <c r="E6744" t="s">
        <v>6</v>
      </c>
      <c r="F6744">
        <v>0.14926</v>
      </c>
    </row>
    <row r="6745" spans="1:6" x14ac:dyDescent="0.3">
      <c r="A6745" t="s">
        <v>5</v>
      </c>
      <c r="B6745" s="1">
        <v>45939</v>
      </c>
      <c r="C6745">
        <v>1</v>
      </c>
      <c r="D6745">
        <v>0.42299999999999999</v>
      </c>
      <c r="E6745" t="s">
        <v>6</v>
      </c>
      <c r="F6745">
        <v>0.14629</v>
      </c>
    </row>
    <row r="6746" spans="1:6" x14ac:dyDescent="0.3">
      <c r="A6746" t="s">
        <v>5</v>
      </c>
      <c r="B6746" s="1">
        <v>45939</v>
      </c>
      <c r="C6746">
        <v>2</v>
      </c>
      <c r="D6746">
        <v>0.30099999999999999</v>
      </c>
      <c r="E6746" t="s">
        <v>6</v>
      </c>
      <c r="F6746">
        <v>0.1356</v>
      </c>
    </row>
    <row r="6747" spans="1:6" x14ac:dyDescent="0.3">
      <c r="A6747" t="s">
        <v>5</v>
      </c>
      <c r="B6747" s="1">
        <v>45939</v>
      </c>
      <c r="C6747">
        <v>3</v>
      </c>
      <c r="D6747">
        <v>0.20499999999999999</v>
      </c>
      <c r="E6747" t="s">
        <v>6</v>
      </c>
      <c r="F6747">
        <v>0.13871</v>
      </c>
    </row>
    <row r="6748" spans="1:6" x14ac:dyDescent="0.3">
      <c r="A6748" t="s">
        <v>5</v>
      </c>
      <c r="B6748" s="1">
        <v>45939</v>
      </c>
      <c r="C6748">
        <v>4</v>
      </c>
      <c r="D6748">
        <v>0.192</v>
      </c>
      <c r="E6748" t="s">
        <v>6</v>
      </c>
      <c r="F6748">
        <v>0.12615999999999999</v>
      </c>
    </row>
    <row r="6749" spans="1:6" x14ac:dyDescent="0.3">
      <c r="A6749" t="s">
        <v>5</v>
      </c>
      <c r="B6749" s="1">
        <v>45939</v>
      </c>
      <c r="C6749">
        <v>5</v>
      </c>
      <c r="D6749">
        <v>0.19600000000000001</v>
      </c>
      <c r="E6749" t="s">
        <v>6</v>
      </c>
      <c r="F6749">
        <v>0.1215</v>
      </c>
    </row>
    <row r="6750" spans="1:6" x14ac:dyDescent="0.3">
      <c r="A6750" t="s">
        <v>5</v>
      </c>
      <c r="B6750" s="1">
        <v>45939</v>
      </c>
      <c r="C6750">
        <v>6</v>
      </c>
      <c r="D6750">
        <v>0.187</v>
      </c>
      <c r="E6750" t="s">
        <v>6</v>
      </c>
      <c r="F6750">
        <v>0.12332</v>
      </c>
    </row>
    <row r="6751" spans="1:6" x14ac:dyDescent="0.3">
      <c r="A6751" t="s">
        <v>5</v>
      </c>
      <c r="B6751" s="1">
        <v>45939</v>
      </c>
      <c r="C6751">
        <v>7</v>
      </c>
      <c r="D6751">
        <v>0.19800000000000001</v>
      </c>
      <c r="E6751" t="s">
        <v>6</v>
      </c>
      <c r="F6751">
        <v>0.13674</v>
      </c>
    </row>
    <row r="6752" spans="1:6" x14ac:dyDescent="0.3">
      <c r="A6752" t="s">
        <v>5</v>
      </c>
      <c r="B6752" s="1">
        <v>45939</v>
      </c>
      <c r="C6752">
        <v>8</v>
      </c>
      <c r="D6752">
        <v>0.17199999999999999</v>
      </c>
      <c r="E6752" t="s">
        <v>6</v>
      </c>
      <c r="F6752">
        <v>0.15155000000000002</v>
      </c>
    </row>
    <row r="6753" spans="1:6" x14ac:dyDescent="0.3">
      <c r="A6753" t="s">
        <v>5</v>
      </c>
      <c r="B6753" s="1">
        <v>45939</v>
      </c>
      <c r="C6753">
        <v>9</v>
      </c>
      <c r="D6753">
        <v>0.222</v>
      </c>
      <c r="E6753" t="s">
        <v>6</v>
      </c>
      <c r="F6753">
        <v>0.19050999999999998</v>
      </c>
    </row>
    <row r="6754" spans="1:6" x14ac:dyDescent="0.3">
      <c r="A6754" t="s">
        <v>5</v>
      </c>
      <c r="B6754" s="1">
        <v>45939</v>
      </c>
      <c r="C6754">
        <v>10</v>
      </c>
      <c r="D6754">
        <v>1.002</v>
      </c>
      <c r="E6754" t="s">
        <v>6</v>
      </c>
      <c r="F6754">
        <v>0.16516</v>
      </c>
    </row>
    <row r="6755" spans="1:6" x14ac:dyDescent="0.3">
      <c r="A6755" t="s">
        <v>5</v>
      </c>
      <c r="B6755" s="1">
        <v>45939</v>
      </c>
      <c r="C6755">
        <v>11</v>
      </c>
      <c r="D6755">
        <v>0.69399999999999995</v>
      </c>
      <c r="E6755" t="s">
        <v>6</v>
      </c>
      <c r="F6755">
        <v>0.17376</v>
      </c>
    </row>
    <row r="6756" spans="1:6" x14ac:dyDescent="0.3">
      <c r="A6756" t="s">
        <v>5</v>
      </c>
      <c r="B6756" s="1">
        <v>45939</v>
      </c>
      <c r="C6756">
        <v>12</v>
      </c>
      <c r="D6756">
        <v>0.19400000000000001</v>
      </c>
      <c r="E6756" t="s">
        <v>6</v>
      </c>
      <c r="F6756">
        <v>0.15049000000000001</v>
      </c>
    </row>
    <row r="6757" spans="1:6" x14ac:dyDescent="0.3">
      <c r="A6757" t="s">
        <v>5</v>
      </c>
      <c r="B6757" s="1">
        <v>45939</v>
      </c>
      <c r="C6757">
        <v>13</v>
      </c>
      <c r="D6757">
        <v>0.123</v>
      </c>
      <c r="E6757" t="s">
        <v>6</v>
      </c>
      <c r="F6757">
        <v>0.14135</v>
      </c>
    </row>
    <row r="6758" spans="1:6" x14ac:dyDescent="0.3">
      <c r="A6758" t="s">
        <v>5</v>
      </c>
      <c r="B6758" s="1">
        <v>45939</v>
      </c>
      <c r="C6758">
        <v>14</v>
      </c>
      <c r="D6758">
        <v>0.27600000000000002</v>
      </c>
      <c r="E6758" t="s">
        <v>6</v>
      </c>
      <c r="F6758">
        <v>0.14305999999999999</v>
      </c>
    </row>
    <row r="6759" spans="1:6" x14ac:dyDescent="0.3">
      <c r="A6759" t="s">
        <v>5</v>
      </c>
      <c r="B6759" s="1">
        <v>45939</v>
      </c>
      <c r="C6759">
        <v>15</v>
      </c>
      <c r="D6759">
        <v>0.223</v>
      </c>
      <c r="E6759" t="s">
        <v>6</v>
      </c>
      <c r="F6759">
        <v>7.468000000000001E-2</v>
      </c>
    </row>
    <row r="6760" spans="1:6" x14ac:dyDescent="0.3">
      <c r="A6760" t="s">
        <v>5</v>
      </c>
      <c r="B6760" s="1">
        <v>45939</v>
      </c>
      <c r="C6760">
        <v>16</v>
      </c>
      <c r="D6760">
        <v>0.13500000000000001</v>
      </c>
      <c r="E6760" t="s">
        <v>6</v>
      </c>
      <c r="F6760">
        <v>7.5569999999999998E-2</v>
      </c>
    </row>
    <row r="6761" spans="1:6" x14ac:dyDescent="0.3">
      <c r="A6761" t="s">
        <v>5</v>
      </c>
      <c r="B6761" s="1">
        <v>45939</v>
      </c>
      <c r="C6761">
        <v>17</v>
      </c>
      <c r="D6761">
        <v>0.30599999999999999</v>
      </c>
      <c r="E6761" t="s">
        <v>6</v>
      </c>
      <c r="F6761">
        <v>8.3229999999999998E-2</v>
      </c>
    </row>
    <row r="6762" spans="1:6" x14ac:dyDescent="0.3">
      <c r="A6762" t="s">
        <v>5</v>
      </c>
      <c r="B6762" s="1">
        <v>45939</v>
      </c>
      <c r="C6762">
        <v>18</v>
      </c>
      <c r="D6762">
        <v>0.28699999999999998</v>
      </c>
      <c r="E6762" t="s">
        <v>6</v>
      </c>
      <c r="F6762">
        <v>0.11176</v>
      </c>
    </row>
    <row r="6763" spans="1:6" x14ac:dyDescent="0.3">
      <c r="A6763" t="s">
        <v>5</v>
      </c>
      <c r="B6763" s="1">
        <v>45939</v>
      </c>
      <c r="C6763">
        <v>19</v>
      </c>
      <c r="D6763">
        <v>5.8999999999999997E-2</v>
      </c>
      <c r="E6763" t="s">
        <v>6</v>
      </c>
      <c r="F6763">
        <v>0.20812999999999998</v>
      </c>
    </row>
    <row r="6764" spans="1:6" x14ac:dyDescent="0.3">
      <c r="A6764" t="s">
        <v>5</v>
      </c>
      <c r="B6764" s="1">
        <v>45939</v>
      </c>
      <c r="C6764">
        <v>20</v>
      </c>
      <c r="D6764">
        <v>8.5999999999999993E-2</v>
      </c>
      <c r="E6764" t="s">
        <v>6</v>
      </c>
      <c r="F6764">
        <v>0.24968000000000001</v>
      </c>
    </row>
    <row r="6765" spans="1:6" x14ac:dyDescent="0.3">
      <c r="A6765" t="s">
        <v>5</v>
      </c>
      <c r="B6765" s="1">
        <v>45939</v>
      </c>
      <c r="C6765">
        <v>21</v>
      </c>
      <c r="D6765">
        <v>0.61299999999999999</v>
      </c>
      <c r="E6765" t="s">
        <v>6</v>
      </c>
      <c r="F6765">
        <v>0.25657000000000002</v>
      </c>
    </row>
    <row r="6766" spans="1:6" x14ac:dyDescent="0.3">
      <c r="A6766" t="s">
        <v>5</v>
      </c>
      <c r="B6766" s="1">
        <v>45939</v>
      </c>
      <c r="C6766">
        <v>22</v>
      </c>
      <c r="D6766">
        <v>0.68200000000000005</v>
      </c>
      <c r="E6766" t="s">
        <v>6</v>
      </c>
      <c r="F6766">
        <v>0.23766000000000001</v>
      </c>
    </row>
    <row r="6767" spans="1:6" x14ac:dyDescent="0.3">
      <c r="A6767" t="s">
        <v>5</v>
      </c>
      <c r="B6767" s="1">
        <v>45939</v>
      </c>
      <c r="C6767">
        <v>23</v>
      </c>
      <c r="D6767">
        <v>0.16900000000000001</v>
      </c>
      <c r="E6767" t="s">
        <v>6</v>
      </c>
      <c r="F6767">
        <v>0.16941000000000001</v>
      </c>
    </row>
    <row r="6768" spans="1:6" x14ac:dyDescent="0.3">
      <c r="A6768" t="s">
        <v>5</v>
      </c>
      <c r="B6768" s="1">
        <v>45939</v>
      </c>
      <c r="C6768">
        <v>24</v>
      </c>
      <c r="D6768">
        <v>0.22</v>
      </c>
      <c r="E6768" t="s">
        <v>6</v>
      </c>
      <c r="F6768">
        <v>0.16841</v>
      </c>
    </row>
    <row r="6769" spans="1:6" x14ac:dyDescent="0.3">
      <c r="A6769" t="s">
        <v>5</v>
      </c>
      <c r="B6769" s="1">
        <v>45940</v>
      </c>
      <c r="C6769">
        <v>1</v>
      </c>
      <c r="D6769">
        <v>0.28999999999999998</v>
      </c>
      <c r="E6769" t="s">
        <v>6</v>
      </c>
      <c r="F6769">
        <v>0.12809999999999999</v>
      </c>
    </row>
    <row r="6770" spans="1:6" x14ac:dyDescent="0.3">
      <c r="A6770" t="s">
        <v>5</v>
      </c>
      <c r="B6770" s="1">
        <v>45940</v>
      </c>
      <c r="C6770">
        <v>2</v>
      </c>
      <c r="D6770">
        <v>0.15</v>
      </c>
      <c r="E6770" t="s">
        <v>6</v>
      </c>
      <c r="F6770">
        <v>0.12533</v>
      </c>
    </row>
    <row r="6771" spans="1:6" x14ac:dyDescent="0.3">
      <c r="A6771" t="s">
        <v>5</v>
      </c>
      <c r="B6771" s="1">
        <v>45940</v>
      </c>
      <c r="C6771">
        <v>3</v>
      </c>
      <c r="D6771">
        <v>0.153</v>
      </c>
      <c r="E6771" t="s">
        <v>6</v>
      </c>
      <c r="F6771">
        <v>0.12562000000000001</v>
      </c>
    </row>
    <row r="6772" spans="1:6" x14ac:dyDescent="0.3">
      <c r="A6772" t="s">
        <v>5</v>
      </c>
      <c r="B6772" s="1">
        <v>45940</v>
      </c>
      <c r="C6772">
        <v>4</v>
      </c>
      <c r="D6772">
        <v>0.14599999999999999</v>
      </c>
      <c r="E6772" t="s">
        <v>6</v>
      </c>
      <c r="F6772">
        <v>0.11517000000000001</v>
      </c>
    </row>
    <row r="6773" spans="1:6" x14ac:dyDescent="0.3">
      <c r="A6773" t="s">
        <v>5</v>
      </c>
      <c r="B6773" s="1">
        <v>45940</v>
      </c>
      <c r="C6773">
        <v>5</v>
      </c>
      <c r="D6773">
        <v>0.14399999999999999</v>
      </c>
      <c r="E6773" t="s">
        <v>6</v>
      </c>
      <c r="F6773">
        <v>0.11194</v>
      </c>
    </row>
    <row r="6774" spans="1:6" x14ac:dyDescent="0.3">
      <c r="A6774" t="s">
        <v>5</v>
      </c>
      <c r="B6774" s="1">
        <v>45940</v>
      </c>
      <c r="C6774">
        <v>6</v>
      </c>
      <c r="D6774">
        <v>0.14899999999999999</v>
      </c>
      <c r="E6774" t="s">
        <v>6</v>
      </c>
      <c r="F6774">
        <v>0.12052</v>
      </c>
    </row>
    <row r="6775" spans="1:6" x14ac:dyDescent="0.3">
      <c r="A6775" t="s">
        <v>5</v>
      </c>
      <c r="B6775" s="1">
        <v>45940</v>
      </c>
      <c r="C6775">
        <v>7</v>
      </c>
      <c r="D6775">
        <v>0.13600000000000001</v>
      </c>
      <c r="E6775" t="s">
        <v>6</v>
      </c>
      <c r="F6775">
        <v>0.13384000000000001</v>
      </c>
    </row>
    <row r="6776" spans="1:6" x14ac:dyDescent="0.3">
      <c r="A6776" t="s">
        <v>5</v>
      </c>
      <c r="B6776" s="1">
        <v>45940</v>
      </c>
      <c r="C6776">
        <v>8</v>
      </c>
      <c r="D6776">
        <v>0.13900000000000001</v>
      </c>
      <c r="E6776" t="s">
        <v>6</v>
      </c>
      <c r="F6776">
        <v>0.13853000000000001</v>
      </c>
    </row>
    <row r="6777" spans="1:6" x14ac:dyDescent="0.3">
      <c r="A6777" t="s">
        <v>5</v>
      </c>
      <c r="B6777" s="1">
        <v>45940</v>
      </c>
      <c r="C6777">
        <v>9</v>
      </c>
      <c r="D6777">
        <v>8.5999999999999993E-2</v>
      </c>
      <c r="E6777" t="s">
        <v>6</v>
      </c>
      <c r="F6777">
        <v>0.17465</v>
      </c>
    </row>
    <row r="6778" spans="1:6" x14ac:dyDescent="0.3">
      <c r="A6778" t="s">
        <v>5</v>
      </c>
      <c r="B6778" s="1">
        <v>45940</v>
      </c>
      <c r="C6778">
        <v>10</v>
      </c>
      <c r="D6778">
        <v>7.8E-2</v>
      </c>
      <c r="E6778" t="s">
        <v>6</v>
      </c>
      <c r="F6778">
        <v>0.15618000000000001</v>
      </c>
    </row>
    <row r="6779" spans="1:6" x14ac:dyDescent="0.3">
      <c r="A6779" t="s">
        <v>5</v>
      </c>
      <c r="B6779" s="1">
        <v>45940</v>
      </c>
      <c r="C6779">
        <v>11</v>
      </c>
      <c r="D6779">
        <v>5.6000000000000001E-2</v>
      </c>
      <c r="E6779" t="s">
        <v>6</v>
      </c>
      <c r="F6779">
        <v>0.17530999999999999</v>
      </c>
    </row>
    <row r="6780" spans="1:6" x14ac:dyDescent="0.3">
      <c r="A6780" t="s">
        <v>5</v>
      </c>
      <c r="B6780" s="1">
        <v>45940</v>
      </c>
      <c r="C6780">
        <v>12</v>
      </c>
      <c r="D6780">
        <v>0.08</v>
      </c>
      <c r="E6780" t="s">
        <v>6</v>
      </c>
      <c r="F6780">
        <v>0.16771</v>
      </c>
    </row>
    <row r="6781" spans="1:6" x14ac:dyDescent="0.3">
      <c r="A6781" t="s">
        <v>5</v>
      </c>
      <c r="B6781" s="1">
        <v>45940</v>
      </c>
      <c r="C6781">
        <v>13</v>
      </c>
      <c r="D6781">
        <v>0.35</v>
      </c>
      <c r="E6781" t="s">
        <v>6</v>
      </c>
      <c r="F6781">
        <v>0.16836999999999999</v>
      </c>
    </row>
    <row r="6782" spans="1:6" x14ac:dyDescent="0.3">
      <c r="A6782" t="s">
        <v>5</v>
      </c>
      <c r="B6782" s="1">
        <v>45940</v>
      </c>
      <c r="C6782">
        <v>14</v>
      </c>
      <c r="D6782">
        <v>9.9000000000000005E-2</v>
      </c>
      <c r="E6782" t="s">
        <v>6</v>
      </c>
      <c r="F6782">
        <v>0.16305</v>
      </c>
    </row>
    <row r="6783" spans="1:6" x14ac:dyDescent="0.3">
      <c r="A6783" t="s">
        <v>5</v>
      </c>
      <c r="B6783" s="1">
        <v>45940</v>
      </c>
      <c r="C6783">
        <v>15</v>
      </c>
      <c r="D6783">
        <v>0.13</v>
      </c>
      <c r="E6783" t="s">
        <v>6</v>
      </c>
      <c r="F6783">
        <v>9.0549999999999992E-2</v>
      </c>
    </row>
    <row r="6784" spans="1:6" x14ac:dyDescent="0.3">
      <c r="A6784" t="s">
        <v>5</v>
      </c>
      <c r="B6784" s="1">
        <v>45940</v>
      </c>
      <c r="C6784">
        <v>16</v>
      </c>
      <c r="D6784">
        <v>0.123</v>
      </c>
      <c r="E6784" t="s">
        <v>6</v>
      </c>
      <c r="F6784">
        <v>0.10471</v>
      </c>
    </row>
    <row r="6785" spans="1:6" x14ac:dyDescent="0.3">
      <c r="A6785" t="s">
        <v>5</v>
      </c>
      <c r="B6785" s="1">
        <v>45940</v>
      </c>
      <c r="C6785">
        <v>17</v>
      </c>
      <c r="D6785">
        <v>8.5999999999999993E-2</v>
      </c>
      <c r="E6785" t="s">
        <v>6</v>
      </c>
      <c r="F6785">
        <v>0.11259000000000001</v>
      </c>
    </row>
    <row r="6786" spans="1:6" x14ac:dyDescent="0.3">
      <c r="A6786" t="s">
        <v>5</v>
      </c>
      <c r="B6786" s="1">
        <v>45940</v>
      </c>
      <c r="C6786">
        <v>18</v>
      </c>
      <c r="D6786">
        <v>0.40600000000000003</v>
      </c>
      <c r="E6786" t="s">
        <v>6</v>
      </c>
      <c r="F6786">
        <v>0.14002999999999999</v>
      </c>
    </row>
    <row r="6787" spans="1:6" x14ac:dyDescent="0.3">
      <c r="A6787" t="s">
        <v>5</v>
      </c>
      <c r="B6787" s="1">
        <v>45940</v>
      </c>
      <c r="C6787">
        <v>19</v>
      </c>
      <c r="D6787">
        <v>0.57499999999999996</v>
      </c>
      <c r="E6787" t="s">
        <v>6</v>
      </c>
      <c r="F6787">
        <v>0.22409000000000001</v>
      </c>
    </row>
    <row r="6788" spans="1:6" x14ac:dyDescent="0.3">
      <c r="A6788" t="s">
        <v>5</v>
      </c>
      <c r="B6788" s="1">
        <v>45940</v>
      </c>
      <c r="C6788">
        <v>20</v>
      </c>
      <c r="D6788">
        <v>0.63500000000000001</v>
      </c>
      <c r="E6788" t="s">
        <v>6</v>
      </c>
      <c r="F6788">
        <v>0.24448</v>
      </c>
    </row>
    <row r="6789" spans="1:6" x14ac:dyDescent="0.3">
      <c r="A6789" t="s">
        <v>5</v>
      </c>
      <c r="B6789" s="1">
        <v>45940</v>
      </c>
      <c r="C6789">
        <v>21</v>
      </c>
      <c r="D6789">
        <v>7.6999999999999999E-2</v>
      </c>
      <c r="E6789" t="s">
        <v>6</v>
      </c>
      <c r="F6789">
        <v>0.24568999999999999</v>
      </c>
    </row>
    <row r="6790" spans="1:6" x14ac:dyDescent="0.3">
      <c r="A6790" t="s">
        <v>5</v>
      </c>
      <c r="B6790" s="1">
        <v>45940</v>
      </c>
      <c r="C6790">
        <v>22</v>
      </c>
      <c r="D6790">
        <v>6.0999999999999999E-2</v>
      </c>
      <c r="E6790" t="s">
        <v>6</v>
      </c>
      <c r="F6790">
        <v>0.23305999999999999</v>
      </c>
    </row>
    <row r="6791" spans="1:6" x14ac:dyDescent="0.3">
      <c r="A6791" t="s">
        <v>5</v>
      </c>
      <c r="B6791" s="1">
        <v>45940</v>
      </c>
      <c r="C6791">
        <v>23</v>
      </c>
      <c r="D6791">
        <v>6.9000000000000006E-2</v>
      </c>
      <c r="E6791" t="s">
        <v>6</v>
      </c>
      <c r="F6791">
        <v>0.16662000000000002</v>
      </c>
    </row>
    <row r="6792" spans="1:6" x14ac:dyDescent="0.3">
      <c r="A6792" t="s">
        <v>5</v>
      </c>
      <c r="B6792" s="1">
        <v>45940</v>
      </c>
      <c r="C6792">
        <v>24</v>
      </c>
      <c r="D6792">
        <v>7.4999999999999997E-2</v>
      </c>
      <c r="E6792" t="s">
        <v>6</v>
      </c>
      <c r="F6792">
        <v>0.16658000000000001</v>
      </c>
    </row>
    <row r="6793" spans="1:6" x14ac:dyDescent="0.3">
      <c r="A6793" t="s">
        <v>5</v>
      </c>
      <c r="B6793" s="1">
        <v>45941</v>
      </c>
      <c r="C6793">
        <v>1</v>
      </c>
      <c r="D6793">
        <v>7.2999999999999995E-2</v>
      </c>
      <c r="E6793" t="s">
        <v>6</v>
      </c>
      <c r="F6793">
        <v>0.15303999999999998</v>
      </c>
    </row>
    <row r="6794" spans="1:6" x14ac:dyDescent="0.3">
      <c r="A6794" t="s">
        <v>5</v>
      </c>
      <c r="B6794" s="1">
        <v>45941</v>
      </c>
      <c r="C6794">
        <v>2</v>
      </c>
      <c r="D6794">
        <v>5.8999999999999997E-2</v>
      </c>
      <c r="E6794" t="s">
        <v>6</v>
      </c>
      <c r="F6794">
        <v>0.15250999999999998</v>
      </c>
    </row>
    <row r="6795" spans="1:6" x14ac:dyDescent="0.3">
      <c r="A6795" t="s">
        <v>5</v>
      </c>
      <c r="B6795" s="1">
        <v>45941</v>
      </c>
      <c r="C6795">
        <v>3</v>
      </c>
      <c r="D6795">
        <v>6.6000000000000003E-2</v>
      </c>
      <c r="E6795" t="s">
        <v>6</v>
      </c>
      <c r="F6795">
        <v>0.15328</v>
      </c>
    </row>
    <row r="6796" spans="1:6" x14ac:dyDescent="0.3">
      <c r="A6796" t="s">
        <v>5</v>
      </c>
      <c r="B6796" s="1">
        <v>45941</v>
      </c>
      <c r="C6796">
        <v>4</v>
      </c>
      <c r="D6796">
        <v>7.2999999999999995E-2</v>
      </c>
      <c r="E6796" t="s">
        <v>6</v>
      </c>
      <c r="F6796">
        <v>0.14777999999999999</v>
      </c>
    </row>
    <row r="6797" spans="1:6" x14ac:dyDescent="0.3">
      <c r="A6797" t="s">
        <v>5</v>
      </c>
      <c r="B6797" s="1">
        <v>45941</v>
      </c>
      <c r="C6797">
        <v>5</v>
      </c>
      <c r="D6797">
        <v>7.1999999999999995E-2</v>
      </c>
      <c r="E6797" t="s">
        <v>6</v>
      </c>
      <c r="F6797">
        <v>0.14756</v>
      </c>
    </row>
    <row r="6798" spans="1:6" x14ac:dyDescent="0.3">
      <c r="A6798" t="s">
        <v>5</v>
      </c>
      <c r="B6798" s="1">
        <v>45941</v>
      </c>
      <c r="C6798">
        <v>6</v>
      </c>
      <c r="D6798">
        <v>5.8000000000000003E-2</v>
      </c>
      <c r="E6798" t="s">
        <v>6</v>
      </c>
      <c r="F6798">
        <v>0.14931</v>
      </c>
    </row>
    <row r="6799" spans="1:6" x14ac:dyDescent="0.3">
      <c r="A6799" t="s">
        <v>5</v>
      </c>
      <c r="B6799" s="1">
        <v>45941</v>
      </c>
      <c r="C6799">
        <v>7</v>
      </c>
      <c r="D6799">
        <v>6.7000000000000004E-2</v>
      </c>
      <c r="E6799" t="s">
        <v>6</v>
      </c>
      <c r="F6799">
        <v>0.14799000000000001</v>
      </c>
    </row>
    <row r="6800" spans="1:6" x14ac:dyDescent="0.3">
      <c r="A6800" t="s">
        <v>5</v>
      </c>
      <c r="B6800" s="1">
        <v>45941</v>
      </c>
      <c r="C6800">
        <v>8</v>
      </c>
      <c r="D6800">
        <v>7.2999999999999995E-2</v>
      </c>
      <c r="E6800" t="s">
        <v>6</v>
      </c>
      <c r="F6800">
        <v>0.14577000000000001</v>
      </c>
    </row>
    <row r="6801" spans="1:6" x14ac:dyDescent="0.3">
      <c r="A6801" t="s">
        <v>5</v>
      </c>
      <c r="B6801" s="1">
        <v>45941</v>
      </c>
      <c r="C6801">
        <v>9</v>
      </c>
      <c r="D6801">
        <v>7.0000000000000007E-2</v>
      </c>
      <c r="E6801" t="s">
        <v>6</v>
      </c>
      <c r="F6801">
        <v>0.14645</v>
      </c>
    </row>
    <row r="6802" spans="1:6" x14ac:dyDescent="0.3">
      <c r="A6802" t="s">
        <v>5</v>
      </c>
      <c r="B6802" s="1">
        <v>45941</v>
      </c>
      <c r="C6802">
        <v>10</v>
      </c>
      <c r="D6802">
        <v>5.7000000000000002E-2</v>
      </c>
      <c r="E6802" t="s">
        <v>6</v>
      </c>
      <c r="F6802">
        <v>0.129</v>
      </c>
    </row>
    <row r="6803" spans="1:6" x14ac:dyDescent="0.3">
      <c r="A6803" t="s">
        <v>5</v>
      </c>
      <c r="B6803" s="1">
        <v>45941</v>
      </c>
      <c r="C6803">
        <v>11</v>
      </c>
      <c r="D6803">
        <v>7.0000000000000007E-2</v>
      </c>
      <c r="E6803" t="s">
        <v>6</v>
      </c>
      <c r="F6803">
        <v>9.4209999999999988E-2</v>
      </c>
    </row>
    <row r="6804" spans="1:6" x14ac:dyDescent="0.3">
      <c r="A6804" t="s">
        <v>5</v>
      </c>
      <c r="B6804" s="1">
        <v>45941</v>
      </c>
      <c r="C6804">
        <v>12</v>
      </c>
      <c r="D6804">
        <v>7.1999999999999995E-2</v>
      </c>
      <c r="E6804" t="s">
        <v>6</v>
      </c>
      <c r="F6804">
        <v>5.7320000000000003E-2</v>
      </c>
    </row>
    <row r="6805" spans="1:6" x14ac:dyDescent="0.3">
      <c r="A6805" t="s">
        <v>5</v>
      </c>
      <c r="B6805" s="1">
        <v>45941</v>
      </c>
      <c r="C6805">
        <v>13</v>
      </c>
      <c r="D6805">
        <v>6.5000000000000002E-2</v>
      </c>
      <c r="E6805" t="s">
        <v>6</v>
      </c>
      <c r="F6805">
        <v>4.2599999999999999E-2</v>
      </c>
    </row>
    <row r="6806" spans="1:6" x14ac:dyDescent="0.3">
      <c r="A6806" t="s">
        <v>5</v>
      </c>
      <c r="B6806" s="1">
        <v>45941</v>
      </c>
      <c r="C6806">
        <v>14</v>
      </c>
      <c r="D6806">
        <v>0.06</v>
      </c>
      <c r="E6806" t="s">
        <v>6</v>
      </c>
      <c r="F6806">
        <v>4.1329999999999999E-2</v>
      </c>
    </row>
    <row r="6807" spans="1:6" x14ac:dyDescent="0.3">
      <c r="A6807" t="s">
        <v>5</v>
      </c>
      <c r="B6807" s="1">
        <v>45941</v>
      </c>
      <c r="C6807">
        <v>15</v>
      </c>
      <c r="D6807">
        <v>7.2999999999999995E-2</v>
      </c>
      <c r="E6807" t="s">
        <v>6</v>
      </c>
      <c r="F6807">
        <v>4.0989999999999999E-2</v>
      </c>
    </row>
    <row r="6808" spans="1:6" x14ac:dyDescent="0.3">
      <c r="A6808" t="s">
        <v>5</v>
      </c>
      <c r="B6808" s="1">
        <v>45941</v>
      </c>
      <c r="C6808">
        <v>16</v>
      </c>
      <c r="D6808">
        <v>7.2999999999999995E-2</v>
      </c>
      <c r="E6808" t="s">
        <v>6</v>
      </c>
      <c r="F6808">
        <v>4.2189999999999998E-2</v>
      </c>
    </row>
    <row r="6809" spans="1:6" x14ac:dyDescent="0.3">
      <c r="A6809" t="s">
        <v>5</v>
      </c>
      <c r="B6809" s="1">
        <v>45941</v>
      </c>
      <c r="C6809">
        <v>17</v>
      </c>
      <c r="D6809">
        <v>5.8999999999999997E-2</v>
      </c>
      <c r="E6809" t="s">
        <v>6</v>
      </c>
      <c r="F6809">
        <v>4.7329999999999997E-2</v>
      </c>
    </row>
    <row r="6810" spans="1:6" x14ac:dyDescent="0.3">
      <c r="A6810" t="s">
        <v>5</v>
      </c>
      <c r="B6810" s="1">
        <v>45941</v>
      </c>
      <c r="C6810">
        <v>18</v>
      </c>
      <c r="D6810">
        <v>6.7000000000000004E-2</v>
      </c>
      <c r="E6810" t="s">
        <v>6</v>
      </c>
      <c r="F6810">
        <v>8.5449999999999998E-2</v>
      </c>
    </row>
    <row r="6811" spans="1:6" x14ac:dyDescent="0.3">
      <c r="A6811" t="s">
        <v>5</v>
      </c>
      <c r="B6811" s="1">
        <v>45941</v>
      </c>
      <c r="C6811">
        <v>19</v>
      </c>
      <c r="D6811">
        <v>7.2999999999999995E-2</v>
      </c>
      <c r="E6811" t="s">
        <v>6</v>
      </c>
      <c r="F6811">
        <v>0.12887999999999999</v>
      </c>
    </row>
    <row r="6812" spans="1:6" x14ac:dyDescent="0.3">
      <c r="A6812" t="s">
        <v>5</v>
      </c>
      <c r="B6812" s="1">
        <v>45941</v>
      </c>
      <c r="C6812">
        <v>20</v>
      </c>
      <c r="D6812">
        <v>6.6000000000000003E-2</v>
      </c>
      <c r="E6812" t="s">
        <v>6</v>
      </c>
      <c r="F6812">
        <v>0.15172999999999998</v>
      </c>
    </row>
    <row r="6813" spans="1:6" x14ac:dyDescent="0.3">
      <c r="A6813" t="s">
        <v>5</v>
      </c>
      <c r="B6813" s="1">
        <v>45941</v>
      </c>
      <c r="C6813">
        <v>21</v>
      </c>
      <c r="D6813">
        <v>0.06</v>
      </c>
      <c r="E6813" t="s">
        <v>6</v>
      </c>
      <c r="F6813">
        <v>0.14968999999999999</v>
      </c>
    </row>
    <row r="6814" spans="1:6" x14ac:dyDescent="0.3">
      <c r="A6814" t="s">
        <v>5</v>
      </c>
      <c r="B6814" s="1">
        <v>45941</v>
      </c>
      <c r="C6814">
        <v>22</v>
      </c>
      <c r="D6814">
        <v>7.2999999999999995E-2</v>
      </c>
      <c r="E6814" t="s">
        <v>6</v>
      </c>
      <c r="F6814">
        <v>0.15231</v>
      </c>
    </row>
    <row r="6815" spans="1:6" x14ac:dyDescent="0.3">
      <c r="A6815" t="s">
        <v>5</v>
      </c>
      <c r="B6815" s="1">
        <v>45941</v>
      </c>
      <c r="C6815">
        <v>23</v>
      </c>
      <c r="D6815">
        <v>7.1999999999999995E-2</v>
      </c>
      <c r="E6815" t="s">
        <v>6</v>
      </c>
      <c r="F6815">
        <v>0.14674000000000001</v>
      </c>
    </row>
    <row r="6816" spans="1:6" x14ac:dyDescent="0.3">
      <c r="A6816" t="s">
        <v>5</v>
      </c>
      <c r="B6816" s="1">
        <v>45941</v>
      </c>
      <c r="C6816">
        <v>24</v>
      </c>
      <c r="D6816">
        <v>5.7000000000000002E-2</v>
      </c>
      <c r="E6816" t="s">
        <v>6</v>
      </c>
      <c r="F6816">
        <v>0.14498</v>
      </c>
    </row>
    <row r="6817" spans="1:6" x14ac:dyDescent="0.3">
      <c r="A6817" t="s">
        <v>5</v>
      </c>
      <c r="B6817" s="1">
        <v>45942</v>
      </c>
      <c r="C6817">
        <v>1</v>
      </c>
      <c r="D6817">
        <v>7.0999999999999994E-2</v>
      </c>
      <c r="E6817" t="s">
        <v>6</v>
      </c>
      <c r="F6817">
        <v>0.15443999999999999</v>
      </c>
    </row>
    <row r="6818" spans="1:6" x14ac:dyDescent="0.3">
      <c r="A6818" t="s">
        <v>5</v>
      </c>
      <c r="B6818" s="1">
        <v>45942</v>
      </c>
      <c r="C6818">
        <v>2</v>
      </c>
      <c r="D6818">
        <v>7.3999999999999996E-2</v>
      </c>
      <c r="E6818" t="s">
        <v>6</v>
      </c>
      <c r="F6818">
        <v>0.15299000000000001</v>
      </c>
    </row>
    <row r="6819" spans="1:6" x14ac:dyDescent="0.3">
      <c r="A6819" t="s">
        <v>5</v>
      </c>
      <c r="B6819" s="1">
        <v>45942</v>
      </c>
      <c r="C6819">
        <v>3</v>
      </c>
      <c r="D6819">
        <v>5.8000000000000003E-2</v>
      </c>
      <c r="E6819" t="s">
        <v>6</v>
      </c>
      <c r="F6819">
        <v>0.13597000000000001</v>
      </c>
    </row>
    <row r="6820" spans="1:6" x14ac:dyDescent="0.3">
      <c r="A6820" t="s">
        <v>5</v>
      </c>
      <c r="B6820" s="1">
        <v>45942</v>
      </c>
      <c r="C6820">
        <v>4</v>
      </c>
      <c r="D6820">
        <v>6.7000000000000004E-2</v>
      </c>
      <c r="E6820" t="s">
        <v>6</v>
      </c>
      <c r="F6820">
        <v>0.13255</v>
      </c>
    </row>
    <row r="6821" spans="1:6" x14ac:dyDescent="0.3">
      <c r="A6821" t="s">
        <v>5</v>
      </c>
      <c r="B6821" s="1">
        <v>45942</v>
      </c>
      <c r="C6821">
        <v>5</v>
      </c>
      <c r="D6821">
        <v>7.3999999999999996E-2</v>
      </c>
      <c r="E6821" t="s">
        <v>6</v>
      </c>
      <c r="F6821">
        <v>0.1348</v>
      </c>
    </row>
    <row r="6822" spans="1:6" x14ac:dyDescent="0.3">
      <c r="A6822" t="s">
        <v>5</v>
      </c>
      <c r="B6822" s="1">
        <v>45942</v>
      </c>
      <c r="C6822">
        <v>6</v>
      </c>
      <c r="D6822">
        <v>6.2E-2</v>
      </c>
      <c r="E6822" t="s">
        <v>6</v>
      </c>
      <c r="F6822">
        <v>0.13555</v>
      </c>
    </row>
    <row r="6823" spans="1:6" x14ac:dyDescent="0.3">
      <c r="A6823" t="s">
        <v>5</v>
      </c>
      <c r="B6823" s="1">
        <v>45942</v>
      </c>
      <c r="C6823">
        <v>7</v>
      </c>
      <c r="D6823">
        <v>6.4000000000000001E-2</v>
      </c>
      <c r="E6823" t="s">
        <v>6</v>
      </c>
      <c r="F6823">
        <v>0.13299</v>
      </c>
    </row>
    <row r="6824" spans="1:6" x14ac:dyDescent="0.3">
      <c r="A6824" t="s">
        <v>5</v>
      </c>
      <c r="B6824" s="1">
        <v>45942</v>
      </c>
      <c r="C6824">
        <v>8</v>
      </c>
      <c r="D6824">
        <v>7.3999999999999996E-2</v>
      </c>
      <c r="E6824" t="s">
        <v>6</v>
      </c>
      <c r="F6824">
        <v>0.13932</v>
      </c>
    </row>
    <row r="6825" spans="1:6" x14ac:dyDescent="0.3">
      <c r="A6825" t="s">
        <v>5</v>
      </c>
      <c r="B6825" s="1">
        <v>45942</v>
      </c>
      <c r="C6825">
        <v>9</v>
      </c>
      <c r="D6825">
        <v>6.3E-2</v>
      </c>
      <c r="E6825" t="s">
        <v>6</v>
      </c>
      <c r="F6825">
        <v>0.14421999999999999</v>
      </c>
    </row>
    <row r="6826" spans="1:6" x14ac:dyDescent="0.3">
      <c r="A6826" t="s">
        <v>5</v>
      </c>
      <c r="B6826" s="1">
        <v>45942</v>
      </c>
      <c r="C6826">
        <v>10</v>
      </c>
      <c r="D6826">
        <v>6.2E-2</v>
      </c>
      <c r="E6826" t="s">
        <v>6</v>
      </c>
      <c r="F6826">
        <v>0.12007999999999999</v>
      </c>
    </row>
    <row r="6827" spans="1:6" x14ac:dyDescent="0.3">
      <c r="A6827" t="s">
        <v>5</v>
      </c>
      <c r="B6827" s="1">
        <v>45942</v>
      </c>
      <c r="C6827">
        <v>11</v>
      </c>
      <c r="D6827">
        <v>7.1999999999999995E-2</v>
      </c>
      <c r="E6827" t="s">
        <v>6</v>
      </c>
      <c r="F6827">
        <v>8.0140000000000003E-2</v>
      </c>
    </row>
    <row r="6828" spans="1:6" x14ac:dyDescent="0.3">
      <c r="A6828" t="s">
        <v>5</v>
      </c>
      <c r="B6828" s="1">
        <v>45942</v>
      </c>
      <c r="C6828">
        <v>12</v>
      </c>
      <c r="D6828">
        <v>6.5000000000000002E-2</v>
      </c>
      <c r="E6828" t="s">
        <v>6</v>
      </c>
      <c r="F6828">
        <v>5.4460000000000001E-2</v>
      </c>
    </row>
    <row r="6829" spans="1:6" x14ac:dyDescent="0.3">
      <c r="A6829" t="s">
        <v>5</v>
      </c>
      <c r="B6829" s="1">
        <v>45942</v>
      </c>
      <c r="C6829">
        <v>13</v>
      </c>
      <c r="D6829">
        <v>6.0999999999999999E-2</v>
      </c>
      <c r="E6829" t="s">
        <v>6</v>
      </c>
      <c r="F6829">
        <v>5.3499999999999999E-2</v>
      </c>
    </row>
    <row r="6830" spans="1:6" x14ac:dyDescent="0.3">
      <c r="A6830" t="s">
        <v>5</v>
      </c>
      <c r="B6830" s="1">
        <v>45942</v>
      </c>
      <c r="C6830">
        <v>14</v>
      </c>
      <c r="D6830">
        <v>7.2999999999999995E-2</v>
      </c>
      <c r="E6830" t="s">
        <v>6</v>
      </c>
      <c r="F6830">
        <v>5.3969999999999997E-2</v>
      </c>
    </row>
    <row r="6831" spans="1:6" x14ac:dyDescent="0.3">
      <c r="A6831" t="s">
        <v>5</v>
      </c>
      <c r="B6831" s="1">
        <v>45942</v>
      </c>
      <c r="C6831">
        <v>15</v>
      </c>
      <c r="D6831">
        <v>6.5000000000000002E-2</v>
      </c>
      <c r="E6831" t="s">
        <v>6</v>
      </c>
      <c r="F6831">
        <v>5.493E-2</v>
      </c>
    </row>
    <row r="6832" spans="1:6" x14ac:dyDescent="0.3">
      <c r="A6832" t="s">
        <v>5</v>
      </c>
      <c r="B6832" s="1">
        <v>45942</v>
      </c>
      <c r="C6832">
        <v>16</v>
      </c>
      <c r="D6832">
        <v>0.06</v>
      </c>
      <c r="E6832" t="s">
        <v>6</v>
      </c>
      <c r="F6832">
        <v>5.4600000000000003E-2</v>
      </c>
    </row>
    <row r="6833" spans="1:6" x14ac:dyDescent="0.3">
      <c r="A6833" t="s">
        <v>5</v>
      </c>
      <c r="B6833" s="1">
        <v>45942</v>
      </c>
      <c r="C6833">
        <v>17</v>
      </c>
      <c r="D6833">
        <v>7.3999999999999996E-2</v>
      </c>
      <c r="E6833" t="s">
        <v>6</v>
      </c>
      <c r="F6833">
        <v>6.2170000000000003E-2</v>
      </c>
    </row>
    <row r="6834" spans="1:6" x14ac:dyDescent="0.3">
      <c r="A6834" t="s">
        <v>5</v>
      </c>
      <c r="B6834" s="1">
        <v>45942</v>
      </c>
      <c r="C6834">
        <v>18</v>
      </c>
      <c r="D6834">
        <v>6.4000000000000001E-2</v>
      </c>
      <c r="E6834" t="s">
        <v>6</v>
      </c>
      <c r="F6834">
        <v>9.196E-2</v>
      </c>
    </row>
    <row r="6835" spans="1:6" x14ac:dyDescent="0.3">
      <c r="A6835" t="s">
        <v>5</v>
      </c>
      <c r="B6835" s="1">
        <v>45942</v>
      </c>
      <c r="C6835">
        <v>19</v>
      </c>
      <c r="D6835">
        <v>6.2E-2</v>
      </c>
      <c r="E6835" t="s">
        <v>6</v>
      </c>
      <c r="F6835">
        <v>0.14351</v>
      </c>
    </row>
    <row r="6836" spans="1:6" x14ac:dyDescent="0.3">
      <c r="A6836" t="s">
        <v>5</v>
      </c>
      <c r="B6836" s="1">
        <v>45942</v>
      </c>
      <c r="C6836">
        <v>20</v>
      </c>
      <c r="D6836">
        <v>7.3999999999999996E-2</v>
      </c>
      <c r="E6836" t="s">
        <v>6</v>
      </c>
      <c r="F6836">
        <v>0.15978000000000001</v>
      </c>
    </row>
    <row r="6837" spans="1:6" x14ac:dyDescent="0.3">
      <c r="A6837" t="s">
        <v>5</v>
      </c>
      <c r="B6837" s="1">
        <v>45942</v>
      </c>
      <c r="C6837">
        <v>21</v>
      </c>
      <c r="D6837">
        <v>0.28499999999999998</v>
      </c>
      <c r="E6837" t="s">
        <v>6</v>
      </c>
      <c r="F6837">
        <v>0.16238999999999998</v>
      </c>
    </row>
    <row r="6838" spans="1:6" x14ac:dyDescent="0.3">
      <c r="A6838" t="s">
        <v>5</v>
      </c>
      <c r="B6838" s="1">
        <v>45942</v>
      </c>
      <c r="C6838">
        <v>22</v>
      </c>
      <c r="D6838">
        <v>0.53300000000000003</v>
      </c>
      <c r="E6838" t="s">
        <v>6</v>
      </c>
      <c r="F6838">
        <v>0.15930000000000002</v>
      </c>
    </row>
    <row r="6839" spans="1:6" x14ac:dyDescent="0.3">
      <c r="A6839" t="s">
        <v>5</v>
      </c>
      <c r="B6839" s="1">
        <v>45942</v>
      </c>
      <c r="C6839">
        <v>23</v>
      </c>
      <c r="D6839">
        <v>0.124</v>
      </c>
      <c r="E6839" t="s">
        <v>6</v>
      </c>
      <c r="F6839">
        <v>0.15766999999999998</v>
      </c>
    </row>
    <row r="6840" spans="1:6" x14ac:dyDescent="0.3">
      <c r="A6840" t="s">
        <v>5</v>
      </c>
      <c r="B6840" s="1">
        <v>45942</v>
      </c>
      <c r="C6840">
        <v>24</v>
      </c>
      <c r="D6840">
        <v>0.105</v>
      </c>
      <c r="E6840" t="s">
        <v>6</v>
      </c>
      <c r="F6840">
        <v>0.15441999999999997</v>
      </c>
    </row>
    <row r="6841" spans="1:6" x14ac:dyDescent="0.3">
      <c r="A6841" t="s">
        <v>5</v>
      </c>
      <c r="B6841" s="1">
        <v>45943</v>
      </c>
      <c r="C6841">
        <v>1</v>
      </c>
      <c r="D6841">
        <v>0.109</v>
      </c>
      <c r="E6841" t="s">
        <v>6</v>
      </c>
      <c r="F6841">
        <v>0.12768000000000002</v>
      </c>
    </row>
    <row r="6842" spans="1:6" x14ac:dyDescent="0.3">
      <c r="A6842" t="s">
        <v>5</v>
      </c>
      <c r="B6842" s="1">
        <v>45943</v>
      </c>
      <c r="C6842">
        <v>2</v>
      </c>
      <c r="D6842">
        <v>0.11600000000000001</v>
      </c>
      <c r="E6842" t="s">
        <v>6</v>
      </c>
      <c r="F6842">
        <v>0.1201</v>
      </c>
    </row>
    <row r="6843" spans="1:6" x14ac:dyDescent="0.3">
      <c r="A6843" t="s">
        <v>5</v>
      </c>
      <c r="B6843" s="1">
        <v>45943</v>
      </c>
      <c r="C6843">
        <v>3</v>
      </c>
      <c r="D6843">
        <v>9.4E-2</v>
      </c>
      <c r="E6843" t="s">
        <v>6</v>
      </c>
      <c r="F6843">
        <v>0.11309000000000001</v>
      </c>
    </row>
    <row r="6844" spans="1:6" x14ac:dyDescent="0.3">
      <c r="A6844" t="s">
        <v>5</v>
      </c>
      <c r="B6844" s="1">
        <v>45943</v>
      </c>
      <c r="C6844">
        <v>4</v>
      </c>
      <c r="D6844">
        <v>0.114</v>
      </c>
      <c r="E6844" t="s">
        <v>6</v>
      </c>
      <c r="F6844">
        <v>0.12261</v>
      </c>
    </row>
    <row r="6845" spans="1:6" x14ac:dyDescent="0.3">
      <c r="A6845" t="s">
        <v>5</v>
      </c>
      <c r="B6845" s="1">
        <v>45943</v>
      </c>
      <c r="C6845">
        <v>5</v>
      </c>
      <c r="D6845">
        <v>0.108</v>
      </c>
      <c r="E6845" t="s">
        <v>6</v>
      </c>
      <c r="F6845">
        <v>0.12473999999999999</v>
      </c>
    </row>
    <row r="6846" spans="1:6" x14ac:dyDescent="0.3">
      <c r="A6846" t="s">
        <v>5</v>
      </c>
      <c r="B6846" s="1">
        <v>45943</v>
      </c>
      <c r="C6846">
        <v>6</v>
      </c>
      <c r="D6846">
        <v>9.7000000000000003E-2</v>
      </c>
      <c r="E6846" t="s">
        <v>6</v>
      </c>
      <c r="F6846">
        <v>0.12953999999999999</v>
      </c>
    </row>
    <row r="6847" spans="1:6" x14ac:dyDescent="0.3">
      <c r="A6847" t="s">
        <v>5</v>
      </c>
      <c r="B6847" s="1">
        <v>45943</v>
      </c>
      <c r="C6847">
        <v>7</v>
      </c>
      <c r="D6847">
        <v>0.111</v>
      </c>
      <c r="E6847" t="s">
        <v>6</v>
      </c>
      <c r="F6847">
        <v>0.13405</v>
      </c>
    </row>
    <row r="6848" spans="1:6" x14ac:dyDescent="0.3">
      <c r="A6848" t="s">
        <v>5</v>
      </c>
      <c r="B6848" s="1">
        <v>45943</v>
      </c>
      <c r="C6848">
        <v>8</v>
      </c>
      <c r="D6848">
        <v>8.6999999999999994E-2</v>
      </c>
      <c r="E6848" t="s">
        <v>6</v>
      </c>
      <c r="F6848">
        <v>0.13947000000000001</v>
      </c>
    </row>
    <row r="6849" spans="1:6" x14ac:dyDescent="0.3">
      <c r="A6849" t="s">
        <v>5</v>
      </c>
      <c r="B6849" s="1">
        <v>45943</v>
      </c>
      <c r="C6849">
        <v>9</v>
      </c>
      <c r="D6849">
        <v>6.6000000000000003E-2</v>
      </c>
      <c r="E6849" t="s">
        <v>6</v>
      </c>
      <c r="F6849">
        <v>0.18103999999999998</v>
      </c>
    </row>
    <row r="6850" spans="1:6" x14ac:dyDescent="0.3">
      <c r="A6850" t="s">
        <v>5</v>
      </c>
      <c r="B6850" s="1">
        <v>45943</v>
      </c>
      <c r="C6850">
        <v>10</v>
      </c>
      <c r="D6850">
        <v>7.9000000000000001E-2</v>
      </c>
      <c r="E6850" t="s">
        <v>6</v>
      </c>
      <c r="F6850">
        <v>0.17055000000000001</v>
      </c>
    </row>
    <row r="6851" spans="1:6" x14ac:dyDescent="0.3">
      <c r="A6851" t="s">
        <v>5</v>
      </c>
      <c r="B6851" s="1">
        <v>45943</v>
      </c>
      <c r="C6851">
        <v>11</v>
      </c>
      <c r="D6851">
        <v>8.8999999999999996E-2</v>
      </c>
      <c r="E6851" t="s">
        <v>6</v>
      </c>
      <c r="F6851">
        <v>0.21574000000000002</v>
      </c>
    </row>
    <row r="6852" spans="1:6" x14ac:dyDescent="0.3">
      <c r="A6852" t="s">
        <v>5</v>
      </c>
      <c r="B6852" s="1">
        <v>45943</v>
      </c>
      <c r="C6852">
        <v>12</v>
      </c>
      <c r="D6852">
        <v>0.13</v>
      </c>
      <c r="E6852" t="s">
        <v>6</v>
      </c>
      <c r="F6852">
        <v>0.19883000000000001</v>
      </c>
    </row>
    <row r="6853" spans="1:6" x14ac:dyDescent="0.3">
      <c r="A6853" t="s">
        <v>5</v>
      </c>
      <c r="B6853" s="1">
        <v>45943</v>
      </c>
      <c r="C6853">
        <v>13</v>
      </c>
      <c r="D6853">
        <v>0.32100000000000001</v>
      </c>
      <c r="E6853" t="s">
        <v>6</v>
      </c>
      <c r="F6853">
        <v>0.18687999999999999</v>
      </c>
    </row>
    <row r="6854" spans="1:6" x14ac:dyDescent="0.3">
      <c r="A6854" t="s">
        <v>5</v>
      </c>
      <c r="B6854" s="1">
        <v>45943</v>
      </c>
      <c r="C6854">
        <v>14</v>
      </c>
      <c r="D6854">
        <v>0.747</v>
      </c>
      <c r="E6854" t="s">
        <v>6</v>
      </c>
      <c r="F6854">
        <v>0.17680999999999999</v>
      </c>
    </row>
    <row r="6855" spans="1:6" x14ac:dyDescent="0.3">
      <c r="A6855" t="s">
        <v>5</v>
      </c>
      <c r="B6855" s="1">
        <v>45943</v>
      </c>
      <c r="C6855">
        <v>15</v>
      </c>
      <c r="D6855">
        <v>0.217</v>
      </c>
      <c r="E6855" t="s">
        <v>6</v>
      </c>
      <c r="F6855">
        <v>0.11112999999999999</v>
      </c>
    </row>
    <row r="6856" spans="1:6" x14ac:dyDescent="0.3">
      <c r="A6856" t="s">
        <v>5</v>
      </c>
      <c r="B6856" s="1">
        <v>45943</v>
      </c>
      <c r="C6856">
        <v>16</v>
      </c>
      <c r="D6856">
        <v>0.29499999999999998</v>
      </c>
      <c r="E6856" t="s">
        <v>6</v>
      </c>
      <c r="F6856">
        <v>0.10668999999999999</v>
      </c>
    </row>
    <row r="6857" spans="1:6" x14ac:dyDescent="0.3">
      <c r="A6857" t="s">
        <v>5</v>
      </c>
      <c r="B6857" s="1">
        <v>45943</v>
      </c>
      <c r="C6857">
        <v>17</v>
      </c>
      <c r="D6857">
        <v>0.13600000000000001</v>
      </c>
      <c r="E6857" t="s">
        <v>6</v>
      </c>
      <c r="F6857">
        <v>0.115</v>
      </c>
    </row>
    <row r="6858" spans="1:6" x14ac:dyDescent="0.3">
      <c r="A6858" t="s">
        <v>5</v>
      </c>
      <c r="B6858" s="1">
        <v>45943</v>
      </c>
      <c r="C6858">
        <v>18</v>
      </c>
      <c r="D6858">
        <v>6.8000000000000005E-2</v>
      </c>
      <c r="E6858" t="s">
        <v>6</v>
      </c>
      <c r="F6858">
        <v>0.12709999999999999</v>
      </c>
    </row>
    <row r="6859" spans="1:6" x14ac:dyDescent="0.3">
      <c r="A6859" t="s">
        <v>5</v>
      </c>
      <c r="B6859" s="1">
        <v>45943</v>
      </c>
      <c r="C6859">
        <v>19</v>
      </c>
      <c r="D6859">
        <v>8.4000000000000005E-2</v>
      </c>
      <c r="E6859" t="s">
        <v>6</v>
      </c>
      <c r="F6859">
        <v>0.21462000000000001</v>
      </c>
    </row>
    <row r="6860" spans="1:6" x14ac:dyDescent="0.3">
      <c r="A6860" t="s">
        <v>5</v>
      </c>
      <c r="B6860" s="1">
        <v>45943</v>
      </c>
      <c r="C6860">
        <v>20</v>
      </c>
      <c r="D6860">
        <v>0.217</v>
      </c>
      <c r="E6860" t="s">
        <v>6</v>
      </c>
      <c r="F6860">
        <v>0.25037999999999999</v>
      </c>
    </row>
    <row r="6861" spans="1:6" x14ac:dyDescent="0.3">
      <c r="A6861" t="s">
        <v>5</v>
      </c>
      <c r="B6861" s="1">
        <v>45943</v>
      </c>
      <c r="C6861">
        <v>21</v>
      </c>
      <c r="D6861">
        <v>0.56599999999999995</v>
      </c>
      <c r="E6861" t="s">
        <v>6</v>
      </c>
      <c r="F6861">
        <v>0.28512999999999999</v>
      </c>
    </row>
    <row r="6862" spans="1:6" x14ac:dyDescent="0.3">
      <c r="A6862" t="s">
        <v>5</v>
      </c>
      <c r="B6862" s="1">
        <v>45943</v>
      </c>
      <c r="C6862">
        <v>22</v>
      </c>
      <c r="D6862">
        <v>0.29599999999999999</v>
      </c>
      <c r="E6862" t="s">
        <v>6</v>
      </c>
      <c r="F6862">
        <v>0.28317000000000003</v>
      </c>
    </row>
    <row r="6863" spans="1:6" x14ac:dyDescent="0.3">
      <c r="A6863" t="s">
        <v>5</v>
      </c>
      <c r="B6863" s="1">
        <v>45943</v>
      </c>
      <c r="C6863">
        <v>23</v>
      </c>
      <c r="D6863">
        <v>0.39100000000000001</v>
      </c>
      <c r="E6863" t="s">
        <v>6</v>
      </c>
      <c r="F6863">
        <v>0.18168000000000001</v>
      </c>
    </row>
    <row r="6864" spans="1:6" x14ac:dyDescent="0.3">
      <c r="A6864" t="s">
        <v>5</v>
      </c>
      <c r="B6864" s="1">
        <v>45943</v>
      </c>
      <c r="C6864">
        <v>24</v>
      </c>
      <c r="D6864">
        <v>0.378</v>
      </c>
      <c r="E6864" t="s">
        <v>6</v>
      </c>
      <c r="F6864">
        <v>0.16534000000000001</v>
      </c>
    </row>
    <row r="6865" spans="1:6" x14ac:dyDescent="0.3">
      <c r="A6865" t="s">
        <v>5</v>
      </c>
      <c r="B6865" s="1">
        <v>45944</v>
      </c>
      <c r="C6865">
        <v>1</v>
      </c>
      <c r="D6865">
        <v>0.34899999999999998</v>
      </c>
      <c r="E6865" t="s">
        <v>6</v>
      </c>
      <c r="F6865">
        <v>0.13971</v>
      </c>
    </row>
    <row r="6866" spans="1:6" x14ac:dyDescent="0.3">
      <c r="A6866" t="s">
        <v>5</v>
      </c>
      <c r="B6866" s="1">
        <v>45944</v>
      </c>
      <c r="C6866">
        <v>2</v>
      </c>
      <c r="D6866">
        <v>0.27400000000000002</v>
      </c>
      <c r="E6866" t="s">
        <v>6</v>
      </c>
      <c r="F6866">
        <v>0.13220999999999999</v>
      </c>
    </row>
    <row r="6867" spans="1:6" x14ac:dyDescent="0.3">
      <c r="A6867" t="s">
        <v>5</v>
      </c>
      <c r="B6867" s="1">
        <v>45944</v>
      </c>
      <c r="C6867">
        <v>3</v>
      </c>
      <c r="D6867">
        <v>0.188</v>
      </c>
      <c r="E6867" t="s">
        <v>6</v>
      </c>
      <c r="F6867">
        <v>0.13131999999999999</v>
      </c>
    </row>
    <row r="6868" spans="1:6" x14ac:dyDescent="0.3">
      <c r="A6868" t="s">
        <v>5</v>
      </c>
      <c r="B6868" s="1">
        <v>45944</v>
      </c>
      <c r="C6868">
        <v>4</v>
      </c>
      <c r="D6868">
        <v>0.127</v>
      </c>
      <c r="E6868" t="s">
        <v>6</v>
      </c>
      <c r="F6868">
        <v>0.12776999999999999</v>
      </c>
    </row>
    <row r="6869" spans="1:6" x14ac:dyDescent="0.3">
      <c r="A6869" t="s">
        <v>5</v>
      </c>
      <c r="B6869" s="1">
        <v>45944</v>
      </c>
      <c r="C6869">
        <v>5</v>
      </c>
      <c r="D6869">
        <v>0.10100000000000001</v>
      </c>
      <c r="E6869" t="s">
        <v>6</v>
      </c>
      <c r="F6869">
        <v>0.12806000000000001</v>
      </c>
    </row>
    <row r="6870" spans="1:6" x14ac:dyDescent="0.3">
      <c r="A6870" t="s">
        <v>5</v>
      </c>
      <c r="B6870" s="1">
        <v>45944</v>
      </c>
      <c r="C6870">
        <v>6</v>
      </c>
      <c r="D6870">
        <v>0.129</v>
      </c>
      <c r="E6870" t="s">
        <v>6</v>
      </c>
      <c r="F6870">
        <v>0.12887000000000001</v>
      </c>
    </row>
    <row r="6871" spans="1:6" x14ac:dyDescent="0.3">
      <c r="A6871" t="s">
        <v>5</v>
      </c>
      <c r="B6871" s="1">
        <v>45944</v>
      </c>
      <c r="C6871">
        <v>7</v>
      </c>
      <c r="D6871">
        <v>0.106</v>
      </c>
      <c r="E6871" t="s">
        <v>6</v>
      </c>
      <c r="F6871">
        <v>0.13756000000000002</v>
      </c>
    </row>
    <row r="6872" spans="1:6" x14ac:dyDescent="0.3">
      <c r="A6872" t="s">
        <v>5</v>
      </c>
      <c r="B6872" s="1">
        <v>45944</v>
      </c>
      <c r="C6872">
        <v>8</v>
      </c>
      <c r="D6872">
        <v>0.112</v>
      </c>
      <c r="E6872" t="s">
        <v>6</v>
      </c>
      <c r="F6872">
        <v>0.14552000000000001</v>
      </c>
    </row>
    <row r="6873" spans="1:6" x14ac:dyDescent="0.3">
      <c r="A6873" t="s">
        <v>5</v>
      </c>
      <c r="B6873" s="1">
        <v>45944</v>
      </c>
      <c r="C6873">
        <v>9</v>
      </c>
      <c r="D6873">
        <v>0.156</v>
      </c>
      <c r="E6873" t="s">
        <v>6</v>
      </c>
      <c r="F6873">
        <v>0.21278999999999998</v>
      </c>
    </row>
    <row r="6874" spans="1:6" x14ac:dyDescent="0.3">
      <c r="A6874" t="s">
        <v>5</v>
      </c>
      <c r="B6874" s="1">
        <v>45944</v>
      </c>
      <c r="C6874">
        <v>10</v>
      </c>
      <c r="D6874">
        <v>0.192</v>
      </c>
      <c r="E6874" t="s">
        <v>6</v>
      </c>
      <c r="F6874">
        <v>0.16475000000000001</v>
      </c>
    </row>
    <row r="6875" spans="1:6" x14ac:dyDescent="0.3">
      <c r="A6875" t="s">
        <v>5</v>
      </c>
      <c r="B6875" s="1">
        <v>45944</v>
      </c>
      <c r="C6875">
        <v>11</v>
      </c>
      <c r="D6875">
        <v>0.105</v>
      </c>
      <c r="E6875" t="s">
        <v>6</v>
      </c>
      <c r="F6875">
        <v>0.21153</v>
      </c>
    </row>
    <row r="6876" spans="1:6" x14ac:dyDescent="0.3">
      <c r="A6876" t="s">
        <v>5</v>
      </c>
      <c r="B6876" s="1">
        <v>45944</v>
      </c>
      <c r="C6876">
        <v>12</v>
      </c>
      <c r="D6876">
        <v>0.152</v>
      </c>
      <c r="E6876" t="s">
        <v>6</v>
      </c>
      <c r="F6876">
        <v>0.19653999999999999</v>
      </c>
    </row>
    <row r="6877" spans="1:6" x14ac:dyDescent="0.3">
      <c r="A6877" t="s">
        <v>5</v>
      </c>
      <c r="B6877" s="1">
        <v>45944</v>
      </c>
      <c r="C6877">
        <v>13</v>
      </c>
      <c r="D6877">
        <v>0.13800000000000001</v>
      </c>
      <c r="E6877" t="s">
        <v>6</v>
      </c>
      <c r="F6877">
        <v>0.18339</v>
      </c>
    </row>
    <row r="6878" spans="1:6" x14ac:dyDescent="0.3">
      <c r="A6878" t="s">
        <v>5</v>
      </c>
      <c r="B6878" s="1">
        <v>45944</v>
      </c>
      <c r="C6878">
        <v>14</v>
      </c>
      <c r="D6878">
        <v>0.216</v>
      </c>
      <c r="E6878" t="s">
        <v>6</v>
      </c>
      <c r="F6878">
        <v>0.17085</v>
      </c>
    </row>
    <row r="6879" spans="1:6" x14ac:dyDescent="0.3">
      <c r="A6879" t="s">
        <v>5</v>
      </c>
      <c r="B6879" s="1">
        <v>45944</v>
      </c>
      <c r="C6879">
        <v>15</v>
      </c>
      <c r="D6879">
        <v>0.38100000000000001</v>
      </c>
      <c r="E6879" t="s">
        <v>6</v>
      </c>
      <c r="F6879">
        <v>0.10346999999999999</v>
      </c>
    </row>
    <row r="6880" spans="1:6" x14ac:dyDescent="0.3">
      <c r="A6880" t="s">
        <v>5</v>
      </c>
      <c r="B6880" s="1">
        <v>45944</v>
      </c>
      <c r="C6880">
        <v>16</v>
      </c>
      <c r="D6880">
        <v>0.58199999999999996</v>
      </c>
      <c r="E6880" t="s">
        <v>6</v>
      </c>
      <c r="F6880">
        <v>0.10246</v>
      </c>
    </row>
    <row r="6881" spans="1:6" x14ac:dyDescent="0.3">
      <c r="A6881" t="s">
        <v>5</v>
      </c>
      <c r="B6881" s="1">
        <v>45944</v>
      </c>
      <c r="C6881">
        <v>17</v>
      </c>
      <c r="D6881">
        <v>0.128</v>
      </c>
      <c r="E6881" t="s">
        <v>6</v>
      </c>
      <c r="F6881">
        <v>0.11123000000000001</v>
      </c>
    </row>
    <row r="6882" spans="1:6" x14ac:dyDescent="0.3">
      <c r="A6882" t="s">
        <v>5</v>
      </c>
      <c r="B6882" s="1">
        <v>45944</v>
      </c>
      <c r="C6882">
        <v>18</v>
      </c>
      <c r="D6882">
        <v>0.109</v>
      </c>
      <c r="E6882" t="s">
        <v>6</v>
      </c>
      <c r="F6882">
        <v>0.13247</v>
      </c>
    </row>
    <row r="6883" spans="1:6" x14ac:dyDescent="0.3">
      <c r="A6883" t="s">
        <v>5</v>
      </c>
      <c r="B6883" s="1">
        <v>45944</v>
      </c>
      <c r="C6883">
        <v>19</v>
      </c>
      <c r="D6883">
        <v>0.11799999999999999</v>
      </c>
      <c r="E6883" t="s">
        <v>6</v>
      </c>
      <c r="F6883">
        <v>0.21981000000000001</v>
      </c>
    </row>
    <row r="6884" spans="1:6" x14ac:dyDescent="0.3">
      <c r="A6884" t="s">
        <v>5</v>
      </c>
      <c r="B6884" s="1">
        <v>45944</v>
      </c>
      <c r="C6884">
        <v>20</v>
      </c>
      <c r="D6884">
        <v>7.3999999999999996E-2</v>
      </c>
      <c r="E6884" t="s">
        <v>6</v>
      </c>
      <c r="F6884">
        <v>0.26177999999999996</v>
      </c>
    </row>
    <row r="6885" spans="1:6" x14ac:dyDescent="0.3">
      <c r="A6885" t="s">
        <v>5</v>
      </c>
      <c r="B6885" s="1">
        <v>45944</v>
      </c>
      <c r="C6885">
        <v>21</v>
      </c>
      <c r="D6885">
        <v>1.2450000000000001</v>
      </c>
      <c r="E6885" t="s">
        <v>6</v>
      </c>
      <c r="F6885">
        <v>0.27750000000000002</v>
      </c>
    </row>
    <row r="6886" spans="1:6" x14ac:dyDescent="0.3">
      <c r="A6886" t="s">
        <v>5</v>
      </c>
      <c r="B6886" s="1">
        <v>45944</v>
      </c>
      <c r="C6886">
        <v>22</v>
      </c>
      <c r="D6886">
        <v>0.82699999999999996</v>
      </c>
      <c r="E6886" t="s">
        <v>6</v>
      </c>
      <c r="F6886">
        <v>0.25707999999999998</v>
      </c>
    </row>
    <row r="6887" spans="1:6" x14ac:dyDescent="0.3">
      <c r="A6887" t="s">
        <v>5</v>
      </c>
      <c r="B6887" s="1">
        <v>45944</v>
      </c>
      <c r="C6887">
        <v>23</v>
      </c>
      <c r="D6887">
        <v>0.27800000000000002</v>
      </c>
      <c r="E6887" t="s">
        <v>6</v>
      </c>
      <c r="F6887">
        <v>0.17815</v>
      </c>
    </row>
    <row r="6888" spans="1:6" x14ac:dyDescent="0.3">
      <c r="A6888" t="s">
        <v>5</v>
      </c>
      <c r="B6888" s="1">
        <v>45944</v>
      </c>
      <c r="C6888">
        <v>24</v>
      </c>
      <c r="D6888">
        <v>0.255</v>
      </c>
      <c r="E6888" t="s">
        <v>6</v>
      </c>
      <c r="F6888">
        <v>0.15550999999999998</v>
      </c>
    </row>
    <row r="6889" spans="1:6" x14ac:dyDescent="0.3">
      <c r="A6889" t="s">
        <v>5</v>
      </c>
      <c r="B6889" s="1">
        <v>45945</v>
      </c>
      <c r="C6889">
        <v>1</v>
      </c>
      <c r="D6889">
        <v>0.254</v>
      </c>
      <c r="E6889" t="s">
        <v>6</v>
      </c>
      <c r="F6889">
        <v>0.13933000000000001</v>
      </c>
    </row>
    <row r="6890" spans="1:6" x14ac:dyDescent="0.3">
      <c r="A6890" t="s">
        <v>5</v>
      </c>
      <c r="B6890" s="1">
        <v>45945</v>
      </c>
      <c r="C6890">
        <v>2</v>
      </c>
      <c r="D6890">
        <v>0.85599999999999998</v>
      </c>
      <c r="E6890" t="s">
        <v>6</v>
      </c>
      <c r="F6890">
        <v>0.13077</v>
      </c>
    </row>
    <row r="6891" spans="1:6" x14ac:dyDescent="0.3">
      <c r="A6891" t="s">
        <v>5</v>
      </c>
      <c r="B6891" s="1">
        <v>45945</v>
      </c>
      <c r="C6891">
        <v>3</v>
      </c>
      <c r="D6891">
        <v>0.51200000000000001</v>
      </c>
      <c r="E6891" t="s">
        <v>6</v>
      </c>
      <c r="F6891">
        <v>0.12862999999999999</v>
      </c>
    </row>
    <row r="6892" spans="1:6" x14ac:dyDescent="0.3">
      <c r="A6892" t="s">
        <v>5</v>
      </c>
      <c r="B6892" s="1">
        <v>45945</v>
      </c>
      <c r="C6892">
        <v>4</v>
      </c>
      <c r="D6892">
        <v>0.75</v>
      </c>
      <c r="E6892" t="s">
        <v>6</v>
      </c>
      <c r="F6892">
        <v>0.1232</v>
      </c>
    </row>
    <row r="6893" spans="1:6" x14ac:dyDescent="0.3">
      <c r="A6893" t="s">
        <v>5</v>
      </c>
      <c r="B6893" s="1">
        <v>45945</v>
      </c>
      <c r="C6893">
        <v>5</v>
      </c>
      <c r="D6893">
        <v>0.16</v>
      </c>
      <c r="E6893" t="s">
        <v>6</v>
      </c>
      <c r="F6893">
        <v>0.12329000000000001</v>
      </c>
    </row>
    <row r="6894" spans="1:6" x14ac:dyDescent="0.3">
      <c r="A6894" t="s">
        <v>5</v>
      </c>
      <c r="B6894" s="1">
        <v>45945</v>
      </c>
      <c r="C6894">
        <v>6</v>
      </c>
      <c r="D6894">
        <v>0.105</v>
      </c>
      <c r="E6894" t="s">
        <v>6</v>
      </c>
      <c r="F6894">
        <v>0.12608</v>
      </c>
    </row>
    <row r="6895" spans="1:6" x14ac:dyDescent="0.3">
      <c r="A6895" t="s">
        <v>5</v>
      </c>
      <c r="B6895" s="1">
        <v>45945</v>
      </c>
      <c r="C6895">
        <v>7</v>
      </c>
      <c r="D6895">
        <v>0.126</v>
      </c>
      <c r="E6895" t="s">
        <v>6</v>
      </c>
      <c r="F6895">
        <v>0.13431999999999999</v>
      </c>
    </row>
    <row r="6896" spans="1:6" x14ac:dyDescent="0.3">
      <c r="A6896" t="s">
        <v>5</v>
      </c>
      <c r="B6896" s="1">
        <v>45945</v>
      </c>
      <c r="C6896">
        <v>8</v>
      </c>
      <c r="D6896">
        <v>0.115</v>
      </c>
      <c r="E6896" t="s">
        <v>6</v>
      </c>
      <c r="F6896">
        <v>0.16358</v>
      </c>
    </row>
    <row r="6897" spans="1:6" x14ac:dyDescent="0.3">
      <c r="A6897" t="s">
        <v>5</v>
      </c>
      <c r="B6897" s="1">
        <v>45945</v>
      </c>
      <c r="C6897">
        <v>9</v>
      </c>
      <c r="D6897">
        <v>7.6999999999999999E-2</v>
      </c>
      <c r="E6897" t="s">
        <v>6</v>
      </c>
      <c r="F6897">
        <v>0.21246999999999999</v>
      </c>
    </row>
    <row r="6898" spans="1:6" x14ac:dyDescent="0.3">
      <c r="A6898" t="s">
        <v>5</v>
      </c>
      <c r="B6898" s="1">
        <v>45945</v>
      </c>
      <c r="C6898">
        <v>10</v>
      </c>
      <c r="D6898">
        <v>0.245</v>
      </c>
      <c r="E6898" t="s">
        <v>6</v>
      </c>
      <c r="F6898">
        <v>0.16381999999999999</v>
      </c>
    </row>
    <row r="6899" spans="1:6" x14ac:dyDescent="0.3">
      <c r="A6899" t="s">
        <v>5</v>
      </c>
      <c r="B6899" s="1">
        <v>45945</v>
      </c>
      <c r="C6899">
        <v>11</v>
      </c>
      <c r="D6899">
        <v>0.23100000000000001</v>
      </c>
      <c r="E6899" t="s">
        <v>6</v>
      </c>
      <c r="F6899">
        <v>0.20724999999999999</v>
      </c>
    </row>
    <row r="6900" spans="1:6" x14ac:dyDescent="0.3">
      <c r="A6900" t="s">
        <v>5</v>
      </c>
      <c r="B6900" s="1">
        <v>45945</v>
      </c>
      <c r="C6900">
        <v>12</v>
      </c>
      <c r="D6900">
        <v>0.30299999999999999</v>
      </c>
      <c r="E6900" t="s">
        <v>6</v>
      </c>
      <c r="F6900">
        <v>0.19238999999999998</v>
      </c>
    </row>
    <row r="6901" spans="1:6" x14ac:dyDescent="0.3">
      <c r="A6901" t="s">
        <v>5</v>
      </c>
      <c r="B6901" s="1">
        <v>45945</v>
      </c>
      <c r="C6901">
        <v>13</v>
      </c>
      <c r="D6901">
        <v>0.14099999999999999</v>
      </c>
      <c r="E6901" t="s">
        <v>6</v>
      </c>
      <c r="F6901">
        <v>0.17765999999999998</v>
      </c>
    </row>
    <row r="6902" spans="1:6" x14ac:dyDescent="0.3">
      <c r="A6902" t="s">
        <v>5</v>
      </c>
      <c r="B6902" s="1">
        <v>45945</v>
      </c>
      <c r="C6902">
        <v>14</v>
      </c>
      <c r="D6902">
        <v>0.35699999999999998</v>
      </c>
      <c r="E6902" t="s">
        <v>6</v>
      </c>
      <c r="F6902">
        <v>0.17041000000000001</v>
      </c>
    </row>
    <row r="6903" spans="1:6" x14ac:dyDescent="0.3">
      <c r="A6903" t="s">
        <v>5</v>
      </c>
      <c r="B6903" s="1">
        <v>45945</v>
      </c>
      <c r="C6903">
        <v>15</v>
      </c>
      <c r="D6903">
        <v>0.33200000000000002</v>
      </c>
      <c r="E6903" t="s">
        <v>6</v>
      </c>
      <c r="F6903">
        <v>0.10501000000000001</v>
      </c>
    </row>
    <row r="6904" spans="1:6" x14ac:dyDescent="0.3">
      <c r="A6904" t="s">
        <v>5</v>
      </c>
      <c r="B6904" s="1">
        <v>45945</v>
      </c>
      <c r="C6904">
        <v>16</v>
      </c>
      <c r="D6904">
        <v>0.14399999999999999</v>
      </c>
      <c r="E6904" t="s">
        <v>6</v>
      </c>
      <c r="F6904">
        <v>0.10537000000000001</v>
      </c>
    </row>
    <row r="6905" spans="1:6" x14ac:dyDescent="0.3">
      <c r="A6905" t="s">
        <v>5</v>
      </c>
      <c r="B6905" s="1">
        <v>45945</v>
      </c>
      <c r="C6905">
        <v>17</v>
      </c>
      <c r="D6905">
        <v>9.5000000000000001E-2</v>
      </c>
      <c r="E6905" t="s">
        <v>6</v>
      </c>
      <c r="F6905">
        <v>0.11697</v>
      </c>
    </row>
    <row r="6906" spans="1:6" x14ac:dyDescent="0.3">
      <c r="A6906" t="s">
        <v>5</v>
      </c>
      <c r="B6906" s="1">
        <v>45945</v>
      </c>
      <c r="C6906">
        <v>18</v>
      </c>
      <c r="D6906">
        <v>0.13100000000000001</v>
      </c>
      <c r="E6906" t="s">
        <v>6</v>
      </c>
      <c r="F6906">
        <v>0.13402</v>
      </c>
    </row>
    <row r="6907" spans="1:6" x14ac:dyDescent="0.3">
      <c r="A6907" t="s">
        <v>5</v>
      </c>
      <c r="B6907" s="1">
        <v>45945</v>
      </c>
      <c r="C6907">
        <v>19</v>
      </c>
      <c r="D6907">
        <v>0.45</v>
      </c>
      <c r="E6907" t="s">
        <v>6</v>
      </c>
      <c r="F6907">
        <v>0.22447999999999999</v>
      </c>
    </row>
    <row r="6908" spans="1:6" x14ac:dyDescent="0.3">
      <c r="A6908" t="s">
        <v>5</v>
      </c>
      <c r="B6908" s="1">
        <v>45945</v>
      </c>
      <c r="C6908">
        <v>20</v>
      </c>
      <c r="D6908">
        <v>0.56299999999999994</v>
      </c>
      <c r="E6908" t="s">
        <v>6</v>
      </c>
      <c r="F6908">
        <v>0.27252999999999999</v>
      </c>
    </row>
    <row r="6909" spans="1:6" x14ac:dyDescent="0.3">
      <c r="A6909" t="s">
        <v>5</v>
      </c>
      <c r="B6909" s="1">
        <v>45945</v>
      </c>
      <c r="C6909">
        <v>21</v>
      </c>
      <c r="D6909">
        <v>0.55200000000000005</v>
      </c>
      <c r="E6909" t="s">
        <v>6</v>
      </c>
      <c r="F6909">
        <v>0.27956999999999999</v>
      </c>
    </row>
    <row r="6910" spans="1:6" x14ac:dyDescent="0.3">
      <c r="A6910" t="s">
        <v>5</v>
      </c>
      <c r="B6910" s="1">
        <v>45945</v>
      </c>
      <c r="C6910">
        <v>22</v>
      </c>
      <c r="D6910">
        <v>0.73199999999999998</v>
      </c>
      <c r="E6910" t="s">
        <v>6</v>
      </c>
      <c r="F6910">
        <v>0.26155</v>
      </c>
    </row>
    <row r="6911" spans="1:6" x14ac:dyDescent="0.3">
      <c r="A6911" t="s">
        <v>5</v>
      </c>
      <c r="B6911" s="1">
        <v>45945</v>
      </c>
      <c r="C6911">
        <v>23</v>
      </c>
      <c r="D6911">
        <v>0.77900000000000003</v>
      </c>
      <c r="E6911" t="s">
        <v>6</v>
      </c>
      <c r="F6911">
        <v>0.16484000000000001</v>
      </c>
    </row>
    <row r="6912" spans="1:6" x14ac:dyDescent="0.3">
      <c r="A6912" t="s">
        <v>5</v>
      </c>
      <c r="B6912" s="1">
        <v>45945</v>
      </c>
      <c r="C6912">
        <v>24</v>
      </c>
      <c r="D6912">
        <v>0.35299999999999998</v>
      </c>
      <c r="E6912" t="s">
        <v>6</v>
      </c>
      <c r="F6912">
        <v>0.15749000000000002</v>
      </c>
    </row>
    <row r="6913" spans="1:6" x14ac:dyDescent="0.3">
      <c r="A6913" t="s">
        <v>5</v>
      </c>
      <c r="B6913" s="1">
        <v>45946</v>
      </c>
      <c r="C6913">
        <v>1</v>
      </c>
      <c r="D6913">
        <v>0.21199999999999999</v>
      </c>
      <c r="E6913" t="s">
        <v>6</v>
      </c>
      <c r="F6913">
        <v>0.14033000000000001</v>
      </c>
    </row>
    <row r="6914" spans="1:6" x14ac:dyDescent="0.3">
      <c r="A6914" t="s">
        <v>5</v>
      </c>
      <c r="B6914" s="1">
        <v>45946</v>
      </c>
      <c r="C6914">
        <v>2</v>
      </c>
      <c r="D6914">
        <v>0.17199999999999999</v>
      </c>
      <c r="E6914" t="s">
        <v>6</v>
      </c>
      <c r="F6914">
        <v>0.13181000000000001</v>
      </c>
    </row>
    <row r="6915" spans="1:6" x14ac:dyDescent="0.3">
      <c r="A6915" t="s">
        <v>5</v>
      </c>
      <c r="B6915" s="1">
        <v>45946</v>
      </c>
      <c r="C6915">
        <v>3</v>
      </c>
      <c r="D6915">
        <v>0.10299999999999999</v>
      </c>
      <c r="E6915" t="s">
        <v>6</v>
      </c>
      <c r="F6915">
        <v>0.12903000000000001</v>
      </c>
    </row>
    <row r="6916" spans="1:6" x14ac:dyDescent="0.3">
      <c r="A6916" t="s">
        <v>5</v>
      </c>
      <c r="B6916" s="1">
        <v>45946</v>
      </c>
      <c r="C6916">
        <v>4</v>
      </c>
      <c r="D6916">
        <v>0.128</v>
      </c>
      <c r="E6916" t="s">
        <v>6</v>
      </c>
      <c r="F6916">
        <v>0.12433</v>
      </c>
    </row>
    <row r="6917" spans="1:6" x14ac:dyDescent="0.3">
      <c r="A6917" t="s">
        <v>5</v>
      </c>
      <c r="B6917" s="1">
        <v>45946</v>
      </c>
      <c r="C6917">
        <v>5</v>
      </c>
      <c r="D6917">
        <v>9.9000000000000005E-2</v>
      </c>
      <c r="E6917" t="s">
        <v>6</v>
      </c>
      <c r="F6917">
        <v>0.12404999999999999</v>
      </c>
    </row>
    <row r="6918" spans="1:6" x14ac:dyDescent="0.3">
      <c r="A6918" t="s">
        <v>5</v>
      </c>
      <c r="B6918" s="1">
        <v>45946</v>
      </c>
      <c r="C6918">
        <v>6</v>
      </c>
      <c r="D6918">
        <v>0.11700000000000001</v>
      </c>
      <c r="E6918" t="s">
        <v>6</v>
      </c>
      <c r="F6918">
        <v>0.12484000000000001</v>
      </c>
    </row>
    <row r="6919" spans="1:6" x14ac:dyDescent="0.3">
      <c r="A6919" t="s">
        <v>5</v>
      </c>
      <c r="B6919" s="1">
        <v>45946</v>
      </c>
      <c r="C6919">
        <v>7</v>
      </c>
      <c r="D6919">
        <v>0.108</v>
      </c>
      <c r="E6919" t="s">
        <v>6</v>
      </c>
      <c r="F6919">
        <v>0.13522000000000001</v>
      </c>
    </row>
    <row r="6920" spans="1:6" x14ac:dyDescent="0.3">
      <c r="A6920" t="s">
        <v>5</v>
      </c>
      <c r="B6920" s="1">
        <v>45946</v>
      </c>
      <c r="C6920">
        <v>8</v>
      </c>
      <c r="D6920">
        <v>0.104</v>
      </c>
      <c r="E6920" t="s">
        <v>6</v>
      </c>
      <c r="F6920">
        <v>0.1452</v>
      </c>
    </row>
    <row r="6921" spans="1:6" x14ac:dyDescent="0.3">
      <c r="A6921" t="s">
        <v>5</v>
      </c>
      <c r="B6921" s="1">
        <v>45946</v>
      </c>
      <c r="C6921">
        <v>9</v>
      </c>
      <c r="D6921">
        <v>0.128</v>
      </c>
      <c r="E6921" t="s">
        <v>6</v>
      </c>
      <c r="F6921">
        <v>0.20513000000000001</v>
      </c>
    </row>
    <row r="6922" spans="1:6" x14ac:dyDescent="0.3">
      <c r="A6922" t="s">
        <v>5</v>
      </c>
      <c r="B6922" s="1">
        <v>45946</v>
      </c>
      <c r="C6922">
        <v>10</v>
      </c>
      <c r="D6922">
        <v>0.13400000000000001</v>
      </c>
      <c r="E6922" t="s">
        <v>6</v>
      </c>
      <c r="F6922">
        <v>0.16635</v>
      </c>
    </row>
    <row r="6923" spans="1:6" x14ac:dyDescent="0.3">
      <c r="A6923" t="s">
        <v>5</v>
      </c>
      <c r="B6923" s="1">
        <v>45946</v>
      </c>
      <c r="C6923">
        <v>11</v>
      </c>
      <c r="D6923">
        <v>0.19</v>
      </c>
      <c r="E6923" t="s">
        <v>6</v>
      </c>
      <c r="F6923">
        <v>0.21427000000000002</v>
      </c>
    </row>
    <row r="6924" spans="1:6" x14ac:dyDescent="0.3">
      <c r="A6924" t="s">
        <v>5</v>
      </c>
      <c r="B6924" s="1">
        <v>45946</v>
      </c>
      <c r="C6924">
        <v>12</v>
      </c>
      <c r="D6924">
        <v>0.21299999999999999</v>
      </c>
      <c r="E6924" t="s">
        <v>6</v>
      </c>
      <c r="F6924">
        <v>0.19263</v>
      </c>
    </row>
    <row r="6925" spans="1:6" x14ac:dyDescent="0.3">
      <c r="A6925" t="s">
        <v>5</v>
      </c>
      <c r="B6925" s="1">
        <v>45946</v>
      </c>
      <c r="C6925">
        <v>13</v>
      </c>
      <c r="D6925">
        <v>0.16</v>
      </c>
      <c r="E6925" t="s">
        <v>6</v>
      </c>
      <c r="F6925">
        <v>0.18265999999999999</v>
      </c>
    </row>
    <row r="6926" spans="1:6" x14ac:dyDescent="0.3">
      <c r="A6926" t="s">
        <v>5</v>
      </c>
      <c r="B6926" s="1">
        <v>45946</v>
      </c>
      <c r="C6926">
        <v>14</v>
      </c>
      <c r="D6926">
        <v>0.33700000000000002</v>
      </c>
      <c r="E6926" t="s">
        <v>6</v>
      </c>
      <c r="F6926">
        <v>0.17477999999999999</v>
      </c>
    </row>
    <row r="6927" spans="1:6" x14ac:dyDescent="0.3">
      <c r="A6927" t="s">
        <v>5</v>
      </c>
      <c r="B6927" s="1">
        <v>45946</v>
      </c>
      <c r="C6927">
        <v>15</v>
      </c>
      <c r="D6927">
        <v>0.14000000000000001</v>
      </c>
      <c r="E6927" t="s">
        <v>6</v>
      </c>
      <c r="F6927">
        <v>0.10836</v>
      </c>
    </row>
    <row r="6928" spans="1:6" x14ac:dyDescent="0.3">
      <c r="A6928" t="s">
        <v>5</v>
      </c>
      <c r="B6928" s="1">
        <v>45946</v>
      </c>
      <c r="C6928">
        <v>16</v>
      </c>
      <c r="D6928">
        <v>0.189</v>
      </c>
      <c r="E6928" t="s">
        <v>6</v>
      </c>
      <c r="F6928">
        <v>0.11012000000000001</v>
      </c>
    </row>
    <row r="6929" spans="1:6" x14ac:dyDescent="0.3">
      <c r="A6929" t="s">
        <v>5</v>
      </c>
      <c r="B6929" s="1">
        <v>45946</v>
      </c>
      <c r="C6929">
        <v>17</v>
      </c>
      <c r="D6929">
        <v>0.154</v>
      </c>
      <c r="E6929" t="s">
        <v>6</v>
      </c>
      <c r="F6929">
        <v>0.11793000000000001</v>
      </c>
    </row>
    <row r="6930" spans="1:6" x14ac:dyDescent="0.3">
      <c r="A6930" t="s">
        <v>5</v>
      </c>
      <c r="B6930" s="1">
        <v>45946</v>
      </c>
      <c r="C6930">
        <v>18</v>
      </c>
      <c r="D6930">
        <v>8.5999999999999993E-2</v>
      </c>
      <c r="E6930" t="s">
        <v>6</v>
      </c>
      <c r="F6930">
        <v>0.13903000000000001</v>
      </c>
    </row>
    <row r="6931" spans="1:6" x14ac:dyDescent="0.3">
      <c r="A6931" t="s">
        <v>5</v>
      </c>
      <c r="B6931" s="1">
        <v>45946</v>
      </c>
      <c r="C6931">
        <v>19</v>
      </c>
      <c r="D6931">
        <v>7.4999999999999997E-2</v>
      </c>
      <c r="E6931" t="s">
        <v>6</v>
      </c>
      <c r="F6931">
        <v>0.22665000000000002</v>
      </c>
    </row>
    <row r="6932" spans="1:6" x14ac:dyDescent="0.3">
      <c r="A6932" t="s">
        <v>5</v>
      </c>
      <c r="B6932" s="1">
        <v>45946</v>
      </c>
      <c r="C6932">
        <v>20</v>
      </c>
      <c r="D6932">
        <v>0.249</v>
      </c>
      <c r="E6932" t="s">
        <v>6</v>
      </c>
      <c r="F6932">
        <v>0.26071</v>
      </c>
    </row>
    <row r="6933" spans="1:6" x14ac:dyDescent="0.3">
      <c r="A6933" t="s">
        <v>5</v>
      </c>
      <c r="B6933" s="1">
        <v>45946</v>
      </c>
      <c r="C6933">
        <v>21</v>
      </c>
      <c r="D6933">
        <v>0.57199999999999995</v>
      </c>
      <c r="E6933" t="s">
        <v>6</v>
      </c>
      <c r="F6933">
        <v>0.26724999999999999</v>
      </c>
    </row>
    <row r="6934" spans="1:6" x14ac:dyDescent="0.3">
      <c r="A6934" t="s">
        <v>5</v>
      </c>
      <c r="B6934" s="1">
        <v>45946</v>
      </c>
      <c r="C6934">
        <v>22</v>
      </c>
      <c r="D6934">
        <v>0.59499999999999997</v>
      </c>
      <c r="E6934" t="s">
        <v>6</v>
      </c>
      <c r="F6934">
        <v>0.25246999999999997</v>
      </c>
    </row>
    <row r="6935" spans="1:6" x14ac:dyDescent="0.3">
      <c r="A6935" t="s">
        <v>5</v>
      </c>
      <c r="B6935" s="1">
        <v>45946</v>
      </c>
      <c r="C6935">
        <v>23</v>
      </c>
      <c r="D6935">
        <v>0.30299999999999999</v>
      </c>
      <c r="E6935" t="s">
        <v>6</v>
      </c>
      <c r="F6935">
        <v>0.17686000000000002</v>
      </c>
    </row>
    <row r="6936" spans="1:6" x14ac:dyDescent="0.3">
      <c r="A6936" t="s">
        <v>5</v>
      </c>
      <c r="B6936" s="1">
        <v>45946</v>
      </c>
      <c r="C6936">
        <v>24</v>
      </c>
      <c r="D6936">
        <v>0.29799999999999999</v>
      </c>
      <c r="E6936" t="s">
        <v>6</v>
      </c>
      <c r="F6936">
        <v>0.16003999999999999</v>
      </c>
    </row>
    <row r="6937" spans="1:6" x14ac:dyDescent="0.3">
      <c r="A6937" t="s">
        <v>5</v>
      </c>
      <c r="B6937" s="1">
        <v>45947</v>
      </c>
      <c r="C6937">
        <v>1</v>
      </c>
      <c r="D6937">
        <v>0.26100000000000001</v>
      </c>
      <c r="E6937" t="s">
        <v>6</v>
      </c>
      <c r="F6937">
        <v>0.14890999999999999</v>
      </c>
    </row>
    <row r="6938" spans="1:6" x14ac:dyDescent="0.3">
      <c r="A6938" t="s">
        <v>5</v>
      </c>
      <c r="B6938" s="1">
        <v>45947</v>
      </c>
      <c r="C6938">
        <v>2</v>
      </c>
      <c r="D6938">
        <v>0.13</v>
      </c>
      <c r="E6938" t="s">
        <v>6</v>
      </c>
      <c r="F6938">
        <v>0.13336000000000001</v>
      </c>
    </row>
    <row r="6939" spans="1:6" x14ac:dyDescent="0.3">
      <c r="A6939" t="s">
        <v>5</v>
      </c>
      <c r="B6939" s="1">
        <v>45947</v>
      </c>
      <c r="C6939">
        <v>3</v>
      </c>
      <c r="D6939">
        <v>0.14000000000000001</v>
      </c>
      <c r="E6939" t="s">
        <v>6</v>
      </c>
      <c r="F6939">
        <v>0.13097</v>
      </c>
    </row>
    <row r="6940" spans="1:6" x14ac:dyDescent="0.3">
      <c r="A6940" t="s">
        <v>5</v>
      </c>
      <c r="B6940" s="1">
        <v>45947</v>
      </c>
      <c r="C6940">
        <v>4</v>
      </c>
      <c r="D6940">
        <v>0.108</v>
      </c>
      <c r="E6940" t="s">
        <v>6</v>
      </c>
      <c r="F6940">
        <v>0.12594</v>
      </c>
    </row>
    <row r="6941" spans="1:6" x14ac:dyDescent="0.3">
      <c r="A6941" t="s">
        <v>5</v>
      </c>
      <c r="B6941" s="1">
        <v>45947</v>
      </c>
      <c r="C6941">
        <v>5</v>
      </c>
      <c r="D6941">
        <v>0.125</v>
      </c>
      <c r="E6941" t="s">
        <v>6</v>
      </c>
      <c r="F6941">
        <v>0.12534999999999999</v>
      </c>
    </row>
    <row r="6942" spans="1:6" x14ac:dyDescent="0.3">
      <c r="A6942" t="s">
        <v>5</v>
      </c>
      <c r="B6942" s="1">
        <v>45947</v>
      </c>
      <c r="C6942">
        <v>6</v>
      </c>
      <c r="D6942">
        <v>0.157</v>
      </c>
      <c r="E6942" t="s">
        <v>6</v>
      </c>
      <c r="F6942">
        <v>0.12706000000000001</v>
      </c>
    </row>
    <row r="6943" spans="1:6" x14ac:dyDescent="0.3">
      <c r="A6943" t="s">
        <v>5</v>
      </c>
      <c r="B6943" s="1">
        <v>45947</v>
      </c>
      <c r="C6943">
        <v>7</v>
      </c>
      <c r="D6943">
        <v>0.155</v>
      </c>
      <c r="E6943" t="s">
        <v>6</v>
      </c>
      <c r="F6943">
        <v>0.13797999999999999</v>
      </c>
    </row>
    <row r="6944" spans="1:6" x14ac:dyDescent="0.3">
      <c r="A6944" t="s">
        <v>5</v>
      </c>
      <c r="B6944" s="1">
        <v>45947</v>
      </c>
      <c r="C6944">
        <v>8</v>
      </c>
      <c r="D6944">
        <v>0.14599999999999999</v>
      </c>
      <c r="E6944" t="s">
        <v>6</v>
      </c>
      <c r="F6944">
        <v>0.15583000000000002</v>
      </c>
    </row>
    <row r="6945" spans="1:6" x14ac:dyDescent="0.3">
      <c r="A6945" t="s">
        <v>5</v>
      </c>
      <c r="B6945" s="1">
        <v>45947</v>
      </c>
      <c r="C6945">
        <v>9</v>
      </c>
      <c r="D6945">
        <v>0.17799999999999999</v>
      </c>
      <c r="E6945" t="s">
        <v>6</v>
      </c>
      <c r="F6945">
        <v>0.2127</v>
      </c>
    </row>
    <row r="6946" spans="1:6" x14ac:dyDescent="0.3">
      <c r="A6946" t="s">
        <v>5</v>
      </c>
      <c r="B6946" s="1">
        <v>45947</v>
      </c>
      <c r="C6946">
        <v>10</v>
      </c>
      <c r="D6946">
        <v>0.14099999999999999</v>
      </c>
      <c r="E6946" t="s">
        <v>6</v>
      </c>
      <c r="F6946">
        <v>0.17219000000000001</v>
      </c>
    </row>
    <row r="6947" spans="1:6" x14ac:dyDescent="0.3">
      <c r="A6947" t="s">
        <v>5</v>
      </c>
      <c r="B6947" s="1">
        <v>45947</v>
      </c>
      <c r="C6947">
        <v>11</v>
      </c>
      <c r="D6947">
        <v>0.09</v>
      </c>
      <c r="E6947" t="s">
        <v>6</v>
      </c>
      <c r="F6947">
        <v>0.20793999999999999</v>
      </c>
    </row>
    <row r="6948" spans="1:6" x14ac:dyDescent="0.3">
      <c r="A6948" t="s">
        <v>5</v>
      </c>
      <c r="B6948" s="1">
        <v>45947</v>
      </c>
      <c r="C6948">
        <v>12</v>
      </c>
      <c r="D6948">
        <v>0.15</v>
      </c>
      <c r="E6948" t="s">
        <v>6</v>
      </c>
      <c r="F6948">
        <v>0.19269999999999998</v>
      </c>
    </row>
    <row r="6949" spans="1:6" x14ac:dyDescent="0.3">
      <c r="A6949" t="s">
        <v>5</v>
      </c>
      <c r="B6949" s="1">
        <v>45947</v>
      </c>
      <c r="C6949">
        <v>13</v>
      </c>
      <c r="D6949">
        <v>0.98499999999999999</v>
      </c>
      <c r="E6949" t="s">
        <v>6</v>
      </c>
      <c r="F6949">
        <v>0.18403999999999998</v>
      </c>
    </row>
    <row r="6950" spans="1:6" x14ac:dyDescent="0.3">
      <c r="A6950" t="s">
        <v>5</v>
      </c>
      <c r="B6950" s="1">
        <v>45947</v>
      </c>
      <c r="C6950">
        <v>14</v>
      </c>
      <c r="D6950">
        <v>1.3460000000000001</v>
      </c>
      <c r="E6950" t="s">
        <v>6</v>
      </c>
      <c r="F6950">
        <v>0.16385</v>
      </c>
    </row>
    <row r="6951" spans="1:6" x14ac:dyDescent="0.3">
      <c r="A6951" t="s">
        <v>5</v>
      </c>
      <c r="B6951" s="1">
        <v>45947</v>
      </c>
      <c r="C6951">
        <v>15</v>
      </c>
      <c r="D6951">
        <v>0.11899999999999999</v>
      </c>
      <c r="E6951" t="s">
        <v>6</v>
      </c>
      <c r="F6951">
        <v>8.8219999999999993E-2</v>
      </c>
    </row>
    <row r="6952" spans="1:6" x14ac:dyDescent="0.3">
      <c r="A6952" t="s">
        <v>5</v>
      </c>
      <c r="B6952" s="1">
        <v>45947</v>
      </c>
      <c r="C6952">
        <v>16</v>
      </c>
      <c r="D6952">
        <v>0.217</v>
      </c>
      <c r="E6952" t="s">
        <v>6</v>
      </c>
      <c r="F6952">
        <v>8.5029999999999994E-2</v>
      </c>
    </row>
    <row r="6953" spans="1:6" x14ac:dyDescent="0.3">
      <c r="A6953" t="s">
        <v>5</v>
      </c>
      <c r="B6953" s="1">
        <v>45947</v>
      </c>
      <c r="C6953">
        <v>17</v>
      </c>
      <c r="D6953">
        <v>0.252</v>
      </c>
      <c r="E6953" t="s">
        <v>6</v>
      </c>
      <c r="F6953">
        <v>9.912E-2</v>
      </c>
    </row>
    <row r="6954" spans="1:6" x14ac:dyDescent="0.3">
      <c r="A6954" t="s">
        <v>5</v>
      </c>
      <c r="B6954" s="1">
        <v>45947</v>
      </c>
      <c r="C6954">
        <v>18</v>
      </c>
      <c r="D6954">
        <v>0.13700000000000001</v>
      </c>
      <c r="E6954" t="s">
        <v>6</v>
      </c>
      <c r="F6954">
        <v>0.14057</v>
      </c>
    </row>
    <row r="6955" spans="1:6" x14ac:dyDescent="0.3">
      <c r="A6955" t="s">
        <v>5</v>
      </c>
      <c r="B6955" s="1">
        <v>45947</v>
      </c>
      <c r="C6955">
        <v>19</v>
      </c>
      <c r="D6955">
        <v>0.11600000000000001</v>
      </c>
      <c r="E6955" t="s">
        <v>6</v>
      </c>
      <c r="F6955">
        <v>0.23024</v>
      </c>
    </row>
    <row r="6956" spans="1:6" x14ac:dyDescent="0.3">
      <c r="A6956" t="s">
        <v>5</v>
      </c>
      <c r="B6956" s="1">
        <v>45947</v>
      </c>
      <c r="C6956">
        <v>20</v>
      </c>
      <c r="D6956">
        <v>7.5999999999999998E-2</v>
      </c>
      <c r="E6956" t="s">
        <v>6</v>
      </c>
      <c r="F6956">
        <v>0.25108999999999998</v>
      </c>
    </row>
    <row r="6957" spans="1:6" x14ac:dyDescent="0.3">
      <c r="A6957" t="s">
        <v>5</v>
      </c>
      <c r="B6957" s="1">
        <v>45947</v>
      </c>
      <c r="C6957">
        <v>21</v>
      </c>
      <c r="D6957">
        <v>0.432</v>
      </c>
      <c r="E6957" t="s">
        <v>6</v>
      </c>
      <c r="F6957">
        <v>0.27488000000000001</v>
      </c>
    </row>
    <row r="6958" spans="1:6" x14ac:dyDescent="0.3">
      <c r="A6958" t="s">
        <v>5</v>
      </c>
      <c r="B6958" s="1">
        <v>45947</v>
      </c>
      <c r="C6958">
        <v>22</v>
      </c>
      <c r="D6958">
        <v>1.1539999999999999</v>
      </c>
      <c r="E6958" t="s">
        <v>6</v>
      </c>
      <c r="F6958">
        <v>0.26067000000000001</v>
      </c>
    </row>
    <row r="6959" spans="1:6" x14ac:dyDescent="0.3">
      <c r="A6959" t="s">
        <v>5</v>
      </c>
      <c r="B6959" s="1">
        <v>45947</v>
      </c>
      <c r="C6959">
        <v>23</v>
      </c>
      <c r="D6959">
        <v>0.38600000000000001</v>
      </c>
      <c r="E6959" t="s">
        <v>6</v>
      </c>
      <c r="F6959">
        <v>0.17499000000000001</v>
      </c>
    </row>
    <row r="6960" spans="1:6" x14ac:dyDescent="0.3">
      <c r="A6960" t="s">
        <v>5</v>
      </c>
      <c r="B6960" s="1">
        <v>45947</v>
      </c>
      <c r="C6960">
        <v>24</v>
      </c>
      <c r="D6960">
        <v>0.14899999999999999</v>
      </c>
      <c r="E6960" t="s">
        <v>6</v>
      </c>
      <c r="F6960">
        <v>0.16974</v>
      </c>
    </row>
    <row r="6961" spans="1:6" x14ac:dyDescent="0.3">
      <c r="A6961" t="s">
        <v>5</v>
      </c>
      <c r="B6961" s="1">
        <v>45948</v>
      </c>
      <c r="C6961">
        <v>1</v>
      </c>
      <c r="D6961">
        <v>0.13</v>
      </c>
      <c r="E6961" t="s">
        <v>6</v>
      </c>
      <c r="F6961">
        <v>0.16857</v>
      </c>
    </row>
    <row r="6962" spans="1:6" x14ac:dyDescent="0.3">
      <c r="A6962" t="s">
        <v>5</v>
      </c>
      <c r="B6962" s="1">
        <v>45948</v>
      </c>
      <c r="C6962">
        <v>2</v>
      </c>
      <c r="D6962">
        <v>0.11899999999999999</v>
      </c>
      <c r="E6962" t="s">
        <v>6</v>
      </c>
      <c r="F6962">
        <v>0.15511000000000003</v>
      </c>
    </row>
    <row r="6963" spans="1:6" x14ac:dyDescent="0.3">
      <c r="A6963" t="s">
        <v>5</v>
      </c>
      <c r="B6963" s="1">
        <v>45948</v>
      </c>
      <c r="C6963">
        <v>3</v>
      </c>
      <c r="D6963">
        <v>0.111</v>
      </c>
      <c r="E6963" t="s">
        <v>6</v>
      </c>
      <c r="F6963">
        <v>0.14174999999999999</v>
      </c>
    </row>
    <row r="6964" spans="1:6" x14ac:dyDescent="0.3">
      <c r="A6964" t="s">
        <v>5</v>
      </c>
      <c r="B6964" s="1">
        <v>45948</v>
      </c>
      <c r="C6964">
        <v>4</v>
      </c>
      <c r="D6964">
        <v>0.115</v>
      </c>
      <c r="E6964" t="s">
        <v>6</v>
      </c>
      <c r="F6964">
        <v>0.13916000000000001</v>
      </c>
    </row>
    <row r="6965" spans="1:6" x14ac:dyDescent="0.3">
      <c r="A6965" t="s">
        <v>5</v>
      </c>
      <c r="B6965" s="1">
        <v>45948</v>
      </c>
      <c r="C6965">
        <v>5</v>
      </c>
      <c r="D6965">
        <v>0.113</v>
      </c>
      <c r="E6965" t="s">
        <v>6</v>
      </c>
      <c r="F6965">
        <v>0.14077999999999999</v>
      </c>
    </row>
    <row r="6966" spans="1:6" x14ac:dyDescent="0.3">
      <c r="A6966" t="s">
        <v>5</v>
      </c>
      <c r="B6966" s="1">
        <v>45948</v>
      </c>
      <c r="C6966">
        <v>6</v>
      </c>
      <c r="D6966">
        <v>0.107</v>
      </c>
      <c r="E6966" t="s">
        <v>6</v>
      </c>
      <c r="F6966">
        <v>0.13521</v>
      </c>
    </row>
    <row r="6967" spans="1:6" x14ac:dyDescent="0.3">
      <c r="A6967" t="s">
        <v>5</v>
      </c>
      <c r="B6967" s="1">
        <v>45948</v>
      </c>
      <c r="C6967">
        <v>7</v>
      </c>
      <c r="D6967">
        <v>0.11700000000000001</v>
      </c>
      <c r="E6967" t="s">
        <v>6</v>
      </c>
      <c r="F6967">
        <v>0.14102999999999999</v>
      </c>
    </row>
    <row r="6968" spans="1:6" x14ac:dyDescent="0.3">
      <c r="A6968" t="s">
        <v>5</v>
      </c>
      <c r="B6968" s="1">
        <v>45948</v>
      </c>
      <c r="C6968">
        <v>8</v>
      </c>
      <c r="D6968">
        <v>0.111</v>
      </c>
      <c r="E6968" t="s">
        <v>6</v>
      </c>
      <c r="F6968">
        <v>0.15302000000000002</v>
      </c>
    </row>
    <row r="6969" spans="1:6" x14ac:dyDescent="0.3">
      <c r="A6969" t="s">
        <v>5</v>
      </c>
      <c r="B6969" s="1">
        <v>45948</v>
      </c>
      <c r="C6969">
        <v>9</v>
      </c>
      <c r="D6969">
        <v>8.3000000000000004E-2</v>
      </c>
      <c r="E6969" t="s">
        <v>6</v>
      </c>
      <c r="F6969">
        <v>0.15637000000000001</v>
      </c>
    </row>
    <row r="6970" spans="1:6" x14ac:dyDescent="0.3">
      <c r="A6970" t="s">
        <v>5</v>
      </c>
      <c r="B6970" s="1">
        <v>45948</v>
      </c>
      <c r="C6970">
        <v>10</v>
      </c>
      <c r="D6970">
        <v>5.7000000000000002E-2</v>
      </c>
      <c r="E6970" t="s">
        <v>6</v>
      </c>
      <c r="F6970">
        <v>0.14708000000000002</v>
      </c>
    </row>
    <row r="6971" spans="1:6" x14ac:dyDescent="0.3">
      <c r="A6971" t="s">
        <v>5</v>
      </c>
      <c r="B6971" s="1">
        <v>45948</v>
      </c>
      <c r="C6971">
        <v>11</v>
      </c>
      <c r="D6971">
        <v>7.9000000000000001E-2</v>
      </c>
      <c r="E6971" t="s">
        <v>6</v>
      </c>
      <c r="F6971">
        <v>0.11388</v>
      </c>
    </row>
    <row r="6972" spans="1:6" x14ac:dyDescent="0.3">
      <c r="A6972" t="s">
        <v>5</v>
      </c>
      <c r="B6972" s="1">
        <v>45948</v>
      </c>
      <c r="C6972">
        <v>12</v>
      </c>
      <c r="D6972">
        <v>6.3E-2</v>
      </c>
      <c r="E6972" t="s">
        <v>6</v>
      </c>
      <c r="F6972">
        <v>7.3599999999999999E-2</v>
      </c>
    </row>
    <row r="6973" spans="1:6" x14ac:dyDescent="0.3">
      <c r="A6973" t="s">
        <v>5</v>
      </c>
      <c r="B6973" s="1">
        <v>45948</v>
      </c>
      <c r="C6973">
        <v>13</v>
      </c>
      <c r="D6973">
        <v>7.1999999999999995E-2</v>
      </c>
      <c r="E6973" t="s">
        <v>6</v>
      </c>
      <c r="F6973">
        <v>5.0659999999999997E-2</v>
      </c>
    </row>
    <row r="6974" spans="1:6" x14ac:dyDescent="0.3">
      <c r="A6974" t="s">
        <v>5</v>
      </c>
      <c r="B6974" s="1">
        <v>45948</v>
      </c>
      <c r="C6974">
        <v>14</v>
      </c>
      <c r="D6974">
        <v>7.1999999999999995E-2</v>
      </c>
      <c r="E6974" t="s">
        <v>6</v>
      </c>
      <c r="F6974">
        <v>4.7329999999999997E-2</v>
      </c>
    </row>
    <row r="6975" spans="1:6" x14ac:dyDescent="0.3">
      <c r="A6975" t="s">
        <v>5</v>
      </c>
      <c r="B6975" s="1">
        <v>45948</v>
      </c>
      <c r="C6975">
        <v>15</v>
      </c>
      <c r="D6975">
        <v>0.45800000000000002</v>
      </c>
      <c r="E6975" t="s">
        <v>6</v>
      </c>
      <c r="F6975">
        <v>4.4950000000000004E-2</v>
      </c>
    </row>
    <row r="6976" spans="1:6" x14ac:dyDescent="0.3">
      <c r="A6976" t="s">
        <v>5</v>
      </c>
      <c r="B6976" s="1">
        <v>45948</v>
      </c>
      <c r="C6976">
        <v>16</v>
      </c>
      <c r="D6976">
        <v>0.28999999999999998</v>
      </c>
      <c r="E6976" t="s">
        <v>6</v>
      </c>
      <c r="F6976">
        <v>4.3679999999999997E-2</v>
      </c>
    </row>
    <row r="6977" spans="1:6" x14ac:dyDescent="0.3">
      <c r="A6977" t="s">
        <v>5</v>
      </c>
      <c r="B6977" s="1">
        <v>45948</v>
      </c>
      <c r="C6977">
        <v>17</v>
      </c>
      <c r="D6977">
        <v>0.06</v>
      </c>
      <c r="E6977" t="s">
        <v>6</v>
      </c>
      <c r="F6977">
        <v>4.8350000000000004E-2</v>
      </c>
    </row>
    <row r="6978" spans="1:6" x14ac:dyDescent="0.3">
      <c r="A6978" t="s">
        <v>5</v>
      </c>
      <c r="B6978" s="1">
        <v>45948</v>
      </c>
      <c r="C6978">
        <v>18</v>
      </c>
      <c r="D6978">
        <v>8.1000000000000003E-2</v>
      </c>
      <c r="E6978" t="s">
        <v>6</v>
      </c>
      <c r="F6978">
        <v>9.1730000000000006E-2</v>
      </c>
    </row>
    <row r="6979" spans="1:6" x14ac:dyDescent="0.3">
      <c r="A6979" t="s">
        <v>5</v>
      </c>
      <c r="B6979" s="1">
        <v>45948</v>
      </c>
      <c r="C6979">
        <v>19</v>
      </c>
      <c r="D6979">
        <v>5.7000000000000002E-2</v>
      </c>
      <c r="E6979" t="s">
        <v>6</v>
      </c>
      <c r="F6979">
        <v>0.14044999999999999</v>
      </c>
    </row>
    <row r="6980" spans="1:6" x14ac:dyDescent="0.3">
      <c r="A6980" t="s">
        <v>5</v>
      </c>
      <c r="B6980" s="1">
        <v>45948</v>
      </c>
      <c r="C6980">
        <v>20</v>
      </c>
      <c r="D6980">
        <v>7.9000000000000001E-2</v>
      </c>
      <c r="E6980" t="s">
        <v>6</v>
      </c>
      <c r="F6980">
        <v>0.15249000000000001</v>
      </c>
    </row>
    <row r="6981" spans="1:6" x14ac:dyDescent="0.3">
      <c r="A6981" t="s">
        <v>5</v>
      </c>
      <c r="B6981" s="1">
        <v>45948</v>
      </c>
      <c r="C6981">
        <v>21</v>
      </c>
      <c r="D6981">
        <v>0.06</v>
      </c>
      <c r="E6981" t="s">
        <v>6</v>
      </c>
      <c r="F6981">
        <v>0.16193000000000002</v>
      </c>
    </row>
    <row r="6982" spans="1:6" x14ac:dyDescent="0.3">
      <c r="A6982" t="s">
        <v>5</v>
      </c>
      <c r="B6982" s="1">
        <v>45948</v>
      </c>
      <c r="C6982">
        <v>22</v>
      </c>
      <c r="D6982">
        <v>7.2999999999999995E-2</v>
      </c>
      <c r="E6982" t="s">
        <v>6</v>
      </c>
      <c r="F6982">
        <v>0.15496000000000001</v>
      </c>
    </row>
    <row r="6983" spans="1:6" x14ac:dyDescent="0.3">
      <c r="A6983" t="s">
        <v>5</v>
      </c>
      <c r="B6983" s="1">
        <v>45948</v>
      </c>
      <c r="C6983">
        <v>23</v>
      </c>
      <c r="D6983">
        <v>6.8000000000000005E-2</v>
      </c>
      <c r="E6983" t="s">
        <v>6</v>
      </c>
      <c r="F6983">
        <v>0.14652999999999999</v>
      </c>
    </row>
    <row r="6984" spans="1:6" x14ac:dyDescent="0.3">
      <c r="A6984" t="s">
        <v>5</v>
      </c>
      <c r="B6984" s="1">
        <v>45948</v>
      </c>
      <c r="C6984">
        <v>24</v>
      </c>
      <c r="D6984">
        <v>6.6000000000000003E-2</v>
      </c>
      <c r="E6984" t="s">
        <v>6</v>
      </c>
      <c r="F6984">
        <v>0.1439</v>
      </c>
    </row>
    <row r="6985" spans="1:6" x14ac:dyDescent="0.3">
      <c r="A6985" t="s">
        <v>5</v>
      </c>
      <c r="B6985" s="1">
        <v>45949</v>
      </c>
      <c r="C6985">
        <v>1</v>
      </c>
      <c r="D6985">
        <v>7.4999999999999997E-2</v>
      </c>
      <c r="E6985" t="s">
        <v>6</v>
      </c>
      <c r="F6985">
        <v>0.15633000000000002</v>
      </c>
    </row>
    <row r="6986" spans="1:6" x14ac:dyDescent="0.3">
      <c r="A6986" t="s">
        <v>5</v>
      </c>
      <c r="B6986" s="1">
        <v>45949</v>
      </c>
      <c r="C6986">
        <v>2</v>
      </c>
      <c r="D6986">
        <v>5.8999999999999997E-2</v>
      </c>
      <c r="E6986" t="s">
        <v>6</v>
      </c>
      <c r="F6986">
        <v>0.14429</v>
      </c>
    </row>
    <row r="6987" spans="1:6" x14ac:dyDescent="0.3">
      <c r="A6987" t="s">
        <v>5</v>
      </c>
      <c r="B6987" s="1">
        <v>45949</v>
      </c>
      <c r="C6987">
        <v>3</v>
      </c>
      <c r="D6987">
        <v>7.8E-2</v>
      </c>
      <c r="E6987" t="s">
        <v>6</v>
      </c>
      <c r="F6987">
        <v>0.13291</v>
      </c>
    </row>
    <row r="6988" spans="1:6" x14ac:dyDescent="0.3">
      <c r="A6988" t="s">
        <v>5</v>
      </c>
      <c r="B6988" s="1">
        <v>45949</v>
      </c>
      <c r="C6988">
        <v>4</v>
      </c>
      <c r="D6988">
        <v>5.5E-2</v>
      </c>
      <c r="E6988" t="s">
        <v>6</v>
      </c>
      <c r="F6988">
        <v>0.11159000000000001</v>
      </c>
    </row>
    <row r="6989" spans="1:6" x14ac:dyDescent="0.3">
      <c r="A6989" t="s">
        <v>5</v>
      </c>
      <c r="B6989" s="1">
        <v>45949</v>
      </c>
      <c r="C6989">
        <v>5</v>
      </c>
      <c r="D6989">
        <v>7.8E-2</v>
      </c>
      <c r="E6989" t="s">
        <v>6</v>
      </c>
      <c r="F6989">
        <v>0.11134999999999999</v>
      </c>
    </row>
    <row r="6990" spans="1:6" x14ac:dyDescent="0.3">
      <c r="A6990" t="s">
        <v>5</v>
      </c>
      <c r="B6990" s="1">
        <v>45949</v>
      </c>
      <c r="C6990">
        <v>6</v>
      </c>
      <c r="D6990">
        <v>5.8000000000000003E-2</v>
      </c>
      <c r="E6990" t="s">
        <v>6</v>
      </c>
      <c r="F6990">
        <v>0.11087000000000001</v>
      </c>
    </row>
    <row r="6991" spans="1:6" x14ac:dyDescent="0.3">
      <c r="A6991" t="s">
        <v>5</v>
      </c>
      <c r="B6991" s="1">
        <v>45949</v>
      </c>
      <c r="C6991">
        <v>7</v>
      </c>
      <c r="D6991">
        <v>7.4999999999999997E-2</v>
      </c>
      <c r="E6991" t="s">
        <v>6</v>
      </c>
      <c r="F6991">
        <v>0.10973000000000001</v>
      </c>
    </row>
    <row r="6992" spans="1:6" x14ac:dyDescent="0.3">
      <c r="A6992" t="s">
        <v>5</v>
      </c>
      <c r="B6992" s="1">
        <v>45949</v>
      </c>
      <c r="C6992">
        <v>8</v>
      </c>
      <c r="D6992">
        <v>6.3E-2</v>
      </c>
      <c r="E6992" t="s">
        <v>6</v>
      </c>
      <c r="F6992">
        <v>0.11838</v>
      </c>
    </row>
    <row r="6993" spans="1:6" x14ac:dyDescent="0.3">
      <c r="A6993" t="s">
        <v>5</v>
      </c>
      <c r="B6993" s="1">
        <v>45949</v>
      </c>
      <c r="C6993">
        <v>9</v>
      </c>
      <c r="D6993">
        <v>6.9000000000000006E-2</v>
      </c>
      <c r="E6993" t="s">
        <v>6</v>
      </c>
      <c r="F6993">
        <v>0.13022</v>
      </c>
    </row>
    <row r="6994" spans="1:6" x14ac:dyDescent="0.3">
      <c r="A6994" t="s">
        <v>5</v>
      </c>
      <c r="B6994" s="1">
        <v>45949</v>
      </c>
      <c r="C6994">
        <v>10</v>
      </c>
      <c r="D6994">
        <v>6.9000000000000006E-2</v>
      </c>
      <c r="E6994" t="s">
        <v>6</v>
      </c>
      <c r="F6994">
        <v>0.11618000000000001</v>
      </c>
    </row>
    <row r="6995" spans="1:6" x14ac:dyDescent="0.3">
      <c r="A6995" t="s">
        <v>5</v>
      </c>
      <c r="B6995" s="1">
        <v>45949</v>
      </c>
      <c r="C6995">
        <v>11</v>
      </c>
      <c r="D6995">
        <v>6.3E-2</v>
      </c>
      <c r="E6995" t="s">
        <v>6</v>
      </c>
      <c r="F6995">
        <v>7.9700000000000007E-2</v>
      </c>
    </row>
    <row r="6996" spans="1:6" x14ac:dyDescent="0.3">
      <c r="A6996" t="s">
        <v>5</v>
      </c>
      <c r="B6996" s="1">
        <v>45949</v>
      </c>
      <c r="C6996">
        <v>12</v>
      </c>
      <c r="D6996">
        <v>7.3999999999999996E-2</v>
      </c>
      <c r="E6996" t="s">
        <v>6</v>
      </c>
      <c r="F6996">
        <v>7.17E-2</v>
      </c>
    </row>
    <row r="6997" spans="1:6" x14ac:dyDescent="0.3">
      <c r="A6997" t="s">
        <v>5</v>
      </c>
      <c r="B6997" s="1">
        <v>45949</v>
      </c>
      <c r="C6997">
        <v>13</v>
      </c>
      <c r="D6997">
        <v>5.8000000000000003E-2</v>
      </c>
      <c r="E6997" t="s">
        <v>6</v>
      </c>
      <c r="F6997">
        <v>6.9540000000000005E-2</v>
      </c>
    </row>
    <row r="6998" spans="1:6" x14ac:dyDescent="0.3">
      <c r="A6998" t="s">
        <v>5</v>
      </c>
      <c r="B6998" s="1">
        <v>45949</v>
      </c>
      <c r="C6998">
        <v>14</v>
      </c>
      <c r="D6998">
        <v>7.6999999999999999E-2</v>
      </c>
      <c r="E6998" t="s">
        <v>6</v>
      </c>
      <c r="F6998">
        <v>6.8239999999999995E-2</v>
      </c>
    </row>
    <row r="6999" spans="1:6" x14ac:dyDescent="0.3">
      <c r="A6999" t="s">
        <v>5</v>
      </c>
      <c r="B6999" s="1">
        <v>45949</v>
      </c>
      <c r="C6999">
        <v>15</v>
      </c>
      <c r="D6999">
        <v>5.5E-2</v>
      </c>
      <c r="E6999" t="s">
        <v>6</v>
      </c>
      <c r="F6999">
        <v>6.8059999999999996E-2</v>
      </c>
    </row>
    <row r="7000" spans="1:6" x14ac:dyDescent="0.3">
      <c r="A7000" t="s">
        <v>5</v>
      </c>
      <c r="B7000" s="1">
        <v>45949</v>
      </c>
      <c r="C7000">
        <v>16</v>
      </c>
      <c r="D7000">
        <v>7.6999999999999999E-2</v>
      </c>
      <c r="E7000" t="s">
        <v>6</v>
      </c>
      <c r="F7000">
        <v>7.0110000000000006E-2</v>
      </c>
    </row>
    <row r="7001" spans="1:6" x14ac:dyDescent="0.3">
      <c r="A7001" t="s">
        <v>5</v>
      </c>
      <c r="B7001" s="1">
        <v>45949</v>
      </c>
      <c r="C7001">
        <v>17</v>
      </c>
      <c r="D7001">
        <v>5.3999999999999999E-2</v>
      </c>
      <c r="E7001" t="s">
        <v>6</v>
      </c>
      <c r="F7001">
        <v>7.1849999999999997E-2</v>
      </c>
    </row>
    <row r="7002" spans="1:6" x14ac:dyDescent="0.3">
      <c r="A7002" t="s">
        <v>5</v>
      </c>
      <c r="B7002" s="1">
        <v>45949</v>
      </c>
      <c r="C7002">
        <v>18</v>
      </c>
      <c r="D7002">
        <v>7.6999999999999999E-2</v>
      </c>
      <c r="E7002" t="s">
        <v>6</v>
      </c>
      <c r="F7002">
        <v>7.9489999999999991E-2</v>
      </c>
    </row>
    <row r="7003" spans="1:6" x14ac:dyDescent="0.3">
      <c r="A7003" t="s">
        <v>5</v>
      </c>
      <c r="B7003" s="1">
        <v>45949</v>
      </c>
      <c r="C7003">
        <v>19</v>
      </c>
      <c r="D7003">
        <v>7.8E-2</v>
      </c>
      <c r="E7003" t="s">
        <v>6</v>
      </c>
      <c r="F7003">
        <v>0.1187</v>
      </c>
    </row>
    <row r="7004" spans="1:6" x14ac:dyDescent="0.3">
      <c r="A7004" t="s">
        <v>5</v>
      </c>
      <c r="B7004" s="1">
        <v>45949</v>
      </c>
      <c r="C7004">
        <v>20</v>
      </c>
      <c r="D7004">
        <v>0.12</v>
      </c>
      <c r="E7004" t="s">
        <v>6</v>
      </c>
      <c r="F7004">
        <v>0.14230000000000001</v>
      </c>
    </row>
    <row r="7005" spans="1:6" x14ac:dyDescent="0.3">
      <c r="A7005" t="s">
        <v>5</v>
      </c>
      <c r="B7005" s="1">
        <v>45949</v>
      </c>
      <c r="C7005">
        <v>21</v>
      </c>
      <c r="D7005">
        <v>0.13400000000000001</v>
      </c>
      <c r="E7005" t="s">
        <v>6</v>
      </c>
      <c r="F7005">
        <v>0.14068</v>
      </c>
    </row>
    <row r="7006" spans="1:6" x14ac:dyDescent="0.3">
      <c r="A7006" t="s">
        <v>5</v>
      </c>
      <c r="B7006" s="1">
        <v>45949</v>
      </c>
      <c r="C7006">
        <v>22</v>
      </c>
      <c r="D7006">
        <v>0.311</v>
      </c>
      <c r="E7006" t="s">
        <v>6</v>
      </c>
      <c r="F7006">
        <v>0.13275999999999999</v>
      </c>
    </row>
    <row r="7007" spans="1:6" x14ac:dyDescent="0.3">
      <c r="A7007" t="s">
        <v>5</v>
      </c>
      <c r="B7007" s="1">
        <v>45949</v>
      </c>
      <c r="C7007">
        <v>23</v>
      </c>
      <c r="D7007">
        <v>0.23899999999999999</v>
      </c>
      <c r="E7007" t="s">
        <v>6</v>
      </c>
      <c r="F7007">
        <v>0.11799</v>
      </c>
    </row>
    <row r="7008" spans="1:6" x14ac:dyDescent="0.3">
      <c r="A7008" t="s">
        <v>5</v>
      </c>
      <c r="B7008" s="1">
        <v>45949</v>
      </c>
      <c r="C7008">
        <v>24</v>
      </c>
      <c r="D7008">
        <v>0.21</v>
      </c>
      <c r="E7008" t="s">
        <v>6</v>
      </c>
      <c r="F7008">
        <v>0.10931999999999999</v>
      </c>
    </row>
    <row r="7009" spans="1:6" x14ac:dyDescent="0.3">
      <c r="A7009" t="s">
        <v>5</v>
      </c>
      <c r="B7009" s="1">
        <v>45950</v>
      </c>
      <c r="C7009">
        <v>1</v>
      </c>
      <c r="D7009">
        <v>0.27200000000000002</v>
      </c>
      <c r="E7009" t="s">
        <v>6</v>
      </c>
      <c r="F7009">
        <v>0.11458</v>
      </c>
    </row>
    <row r="7010" spans="1:6" x14ac:dyDescent="0.3">
      <c r="A7010" t="s">
        <v>5</v>
      </c>
      <c r="B7010" s="1">
        <v>45950</v>
      </c>
      <c r="C7010">
        <v>2</v>
      </c>
      <c r="D7010">
        <v>0.14699999999999999</v>
      </c>
      <c r="E7010" t="s">
        <v>6</v>
      </c>
      <c r="F7010">
        <v>9.7170000000000006E-2</v>
      </c>
    </row>
    <row r="7011" spans="1:6" x14ac:dyDescent="0.3">
      <c r="A7011" t="s">
        <v>5</v>
      </c>
      <c r="B7011" s="1">
        <v>45950</v>
      </c>
      <c r="C7011">
        <v>3</v>
      </c>
      <c r="D7011">
        <v>0.15</v>
      </c>
      <c r="E7011" t="s">
        <v>6</v>
      </c>
      <c r="F7011">
        <v>9.572E-2</v>
      </c>
    </row>
    <row r="7012" spans="1:6" x14ac:dyDescent="0.3">
      <c r="A7012" t="s">
        <v>5</v>
      </c>
      <c r="B7012" s="1">
        <v>45950</v>
      </c>
      <c r="C7012">
        <v>4</v>
      </c>
      <c r="D7012">
        <v>0.12</v>
      </c>
      <c r="E7012" t="s">
        <v>6</v>
      </c>
      <c r="F7012">
        <v>9.7230000000000011E-2</v>
      </c>
    </row>
    <row r="7013" spans="1:6" x14ac:dyDescent="0.3">
      <c r="A7013" t="s">
        <v>5</v>
      </c>
      <c r="B7013" s="1">
        <v>45950</v>
      </c>
      <c r="C7013">
        <v>5</v>
      </c>
      <c r="D7013">
        <v>0.122</v>
      </c>
      <c r="E7013" t="s">
        <v>6</v>
      </c>
      <c r="F7013">
        <v>9.7019999999999995E-2</v>
      </c>
    </row>
    <row r="7014" spans="1:6" x14ac:dyDescent="0.3">
      <c r="A7014" t="s">
        <v>5</v>
      </c>
      <c r="B7014" s="1">
        <v>45950</v>
      </c>
      <c r="C7014">
        <v>6</v>
      </c>
      <c r="D7014">
        <v>0.1</v>
      </c>
      <c r="E7014" t="s">
        <v>6</v>
      </c>
      <c r="F7014">
        <v>9.6120000000000011E-2</v>
      </c>
    </row>
    <row r="7015" spans="1:6" x14ac:dyDescent="0.3">
      <c r="A7015" t="s">
        <v>5</v>
      </c>
      <c r="B7015" s="1">
        <v>45950</v>
      </c>
      <c r="C7015">
        <v>7</v>
      </c>
      <c r="D7015">
        <v>0.11799999999999999</v>
      </c>
      <c r="E7015" t="s">
        <v>6</v>
      </c>
      <c r="F7015">
        <v>0.11570999999999999</v>
      </c>
    </row>
    <row r="7016" spans="1:6" x14ac:dyDescent="0.3">
      <c r="A7016" t="s">
        <v>5</v>
      </c>
      <c r="B7016" s="1">
        <v>45950</v>
      </c>
      <c r="C7016">
        <v>8</v>
      </c>
      <c r="D7016">
        <v>0.107</v>
      </c>
      <c r="E7016" t="s">
        <v>6</v>
      </c>
      <c r="F7016">
        <v>0.13572000000000001</v>
      </c>
    </row>
    <row r="7017" spans="1:6" x14ac:dyDescent="0.3">
      <c r="A7017" t="s">
        <v>5</v>
      </c>
      <c r="B7017" s="1">
        <v>45950</v>
      </c>
      <c r="C7017">
        <v>9</v>
      </c>
      <c r="D7017">
        <v>0.121</v>
      </c>
      <c r="E7017" t="s">
        <v>6</v>
      </c>
      <c r="F7017">
        <v>0.18678999999999998</v>
      </c>
    </row>
    <row r="7018" spans="1:6" x14ac:dyDescent="0.3">
      <c r="A7018" t="s">
        <v>5</v>
      </c>
      <c r="B7018" s="1">
        <v>45950</v>
      </c>
      <c r="C7018">
        <v>10</v>
      </c>
      <c r="D7018">
        <v>7.6999999999999999E-2</v>
      </c>
      <c r="E7018" t="s">
        <v>6</v>
      </c>
      <c r="F7018">
        <v>0.17243</v>
      </c>
    </row>
    <row r="7019" spans="1:6" x14ac:dyDescent="0.3">
      <c r="A7019" t="s">
        <v>5</v>
      </c>
      <c r="B7019" s="1">
        <v>45950</v>
      </c>
      <c r="C7019">
        <v>11</v>
      </c>
      <c r="D7019">
        <v>5.5E-2</v>
      </c>
      <c r="E7019" t="s">
        <v>6</v>
      </c>
      <c r="F7019">
        <v>0.18881000000000001</v>
      </c>
    </row>
    <row r="7020" spans="1:6" x14ac:dyDescent="0.3">
      <c r="A7020" t="s">
        <v>5</v>
      </c>
      <c r="B7020" s="1">
        <v>45950</v>
      </c>
      <c r="C7020">
        <v>12</v>
      </c>
      <c r="D7020">
        <v>7.8E-2</v>
      </c>
      <c r="E7020" t="s">
        <v>6</v>
      </c>
      <c r="F7020">
        <v>0.16511000000000001</v>
      </c>
    </row>
    <row r="7021" spans="1:6" x14ac:dyDescent="0.3">
      <c r="A7021" t="s">
        <v>5</v>
      </c>
      <c r="B7021" s="1">
        <v>45950</v>
      </c>
      <c r="C7021">
        <v>13</v>
      </c>
      <c r="D7021">
        <v>0.57599999999999996</v>
      </c>
      <c r="E7021" t="s">
        <v>6</v>
      </c>
      <c r="F7021">
        <v>0.15392</v>
      </c>
    </row>
    <row r="7022" spans="1:6" x14ac:dyDescent="0.3">
      <c r="A7022" t="s">
        <v>5</v>
      </c>
      <c r="B7022" s="1">
        <v>45950</v>
      </c>
      <c r="C7022">
        <v>14</v>
      </c>
      <c r="D7022">
        <v>0.36699999999999999</v>
      </c>
      <c r="E7022" t="s">
        <v>6</v>
      </c>
      <c r="F7022">
        <v>0.15028</v>
      </c>
    </row>
    <row r="7023" spans="1:6" x14ac:dyDescent="0.3">
      <c r="A7023" t="s">
        <v>5</v>
      </c>
      <c r="B7023" s="1">
        <v>45950</v>
      </c>
      <c r="C7023">
        <v>15</v>
      </c>
      <c r="D7023">
        <v>0.155</v>
      </c>
      <c r="E7023" t="s">
        <v>6</v>
      </c>
      <c r="F7023">
        <v>8.3830000000000002E-2</v>
      </c>
    </row>
    <row r="7024" spans="1:6" x14ac:dyDescent="0.3">
      <c r="A7024" t="s">
        <v>5</v>
      </c>
      <c r="B7024" s="1">
        <v>45950</v>
      </c>
      <c r="C7024">
        <v>16</v>
      </c>
      <c r="D7024">
        <v>0.114</v>
      </c>
      <c r="E7024" t="s">
        <v>6</v>
      </c>
      <c r="F7024">
        <v>8.4209999999999993E-2</v>
      </c>
    </row>
    <row r="7025" spans="1:6" x14ac:dyDescent="0.3">
      <c r="A7025" t="s">
        <v>5</v>
      </c>
      <c r="B7025" s="1">
        <v>45950</v>
      </c>
      <c r="C7025">
        <v>17</v>
      </c>
      <c r="D7025">
        <v>0.20899999999999999</v>
      </c>
      <c r="E7025" t="s">
        <v>6</v>
      </c>
      <c r="F7025">
        <v>8.6209999999999995E-2</v>
      </c>
    </row>
    <row r="7026" spans="1:6" x14ac:dyDescent="0.3">
      <c r="A7026" t="s">
        <v>5</v>
      </c>
      <c r="B7026" s="1">
        <v>45950</v>
      </c>
      <c r="C7026">
        <v>18</v>
      </c>
      <c r="D7026">
        <v>0.14599999999999999</v>
      </c>
      <c r="E7026" t="s">
        <v>6</v>
      </c>
      <c r="F7026">
        <v>9.7049999999999997E-2</v>
      </c>
    </row>
    <row r="7027" spans="1:6" x14ac:dyDescent="0.3">
      <c r="A7027" t="s">
        <v>5</v>
      </c>
      <c r="B7027" s="1">
        <v>45950</v>
      </c>
      <c r="C7027">
        <v>19</v>
      </c>
      <c r="D7027">
        <v>0.20499999999999999</v>
      </c>
      <c r="E7027" t="s">
        <v>6</v>
      </c>
      <c r="F7027">
        <v>0.19028</v>
      </c>
    </row>
    <row r="7028" spans="1:6" x14ac:dyDescent="0.3">
      <c r="A7028" t="s">
        <v>5</v>
      </c>
      <c r="B7028" s="1">
        <v>45950</v>
      </c>
      <c r="C7028">
        <v>20</v>
      </c>
      <c r="D7028">
        <v>0.126</v>
      </c>
      <c r="E7028" t="s">
        <v>6</v>
      </c>
      <c r="F7028">
        <v>0.23263</v>
      </c>
    </row>
    <row r="7029" spans="1:6" x14ac:dyDescent="0.3">
      <c r="A7029" t="s">
        <v>5</v>
      </c>
      <c r="B7029" s="1">
        <v>45950</v>
      </c>
      <c r="C7029">
        <v>21</v>
      </c>
      <c r="D7029">
        <v>0.31900000000000001</v>
      </c>
      <c r="E7029" t="s">
        <v>6</v>
      </c>
      <c r="F7029">
        <v>0.25295000000000001</v>
      </c>
    </row>
    <row r="7030" spans="1:6" x14ac:dyDescent="0.3">
      <c r="A7030" t="s">
        <v>5</v>
      </c>
      <c r="B7030" s="1">
        <v>45950</v>
      </c>
      <c r="C7030">
        <v>22</v>
      </c>
      <c r="D7030">
        <v>0.51700000000000002</v>
      </c>
      <c r="E7030" t="s">
        <v>6</v>
      </c>
      <c r="F7030">
        <v>0.24132000000000001</v>
      </c>
    </row>
    <row r="7031" spans="1:6" x14ac:dyDescent="0.3">
      <c r="A7031" t="s">
        <v>5</v>
      </c>
      <c r="B7031" s="1">
        <v>45950</v>
      </c>
      <c r="C7031">
        <v>23</v>
      </c>
      <c r="D7031">
        <v>0.27500000000000002</v>
      </c>
      <c r="E7031" t="s">
        <v>6</v>
      </c>
      <c r="F7031">
        <v>0.15086000000000002</v>
      </c>
    </row>
    <row r="7032" spans="1:6" x14ac:dyDescent="0.3">
      <c r="A7032" t="s">
        <v>5</v>
      </c>
      <c r="B7032" s="1">
        <v>45950</v>
      </c>
      <c r="C7032">
        <v>24</v>
      </c>
      <c r="D7032">
        <v>0.28899999999999998</v>
      </c>
      <c r="E7032" t="s">
        <v>6</v>
      </c>
      <c r="F7032">
        <v>0.13186</v>
      </c>
    </row>
    <row r="7033" spans="1:6" x14ac:dyDescent="0.3">
      <c r="A7033" t="s">
        <v>5</v>
      </c>
      <c r="B7033" s="1">
        <v>45951</v>
      </c>
      <c r="C7033">
        <v>1</v>
      </c>
      <c r="D7033">
        <v>0.21299999999999999</v>
      </c>
      <c r="E7033" t="s">
        <v>6</v>
      </c>
      <c r="F7033">
        <v>0.10281</v>
      </c>
    </row>
    <row r="7034" spans="1:6" x14ac:dyDescent="0.3">
      <c r="A7034" t="s">
        <v>5</v>
      </c>
      <c r="B7034" s="1">
        <v>45951</v>
      </c>
      <c r="C7034">
        <v>2</v>
      </c>
      <c r="D7034">
        <v>0.153</v>
      </c>
      <c r="E7034" t="s">
        <v>6</v>
      </c>
      <c r="F7034">
        <v>9.1980000000000006E-2</v>
      </c>
    </row>
    <row r="7035" spans="1:6" x14ac:dyDescent="0.3">
      <c r="A7035" t="s">
        <v>5</v>
      </c>
      <c r="B7035" s="1">
        <v>45951</v>
      </c>
      <c r="C7035">
        <v>3</v>
      </c>
      <c r="D7035">
        <v>0.13100000000000001</v>
      </c>
      <c r="E7035" t="s">
        <v>6</v>
      </c>
      <c r="F7035">
        <v>8.1540000000000001E-2</v>
      </c>
    </row>
    <row r="7036" spans="1:6" x14ac:dyDescent="0.3">
      <c r="A7036" t="s">
        <v>5</v>
      </c>
      <c r="B7036" s="1">
        <v>45951</v>
      </c>
      <c r="C7036">
        <v>4</v>
      </c>
      <c r="D7036">
        <v>0.108</v>
      </c>
      <c r="E7036" t="s">
        <v>6</v>
      </c>
      <c r="F7036">
        <v>7.6340000000000005E-2</v>
      </c>
    </row>
    <row r="7037" spans="1:6" x14ac:dyDescent="0.3">
      <c r="A7037" t="s">
        <v>5</v>
      </c>
      <c r="B7037" s="1">
        <v>45951</v>
      </c>
      <c r="C7037">
        <v>5</v>
      </c>
      <c r="D7037">
        <v>0.13200000000000001</v>
      </c>
      <c r="E7037" t="s">
        <v>6</v>
      </c>
      <c r="F7037">
        <v>7.954E-2</v>
      </c>
    </row>
    <row r="7038" spans="1:6" x14ac:dyDescent="0.3">
      <c r="A7038" t="s">
        <v>5</v>
      </c>
      <c r="B7038" s="1">
        <v>45951</v>
      </c>
      <c r="C7038">
        <v>6</v>
      </c>
      <c r="D7038">
        <v>0.121</v>
      </c>
      <c r="E7038" t="s">
        <v>6</v>
      </c>
      <c r="F7038">
        <v>8.3150000000000002E-2</v>
      </c>
    </row>
    <row r="7039" spans="1:6" x14ac:dyDescent="0.3">
      <c r="A7039" t="s">
        <v>5</v>
      </c>
      <c r="B7039" s="1">
        <v>45951</v>
      </c>
      <c r="C7039">
        <v>7</v>
      </c>
      <c r="D7039">
        <v>0.16600000000000001</v>
      </c>
      <c r="E7039" t="s">
        <v>6</v>
      </c>
      <c r="F7039">
        <v>9.8409999999999997E-2</v>
      </c>
    </row>
    <row r="7040" spans="1:6" x14ac:dyDescent="0.3">
      <c r="A7040" t="s">
        <v>5</v>
      </c>
      <c r="B7040" s="1">
        <v>45951</v>
      </c>
      <c r="C7040">
        <v>8</v>
      </c>
      <c r="D7040">
        <v>0.17100000000000001</v>
      </c>
      <c r="E7040" t="s">
        <v>6</v>
      </c>
      <c r="F7040">
        <v>0.12156</v>
      </c>
    </row>
    <row r="7041" spans="1:6" x14ac:dyDescent="0.3">
      <c r="A7041" t="s">
        <v>5</v>
      </c>
      <c r="B7041" s="1">
        <v>45951</v>
      </c>
      <c r="C7041">
        <v>9</v>
      </c>
      <c r="D7041">
        <v>0.28199999999999997</v>
      </c>
      <c r="E7041" t="s">
        <v>6</v>
      </c>
      <c r="F7041">
        <v>0.18487999999999999</v>
      </c>
    </row>
    <row r="7042" spans="1:6" x14ac:dyDescent="0.3">
      <c r="A7042" t="s">
        <v>5</v>
      </c>
      <c r="B7042" s="1">
        <v>45951</v>
      </c>
      <c r="C7042">
        <v>10</v>
      </c>
      <c r="D7042">
        <v>0.127</v>
      </c>
      <c r="E7042" t="s">
        <v>6</v>
      </c>
      <c r="F7042">
        <v>0.16536000000000001</v>
      </c>
    </row>
    <row r="7043" spans="1:6" x14ac:dyDescent="0.3">
      <c r="A7043" t="s">
        <v>5</v>
      </c>
      <c r="B7043" s="1">
        <v>45951</v>
      </c>
      <c r="C7043">
        <v>11</v>
      </c>
      <c r="D7043">
        <v>0.19500000000000001</v>
      </c>
      <c r="E7043" t="s">
        <v>6</v>
      </c>
      <c r="F7043">
        <v>0.19518000000000002</v>
      </c>
    </row>
    <row r="7044" spans="1:6" x14ac:dyDescent="0.3">
      <c r="A7044" t="s">
        <v>5</v>
      </c>
      <c r="B7044" s="1">
        <v>45951</v>
      </c>
      <c r="C7044">
        <v>12</v>
      </c>
      <c r="D7044">
        <v>0.14199999999999999</v>
      </c>
      <c r="E7044" t="s">
        <v>6</v>
      </c>
      <c r="F7044">
        <v>0.17175000000000001</v>
      </c>
    </row>
    <row r="7045" spans="1:6" x14ac:dyDescent="0.3">
      <c r="A7045" t="s">
        <v>5</v>
      </c>
      <c r="B7045" s="1">
        <v>45951</v>
      </c>
      <c r="C7045">
        <v>13</v>
      </c>
      <c r="D7045">
        <v>0.46800000000000003</v>
      </c>
      <c r="E7045" t="s">
        <v>6</v>
      </c>
      <c r="F7045">
        <v>0.15675999999999998</v>
      </c>
    </row>
    <row r="7046" spans="1:6" x14ac:dyDescent="0.3">
      <c r="A7046" t="s">
        <v>5</v>
      </c>
      <c r="B7046" s="1">
        <v>45951</v>
      </c>
      <c r="C7046">
        <v>14</v>
      </c>
      <c r="D7046">
        <v>0.25700000000000001</v>
      </c>
      <c r="E7046" t="s">
        <v>6</v>
      </c>
      <c r="F7046">
        <v>0.15153</v>
      </c>
    </row>
    <row r="7047" spans="1:6" x14ac:dyDescent="0.3">
      <c r="A7047" t="s">
        <v>5</v>
      </c>
      <c r="B7047" s="1">
        <v>45951</v>
      </c>
      <c r="C7047">
        <v>15</v>
      </c>
      <c r="D7047">
        <v>1.4219999999999999</v>
      </c>
      <c r="E7047" t="s">
        <v>6</v>
      </c>
      <c r="F7047">
        <v>8.7050000000000002E-2</v>
      </c>
    </row>
    <row r="7048" spans="1:6" x14ac:dyDescent="0.3">
      <c r="A7048" t="s">
        <v>5</v>
      </c>
      <c r="B7048" s="1">
        <v>45951</v>
      </c>
      <c r="C7048">
        <v>16</v>
      </c>
      <c r="D7048">
        <v>0.28599999999999998</v>
      </c>
      <c r="E7048" t="s">
        <v>6</v>
      </c>
      <c r="F7048">
        <v>8.6489999999999997E-2</v>
      </c>
    </row>
    <row r="7049" spans="1:6" x14ac:dyDescent="0.3">
      <c r="A7049" t="s">
        <v>5</v>
      </c>
      <c r="B7049" s="1">
        <v>45951</v>
      </c>
      <c r="C7049">
        <v>17</v>
      </c>
      <c r="D7049">
        <v>0.69299999999999995</v>
      </c>
      <c r="E7049" t="s">
        <v>6</v>
      </c>
      <c r="F7049">
        <v>8.8270000000000001E-2</v>
      </c>
    </row>
    <row r="7050" spans="1:6" x14ac:dyDescent="0.3">
      <c r="A7050" t="s">
        <v>5</v>
      </c>
      <c r="B7050" s="1">
        <v>45951</v>
      </c>
      <c r="C7050">
        <v>18</v>
      </c>
      <c r="D7050">
        <v>7.5999999999999998E-2</v>
      </c>
      <c r="E7050" t="s">
        <v>6</v>
      </c>
      <c r="F7050">
        <v>0.10031</v>
      </c>
    </row>
    <row r="7051" spans="1:6" x14ac:dyDescent="0.3">
      <c r="A7051" t="s">
        <v>5</v>
      </c>
      <c r="B7051" s="1">
        <v>45951</v>
      </c>
      <c r="C7051">
        <v>19</v>
      </c>
      <c r="D7051">
        <v>7.8E-2</v>
      </c>
      <c r="E7051" t="s">
        <v>6</v>
      </c>
      <c r="F7051">
        <v>0.20338999999999999</v>
      </c>
    </row>
    <row r="7052" spans="1:6" x14ac:dyDescent="0.3">
      <c r="A7052" t="s">
        <v>5</v>
      </c>
      <c r="B7052" s="1">
        <v>45951</v>
      </c>
      <c r="C7052">
        <v>20</v>
      </c>
      <c r="D7052">
        <v>9.2999999999999999E-2</v>
      </c>
      <c r="E7052" t="s">
        <v>6</v>
      </c>
      <c r="F7052">
        <v>0.22988</v>
      </c>
    </row>
    <row r="7053" spans="1:6" x14ac:dyDescent="0.3">
      <c r="A7053" t="s">
        <v>5</v>
      </c>
      <c r="B7053" s="1">
        <v>45951</v>
      </c>
      <c r="C7053">
        <v>21</v>
      </c>
      <c r="D7053">
        <v>0.89600000000000002</v>
      </c>
      <c r="E7053" t="s">
        <v>6</v>
      </c>
      <c r="F7053">
        <v>0.25183</v>
      </c>
    </row>
    <row r="7054" spans="1:6" x14ac:dyDescent="0.3">
      <c r="A7054" t="s">
        <v>5</v>
      </c>
      <c r="B7054" s="1">
        <v>45951</v>
      </c>
      <c r="C7054">
        <v>22</v>
      </c>
      <c r="D7054">
        <v>0.29099999999999998</v>
      </c>
      <c r="E7054" t="s">
        <v>6</v>
      </c>
      <c r="F7054">
        <v>0.23130000000000001</v>
      </c>
    </row>
    <row r="7055" spans="1:6" x14ac:dyDescent="0.3">
      <c r="A7055" t="s">
        <v>5</v>
      </c>
      <c r="B7055" s="1">
        <v>45951</v>
      </c>
      <c r="C7055">
        <v>23</v>
      </c>
      <c r="D7055">
        <v>0.25600000000000001</v>
      </c>
      <c r="E7055" t="s">
        <v>6</v>
      </c>
      <c r="F7055">
        <v>0.1658</v>
      </c>
    </row>
    <row r="7056" spans="1:6" x14ac:dyDescent="0.3">
      <c r="A7056" t="s">
        <v>5</v>
      </c>
      <c r="B7056" s="1">
        <v>45951</v>
      </c>
      <c r="C7056">
        <v>24</v>
      </c>
      <c r="D7056">
        <v>0.16800000000000001</v>
      </c>
      <c r="E7056" t="s">
        <v>6</v>
      </c>
      <c r="F7056">
        <v>0.13897000000000001</v>
      </c>
    </row>
    <row r="7057" spans="1:6" x14ac:dyDescent="0.3">
      <c r="A7057" t="s">
        <v>5</v>
      </c>
      <c r="B7057" s="1">
        <v>45952</v>
      </c>
      <c r="C7057">
        <v>1</v>
      </c>
      <c r="D7057">
        <v>0.13900000000000001</v>
      </c>
      <c r="E7057" t="s">
        <v>6</v>
      </c>
      <c r="F7057">
        <v>0.11287</v>
      </c>
    </row>
    <row r="7058" spans="1:6" x14ac:dyDescent="0.3">
      <c r="A7058" t="s">
        <v>5</v>
      </c>
      <c r="B7058" s="1">
        <v>45952</v>
      </c>
      <c r="C7058">
        <v>2</v>
      </c>
      <c r="D7058">
        <v>0.122</v>
      </c>
      <c r="E7058" t="s">
        <v>6</v>
      </c>
      <c r="F7058">
        <v>0.1076</v>
      </c>
    </row>
    <row r="7059" spans="1:6" x14ac:dyDescent="0.3">
      <c r="A7059" t="s">
        <v>5</v>
      </c>
      <c r="B7059" s="1">
        <v>45952</v>
      </c>
      <c r="C7059">
        <v>3</v>
      </c>
      <c r="D7059">
        <v>0.115</v>
      </c>
      <c r="E7059" t="s">
        <v>6</v>
      </c>
      <c r="F7059">
        <v>0.10638</v>
      </c>
    </row>
    <row r="7060" spans="1:6" x14ac:dyDescent="0.3">
      <c r="A7060" t="s">
        <v>5</v>
      </c>
      <c r="B7060" s="1">
        <v>45952</v>
      </c>
      <c r="C7060">
        <v>4</v>
      </c>
      <c r="D7060">
        <v>0.114</v>
      </c>
      <c r="E7060" t="s">
        <v>6</v>
      </c>
      <c r="F7060">
        <v>9.9670000000000009E-2</v>
      </c>
    </row>
    <row r="7061" spans="1:6" x14ac:dyDescent="0.3">
      <c r="A7061" t="s">
        <v>5</v>
      </c>
      <c r="B7061" s="1">
        <v>45952</v>
      </c>
      <c r="C7061">
        <v>5</v>
      </c>
      <c r="D7061">
        <v>0.115</v>
      </c>
      <c r="E7061" t="s">
        <v>6</v>
      </c>
      <c r="F7061">
        <v>0.10008</v>
      </c>
    </row>
    <row r="7062" spans="1:6" x14ac:dyDescent="0.3">
      <c r="A7062" t="s">
        <v>5</v>
      </c>
      <c r="B7062" s="1">
        <v>45952</v>
      </c>
      <c r="C7062">
        <v>6</v>
      </c>
      <c r="D7062">
        <v>0.11</v>
      </c>
      <c r="E7062" t="s">
        <v>6</v>
      </c>
      <c r="F7062">
        <v>0.1028</v>
      </c>
    </row>
    <row r="7063" spans="1:6" x14ac:dyDescent="0.3">
      <c r="A7063" t="s">
        <v>5</v>
      </c>
      <c r="B7063" s="1">
        <v>45952</v>
      </c>
      <c r="C7063">
        <v>7</v>
      </c>
      <c r="D7063">
        <v>0.113</v>
      </c>
      <c r="E7063" t="s">
        <v>6</v>
      </c>
      <c r="F7063">
        <v>0.11451</v>
      </c>
    </row>
    <row r="7064" spans="1:6" x14ac:dyDescent="0.3">
      <c r="A7064" t="s">
        <v>5</v>
      </c>
      <c r="B7064" s="1">
        <v>45952</v>
      </c>
      <c r="C7064">
        <v>8</v>
      </c>
      <c r="D7064">
        <v>0.115</v>
      </c>
      <c r="E7064" t="s">
        <v>6</v>
      </c>
      <c r="F7064">
        <v>0.12224</v>
      </c>
    </row>
    <row r="7065" spans="1:6" x14ac:dyDescent="0.3">
      <c r="A7065" t="s">
        <v>5</v>
      </c>
      <c r="B7065" s="1">
        <v>45952</v>
      </c>
      <c r="C7065">
        <v>9</v>
      </c>
      <c r="D7065">
        <v>0.127</v>
      </c>
      <c r="E7065" t="s">
        <v>6</v>
      </c>
      <c r="F7065">
        <v>0.17013</v>
      </c>
    </row>
    <row r="7066" spans="1:6" x14ac:dyDescent="0.3">
      <c r="A7066" t="s">
        <v>5</v>
      </c>
      <c r="B7066" s="1">
        <v>45952</v>
      </c>
      <c r="C7066">
        <v>10</v>
      </c>
      <c r="D7066">
        <v>0.159</v>
      </c>
      <c r="E7066" t="s">
        <v>6</v>
      </c>
      <c r="F7066">
        <v>0.13938</v>
      </c>
    </row>
    <row r="7067" spans="1:6" x14ac:dyDescent="0.3">
      <c r="A7067" t="s">
        <v>5</v>
      </c>
      <c r="B7067" s="1">
        <v>45952</v>
      </c>
      <c r="C7067">
        <v>11</v>
      </c>
      <c r="D7067">
        <v>0.13600000000000001</v>
      </c>
      <c r="E7067" t="s">
        <v>6</v>
      </c>
      <c r="F7067">
        <v>0.17418</v>
      </c>
    </row>
    <row r="7068" spans="1:6" x14ac:dyDescent="0.3">
      <c r="A7068" t="s">
        <v>5</v>
      </c>
      <c r="B7068" s="1">
        <v>45952</v>
      </c>
      <c r="C7068">
        <v>12</v>
      </c>
      <c r="D7068">
        <v>0.152</v>
      </c>
      <c r="E7068" t="s">
        <v>6</v>
      </c>
      <c r="F7068">
        <v>0.16463</v>
      </c>
    </row>
    <row r="7069" spans="1:6" x14ac:dyDescent="0.3">
      <c r="A7069" t="s">
        <v>5</v>
      </c>
      <c r="B7069" s="1">
        <v>45952</v>
      </c>
      <c r="C7069">
        <v>13</v>
      </c>
      <c r="D7069">
        <v>0.16800000000000001</v>
      </c>
      <c r="E7069" t="s">
        <v>6</v>
      </c>
      <c r="F7069">
        <v>0.16258</v>
      </c>
    </row>
    <row r="7070" spans="1:6" x14ac:dyDescent="0.3">
      <c r="A7070" t="s">
        <v>5</v>
      </c>
      <c r="B7070" s="1">
        <v>45952</v>
      </c>
      <c r="C7070">
        <v>14</v>
      </c>
      <c r="D7070">
        <v>9.5000000000000001E-2</v>
      </c>
      <c r="E7070" t="s">
        <v>6</v>
      </c>
      <c r="F7070">
        <v>0.16028999999999999</v>
      </c>
    </row>
    <row r="7071" spans="1:6" x14ac:dyDescent="0.3">
      <c r="A7071" t="s">
        <v>5</v>
      </c>
      <c r="B7071" s="1">
        <v>45952</v>
      </c>
      <c r="C7071">
        <v>15</v>
      </c>
      <c r="D7071">
        <v>9.1999999999999998E-2</v>
      </c>
      <c r="E7071" t="s">
        <v>6</v>
      </c>
      <c r="F7071">
        <v>9.6329999999999999E-2</v>
      </c>
    </row>
    <row r="7072" spans="1:6" x14ac:dyDescent="0.3">
      <c r="A7072" t="s">
        <v>5</v>
      </c>
      <c r="B7072" s="1">
        <v>45952</v>
      </c>
      <c r="C7072">
        <v>16</v>
      </c>
      <c r="D7072">
        <v>7.2999999999999995E-2</v>
      </c>
      <c r="E7072" t="s">
        <v>6</v>
      </c>
      <c r="F7072">
        <v>9.756999999999999E-2</v>
      </c>
    </row>
    <row r="7073" spans="1:6" x14ac:dyDescent="0.3">
      <c r="A7073" t="s">
        <v>5</v>
      </c>
      <c r="B7073" s="1">
        <v>45952</v>
      </c>
      <c r="C7073">
        <v>17</v>
      </c>
      <c r="D7073">
        <v>6.4000000000000001E-2</v>
      </c>
      <c r="E7073" t="s">
        <v>6</v>
      </c>
      <c r="F7073">
        <v>9.7989999999999994E-2</v>
      </c>
    </row>
    <row r="7074" spans="1:6" x14ac:dyDescent="0.3">
      <c r="A7074" t="s">
        <v>5</v>
      </c>
      <c r="B7074" s="1">
        <v>45952</v>
      </c>
      <c r="C7074">
        <v>18</v>
      </c>
      <c r="D7074">
        <v>9.9000000000000005E-2</v>
      </c>
      <c r="E7074" t="s">
        <v>6</v>
      </c>
      <c r="F7074">
        <v>0.10135</v>
      </c>
    </row>
    <row r="7075" spans="1:6" x14ac:dyDescent="0.3">
      <c r="A7075" t="s">
        <v>5</v>
      </c>
      <c r="B7075" s="1">
        <v>45952</v>
      </c>
      <c r="C7075">
        <v>19</v>
      </c>
      <c r="D7075">
        <v>9.1999999999999998E-2</v>
      </c>
      <c r="E7075" t="s">
        <v>6</v>
      </c>
      <c r="F7075">
        <v>0.19413999999999998</v>
      </c>
    </row>
    <row r="7076" spans="1:6" x14ac:dyDescent="0.3">
      <c r="A7076" t="s">
        <v>5</v>
      </c>
      <c r="B7076" s="1">
        <v>45952</v>
      </c>
      <c r="C7076">
        <v>20</v>
      </c>
      <c r="D7076">
        <v>0.159</v>
      </c>
      <c r="E7076" t="s">
        <v>6</v>
      </c>
      <c r="F7076">
        <v>0.21686000000000002</v>
      </c>
    </row>
    <row r="7077" spans="1:6" x14ac:dyDescent="0.3">
      <c r="A7077" t="s">
        <v>5</v>
      </c>
      <c r="B7077" s="1">
        <v>45952</v>
      </c>
      <c r="C7077">
        <v>21</v>
      </c>
      <c r="D7077">
        <v>0.27100000000000002</v>
      </c>
      <c r="E7077" t="s">
        <v>6</v>
      </c>
      <c r="F7077">
        <v>0.22287999999999999</v>
      </c>
    </row>
    <row r="7078" spans="1:6" x14ac:dyDescent="0.3">
      <c r="A7078" t="s">
        <v>5</v>
      </c>
      <c r="B7078" s="1">
        <v>45952</v>
      </c>
      <c r="C7078">
        <v>22</v>
      </c>
      <c r="D7078">
        <v>0.245</v>
      </c>
      <c r="E7078" t="s">
        <v>6</v>
      </c>
      <c r="F7078">
        <v>0.19375999999999999</v>
      </c>
    </row>
    <row r="7079" spans="1:6" x14ac:dyDescent="0.3">
      <c r="A7079" t="s">
        <v>5</v>
      </c>
      <c r="B7079" s="1">
        <v>45952</v>
      </c>
      <c r="C7079">
        <v>23</v>
      </c>
      <c r="D7079">
        <v>0.41399999999999998</v>
      </c>
      <c r="E7079" t="s">
        <v>6</v>
      </c>
      <c r="F7079">
        <v>0.11524</v>
      </c>
    </row>
    <row r="7080" spans="1:6" x14ac:dyDescent="0.3">
      <c r="A7080" t="s">
        <v>5</v>
      </c>
      <c r="B7080" s="1">
        <v>45952</v>
      </c>
      <c r="C7080">
        <v>24</v>
      </c>
      <c r="D7080">
        <v>0.46600000000000003</v>
      </c>
      <c r="E7080" t="s">
        <v>6</v>
      </c>
      <c r="F7080">
        <v>0.11183</v>
      </c>
    </row>
    <row r="7081" spans="1:6" x14ac:dyDescent="0.3">
      <c r="A7081" t="s">
        <v>5</v>
      </c>
      <c r="B7081" s="1">
        <v>45953</v>
      </c>
      <c r="C7081">
        <v>1</v>
      </c>
      <c r="D7081">
        <v>0.83199999999999996</v>
      </c>
      <c r="E7081" t="s">
        <v>6</v>
      </c>
      <c r="F7081">
        <v>8.3959999999999993E-2</v>
      </c>
    </row>
    <row r="7082" spans="1:6" x14ac:dyDescent="0.3">
      <c r="A7082" t="s">
        <v>5</v>
      </c>
      <c r="B7082" s="1">
        <v>45953</v>
      </c>
      <c r="C7082">
        <v>2</v>
      </c>
      <c r="D7082">
        <v>0.72199999999999998</v>
      </c>
      <c r="E7082" t="s">
        <v>6</v>
      </c>
      <c r="F7082">
        <v>7.9480000000000009E-2</v>
      </c>
    </row>
    <row r="7083" spans="1:6" x14ac:dyDescent="0.3">
      <c r="A7083" t="s">
        <v>5</v>
      </c>
      <c r="B7083" s="1">
        <v>45953</v>
      </c>
      <c r="C7083">
        <v>3</v>
      </c>
      <c r="D7083">
        <v>0.11600000000000001</v>
      </c>
      <c r="E7083" t="s">
        <v>6</v>
      </c>
      <c r="F7083">
        <v>7.8620000000000009E-2</v>
      </c>
    </row>
    <row r="7084" spans="1:6" x14ac:dyDescent="0.3">
      <c r="A7084" t="s">
        <v>5</v>
      </c>
      <c r="B7084" s="1">
        <v>45953</v>
      </c>
      <c r="C7084">
        <v>4</v>
      </c>
      <c r="D7084">
        <v>0.114</v>
      </c>
      <c r="E7084" t="s">
        <v>6</v>
      </c>
      <c r="F7084">
        <v>7.5950000000000004E-2</v>
      </c>
    </row>
    <row r="7085" spans="1:6" x14ac:dyDescent="0.3">
      <c r="A7085" t="s">
        <v>5</v>
      </c>
      <c r="B7085" s="1">
        <v>45953</v>
      </c>
      <c r="C7085">
        <v>5</v>
      </c>
      <c r="D7085">
        <v>0.111</v>
      </c>
      <c r="E7085" t="s">
        <v>6</v>
      </c>
      <c r="F7085">
        <v>7.5749999999999998E-2</v>
      </c>
    </row>
    <row r="7086" spans="1:6" x14ac:dyDescent="0.3">
      <c r="A7086" t="s">
        <v>5</v>
      </c>
      <c r="B7086" s="1">
        <v>45953</v>
      </c>
      <c r="C7086">
        <v>6</v>
      </c>
      <c r="D7086">
        <v>0.11799999999999999</v>
      </c>
      <c r="E7086" t="s">
        <v>6</v>
      </c>
      <c r="F7086">
        <v>7.4299999999999991E-2</v>
      </c>
    </row>
    <row r="7087" spans="1:6" x14ac:dyDescent="0.3">
      <c r="A7087" t="s">
        <v>5</v>
      </c>
      <c r="B7087" s="1">
        <v>45953</v>
      </c>
      <c r="C7087">
        <v>7</v>
      </c>
      <c r="D7087">
        <v>0.109</v>
      </c>
      <c r="E7087" t="s">
        <v>6</v>
      </c>
      <c r="F7087">
        <v>7.4549999999999991E-2</v>
      </c>
    </row>
    <row r="7088" spans="1:6" x14ac:dyDescent="0.3">
      <c r="A7088" t="s">
        <v>5</v>
      </c>
      <c r="B7088" s="1">
        <v>45953</v>
      </c>
      <c r="C7088">
        <v>8</v>
      </c>
      <c r="D7088">
        <v>0.115</v>
      </c>
      <c r="E7088" t="s">
        <v>6</v>
      </c>
      <c r="F7088">
        <v>8.4099999999999994E-2</v>
      </c>
    </row>
    <row r="7089" spans="1:6" x14ac:dyDescent="0.3">
      <c r="A7089" t="s">
        <v>5</v>
      </c>
      <c r="B7089" s="1">
        <v>45953</v>
      </c>
      <c r="C7089">
        <v>9</v>
      </c>
      <c r="D7089">
        <v>0.17699999999999999</v>
      </c>
      <c r="E7089" t="s">
        <v>6</v>
      </c>
      <c r="F7089">
        <v>0.12196</v>
      </c>
    </row>
    <row r="7090" spans="1:6" x14ac:dyDescent="0.3">
      <c r="A7090" t="s">
        <v>5</v>
      </c>
      <c r="B7090" s="1">
        <v>45953</v>
      </c>
      <c r="C7090">
        <v>10</v>
      </c>
      <c r="D7090">
        <v>0.1</v>
      </c>
      <c r="E7090" t="s">
        <v>6</v>
      </c>
      <c r="F7090">
        <v>0.11079</v>
      </c>
    </row>
    <row r="7091" spans="1:6" x14ac:dyDescent="0.3">
      <c r="A7091" t="s">
        <v>5</v>
      </c>
      <c r="B7091" s="1">
        <v>45953</v>
      </c>
      <c r="C7091">
        <v>11</v>
      </c>
      <c r="D7091">
        <v>0.13100000000000001</v>
      </c>
      <c r="E7091" t="s">
        <v>6</v>
      </c>
      <c r="F7091">
        <v>0.16225000000000001</v>
      </c>
    </row>
    <row r="7092" spans="1:6" x14ac:dyDescent="0.3">
      <c r="A7092" t="s">
        <v>5</v>
      </c>
      <c r="B7092" s="1">
        <v>45953</v>
      </c>
      <c r="C7092">
        <v>12</v>
      </c>
      <c r="D7092">
        <v>0.193</v>
      </c>
      <c r="E7092" t="s">
        <v>6</v>
      </c>
      <c r="F7092">
        <v>0.16134999999999999</v>
      </c>
    </row>
    <row r="7093" spans="1:6" x14ac:dyDescent="0.3">
      <c r="A7093" t="s">
        <v>5</v>
      </c>
      <c r="B7093" s="1">
        <v>45953</v>
      </c>
      <c r="C7093">
        <v>13</v>
      </c>
      <c r="D7093">
        <v>0.115</v>
      </c>
      <c r="E7093" t="s">
        <v>6</v>
      </c>
      <c r="F7093">
        <v>0.16324</v>
      </c>
    </row>
    <row r="7094" spans="1:6" x14ac:dyDescent="0.3">
      <c r="A7094" t="s">
        <v>5</v>
      </c>
      <c r="B7094" s="1">
        <v>45953</v>
      </c>
      <c r="C7094">
        <v>14</v>
      </c>
      <c r="D7094">
        <v>0.28499999999999998</v>
      </c>
      <c r="E7094" t="s">
        <v>6</v>
      </c>
      <c r="F7094">
        <v>0.16050999999999999</v>
      </c>
    </row>
    <row r="7095" spans="1:6" x14ac:dyDescent="0.3">
      <c r="A7095" t="s">
        <v>5</v>
      </c>
      <c r="B7095" s="1">
        <v>45953</v>
      </c>
      <c r="C7095">
        <v>15</v>
      </c>
      <c r="D7095">
        <v>0.14299999999999999</v>
      </c>
      <c r="E7095" t="s">
        <v>6</v>
      </c>
      <c r="F7095">
        <v>9.6629999999999994E-2</v>
      </c>
    </row>
    <row r="7096" spans="1:6" x14ac:dyDescent="0.3">
      <c r="A7096" t="s">
        <v>5</v>
      </c>
      <c r="B7096" s="1">
        <v>45953</v>
      </c>
      <c r="C7096">
        <v>16</v>
      </c>
      <c r="D7096">
        <v>0.11799999999999999</v>
      </c>
      <c r="E7096" t="s">
        <v>6</v>
      </c>
      <c r="F7096">
        <v>9.7729999999999997E-2</v>
      </c>
    </row>
    <row r="7097" spans="1:6" x14ac:dyDescent="0.3">
      <c r="A7097" t="s">
        <v>5</v>
      </c>
      <c r="B7097" s="1">
        <v>45953</v>
      </c>
      <c r="C7097">
        <v>17</v>
      </c>
      <c r="D7097">
        <v>0.19600000000000001</v>
      </c>
      <c r="E7097" t="s">
        <v>6</v>
      </c>
      <c r="F7097">
        <v>9.7739999999999994E-2</v>
      </c>
    </row>
    <row r="7098" spans="1:6" x14ac:dyDescent="0.3">
      <c r="A7098" t="s">
        <v>5</v>
      </c>
      <c r="B7098" s="1">
        <v>45953</v>
      </c>
      <c r="C7098">
        <v>18</v>
      </c>
      <c r="D7098">
        <v>0.13200000000000001</v>
      </c>
      <c r="E7098" t="s">
        <v>6</v>
      </c>
      <c r="F7098">
        <v>9.8379999999999995E-2</v>
      </c>
    </row>
    <row r="7099" spans="1:6" x14ac:dyDescent="0.3">
      <c r="A7099" t="s">
        <v>5</v>
      </c>
      <c r="B7099" s="1">
        <v>45953</v>
      </c>
      <c r="C7099">
        <v>19</v>
      </c>
      <c r="D7099">
        <v>9.7000000000000003E-2</v>
      </c>
      <c r="E7099" t="s">
        <v>6</v>
      </c>
      <c r="F7099">
        <v>0.17961000000000002</v>
      </c>
    </row>
    <row r="7100" spans="1:6" x14ac:dyDescent="0.3">
      <c r="A7100" t="s">
        <v>5</v>
      </c>
      <c r="B7100" s="1">
        <v>45953</v>
      </c>
      <c r="C7100">
        <v>20</v>
      </c>
      <c r="D7100">
        <v>0.126</v>
      </c>
      <c r="E7100" t="s">
        <v>6</v>
      </c>
      <c r="F7100">
        <v>0.23637</v>
      </c>
    </row>
    <row r="7101" spans="1:6" x14ac:dyDescent="0.3">
      <c r="A7101" t="s">
        <v>5</v>
      </c>
      <c r="B7101" s="1">
        <v>45953</v>
      </c>
      <c r="C7101">
        <v>21</v>
      </c>
      <c r="D7101">
        <v>0.21199999999999999</v>
      </c>
      <c r="E7101" t="s">
        <v>6</v>
      </c>
      <c r="F7101">
        <v>0.27947000000000005</v>
      </c>
    </row>
    <row r="7102" spans="1:6" x14ac:dyDescent="0.3">
      <c r="A7102" t="s">
        <v>5</v>
      </c>
      <c r="B7102" s="1">
        <v>45953</v>
      </c>
      <c r="C7102">
        <v>22</v>
      </c>
      <c r="D7102">
        <v>0.49099999999999999</v>
      </c>
      <c r="E7102" t="s">
        <v>6</v>
      </c>
      <c r="F7102">
        <v>0.28393999999999997</v>
      </c>
    </row>
    <row r="7103" spans="1:6" x14ac:dyDescent="0.3">
      <c r="A7103" t="s">
        <v>5</v>
      </c>
      <c r="B7103" s="1">
        <v>45953</v>
      </c>
      <c r="C7103">
        <v>23</v>
      </c>
      <c r="D7103">
        <v>0.36199999999999999</v>
      </c>
      <c r="E7103" t="s">
        <v>6</v>
      </c>
      <c r="F7103">
        <v>0.20344000000000001</v>
      </c>
    </row>
    <row r="7104" spans="1:6" x14ac:dyDescent="0.3">
      <c r="A7104" t="s">
        <v>5</v>
      </c>
      <c r="B7104" s="1">
        <v>45953</v>
      </c>
      <c r="C7104">
        <v>24</v>
      </c>
      <c r="D7104">
        <v>0.13800000000000001</v>
      </c>
      <c r="E7104" t="s">
        <v>6</v>
      </c>
      <c r="F7104">
        <v>0.17949000000000001</v>
      </c>
    </row>
    <row r="7105" spans="1:6" x14ac:dyDescent="0.3">
      <c r="A7105" t="s">
        <v>5</v>
      </c>
      <c r="B7105" s="1">
        <v>45954</v>
      </c>
      <c r="C7105">
        <v>1</v>
      </c>
      <c r="D7105">
        <v>0.13700000000000001</v>
      </c>
      <c r="E7105" t="s">
        <v>6</v>
      </c>
      <c r="F7105">
        <v>0.13437000000000002</v>
      </c>
    </row>
    <row r="7106" spans="1:6" x14ac:dyDescent="0.3">
      <c r="A7106" t="s">
        <v>5</v>
      </c>
      <c r="B7106" s="1">
        <v>45954</v>
      </c>
      <c r="C7106">
        <v>2</v>
      </c>
      <c r="D7106">
        <v>0.2</v>
      </c>
      <c r="E7106" t="s">
        <v>6</v>
      </c>
      <c r="F7106">
        <v>0.12623999999999999</v>
      </c>
    </row>
    <row r="7107" spans="1:6" x14ac:dyDescent="0.3">
      <c r="A7107" t="s">
        <v>5</v>
      </c>
      <c r="B7107" s="1">
        <v>45954</v>
      </c>
      <c r="C7107">
        <v>3</v>
      </c>
      <c r="D7107">
        <v>0.14199999999999999</v>
      </c>
      <c r="E7107" t="s">
        <v>6</v>
      </c>
      <c r="F7107">
        <v>0.12323999999999999</v>
      </c>
    </row>
    <row r="7108" spans="1:6" x14ac:dyDescent="0.3">
      <c r="A7108" t="s">
        <v>5</v>
      </c>
      <c r="B7108" s="1">
        <v>45954</v>
      </c>
      <c r="C7108">
        <v>4</v>
      </c>
      <c r="D7108">
        <v>0.10299999999999999</v>
      </c>
      <c r="E7108" t="s">
        <v>6</v>
      </c>
      <c r="F7108">
        <v>0.11891</v>
      </c>
    </row>
    <row r="7109" spans="1:6" x14ac:dyDescent="0.3">
      <c r="A7109" t="s">
        <v>5</v>
      </c>
      <c r="B7109" s="1">
        <v>45954</v>
      </c>
      <c r="C7109">
        <v>5</v>
      </c>
      <c r="D7109">
        <v>0.11799999999999999</v>
      </c>
      <c r="E7109" t="s">
        <v>6</v>
      </c>
      <c r="F7109">
        <v>0.11898</v>
      </c>
    </row>
    <row r="7110" spans="1:6" x14ac:dyDescent="0.3">
      <c r="A7110" t="s">
        <v>5</v>
      </c>
      <c r="B7110" s="1">
        <v>45954</v>
      </c>
      <c r="C7110">
        <v>6</v>
      </c>
      <c r="D7110">
        <v>0.13900000000000001</v>
      </c>
      <c r="E7110" t="s">
        <v>6</v>
      </c>
      <c r="F7110">
        <v>0.12237999999999999</v>
      </c>
    </row>
    <row r="7111" spans="1:6" x14ac:dyDescent="0.3">
      <c r="A7111" t="s">
        <v>5</v>
      </c>
      <c r="B7111" s="1">
        <v>45954</v>
      </c>
      <c r="C7111">
        <v>7</v>
      </c>
      <c r="D7111">
        <v>0.106</v>
      </c>
      <c r="E7111" t="s">
        <v>6</v>
      </c>
      <c r="F7111">
        <v>0.13749</v>
      </c>
    </row>
    <row r="7112" spans="1:6" x14ac:dyDescent="0.3">
      <c r="A7112" t="s">
        <v>5</v>
      </c>
      <c r="B7112" s="1">
        <v>45954</v>
      </c>
      <c r="C7112">
        <v>8</v>
      </c>
      <c r="D7112">
        <v>0.123</v>
      </c>
      <c r="E7112" t="s">
        <v>6</v>
      </c>
      <c r="F7112">
        <v>0.17380000000000001</v>
      </c>
    </row>
    <row r="7113" spans="1:6" x14ac:dyDescent="0.3">
      <c r="A7113" t="s">
        <v>5</v>
      </c>
      <c r="B7113" s="1">
        <v>45954</v>
      </c>
      <c r="C7113">
        <v>9</v>
      </c>
      <c r="D7113">
        <v>6.8000000000000005E-2</v>
      </c>
      <c r="E7113" t="s">
        <v>6</v>
      </c>
      <c r="F7113">
        <v>0.23502999999999999</v>
      </c>
    </row>
    <row r="7114" spans="1:6" x14ac:dyDescent="0.3">
      <c r="A7114" t="s">
        <v>5</v>
      </c>
      <c r="B7114" s="1">
        <v>45954</v>
      </c>
      <c r="C7114">
        <v>10</v>
      </c>
      <c r="D7114">
        <v>8.1000000000000003E-2</v>
      </c>
      <c r="E7114" t="s">
        <v>6</v>
      </c>
      <c r="F7114">
        <v>0.19383</v>
      </c>
    </row>
    <row r="7115" spans="1:6" x14ac:dyDescent="0.3">
      <c r="A7115" t="s">
        <v>5</v>
      </c>
      <c r="B7115" s="1">
        <v>45954</v>
      </c>
      <c r="C7115">
        <v>11</v>
      </c>
      <c r="D7115">
        <v>6.3E-2</v>
      </c>
      <c r="E7115" t="s">
        <v>6</v>
      </c>
      <c r="F7115">
        <v>0.21026</v>
      </c>
    </row>
    <row r="7116" spans="1:6" x14ac:dyDescent="0.3">
      <c r="A7116" t="s">
        <v>5</v>
      </c>
      <c r="B7116" s="1">
        <v>45954</v>
      </c>
      <c r="C7116">
        <v>12</v>
      </c>
      <c r="D7116">
        <v>6.7000000000000004E-2</v>
      </c>
      <c r="E7116" t="s">
        <v>6</v>
      </c>
      <c r="F7116">
        <v>0.18006</v>
      </c>
    </row>
    <row r="7117" spans="1:6" x14ac:dyDescent="0.3">
      <c r="A7117" t="s">
        <v>5</v>
      </c>
      <c r="B7117" s="1">
        <v>45954</v>
      </c>
      <c r="C7117">
        <v>13</v>
      </c>
      <c r="D7117">
        <v>7.1999999999999995E-2</v>
      </c>
      <c r="E7117" t="s">
        <v>6</v>
      </c>
      <c r="F7117">
        <v>0.16297999999999999</v>
      </c>
    </row>
    <row r="7118" spans="1:6" x14ac:dyDescent="0.3">
      <c r="A7118" t="s">
        <v>5</v>
      </c>
      <c r="B7118" s="1">
        <v>45954</v>
      </c>
      <c r="C7118">
        <v>14</v>
      </c>
      <c r="D7118">
        <v>0.182</v>
      </c>
      <c r="E7118" t="s">
        <v>6</v>
      </c>
      <c r="F7118">
        <v>0.14208000000000001</v>
      </c>
    </row>
    <row r="7119" spans="1:6" x14ac:dyDescent="0.3">
      <c r="A7119" t="s">
        <v>5</v>
      </c>
      <c r="B7119" s="1">
        <v>45954</v>
      </c>
      <c r="C7119">
        <v>15</v>
      </c>
      <c r="D7119">
        <v>0.153</v>
      </c>
      <c r="E7119" t="s">
        <v>6</v>
      </c>
      <c r="F7119">
        <v>6.3600000000000004E-2</v>
      </c>
    </row>
    <row r="7120" spans="1:6" x14ac:dyDescent="0.3">
      <c r="A7120" t="s">
        <v>5</v>
      </c>
      <c r="B7120" s="1">
        <v>45954</v>
      </c>
      <c r="C7120">
        <v>16</v>
      </c>
      <c r="D7120">
        <v>0.122</v>
      </c>
      <c r="E7120" t="s">
        <v>6</v>
      </c>
      <c r="F7120">
        <v>6.404E-2</v>
      </c>
    </row>
    <row r="7121" spans="1:6" x14ac:dyDescent="0.3">
      <c r="A7121" t="s">
        <v>5</v>
      </c>
      <c r="B7121" s="1">
        <v>45954</v>
      </c>
      <c r="C7121">
        <v>17</v>
      </c>
      <c r="D7121">
        <v>6.4000000000000001E-2</v>
      </c>
      <c r="E7121" t="s">
        <v>6</v>
      </c>
      <c r="F7121">
        <v>8.2360000000000003E-2</v>
      </c>
    </row>
    <row r="7122" spans="1:6" x14ac:dyDescent="0.3">
      <c r="A7122" t="s">
        <v>5</v>
      </c>
      <c r="B7122" s="1">
        <v>45954</v>
      </c>
      <c r="C7122">
        <v>18</v>
      </c>
      <c r="D7122">
        <v>7.5999999999999998E-2</v>
      </c>
      <c r="E7122" t="s">
        <v>6</v>
      </c>
      <c r="F7122">
        <v>0.12013</v>
      </c>
    </row>
    <row r="7123" spans="1:6" x14ac:dyDescent="0.3">
      <c r="A7123" t="s">
        <v>5</v>
      </c>
      <c r="B7123" s="1">
        <v>45954</v>
      </c>
      <c r="C7123">
        <v>19</v>
      </c>
      <c r="D7123">
        <v>5.8000000000000003E-2</v>
      </c>
      <c r="E7123" t="s">
        <v>6</v>
      </c>
      <c r="F7123">
        <v>0.22338999999999998</v>
      </c>
    </row>
    <row r="7124" spans="1:6" x14ac:dyDescent="0.3">
      <c r="A7124" t="s">
        <v>5</v>
      </c>
      <c r="B7124" s="1">
        <v>45954</v>
      </c>
      <c r="C7124">
        <v>20</v>
      </c>
      <c r="D7124">
        <v>7.9000000000000001E-2</v>
      </c>
      <c r="E7124" t="s">
        <v>6</v>
      </c>
      <c r="F7124">
        <v>0.25413000000000002</v>
      </c>
    </row>
    <row r="7125" spans="1:6" x14ac:dyDescent="0.3">
      <c r="A7125" t="s">
        <v>5</v>
      </c>
      <c r="B7125" s="1">
        <v>45954</v>
      </c>
      <c r="C7125">
        <v>21</v>
      </c>
      <c r="D7125">
        <v>9.0999999999999998E-2</v>
      </c>
      <c r="E7125" t="s">
        <v>6</v>
      </c>
      <c r="F7125">
        <v>0.29281000000000001</v>
      </c>
    </row>
    <row r="7126" spans="1:6" x14ac:dyDescent="0.3">
      <c r="A7126" t="s">
        <v>5</v>
      </c>
      <c r="B7126" s="1">
        <v>45954</v>
      </c>
      <c r="C7126">
        <v>22</v>
      </c>
      <c r="D7126">
        <v>1.115</v>
      </c>
      <c r="E7126" t="s">
        <v>6</v>
      </c>
      <c r="F7126">
        <v>0.27518999999999999</v>
      </c>
    </row>
    <row r="7127" spans="1:6" x14ac:dyDescent="0.3">
      <c r="A7127" t="s">
        <v>5</v>
      </c>
      <c r="B7127" s="1">
        <v>45954</v>
      </c>
      <c r="C7127">
        <v>23</v>
      </c>
      <c r="D7127">
        <v>0.70099999999999996</v>
      </c>
      <c r="E7127" t="s">
        <v>6</v>
      </c>
      <c r="F7127">
        <v>0.17102999999999999</v>
      </c>
    </row>
    <row r="7128" spans="1:6" x14ac:dyDescent="0.3">
      <c r="A7128" t="s">
        <v>5</v>
      </c>
      <c r="B7128" s="1">
        <v>45954</v>
      </c>
      <c r="C7128">
        <v>24</v>
      </c>
      <c r="D7128">
        <v>0.84399999999999997</v>
      </c>
      <c r="E7128" t="s">
        <v>6</v>
      </c>
      <c r="F7128">
        <v>0.16094999999999998</v>
      </c>
    </row>
    <row r="7129" spans="1:6" x14ac:dyDescent="0.3">
      <c r="A7129" t="s">
        <v>5</v>
      </c>
      <c r="B7129" s="1">
        <v>45955</v>
      </c>
      <c r="C7129">
        <v>1</v>
      </c>
      <c r="D7129">
        <v>0.11600000000000001</v>
      </c>
      <c r="E7129" t="s">
        <v>6</v>
      </c>
      <c r="F7129">
        <v>0.13828000000000001</v>
      </c>
    </row>
    <row r="7130" spans="1:6" x14ac:dyDescent="0.3">
      <c r="A7130" t="s">
        <v>5</v>
      </c>
      <c r="B7130" s="1">
        <v>45955</v>
      </c>
      <c r="C7130">
        <v>2</v>
      </c>
      <c r="D7130">
        <v>0.13200000000000001</v>
      </c>
      <c r="E7130" t="s">
        <v>6</v>
      </c>
      <c r="F7130">
        <v>0.13516999999999998</v>
      </c>
    </row>
    <row r="7131" spans="1:6" x14ac:dyDescent="0.3">
      <c r="A7131" t="s">
        <v>5</v>
      </c>
      <c r="B7131" s="1">
        <v>45955</v>
      </c>
      <c r="C7131">
        <v>3</v>
      </c>
      <c r="D7131">
        <v>0.10100000000000001</v>
      </c>
      <c r="E7131" t="s">
        <v>6</v>
      </c>
      <c r="F7131">
        <v>0.13141999999999998</v>
      </c>
    </row>
    <row r="7132" spans="1:6" x14ac:dyDescent="0.3">
      <c r="A7132" t="s">
        <v>5</v>
      </c>
      <c r="B7132" s="1">
        <v>45955</v>
      </c>
      <c r="C7132">
        <v>4</v>
      </c>
      <c r="D7132">
        <v>0.11700000000000001</v>
      </c>
      <c r="E7132" t="s">
        <v>6</v>
      </c>
      <c r="F7132">
        <v>0.12537999999999999</v>
      </c>
    </row>
    <row r="7133" spans="1:6" x14ac:dyDescent="0.3">
      <c r="A7133" t="s">
        <v>5</v>
      </c>
      <c r="B7133" s="1">
        <v>45955</v>
      </c>
      <c r="C7133">
        <v>5</v>
      </c>
      <c r="D7133">
        <v>0.107</v>
      </c>
      <c r="E7133" t="s">
        <v>6</v>
      </c>
      <c r="F7133">
        <v>0.13578999999999999</v>
      </c>
    </row>
    <row r="7134" spans="1:6" x14ac:dyDescent="0.3">
      <c r="A7134" t="s">
        <v>5</v>
      </c>
      <c r="B7134" s="1">
        <v>45955</v>
      </c>
      <c r="C7134">
        <v>6</v>
      </c>
      <c r="D7134">
        <v>0.109</v>
      </c>
      <c r="E7134" t="s">
        <v>6</v>
      </c>
      <c r="F7134">
        <v>0.13666</v>
      </c>
    </row>
    <row r="7135" spans="1:6" x14ac:dyDescent="0.3">
      <c r="A7135" t="s">
        <v>5</v>
      </c>
      <c r="B7135" s="1">
        <v>45955</v>
      </c>
      <c r="C7135">
        <v>7</v>
      </c>
      <c r="D7135">
        <v>0.113</v>
      </c>
      <c r="E7135" t="s">
        <v>6</v>
      </c>
      <c r="F7135">
        <v>0.13958999999999999</v>
      </c>
    </row>
    <row r="7136" spans="1:6" x14ac:dyDescent="0.3">
      <c r="A7136" t="s">
        <v>5</v>
      </c>
      <c r="B7136" s="1">
        <v>45955</v>
      </c>
      <c r="C7136">
        <v>8</v>
      </c>
      <c r="D7136">
        <v>0.10199999999999999</v>
      </c>
      <c r="E7136" t="s">
        <v>6</v>
      </c>
      <c r="F7136">
        <v>0.14677000000000001</v>
      </c>
    </row>
    <row r="7137" spans="1:6" x14ac:dyDescent="0.3">
      <c r="A7137" t="s">
        <v>5</v>
      </c>
      <c r="B7137" s="1">
        <v>45955</v>
      </c>
      <c r="C7137">
        <v>9</v>
      </c>
      <c r="D7137">
        <v>0.11799999999999999</v>
      </c>
      <c r="E7137" t="s">
        <v>6</v>
      </c>
      <c r="F7137">
        <v>0.15734999999999999</v>
      </c>
    </row>
    <row r="7138" spans="1:6" x14ac:dyDescent="0.3">
      <c r="A7138" t="s">
        <v>5</v>
      </c>
      <c r="B7138" s="1">
        <v>45955</v>
      </c>
      <c r="C7138">
        <v>10</v>
      </c>
      <c r="D7138">
        <v>9.5000000000000001E-2</v>
      </c>
      <c r="E7138" t="s">
        <v>6</v>
      </c>
      <c r="F7138">
        <v>0.14709</v>
      </c>
    </row>
    <row r="7139" spans="1:6" x14ac:dyDescent="0.3">
      <c r="A7139" t="s">
        <v>5</v>
      </c>
      <c r="B7139" s="1">
        <v>45955</v>
      </c>
      <c r="C7139">
        <v>11</v>
      </c>
      <c r="D7139">
        <v>0.121</v>
      </c>
      <c r="E7139" t="s">
        <v>6</v>
      </c>
      <c r="F7139">
        <v>0.12504000000000001</v>
      </c>
    </row>
    <row r="7140" spans="1:6" x14ac:dyDescent="0.3">
      <c r="A7140" t="s">
        <v>5</v>
      </c>
      <c r="B7140" s="1">
        <v>45955</v>
      </c>
      <c r="C7140">
        <v>12</v>
      </c>
      <c r="D7140">
        <v>6.3E-2</v>
      </c>
      <c r="E7140" t="s">
        <v>6</v>
      </c>
      <c r="F7140">
        <v>9.734000000000001E-2</v>
      </c>
    </row>
    <row r="7141" spans="1:6" x14ac:dyDescent="0.3">
      <c r="A7141" t="s">
        <v>5</v>
      </c>
      <c r="B7141" s="1">
        <v>45955</v>
      </c>
      <c r="C7141">
        <v>13</v>
      </c>
      <c r="D7141">
        <v>7.8E-2</v>
      </c>
      <c r="E7141" t="s">
        <v>6</v>
      </c>
      <c r="F7141">
        <v>7.6769999999999991E-2</v>
      </c>
    </row>
    <row r="7142" spans="1:6" x14ac:dyDescent="0.3">
      <c r="A7142" t="s">
        <v>5</v>
      </c>
      <c r="B7142" s="1">
        <v>45955</v>
      </c>
      <c r="C7142">
        <v>14</v>
      </c>
      <c r="D7142">
        <v>6.3E-2</v>
      </c>
      <c r="E7142" t="s">
        <v>6</v>
      </c>
      <c r="F7142">
        <v>6.8239999999999995E-2</v>
      </c>
    </row>
    <row r="7143" spans="1:6" x14ac:dyDescent="0.3">
      <c r="A7143" t="s">
        <v>5</v>
      </c>
      <c r="B7143" s="1">
        <v>45955</v>
      </c>
      <c r="C7143">
        <v>15</v>
      </c>
      <c r="D7143">
        <v>0.17199999999999999</v>
      </c>
      <c r="E7143" t="s">
        <v>6</v>
      </c>
      <c r="F7143">
        <v>6.0109999999999997E-2</v>
      </c>
    </row>
    <row r="7144" spans="1:6" x14ac:dyDescent="0.3">
      <c r="A7144" t="s">
        <v>5</v>
      </c>
      <c r="B7144" s="1">
        <v>45955</v>
      </c>
      <c r="C7144">
        <v>16</v>
      </c>
      <c r="D7144">
        <v>0.35499999999999998</v>
      </c>
      <c r="E7144" t="s">
        <v>6</v>
      </c>
      <c r="F7144">
        <v>5.7790000000000001E-2</v>
      </c>
    </row>
    <row r="7145" spans="1:6" x14ac:dyDescent="0.3">
      <c r="A7145" t="s">
        <v>5</v>
      </c>
      <c r="B7145" s="1">
        <v>45955</v>
      </c>
      <c r="C7145">
        <v>17</v>
      </c>
      <c r="D7145">
        <v>0.13700000000000001</v>
      </c>
      <c r="E7145" t="s">
        <v>6</v>
      </c>
      <c r="F7145">
        <v>6.1289999999999997E-2</v>
      </c>
    </row>
    <row r="7146" spans="1:6" x14ac:dyDescent="0.3">
      <c r="A7146" t="s">
        <v>5</v>
      </c>
      <c r="B7146" s="1">
        <v>45955</v>
      </c>
      <c r="C7146">
        <v>18</v>
      </c>
      <c r="D7146">
        <v>0.15</v>
      </c>
      <c r="E7146" t="s">
        <v>6</v>
      </c>
      <c r="F7146">
        <v>9.5200000000000007E-2</v>
      </c>
    </row>
    <row r="7147" spans="1:6" x14ac:dyDescent="0.3">
      <c r="A7147" t="s">
        <v>5</v>
      </c>
      <c r="B7147" s="1">
        <v>45955</v>
      </c>
      <c r="C7147">
        <v>19</v>
      </c>
      <c r="D7147">
        <v>0.114</v>
      </c>
      <c r="E7147" t="s">
        <v>6</v>
      </c>
      <c r="F7147">
        <v>0.13936000000000001</v>
      </c>
    </row>
    <row r="7148" spans="1:6" x14ac:dyDescent="0.3">
      <c r="A7148" t="s">
        <v>5</v>
      </c>
      <c r="B7148" s="1">
        <v>45955</v>
      </c>
      <c r="C7148">
        <v>20</v>
      </c>
      <c r="D7148">
        <v>0.11</v>
      </c>
      <c r="E7148" t="s">
        <v>6</v>
      </c>
      <c r="F7148">
        <v>0.15858</v>
      </c>
    </row>
    <row r="7149" spans="1:6" x14ac:dyDescent="0.3">
      <c r="A7149" t="s">
        <v>5</v>
      </c>
      <c r="B7149" s="1">
        <v>45955</v>
      </c>
      <c r="C7149">
        <v>21</v>
      </c>
      <c r="D7149">
        <v>7.8E-2</v>
      </c>
      <c r="E7149" t="s">
        <v>6</v>
      </c>
      <c r="F7149">
        <v>0.16933000000000001</v>
      </c>
    </row>
    <row r="7150" spans="1:6" x14ac:dyDescent="0.3">
      <c r="A7150" t="s">
        <v>5</v>
      </c>
      <c r="B7150" s="1">
        <v>45955</v>
      </c>
      <c r="C7150">
        <v>22</v>
      </c>
      <c r="D7150">
        <v>6.7000000000000004E-2</v>
      </c>
      <c r="E7150" t="s">
        <v>6</v>
      </c>
      <c r="F7150">
        <v>0.15087</v>
      </c>
    </row>
    <row r="7151" spans="1:6" x14ac:dyDescent="0.3">
      <c r="A7151" t="s">
        <v>5</v>
      </c>
      <c r="B7151" s="1">
        <v>45955</v>
      </c>
      <c r="C7151">
        <v>23</v>
      </c>
      <c r="D7151">
        <v>7.4999999999999997E-2</v>
      </c>
      <c r="E7151" t="s">
        <v>6</v>
      </c>
      <c r="F7151">
        <v>0.14430000000000001</v>
      </c>
    </row>
    <row r="7152" spans="1:6" x14ac:dyDescent="0.3">
      <c r="A7152" t="s">
        <v>5</v>
      </c>
      <c r="B7152" s="1">
        <v>45955</v>
      </c>
      <c r="C7152">
        <v>24</v>
      </c>
      <c r="D7152">
        <v>0.06</v>
      </c>
      <c r="E7152" t="s">
        <v>6</v>
      </c>
      <c r="F7152">
        <v>0.13503000000000001</v>
      </c>
    </row>
    <row r="7153" spans="1:6" x14ac:dyDescent="0.3">
      <c r="A7153" t="s">
        <v>5</v>
      </c>
      <c r="B7153" s="1">
        <v>45956</v>
      </c>
      <c r="C7153">
        <v>1</v>
      </c>
      <c r="D7153">
        <v>8.4000000000000005E-2</v>
      </c>
      <c r="E7153" t="s">
        <v>6</v>
      </c>
      <c r="F7153">
        <v>0.16031000000000001</v>
      </c>
    </row>
    <row r="7154" spans="1:6" x14ac:dyDescent="0.3">
      <c r="A7154" t="s">
        <v>5</v>
      </c>
      <c r="B7154" s="1">
        <v>45956</v>
      </c>
      <c r="C7154">
        <v>2</v>
      </c>
      <c r="D7154">
        <v>5.8999999999999997E-2</v>
      </c>
      <c r="E7154" t="s">
        <v>6</v>
      </c>
      <c r="F7154">
        <v>0.15483000000000002</v>
      </c>
    </row>
    <row r="7155" spans="1:6" x14ac:dyDescent="0.3">
      <c r="A7155" t="s">
        <v>5</v>
      </c>
      <c r="B7155" s="1">
        <v>45956</v>
      </c>
      <c r="C7155">
        <v>3</v>
      </c>
      <c r="D7155">
        <v>7.6999999999999999E-2</v>
      </c>
      <c r="E7155" t="s">
        <v>6</v>
      </c>
      <c r="F7155">
        <v>0.13106999999999999</v>
      </c>
    </row>
    <row r="7156" spans="1:6" x14ac:dyDescent="0.3">
      <c r="A7156" t="s">
        <v>5</v>
      </c>
      <c r="B7156" s="1">
        <v>45956</v>
      </c>
      <c r="C7156">
        <v>4</v>
      </c>
      <c r="D7156">
        <v>6.5000000000000002E-2</v>
      </c>
      <c r="E7156" t="s">
        <v>6</v>
      </c>
      <c r="F7156">
        <v>0.12645999999999999</v>
      </c>
    </row>
    <row r="7157" spans="1:6" x14ac:dyDescent="0.3">
      <c r="A7157" t="s">
        <v>5</v>
      </c>
      <c r="B7157" s="1">
        <v>45956</v>
      </c>
      <c r="C7157">
        <v>5</v>
      </c>
      <c r="D7157">
        <v>6.7000000000000004E-2</v>
      </c>
      <c r="E7157" t="s">
        <v>6</v>
      </c>
      <c r="F7157">
        <v>0.12815000000000001</v>
      </c>
    </row>
    <row r="7158" spans="1:6" x14ac:dyDescent="0.3">
      <c r="A7158" t="s">
        <v>5</v>
      </c>
      <c r="B7158" s="1">
        <v>45956</v>
      </c>
      <c r="C7158">
        <v>6</v>
      </c>
      <c r="D7158">
        <v>7.4999999999999997E-2</v>
      </c>
      <c r="E7158" t="s">
        <v>6</v>
      </c>
      <c r="F7158">
        <v>0.12748000000000001</v>
      </c>
    </row>
    <row r="7159" spans="1:6" x14ac:dyDescent="0.3">
      <c r="A7159" t="s">
        <v>5</v>
      </c>
      <c r="B7159" s="1">
        <v>45956</v>
      </c>
      <c r="C7159">
        <v>7</v>
      </c>
      <c r="D7159">
        <v>5.8999999999999997E-2</v>
      </c>
      <c r="E7159" t="s">
        <v>6</v>
      </c>
      <c r="F7159">
        <v>0.12537000000000001</v>
      </c>
    </row>
    <row r="7160" spans="1:6" x14ac:dyDescent="0.3">
      <c r="A7160" t="s">
        <v>5</v>
      </c>
      <c r="B7160" s="1">
        <v>45956</v>
      </c>
      <c r="C7160">
        <v>8</v>
      </c>
      <c r="D7160">
        <v>8.2000000000000003E-2</v>
      </c>
      <c r="E7160" t="s">
        <v>6</v>
      </c>
      <c r="F7160">
        <v>0.12098</v>
      </c>
    </row>
    <row r="7161" spans="1:6" x14ac:dyDescent="0.3">
      <c r="A7161" t="s">
        <v>5</v>
      </c>
      <c r="B7161" s="1">
        <v>45956</v>
      </c>
      <c r="C7161">
        <v>9</v>
      </c>
      <c r="D7161">
        <v>6.4000000000000001E-2</v>
      </c>
      <c r="E7161" t="s">
        <v>6</v>
      </c>
      <c r="F7161">
        <v>0.11799999999999999</v>
      </c>
    </row>
    <row r="7162" spans="1:6" x14ac:dyDescent="0.3">
      <c r="A7162" t="s">
        <v>5</v>
      </c>
      <c r="B7162" s="1">
        <v>45956</v>
      </c>
      <c r="C7162">
        <v>10</v>
      </c>
      <c r="D7162">
        <v>0.1</v>
      </c>
      <c r="E7162" t="s">
        <v>6</v>
      </c>
      <c r="F7162">
        <v>0.11918000000000001</v>
      </c>
    </row>
    <row r="7163" spans="1:6" x14ac:dyDescent="0.3">
      <c r="A7163" t="s">
        <v>5</v>
      </c>
      <c r="B7163" s="1">
        <v>45956</v>
      </c>
      <c r="C7163">
        <v>11</v>
      </c>
      <c r="D7163">
        <v>0.17799999999999999</v>
      </c>
      <c r="E7163" t="s">
        <v>6</v>
      </c>
      <c r="F7163">
        <v>9.0879999999999989E-2</v>
      </c>
    </row>
    <row r="7164" spans="1:6" x14ac:dyDescent="0.3">
      <c r="A7164" t="s">
        <v>5</v>
      </c>
      <c r="B7164" s="1">
        <v>45956</v>
      </c>
      <c r="C7164">
        <v>12</v>
      </c>
      <c r="D7164">
        <v>9.4E-2</v>
      </c>
      <c r="E7164" t="s">
        <v>6</v>
      </c>
      <c r="F7164">
        <v>7.1800000000000003E-2</v>
      </c>
    </row>
    <row r="7165" spans="1:6" x14ac:dyDescent="0.3">
      <c r="A7165" t="s">
        <v>5</v>
      </c>
      <c r="B7165" s="1">
        <v>45956</v>
      </c>
      <c r="C7165">
        <v>13</v>
      </c>
      <c r="D7165">
        <v>9.9000000000000005E-2</v>
      </c>
      <c r="E7165" t="s">
        <v>6</v>
      </c>
      <c r="F7165">
        <v>6.7209999999999992E-2</v>
      </c>
    </row>
    <row r="7166" spans="1:6" x14ac:dyDescent="0.3">
      <c r="A7166" t="s">
        <v>5</v>
      </c>
      <c r="B7166" s="1">
        <v>45956</v>
      </c>
      <c r="C7166">
        <v>14</v>
      </c>
      <c r="D7166">
        <v>5.7000000000000002E-2</v>
      </c>
      <c r="E7166" t="s">
        <v>6</v>
      </c>
      <c r="F7166">
        <v>6.6239999999999993E-2</v>
      </c>
    </row>
    <row r="7167" spans="1:6" x14ac:dyDescent="0.3">
      <c r="A7167" t="s">
        <v>5</v>
      </c>
      <c r="B7167" s="1">
        <v>45956</v>
      </c>
      <c r="C7167">
        <v>15</v>
      </c>
      <c r="D7167">
        <v>7.6999999999999999E-2</v>
      </c>
      <c r="E7167" t="s">
        <v>6</v>
      </c>
      <c r="F7167">
        <v>6.5540000000000001E-2</v>
      </c>
    </row>
    <row r="7168" spans="1:6" x14ac:dyDescent="0.3">
      <c r="A7168" t="s">
        <v>5</v>
      </c>
      <c r="B7168" s="1">
        <v>45956</v>
      </c>
      <c r="C7168">
        <v>16</v>
      </c>
      <c r="D7168">
        <v>6.0999999999999999E-2</v>
      </c>
      <c r="E7168" t="s">
        <v>6</v>
      </c>
      <c r="F7168">
        <v>6.8209999999999993E-2</v>
      </c>
    </row>
    <row r="7169" spans="1:6" x14ac:dyDescent="0.3">
      <c r="A7169" t="s">
        <v>5</v>
      </c>
      <c r="B7169" s="1">
        <v>45956</v>
      </c>
      <c r="C7169">
        <v>17</v>
      </c>
      <c r="D7169">
        <v>6.5000000000000002E-2</v>
      </c>
      <c r="E7169" t="s">
        <v>6</v>
      </c>
      <c r="F7169">
        <v>7.3980000000000004E-2</v>
      </c>
    </row>
    <row r="7170" spans="1:6" x14ac:dyDescent="0.3">
      <c r="A7170" t="s">
        <v>5</v>
      </c>
      <c r="B7170" s="1">
        <v>45956</v>
      </c>
      <c r="C7170">
        <v>18</v>
      </c>
      <c r="D7170">
        <v>0.14000000000000001</v>
      </c>
      <c r="E7170" t="s">
        <v>6</v>
      </c>
      <c r="F7170">
        <v>8.7709999999999996E-2</v>
      </c>
    </row>
    <row r="7171" spans="1:6" x14ac:dyDescent="0.3">
      <c r="A7171" t="s">
        <v>5</v>
      </c>
      <c r="B7171" s="1">
        <v>45956</v>
      </c>
      <c r="C7171">
        <v>19</v>
      </c>
      <c r="D7171">
        <v>0.13</v>
      </c>
      <c r="E7171" t="s">
        <v>6</v>
      </c>
      <c r="F7171">
        <v>0.11427</v>
      </c>
    </row>
    <row r="7172" spans="1:6" x14ac:dyDescent="0.3">
      <c r="A7172" t="s">
        <v>5</v>
      </c>
      <c r="B7172" s="1">
        <v>45956</v>
      </c>
      <c r="C7172">
        <v>20</v>
      </c>
      <c r="D7172">
        <v>0.16700000000000001</v>
      </c>
      <c r="E7172" t="s">
        <v>6</v>
      </c>
      <c r="F7172">
        <v>0.14599999999999999</v>
      </c>
    </row>
    <row r="7173" spans="1:6" x14ac:dyDescent="0.3">
      <c r="A7173" t="s">
        <v>5</v>
      </c>
      <c r="B7173" s="1">
        <v>45956</v>
      </c>
      <c r="C7173">
        <v>21</v>
      </c>
      <c r="D7173">
        <v>0.21299999999999999</v>
      </c>
      <c r="E7173" t="s">
        <v>6</v>
      </c>
      <c r="F7173">
        <v>0.15418999999999999</v>
      </c>
    </row>
    <row r="7174" spans="1:6" x14ac:dyDescent="0.3">
      <c r="A7174" t="s">
        <v>5</v>
      </c>
      <c r="B7174" s="1">
        <v>45956</v>
      </c>
      <c r="C7174">
        <v>22</v>
      </c>
      <c r="D7174">
        <v>0.14799999999999999</v>
      </c>
      <c r="E7174" t="s">
        <v>6</v>
      </c>
      <c r="F7174">
        <v>0.16216999999999998</v>
      </c>
    </row>
    <row r="7175" spans="1:6" x14ac:dyDescent="0.3">
      <c r="A7175" t="s">
        <v>5</v>
      </c>
      <c r="B7175" s="1">
        <v>45956</v>
      </c>
      <c r="C7175">
        <v>23</v>
      </c>
      <c r="D7175">
        <v>0.24</v>
      </c>
      <c r="E7175" t="s">
        <v>6</v>
      </c>
      <c r="F7175">
        <v>0.15127000000000002</v>
      </c>
    </row>
    <row r="7176" spans="1:6" x14ac:dyDescent="0.3">
      <c r="A7176" t="s">
        <v>5</v>
      </c>
      <c r="B7176" s="1">
        <v>45956</v>
      </c>
      <c r="C7176">
        <v>24</v>
      </c>
      <c r="D7176">
        <v>0.17299999999999999</v>
      </c>
      <c r="E7176" t="s">
        <v>6</v>
      </c>
      <c r="F7176">
        <v>0.14699000000000001</v>
      </c>
    </row>
    <row r="7177" spans="1:6" x14ac:dyDescent="0.3">
      <c r="A7177" t="s">
        <v>5</v>
      </c>
      <c r="B7177" s="1">
        <v>45956</v>
      </c>
      <c r="C7177">
        <v>25</v>
      </c>
      <c r="D7177">
        <v>0.17599999999999999</v>
      </c>
      <c r="E7177" t="s">
        <v>6</v>
      </c>
      <c r="F7177">
        <v>0.14608000000000002</v>
      </c>
    </row>
    <row r="7178" spans="1:6" x14ac:dyDescent="0.3">
      <c r="A7178" t="s">
        <v>5</v>
      </c>
      <c r="B7178" s="1">
        <v>45957</v>
      </c>
      <c r="C7178">
        <v>1</v>
      </c>
      <c r="D7178">
        <v>0.23200000000000001</v>
      </c>
      <c r="E7178" t="s">
        <v>6</v>
      </c>
      <c r="F7178">
        <v>0.12493000000000001</v>
      </c>
    </row>
    <row r="7179" spans="1:6" x14ac:dyDescent="0.3">
      <c r="A7179" t="s">
        <v>5</v>
      </c>
      <c r="B7179" s="1">
        <v>45957</v>
      </c>
      <c r="C7179">
        <v>2</v>
      </c>
      <c r="D7179">
        <v>0.20399999999999999</v>
      </c>
      <c r="E7179" t="s">
        <v>6</v>
      </c>
      <c r="F7179">
        <v>0.11616</v>
      </c>
    </row>
    <row r="7180" spans="1:6" x14ac:dyDescent="0.3">
      <c r="A7180" t="s">
        <v>5</v>
      </c>
      <c r="B7180" s="1">
        <v>45957</v>
      </c>
      <c r="C7180">
        <v>3</v>
      </c>
      <c r="D7180">
        <v>0.14199999999999999</v>
      </c>
      <c r="E7180" t="s">
        <v>6</v>
      </c>
      <c r="F7180">
        <v>0.11700000000000001</v>
      </c>
    </row>
    <row r="7181" spans="1:6" x14ac:dyDescent="0.3">
      <c r="A7181" t="s">
        <v>5</v>
      </c>
      <c r="B7181" s="1">
        <v>45957</v>
      </c>
      <c r="C7181">
        <v>4</v>
      </c>
      <c r="D7181">
        <v>0.122</v>
      </c>
      <c r="E7181" t="s">
        <v>6</v>
      </c>
      <c r="F7181">
        <v>0.11773</v>
      </c>
    </row>
    <row r="7182" spans="1:6" x14ac:dyDescent="0.3">
      <c r="A7182" t="s">
        <v>5</v>
      </c>
      <c r="B7182" s="1">
        <v>45957</v>
      </c>
      <c r="C7182">
        <v>5</v>
      </c>
      <c r="D7182">
        <v>0.113</v>
      </c>
      <c r="E7182" t="s">
        <v>6</v>
      </c>
      <c r="F7182">
        <v>0.11989</v>
      </c>
    </row>
    <row r="7183" spans="1:6" x14ac:dyDescent="0.3">
      <c r="A7183" t="s">
        <v>5</v>
      </c>
      <c r="B7183" s="1">
        <v>45957</v>
      </c>
      <c r="C7183">
        <v>6</v>
      </c>
      <c r="D7183">
        <v>0.11700000000000001</v>
      </c>
      <c r="E7183" t="s">
        <v>6</v>
      </c>
      <c r="F7183">
        <v>0.14315</v>
      </c>
    </row>
    <row r="7184" spans="1:6" x14ac:dyDescent="0.3">
      <c r="A7184" t="s">
        <v>5</v>
      </c>
      <c r="B7184" s="1">
        <v>45957</v>
      </c>
      <c r="C7184">
        <v>7</v>
      </c>
      <c r="D7184">
        <v>0.10199999999999999</v>
      </c>
      <c r="E7184" t="s">
        <v>6</v>
      </c>
      <c r="F7184">
        <v>0.14962999999999999</v>
      </c>
    </row>
    <row r="7185" spans="1:6" x14ac:dyDescent="0.3">
      <c r="A7185" t="s">
        <v>5</v>
      </c>
      <c r="B7185" s="1">
        <v>45957</v>
      </c>
      <c r="C7185">
        <v>8</v>
      </c>
      <c r="D7185">
        <v>0.11600000000000001</v>
      </c>
      <c r="E7185" t="s">
        <v>6</v>
      </c>
      <c r="F7185">
        <v>0.19284999999999999</v>
      </c>
    </row>
    <row r="7186" spans="1:6" x14ac:dyDescent="0.3">
      <c r="A7186" t="s">
        <v>5</v>
      </c>
      <c r="B7186" s="1">
        <v>45957</v>
      </c>
      <c r="C7186">
        <v>9</v>
      </c>
      <c r="D7186">
        <v>0.14199999999999999</v>
      </c>
      <c r="E7186" t="s">
        <v>6</v>
      </c>
      <c r="F7186">
        <v>0.18690000000000001</v>
      </c>
    </row>
    <row r="7187" spans="1:6" x14ac:dyDescent="0.3">
      <c r="A7187" t="s">
        <v>5</v>
      </c>
      <c r="B7187" s="1">
        <v>45957</v>
      </c>
      <c r="C7187">
        <v>10</v>
      </c>
      <c r="D7187">
        <v>0.114</v>
      </c>
      <c r="E7187" t="s">
        <v>6</v>
      </c>
      <c r="F7187">
        <v>0.13980999999999999</v>
      </c>
    </row>
    <row r="7188" spans="1:6" x14ac:dyDescent="0.3">
      <c r="A7188" t="s">
        <v>5</v>
      </c>
      <c r="B7188" s="1">
        <v>45957</v>
      </c>
      <c r="C7188">
        <v>11</v>
      </c>
      <c r="D7188">
        <v>8.8999999999999996E-2</v>
      </c>
      <c r="E7188" t="s">
        <v>6</v>
      </c>
      <c r="F7188">
        <v>0.17104</v>
      </c>
    </row>
    <row r="7189" spans="1:6" x14ac:dyDescent="0.3">
      <c r="A7189" t="s">
        <v>5</v>
      </c>
      <c r="B7189" s="1">
        <v>45957</v>
      </c>
      <c r="C7189">
        <v>12</v>
      </c>
      <c r="D7189">
        <v>0.23899999999999999</v>
      </c>
      <c r="E7189" t="s">
        <v>6</v>
      </c>
      <c r="F7189">
        <v>0.14479</v>
      </c>
    </row>
    <row r="7190" spans="1:6" x14ac:dyDescent="0.3">
      <c r="A7190" t="s">
        <v>5</v>
      </c>
      <c r="B7190" s="1">
        <v>45957</v>
      </c>
      <c r="C7190">
        <v>13</v>
      </c>
      <c r="D7190">
        <v>0.26200000000000001</v>
      </c>
      <c r="E7190" t="s">
        <v>6</v>
      </c>
      <c r="F7190">
        <v>0.14865</v>
      </c>
    </row>
    <row r="7191" spans="1:6" x14ac:dyDescent="0.3">
      <c r="A7191" t="s">
        <v>5</v>
      </c>
      <c r="B7191" s="1">
        <v>45957</v>
      </c>
      <c r="C7191">
        <v>14</v>
      </c>
      <c r="D7191">
        <v>0.311</v>
      </c>
      <c r="E7191" t="s">
        <v>6</v>
      </c>
      <c r="F7191">
        <v>0.13708000000000001</v>
      </c>
    </row>
    <row r="7192" spans="1:6" x14ac:dyDescent="0.3">
      <c r="A7192" t="s">
        <v>5</v>
      </c>
      <c r="B7192" s="1">
        <v>45957</v>
      </c>
      <c r="C7192">
        <v>15</v>
      </c>
      <c r="D7192">
        <v>0.19400000000000001</v>
      </c>
      <c r="E7192" t="s">
        <v>6</v>
      </c>
      <c r="F7192">
        <v>7.1099999999999997E-2</v>
      </c>
    </row>
    <row r="7193" spans="1:6" x14ac:dyDescent="0.3">
      <c r="A7193" t="s">
        <v>5</v>
      </c>
      <c r="B7193" s="1">
        <v>45957</v>
      </c>
      <c r="C7193">
        <v>16</v>
      </c>
      <c r="D7193">
        <v>0.26</v>
      </c>
      <c r="E7193" t="s">
        <v>6</v>
      </c>
      <c r="F7193">
        <v>9.8650000000000002E-2</v>
      </c>
    </row>
    <row r="7194" spans="1:6" x14ac:dyDescent="0.3">
      <c r="A7194" t="s">
        <v>5</v>
      </c>
      <c r="B7194" s="1">
        <v>45957</v>
      </c>
      <c r="C7194">
        <v>17</v>
      </c>
      <c r="D7194">
        <v>0.20300000000000001</v>
      </c>
      <c r="E7194" t="s">
        <v>6</v>
      </c>
      <c r="F7194">
        <v>0.12522</v>
      </c>
    </row>
    <row r="7195" spans="1:6" x14ac:dyDescent="0.3">
      <c r="A7195" t="s">
        <v>5</v>
      </c>
      <c r="B7195" s="1">
        <v>45957</v>
      </c>
      <c r="C7195">
        <v>18</v>
      </c>
      <c r="D7195">
        <v>0.151</v>
      </c>
      <c r="E7195" t="s">
        <v>6</v>
      </c>
      <c r="F7195">
        <v>0.17593</v>
      </c>
    </row>
    <row r="7196" spans="1:6" x14ac:dyDescent="0.3">
      <c r="A7196" t="s">
        <v>5</v>
      </c>
      <c r="B7196" s="1">
        <v>45957</v>
      </c>
      <c r="C7196">
        <v>19</v>
      </c>
      <c r="D7196">
        <v>0.107</v>
      </c>
      <c r="E7196" t="s">
        <v>6</v>
      </c>
      <c r="F7196">
        <v>0.26416000000000001</v>
      </c>
    </row>
    <row r="7197" spans="1:6" x14ac:dyDescent="0.3">
      <c r="A7197" t="s">
        <v>5</v>
      </c>
      <c r="B7197" s="1">
        <v>45957</v>
      </c>
      <c r="C7197">
        <v>20</v>
      </c>
      <c r="D7197">
        <v>0.157</v>
      </c>
      <c r="E7197" t="s">
        <v>6</v>
      </c>
      <c r="F7197">
        <v>0.27268000000000003</v>
      </c>
    </row>
    <row r="7198" spans="1:6" x14ac:dyDescent="0.3">
      <c r="A7198" t="s">
        <v>5</v>
      </c>
      <c r="B7198" s="1">
        <v>45957</v>
      </c>
      <c r="C7198">
        <v>21</v>
      </c>
      <c r="D7198">
        <v>0.71299999999999997</v>
      </c>
      <c r="E7198" t="s">
        <v>6</v>
      </c>
      <c r="F7198">
        <v>0.28729000000000005</v>
      </c>
    </row>
    <row r="7199" spans="1:6" x14ac:dyDescent="0.3">
      <c r="A7199" t="s">
        <v>5</v>
      </c>
      <c r="B7199" s="1">
        <v>45957</v>
      </c>
      <c r="C7199">
        <v>22</v>
      </c>
      <c r="D7199">
        <v>0.48899999999999999</v>
      </c>
      <c r="E7199" t="s">
        <v>6</v>
      </c>
      <c r="F7199">
        <v>0.26458999999999999</v>
      </c>
    </row>
    <row r="7200" spans="1:6" x14ac:dyDescent="0.3">
      <c r="A7200" t="s">
        <v>5</v>
      </c>
      <c r="B7200" s="1">
        <v>45957</v>
      </c>
      <c r="C7200">
        <v>23</v>
      </c>
      <c r="D7200">
        <v>0.27800000000000002</v>
      </c>
      <c r="E7200" t="s">
        <v>6</v>
      </c>
      <c r="F7200">
        <v>0.17746000000000001</v>
      </c>
    </row>
    <row r="7201" spans="1:6" x14ac:dyDescent="0.3">
      <c r="A7201" t="s">
        <v>5</v>
      </c>
      <c r="B7201" s="1">
        <v>45957</v>
      </c>
      <c r="C7201">
        <v>24</v>
      </c>
      <c r="D7201">
        <v>0.219</v>
      </c>
      <c r="E7201" t="s">
        <v>6</v>
      </c>
      <c r="F7201">
        <v>0.17202999999999999</v>
      </c>
    </row>
    <row r="7202" spans="1:6" x14ac:dyDescent="0.3">
      <c r="A7202" t="s">
        <v>5</v>
      </c>
      <c r="B7202" s="1">
        <v>45958</v>
      </c>
      <c r="C7202">
        <v>1</v>
      </c>
      <c r="D7202">
        <v>0.13700000000000001</v>
      </c>
      <c r="E7202" t="s">
        <v>6</v>
      </c>
      <c r="F7202">
        <v>0.13538</v>
      </c>
    </row>
    <row r="7203" spans="1:6" x14ac:dyDescent="0.3">
      <c r="A7203" t="s">
        <v>5</v>
      </c>
      <c r="B7203" s="1">
        <v>45958</v>
      </c>
      <c r="C7203">
        <v>2</v>
      </c>
      <c r="D7203">
        <v>0.12</v>
      </c>
      <c r="E7203" t="s">
        <v>6</v>
      </c>
      <c r="F7203">
        <v>0.13331999999999999</v>
      </c>
    </row>
    <row r="7204" spans="1:6" x14ac:dyDescent="0.3">
      <c r="A7204" t="s">
        <v>5</v>
      </c>
      <c r="B7204" s="1">
        <v>45958</v>
      </c>
      <c r="C7204">
        <v>3</v>
      </c>
      <c r="D7204">
        <v>0.123</v>
      </c>
      <c r="E7204" t="s">
        <v>6</v>
      </c>
      <c r="F7204">
        <v>0.13502</v>
      </c>
    </row>
    <row r="7205" spans="1:6" x14ac:dyDescent="0.3">
      <c r="A7205" t="s">
        <v>5</v>
      </c>
      <c r="B7205" s="1">
        <v>45958</v>
      </c>
      <c r="C7205">
        <v>4</v>
      </c>
      <c r="D7205">
        <v>0.10100000000000001</v>
      </c>
      <c r="E7205" t="s">
        <v>6</v>
      </c>
      <c r="F7205">
        <v>0.13077</v>
      </c>
    </row>
    <row r="7206" spans="1:6" x14ac:dyDescent="0.3">
      <c r="A7206" t="s">
        <v>5</v>
      </c>
      <c r="B7206" s="1">
        <v>45958</v>
      </c>
      <c r="C7206">
        <v>5</v>
      </c>
      <c r="D7206">
        <v>0.123</v>
      </c>
      <c r="E7206" t="s">
        <v>6</v>
      </c>
      <c r="F7206">
        <v>0.13056999999999999</v>
      </c>
    </row>
    <row r="7207" spans="1:6" x14ac:dyDescent="0.3">
      <c r="A7207" t="s">
        <v>5</v>
      </c>
      <c r="B7207" s="1">
        <v>45958</v>
      </c>
      <c r="C7207">
        <v>6</v>
      </c>
      <c r="D7207">
        <v>9.8000000000000004E-2</v>
      </c>
      <c r="E7207" t="s">
        <v>6</v>
      </c>
      <c r="F7207">
        <v>0.12562999999999999</v>
      </c>
    </row>
    <row r="7208" spans="1:6" x14ac:dyDescent="0.3">
      <c r="A7208" t="s">
        <v>5</v>
      </c>
      <c r="B7208" s="1">
        <v>45958</v>
      </c>
      <c r="C7208">
        <v>7</v>
      </c>
      <c r="D7208">
        <v>0.127</v>
      </c>
      <c r="E7208" t="s">
        <v>6</v>
      </c>
      <c r="F7208">
        <v>0.14019999999999999</v>
      </c>
    </row>
    <row r="7209" spans="1:6" x14ac:dyDescent="0.3">
      <c r="A7209" t="s">
        <v>5</v>
      </c>
      <c r="B7209" s="1">
        <v>45958</v>
      </c>
      <c r="C7209">
        <v>8</v>
      </c>
      <c r="D7209">
        <v>8.8999999999999996E-2</v>
      </c>
      <c r="E7209" t="s">
        <v>6</v>
      </c>
      <c r="F7209">
        <v>0.15562999999999999</v>
      </c>
    </row>
    <row r="7210" spans="1:6" x14ac:dyDescent="0.3">
      <c r="A7210" t="s">
        <v>5</v>
      </c>
      <c r="B7210" s="1">
        <v>45958</v>
      </c>
      <c r="C7210">
        <v>9</v>
      </c>
      <c r="D7210">
        <v>0.13</v>
      </c>
      <c r="E7210" t="s">
        <v>6</v>
      </c>
      <c r="F7210">
        <v>0.17213000000000001</v>
      </c>
    </row>
    <row r="7211" spans="1:6" x14ac:dyDescent="0.3">
      <c r="A7211" t="s">
        <v>5</v>
      </c>
      <c r="B7211" s="1">
        <v>45958</v>
      </c>
      <c r="C7211">
        <v>10</v>
      </c>
      <c r="D7211">
        <v>0.108</v>
      </c>
      <c r="E7211" t="s">
        <v>6</v>
      </c>
      <c r="F7211">
        <v>0.14965000000000001</v>
      </c>
    </row>
    <row r="7212" spans="1:6" x14ac:dyDescent="0.3">
      <c r="A7212" t="s">
        <v>5</v>
      </c>
      <c r="B7212" s="1">
        <v>45958</v>
      </c>
      <c r="C7212">
        <v>11</v>
      </c>
      <c r="D7212">
        <v>0.109</v>
      </c>
      <c r="E7212" t="s">
        <v>6</v>
      </c>
      <c r="F7212">
        <v>0.19058</v>
      </c>
    </row>
    <row r="7213" spans="1:6" x14ac:dyDescent="0.3">
      <c r="A7213" t="s">
        <v>5</v>
      </c>
      <c r="B7213" s="1">
        <v>45958</v>
      </c>
      <c r="C7213">
        <v>12</v>
      </c>
      <c r="D7213">
        <v>0.158</v>
      </c>
      <c r="E7213" t="s">
        <v>6</v>
      </c>
      <c r="F7213">
        <v>0.17561000000000002</v>
      </c>
    </row>
    <row r="7214" spans="1:6" x14ac:dyDescent="0.3">
      <c r="A7214" t="s">
        <v>5</v>
      </c>
      <c r="B7214" s="1">
        <v>45958</v>
      </c>
      <c r="C7214">
        <v>13</v>
      </c>
      <c r="D7214">
        <v>0.34</v>
      </c>
      <c r="E7214" t="s">
        <v>6</v>
      </c>
      <c r="F7214">
        <v>0.17394999999999999</v>
      </c>
    </row>
    <row r="7215" spans="1:6" x14ac:dyDescent="0.3">
      <c r="A7215" t="s">
        <v>5</v>
      </c>
      <c r="B7215" s="1">
        <v>45958</v>
      </c>
      <c r="C7215">
        <v>14</v>
      </c>
      <c r="D7215">
        <v>0.81899999999999995</v>
      </c>
      <c r="E7215" t="s">
        <v>6</v>
      </c>
      <c r="F7215">
        <v>0.17498</v>
      </c>
    </row>
    <row r="7216" spans="1:6" x14ac:dyDescent="0.3">
      <c r="A7216" t="s">
        <v>5</v>
      </c>
      <c r="B7216" s="1">
        <v>45958</v>
      </c>
      <c r="C7216">
        <v>15</v>
      </c>
      <c r="D7216">
        <v>0.53300000000000003</v>
      </c>
      <c r="E7216" t="s">
        <v>6</v>
      </c>
      <c r="F7216">
        <v>0.11949</v>
      </c>
    </row>
    <row r="7217" spans="1:6" x14ac:dyDescent="0.3">
      <c r="A7217" t="s">
        <v>5</v>
      </c>
      <c r="B7217" s="1">
        <v>45958</v>
      </c>
      <c r="C7217">
        <v>16</v>
      </c>
      <c r="D7217">
        <v>0.76</v>
      </c>
      <c r="E7217" t="s">
        <v>6</v>
      </c>
      <c r="F7217">
        <v>0.13088999999999998</v>
      </c>
    </row>
    <row r="7218" spans="1:6" x14ac:dyDescent="0.3">
      <c r="A7218" t="s">
        <v>5</v>
      </c>
      <c r="B7218" s="1">
        <v>45958</v>
      </c>
      <c r="C7218">
        <v>17</v>
      </c>
      <c r="D7218">
        <v>0.20799999999999999</v>
      </c>
      <c r="E7218" t="s">
        <v>6</v>
      </c>
      <c r="F7218">
        <v>0.15480000000000002</v>
      </c>
    </row>
    <row r="7219" spans="1:6" x14ac:dyDescent="0.3">
      <c r="A7219" t="s">
        <v>5</v>
      </c>
      <c r="B7219" s="1">
        <v>45958</v>
      </c>
      <c r="C7219">
        <v>18</v>
      </c>
      <c r="D7219">
        <v>0.19400000000000001</v>
      </c>
      <c r="E7219" t="s">
        <v>6</v>
      </c>
      <c r="F7219">
        <v>0.1668</v>
      </c>
    </row>
    <row r="7220" spans="1:6" x14ac:dyDescent="0.3">
      <c r="A7220" t="s">
        <v>5</v>
      </c>
      <c r="B7220" s="1">
        <v>45958</v>
      </c>
      <c r="C7220">
        <v>19</v>
      </c>
      <c r="D7220">
        <v>0.17799999999999999</v>
      </c>
      <c r="E7220" t="s">
        <v>6</v>
      </c>
      <c r="F7220">
        <v>0.24912000000000001</v>
      </c>
    </row>
    <row r="7221" spans="1:6" x14ac:dyDescent="0.3">
      <c r="A7221" t="s">
        <v>5</v>
      </c>
      <c r="B7221" s="1">
        <v>45958</v>
      </c>
      <c r="C7221">
        <v>20</v>
      </c>
      <c r="D7221">
        <v>0.25</v>
      </c>
      <c r="E7221" t="s">
        <v>6</v>
      </c>
      <c r="F7221">
        <v>0.25237999999999999</v>
      </c>
    </row>
    <row r="7222" spans="1:6" x14ac:dyDescent="0.3">
      <c r="A7222" t="s">
        <v>5</v>
      </c>
      <c r="B7222" s="1">
        <v>45958</v>
      </c>
      <c r="C7222">
        <v>21</v>
      </c>
      <c r="D7222">
        <v>0.308</v>
      </c>
      <c r="E7222" t="s">
        <v>6</v>
      </c>
      <c r="F7222">
        <v>0.26558999999999999</v>
      </c>
    </row>
    <row r="7223" spans="1:6" x14ac:dyDescent="0.3">
      <c r="A7223" t="s">
        <v>5</v>
      </c>
      <c r="B7223" s="1">
        <v>45958</v>
      </c>
      <c r="C7223">
        <v>22</v>
      </c>
      <c r="D7223">
        <v>0.26</v>
      </c>
      <c r="E7223" t="s">
        <v>6</v>
      </c>
      <c r="F7223">
        <v>0.25308999999999998</v>
      </c>
    </row>
    <row r="7224" spans="1:6" x14ac:dyDescent="0.3">
      <c r="A7224" t="s">
        <v>5</v>
      </c>
      <c r="B7224" s="1">
        <v>45958</v>
      </c>
      <c r="C7224">
        <v>23</v>
      </c>
      <c r="D7224">
        <v>0.16800000000000001</v>
      </c>
      <c r="E7224" t="s">
        <v>6</v>
      </c>
      <c r="F7224">
        <v>0.1706</v>
      </c>
    </row>
    <row r="7225" spans="1:6" x14ac:dyDescent="0.3">
      <c r="A7225" t="s">
        <v>5</v>
      </c>
      <c r="B7225" s="1">
        <v>45958</v>
      </c>
      <c r="C7225">
        <v>24</v>
      </c>
      <c r="D7225">
        <v>0.21</v>
      </c>
      <c r="E7225" t="s">
        <v>6</v>
      </c>
      <c r="F7225">
        <v>0.16361000000000001</v>
      </c>
    </row>
    <row r="7226" spans="1:6" x14ac:dyDescent="0.3">
      <c r="A7226" t="s">
        <v>5</v>
      </c>
      <c r="B7226" s="1">
        <v>45959</v>
      </c>
      <c r="C7226">
        <v>1</v>
      </c>
      <c r="D7226">
        <v>0.215</v>
      </c>
      <c r="E7226" t="s">
        <v>6</v>
      </c>
      <c r="F7226">
        <v>0.11415</v>
      </c>
    </row>
    <row r="7227" spans="1:6" x14ac:dyDescent="0.3">
      <c r="A7227" t="s">
        <v>5</v>
      </c>
      <c r="B7227" s="1">
        <v>45959</v>
      </c>
      <c r="C7227">
        <v>2</v>
      </c>
      <c r="D7227">
        <v>0.16900000000000001</v>
      </c>
      <c r="E7227" t="s">
        <v>6</v>
      </c>
      <c r="F7227">
        <v>0.11259000000000001</v>
      </c>
    </row>
    <row r="7228" spans="1:6" x14ac:dyDescent="0.3">
      <c r="A7228" t="s">
        <v>5</v>
      </c>
      <c r="B7228" s="1">
        <v>45959</v>
      </c>
      <c r="C7228">
        <v>3</v>
      </c>
      <c r="D7228">
        <v>0.127</v>
      </c>
      <c r="E7228" t="s">
        <v>6</v>
      </c>
      <c r="F7228">
        <v>0.11087999999999999</v>
      </c>
    </row>
    <row r="7229" spans="1:6" x14ac:dyDescent="0.3">
      <c r="A7229" t="s">
        <v>5</v>
      </c>
      <c r="B7229" s="1">
        <v>45959</v>
      </c>
      <c r="C7229">
        <v>4</v>
      </c>
      <c r="D7229">
        <v>0.115</v>
      </c>
      <c r="E7229" t="s">
        <v>6</v>
      </c>
      <c r="F7229">
        <v>0.10434</v>
      </c>
    </row>
    <row r="7230" spans="1:6" x14ac:dyDescent="0.3">
      <c r="A7230" t="s">
        <v>5</v>
      </c>
      <c r="B7230" s="1">
        <v>45959</v>
      </c>
      <c r="C7230">
        <v>5</v>
      </c>
      <c r="D7230">
        <v>0.107</v>
      </c>
      <c r="E7230" t="s">
        <v>6</v>
      </c>
      <c r="F7230">
        <v>0.1061</v>
      </c>
    </row>
    <row r="7231" spans="1:6" x14ac:dyDescent="0.3">
      <c r="A7231" t="s">
        <v>5</v>
      </c>
      <c r="B7231" s="1">
        <v>45959</v>
      </c>
      <c r="C7231">
        <v>6</v>
      </c>
      <c r="D7231">
        <v>0.12</v>
      </c>
      <c r="E7231" t="s">
        <v>6</v>
      </c>
      <c r="F7231">
        <v>0.10723999999999999</v>
      </c>
    </row>
    <row r="7232" spans="1:6" x14ac:dyDescent="0.3">
      <c r="A7232" t="s">
        <v>5</v>
      </c>
      <c r="B7232" s="1">
        <v>45959</v>
      </c>
      <c r="C7232">
        <v>7</v>
      </c>
      <c r="D7232">
        <v>0.1</v>
      </c>
      <c r="E7232" t="s">
        <v>6</v>
      </c>
      <c r="F7232">
        <v>0.11502</v>
      </c>
    </row>
    <row r="7233" spans="1:6" x14ac:dyDescent="0.3">
      <c r="A7233" t="s">
        <v>5</v>
      </c>
      <c r="B7233" s="1">
        <v>45959</v>
      </c>
      <c r="C7233">
        <v>8</v>
      </c>
      <c r="D7233">
        <v>0.124</v>
      </c>
      <c r="E7233" t="s">
        <v>6</v>
      </c>
      <c r="F7233">
        <v>0.13569999999999999</v>
      </c>
    </row>
    <row r="7234" spans="1:6" x14ac:dyDescent="0.3">
      <c r="A7234" t="s">
        <v>5</v>
      </c>
      <c r="B7234" s="1">
        <v>45959</v>
      </c>
      <c r="C7234">
        <v>9</v>
      </c>
      <c r="D7234">
        <v>0.16200000000000001</v>
      </c>
      <c r="E7234" t="s">
        <v>6</v>
      </c>
      <c r="F7234">
        <v>0.16718</v>
      </c>
    </row>
    <row r="7235" spans="1:6" x14ac:dyDescent="0.3">
      <c r="A7235" t="s">
        <v>5</v>
      </c>
      <c r="B7235" s="1">
        <v>45959</v>
      </c>
      <c r="C7235">
        <v>10</v>
      </c>
      <c r="D7235">
        <v>6.7000000000000004E-2</v>
      </c>
      <c r="E7235" t="s">
        <v>6</v>
      </c>
      <c r="F7235">
        <v>0.14909999999999998</v>
      </c>
    </row>
    <row r="7236" spans="1:6" x14ac:dyDescent="0.3">
      <c r="A7236" t="s">
        <v>5</v>
      </c>
      <c r="B7236" s="1">
        <v>45959</v>
      </c>
      <c r="C7236">
        <v>11</v>
      </c>
      <c r="D7236">
        <v>7.4999999999999997E-2</v>
      </c>
      <c r="E7236" t="s">
        <v>6</v>
      </c>
      <c r="F7236">
        <v>0.20074</v>
      </c>
    </row>
    <row r="7237" spans="1:6" x14ac:dyDescent="0.3">
      <c r="A7237" t="s">
        <v>5</v>
      </c>
      <c r="B7237" s="1">
        <v>45959</v>
      </c>
      <c r="C7237">
        <v>12</v>
      </c>
      <c r="D7237">
        <v>0.17100000000000001</v>
      </c>
      <c r="E7237" t="s">
        <v>6</v>
      </c>
      <c r="F7237">
        <v>0.19374</v>
      </c>
    </row>
    <row r="7238" spans="1:6" x14ac:dyDescent="0.3">
      <c r="A7238" t="s">
        <v>5</v>
      </c>
      <c r="B7238" s="1">
        <v>45959</v>
      </c>
      <c r="C7238">
        <v>13</v>
      </c>
      <c r="D7238">
        <v>9.7000000000000003E-2</v>
      </c>
      <c r="E7238" t="s">
        <v>6</v>
      </c>
      <c r="F7238">
        <v>0.19346000000000002</v>
      </c>
    </row>
    <row r="7239" spans="1:6" x14ac:dyDescent="0.3">
      <c r="A7239" t="s">
        <v>5</v>
      </c>
      <c r="B7239" s="1">
        <v>45959</v>
      </c>
      <c r="C7239">
        <v>14</v>
      </c>
      <c r="D7239">
        <v>0.16700000000000001</v>
      </c>
      <c r="E7239" t="s">
        <v>6</v>
      </c>
      <c r="F7239">
        <v>0.19294999999999998</v>
      </c>
    </row>
    <row r="7240" spans="1:6" x14ac:dyDescent="0.3">
      <c r="A7240" t="s">
        <v>5</v>
      </c>
      <c r="B7240" s="1">
        <v>45959</v>
      </c>
      <c r="C7240">
        <v>15</v>
      </c>
      <c r="D7240">
        <v>0.437</v>
      </c>
      <c r="E7240" t="s">
        <v>6</v>
      </c>
      <c r="F7240">
        <v>0.13885</v>
      </c>
    </row>
    <row r="7241" spans="1:6" x14ac:dyDescent="0.3">
      <c r="A7241" t="s">
        <v>5</v>
      </c>
      <c r="B7241" s="1">
        <v>45959</v>
      </c>
      <c r="C7241">
        <v>16</v>
      </c>
      <c r="D7241">
        <v>0.14199999999999999</v>
      </c>
      <c r="E7241" t="s">
        <v>6</v>
      </c>
      <c r="F7241">
        <v>0.15090000000000001</v>
      </c>
    </row>
    <row r="7242" spans="1:6" x14ac:dyDescent="0.3">
      <c r="A7242" t="s">
        <v>5</v>
      </c>
      <c r="B7242" s="1">
        <v>45959</v>
      </c>
      <c r="C7242">
        <v>17</v>
      </c>
      <c r="D7242">
        <v>0.17799999999999999</v>
      </c>
      <c r="E7242" t="s">
        <v>6</v>
      </c>
      <c r="F7242">
        <v>0.16188999999999998</v>
      </c>
    </row>
    <row r="7243" spans="1:6" x14ac:dyDescent="0.3">
      <c r="A7243" t="s">
        <v>5</v>
      </c>
      <c r="B7243" s="1">
        <v>45959</v>
      </c>
      <c r="C7243">
        <v>18</v>
      </c>
      <c r="D7243">
        <v>0.13200000000000001</v>
      </c>
      <c r="E7243" t="s">
        <v>6</v>
      </c>
      <c r="F7243">
        <v>0.18029000000000001</v>
      </c>
    </row>
    <row r="7244" spans="1:6" x14ac:dyDescent="0.3">
      <c r="A7244" t="s">
        <v>5</v>
      </c>
      <c r="B7244" s="1">
        <v>45959</v>
      </c>
      <c r="C7244">
        <v>19</v>
      </c>
      <c r="D7244">
        <v>8.4000000000000005E-2</v>
      </c>
      <c r="E7244" t="s">
        <v>6</v>
      </c>
      <c r="F7244">
        <v>0.26602999999999999</v>
      </c>
    </row>
    <row r="7245" spans="1:6" x14ac:dyDescent="0.3">
      <c r="A7245" t="s">
        <v>5</v>
      </c>
      <c r="B7245" s="1">
        <v>45959</v>
      </c>
      <c r="C7245">
        <v>20</v>
      </c>
      <c r="D7245">
        <v>8.4000000000000005E-2</v>
      </c>
      <c r="E7245" t="s">
        <v>6</v>
      </c>
      <c r="F7245">
        <v>0.28285000000000005</v>
      </c>
    </row>
    <row r="7246" spans="1:6" x14ac:dyDescent="0.3">
      <c r="A7246" t="s">
        <v>5</v>
      </c>
      <c r="B7246" s="1">
        <v>45959</v>
      </c>
      <c r="C7246">
        <v>21</v>
      </c>
      <c r="D7246">
        <v>0.125</v>
      </c>
      <c r="E7246" t="s">
        <v>6</v>
      </c>
      <c r="F7246">
        <v>0.29082999999999998</v>
      </c>
    </row>
    <row r="7247" spans="1:6" x14ac:dyDescent="0.3">
      <c r="A7247" t="s">
        <v>5</v>
      </c>
      <c r="B7247" s="1">
        <v>45959</v>
      </c>
      <c r="C7247">
        <v>22</v>
      </c>
      <c r="D7247">
        <v>0.188</v>
      </c>
      <c r="E7247" t="s">
        <v>6</v>
      </c>
      <c r="F7247">
        <v>0.27788999999999997</v>
      </c>
    </row>
    <row r="7248" spans="1:6" x14ac:dyDescent="0.3">
      <c r="A7248" t="s">
        <v>5</v>
      </c>
      <c r="B7248" s="1">
        <v>45959</v>
      </c>
      <c r="C7248">
        <v>23</v>
      </c>
      <c r="D7248">
        <v>0.23899999999999999</v>
      </c>
      <c r="E7248" t="s">
        <v>6</v>
      </c>
      <c r="F7248">
        <v>0.18922999999999998</v>
      </c>
    </row>
    <row r="7249" spans="1:6" x14ac:dyDescent="0.3">
      <c r="A7249" t="s">
        <v>5</v>
      </c>
      <c r="B7249" s="1">
        <v>45959</v>
      </c>
      <c r="C7249">
        <v>24</v>
      </c>
      <c r="D7249">
        <v>0.33200000000000002</v>
      </c>
      <c r="E7249" t="s">
        <v>6</v>
      </c>
      <c r="F7249">
        <v>0.17157</v>
      </c>
    </row>
    <row r="7250" spans="1:6" x14ac:dyDescent="0.3">
      <c r="A7250" t="s">
        <v>5</v>
      </c>
      <c r="B7250" s="1">
        <v>45960</v>
      </c>
      <c r="C7250">
        <v>1</v>
      </c>
      <c r="D7250">
        <v>0.69899999999999995</v>
      </c>
      <c r="E7250" t="s">
        <v>6</v>
      </c>
      <c r="F7250">
        <v>0.15499000000000002</v>
      </c>
    </row>
    <row r="7251" spans="1:6" x14ac:dyDescent="0.3">
      <c r="A7251" t="s">
        <v>5</v>
      </c>
      <c r="B7251" s="1">
        <v>45960</v>
      </c>
      <c r="C7251">
        <v>2</v>
      </c>
      <c r="D7251">
        <v>0.52800000000000002</v>
      </c>
      <c r="E7251" t="s">
        <v>6</v>
      </c>
      <c r="F7251">
        <v>0.14604</v>
      </c>
    </row>
    <row r="7252" spans="1:6" x14ac:dyDescent="0.3">
      <c r="A7252" t="s">
        <v>5</v>
      </c>
      <c r="B7252" s="1">
        <v>45960</v>
      </c>
      <c r="C7252">
        <v>3</v>
      </c>
      <c r="D7252">
        <v>0.69099999999999995</v>
      </c>
      <c r="E7252" t="s">
        <v>6</v>
      </c>
      <c r="F7252">
        <v>0.13880999999999999</v>
      </c>
    </row>
    <row r="7253" spans="1:6" x14ac:dyDescent="0.3">
      <c r="A7253" t="s">
        <v>5</v>
      </c>
      <c r="B7253" s="1">
        <v>45960</v>
      </c>
      <c r="C7253">
        <v>4</v>
      </c>
      <c r="D7253">
        <v>0.111</v>
      </c>
      <c r="E7253" t="s">
        <v>6</v>
      </c>
      <c r="F7253">
        <v>0.13361000000000001</v>
      </c>
    </row>
    <row r="7254" spans="1:6" x14ac:dyDescent="0.3">
      <c r="A7254" t="s">
        <v>5</v>
      </c>
      <c r="B7254" s="1">
        <v>45960</v>
      </c>
      <c r="C7254">
        <v>5</v>
      </c>
      <c r="D7254">
        <v>0.113</v>
      </c>
      <c r="E7254" t="s">
        <v>6</v>
      </c>
      <c r="F7254">
        <v>0.12362000000000001</v>
      </c>
    </row>
    <row r="7255" spans="1:6" x14ac:dyDescent="0.3">
      <c r="A7255" t="s">
        <v>5</v>
      </c>
      <c r="B7255" s="1">
        <v>45960</v>
      </c>
      <c r="C7255">
        <v>6</v>
      </c>
      <c r="D7255">
        <v>0.1</v>
      </c>
      <c r="E7255" t="s">
        <v>6</v>
      </c>
      <c r="F7255">
        <v>0.12138</v>
      </c>
    </row>
    <row r="7256" spans="1:6" x14ac:dyDescent="0.3">
      <c r="A7256" t="s">
        <v>5</v>
      </c>
      <c r="B7256" s="1">
        <v>45960</v>
      </c>
      <c r="C7256">
        <v>7</v>
      </c>
      <c r="D7256">
        <v>0.11600000000000001</v>
      </c>
      <c r="E7256" t="s">
        <v>6</v>
      </c>
      <c r="F7256">
        <v>0.13994000000000001</v>
      </c>
    </row>
    <row r="7257" spans="1:6" x14ac:dyDescent="0.3">
      <c r="A7257" t="s">
        <v>5</v>
      </c>
      <c r="B7257" s="1">
        <v>45960</v>
      </c>
      <c r="C7257">
        <v>8</v>
      </c>
      <c r="D7257">
        <v>9.2999999999999999E-2</v>
      </c>
      <c r="E7257" t="s">
        <v>6</v>
      </c>
      <c r="F7257">
        <v>0.15968000000000002</v>
      </c>
    </row>
    <row r="7258" spans="1:6" x14ac:dyDescent="0.3">
      <c r="A7258" t="s">
        <v>5</v>
      </c>
      <c r="B7258" s="1">
        <v>45960</v>
      </c>
      <c r="C7258">
        <v>9</v>
      </c>
      <c r="D7258">
        <v>0.16400000000000001</v>
      </c>
      <c r="E7258" t="s">
        <v>6</v>
      </c>
      <c r="F7258">
        <v>0.18390000000000001</v>
      </c>
    </row>
    <row r="7259" spans="1:6" x14ac:dyDescent="0.3">
      <c r="A7259" t="s">
        <v>5</v>
      </c>
      <c r="B7259" s="1">
        <v>45960</v>
      </c>
      <c r="C7259">
        <v>10</v>
      </c>
      <c r="D7259">
        <v>0.105</v>
      </c>
      <c r="E7259" t="s">
        <v>6</v>
      </c>
      <c r="F7259">
        <v>0.16622000000000001</v>
      </c>
    </row>
    <row r="7260" spans="1:6" x14ac:dyDescent="0.3">
      <c r="A7260" t="s">
        <v>5</v>
      </c>
      <c r="B7260" s="1">
        <v>45960</v>
      </c>
      <c r="C7260">
        <v>11</v>
      </c>
      <c r="D7260">
        <v>0.111</v>
      </c>
      <c r="E7260" t="s">
        <v>6</v>
      </c>
      <c r="F7260">
        <v>0.18487999999999999</v>
      </c>
    </row>
    <row r="7261" spans="1:6" x14ac:dyDescent="0.3">
      <c r="A7261" t="s">
        <v>5</v>
      </c>
      <c r="B7261" s="1">
        <v>45960</v>
      </c>
      <c r="C7261">
        <v>12</v>
      </c>
      <c r="D7261">
        <v>0.16200000000000001</v>
      </c>
      <c r="E7261" t="s">
        <v>6</v>
      </c>
      <c r="F7261">
        <v>0.15746000000000002</v>
      </c>
    </row>
    <row r="7262" spans="1:6" x14ac:dyDescent="0.3">
      <c r="A7262" t="s">
        <v>5</v>
      </c>
      <c r="B7262" s="1">
        <v>45960</v>
      </c>
      <c r="C7262">
        <v>13</v>
      </c>
      <c r="D7262">
        <v>0.21099999999999999</v>
      </c>
      <c r="E7262" t="s">
        <v>6</v>
      </c>
      <c r="F7262">
        <v>0.13346</v>
      </c>
    </row>
    <row r="7263" spans="1:6" x14ac:dyDescent="0.3">
      <c r="A7263" t="s">
        <v>5</v>
      </c>
      <c r="B7263" s="1">
        <v>45960</v>
      </c>
      <c r="C7263">
        <v>14</v>
      </c>
      <c r="D7263">
        <v>0.255</v>
      </c>
      <c r="E7263" t="s">
        <v>6</v>
      </c>
      <c r="F7263">
        <v>0.13172</v>
      </c>
    </row>
    <row r="7264" spans="1:6" x14ac:dyDescent="0.3">
      <c r="A7264" t="s">
        <v>5</v>
      </c>
      <c r="B7264" s="1">
        <v>45960</v>
      </c>
      <c r="C7264">
        <v>15</v>
      </c>
      <c r="D7264">
        <v>0.23100000000000001</v>
      </c>
      <c r="E7264" t="s">
        <v>6</v>
      </c>
      <c r="F7264">
        <v>6.5349999999999991E-2</v>
      </c>
    </row>
    <row r="7265" spans="1:6" x14ac:dyDescent="0.3">
      <c r="A7265" t="s">
        <v>5</v>
      </c>
      <c r="B7265" s="1">
        <v>45960</v>
      </c>
      <c r="C7265">
        <v>16</v>
      </c>
      <c r="D7265">
        <v>0.23499999999999999</v>
      </c>
      <c r="E7265" t="s">
        <v>6</v>
      </c>
      <c r="F7265">
        <v>7.8290000000000012E-2</v>
      </c>
    </row>
    <row r="7266" spans="1:6" x14ac:dyDescent="0.3">
      <c r="A7266" t="s">
        <v>5</v>
      </c>
      <c r="B7266" s="1">
        <v>45960</v>
      </c>
      <c r="C7266">
        <v>17</v>
      </c>
      <c r="D7266">
        <v>0.113</v>
      </c>
      <c r="E7266" t="s">
        <v>6</v>
      </c>
      <c r="F7266">
        <v>0.11971999999999999</v>
      </c>
    </row>
    <row r="7267" spans="1:6" x14ac:dyDescent="0.3">
      <c r="A7267" t="s">
        <v>5</v>
      </c>
      <c r="B7267" s="1">
        <v>45960</v>
      </c>
      <c r="C7267">
        <v>18</v>
      </c>
      <c r="D7267">
        <v>0.112</v>
      </c>
      <c r="E7267" t="s">
        <v>6</v>
      </c>
      <c r="F7267">
        <v>0.16803999999999999</v>
      </c>
    </row>
    <row r="7268" spans="1:6" x14ac:dyDescent="0.3">
      <c r="A7268" t="s">
        <v>5</v>
      </c>
      <c r="B7268" s="1">
        <v>45960</v>
      </c>
      <c r="C7268">
        <v>19</v>
      </c>
      <c r="D7268">
        <v>0.111</v>
      </c>
      <c r="E7268" t="s">
        <v>6</v>
      </c>
      <c r="F7268">
        <v>0.24672999999999998</v>
      </c>
    </row>
    <row r="7269" spans="1:6" x14ac:dyDescent="0.3">
      <c r="A7269" t="s">
        <v>5</v>
      </c>
      <c r="B7269" s="1">
        <v>45960</v>
      </c>
      <c r="C7269">
        <v>20</v>
      </c>
      <c r="D7269">
        <v>0.123</v>
      </c>
      <c r="E7269" t="s">
        <v>6</v>
      </c>
      <c r="F7269">
        <v>0.24765000000000001</v>
      </c>
    </row>
    <row r="7270" spans="1:6" x14ac:dyDescent="0.3">
      <c r="A7270" t="s">
        <v>5</v>
      </c>
      <c r="B7270" s="1">
        <v>45960</v>
      </c>
      <c r="C7270">
        <v>21</v>
      </c>
      <c r="D7270">
        <v>0.66800000000000004</v>
      </c>
      <c r="E7270" t="s">
        <v>6</v>
      </c>
      <c r="F7270">
        <v>0.26433000000000001</v>
      </c>
    </row>
    <row r="7271" spans="1:6" x14ac:dyDescent="0.3">
      <c r="A7271" t="s">
        <v>5</v>
      </c>
      <c r="B7271" s="1">
        <v>45960</v>
      </c>
      <c r="C7271">
        <v>22</v>
      </c>
      <c r="D7271">
        <v>0.20899999999999999</v>
      </c>
      <c r="E7271" t="s">
        <v>6</v>
      </c>
      <c r="F7271">
        <v>0.24296999999999999</v>
      </c>
    </row>
    <row r="7272" spans="1:6" x14ac:dyDescent="0.3">
      <c r="A7272" t="s">
        <v>5</v>
      </c>
      <c r="B7272" s="1">
        <v>45960</v>
      </c>
      <c r="C7272">
        <v>23</v>
      </c>
      <c r="D7272">
        <v>0.183</v>
      </c>
      <c r="E7272" t="s">
        <v>6</v>
      </c>
      <c r="F7272">
        <v>0.16833999999999999</v>
      </c>
    </row>
    <row r="7273" spans="1:6" x14ac:dyDescent="0.3">
      <c r="A7273" t="s">
        <v>5</v>
      </c>
      <c r="B7273" s="1">
        <v>45960</v>
      </c>
      <c r="C7273">
        <v>24</v>
      </c>
      <c r="D7273">
        <v>0.25600000000000001</v>
      </c>
      <c r="E7273" t="s">
        <v>6</v>
      </c>
      <c r="F7273">
        <v>0.15506</v>
      </c>
    </row>
    <row r="7274" spans="1:6" x14ac:dyDescent="0.3">
      <c r="A7274" t="s">
        <v>5</v>
      </c>
      <c r="B7274" s="1">
        <v>45961</v>
      </c>
      <c r="C7274">
        <v>1</v>
      </c>
      <c r="D7274">
        <v>0.192</v>
      </c>
      <c r="E7274" t="s">
        <v>6</v>
      </c>
      <c r="F7274">
        <v>0.12433</v>
      </c>
    </row>
    <row r="7275" spans="1:6" x14ac:dyDescent="0.3">
      <c r="A7275" t="s">
        <v>5</v>
      </c>
      <c r="B7275" s="1">
        <v>45961</v>
      </c>
      <c r="C7275">
        <v>2</v>
      </c>
      <c r="D7275">
        <v>0.121</v>
      </c>
      <c r="E7275" t="s">
        <v>6</v>
      </c>
      <c r="F7275">
        <v>0.11072</v>
      </c>
    </row>
    <row r="7276" spans="1:6" x14ac:dyDescent="0.3">
      <c r="A7276" t="s">
        <v>5</v>
      </c>
      <c r="B7276" s="1">
        <v>45961</v>
      </c>
      <c r="C7276">
        <v>3</v>
      </c>
      <c r="D7276">
        <v>0.123</v>
      </c>
      <c r="E7276" t="s">
        <v>6</v>
      </c>
      <c r="F7276">
        <v>0.11328000000000001</v>
      </c>
    </row>
    <row r="7277" spans="1:6" x14ac:dyDescent="0.3">
      <c r="A7277" t="s">
        <v>5</v>
      </c>
      <c r="B7277" s="1">
        <v>45961</v>
      </c>
      <c r="C7277">
        <v>4</v>
      </c>
      <c r="D7277">
        <v>0.12</v>
      </c>
      <c r="E7277" t="s">
        <v>6</v>
      </c>
      <c r="F7277">
        <v>0.10895000000000001</v>
      </c>
    </row>
    <row r="7278" spans="1:6" x14ac:dyDescent="0.3">
      <c r="A7278" t="s">
        <v>5</v>
      </c>
      <c r="B7278" s="1">
        <v>45961</v>
      </c>
      <c r="C7278">
        <v>5</v>
      </c>
      <c r="D7278">
        <v>0.17299999999999999</v>
      </c>
      <c r="E7278" t="s">
        <v>6</v>
      </c>
      <c r="F7278">
        <v>0.10882</v>
      </c>
    </row>
    <row r="7279" spans="1:6" x14ac:dyDescent="0.3">
      <c r="A7279" t="s">
        <v>5</v>
      </c>
      <c r="B7279" s="1">
        <v>45961</v>
      </c>
      <c r="C7279">
        <v>6</v>
      </c>
      <c r="D7279">
        <v>0.13500000000000001</v>
      </c>
      <c r="E7279" t="s">
        <v>6</v>
      </c>
      <c r="F7279">
        <v>0.10818000000000001</v>
      </c>
    </row>
    <row r="7280" spans="1:6" x14ac:dyDescent="0.3">
      <c r="A7280" t="s">
        <v>5</v>
      </c>
      <c r="B7280" s="1">
        <v>45961</v>
      </c>
      <c r="C7280">
        <v>7</v>
      </c>
      <c r="D7280">
        <v>0.107</v>
      </c>
      <c r="E7280" t="s">
        <v>6</v>
      </c>
      <c r="F7280">
        <v>0.12203</v>
      </c>
    </row>
    <row r="7281" spans="1:6" x14ac:dyDescent="0.3">
      <c r="A7281" t="s">
        <v>5</v>
      </c>
      <c r="B7281" s="1">
        <v>45961</v>
      </c>
      <c r="C7281">
        <v>8</v>
      </c>
      <c r="D7281">
        <v>0.19500000000000001</v>
      </c>
      <c r="E7281" t="s">
        <v>6</v>
      </c>
      <c r="F7281">
        <v>0.12859000000000001</v>
      </c>
    </row>
    <row r="7282" spans="1:6" x14ac:dyDescent="0.3">
      <c r="A7282" t="s">
        <v>5</v>
      </c>
      <c r="B7282" s="1">
        <v>45961</v>
      </c>
      <c r="C7282">
        <v>9</v>
      </c>
      <c r="D7282">
        <v>0.16800000000000001</v>
      </c>
      <c r="E7282" t="s">
        <v>6</v>
      </c>
      <c r="F7282">
        <v>0.15691999999999998</v>
      </c>
    </row>
    <row r="7283" spans="1:6" x14ac:dyDescent="0.3">
      <c r="A7283" t="s">
        <v>5</v>
      </c>
      <c r="B7283" s="1">
        <v>45961</v>
      </c>
      <c r="C7283">
        <v>10</v>
      </c>
      <c r="D7283">
        <v>0.11</v>
      </c>
      <c r="E7283" t="s">
        <v>6</v>
      </c>
      <c r="F7283">
        <v>0.13478000000000001</v>
      </c>
    </row>
    <row r="7284" spans="1:6" x14ac:dyDescent="0.3">
      <c r="A7284" t="s">
        <v>5</v>
      </c>
      <c r="B7284" s="1">
        <v>45961</v>
      </c>
      <c r="C7284">
        <v>11</v>
      </c>
      <c r="D7284">
        <v>7.6999999999999999E-2</v>
      </c>
      <c r="E7284" t="s">
        <v>6</v>
      </c>
      <c r="F7284">
        <v>0.17274999999999999</v>
      </c>
    </row>
    <row r="7285" spans="1:6" x14ac:dyDescent="0.3">
      <c r="A7285" t="s">
        <v>5</v>
      </c>
      <c r="B7285" s="1">
        <v>45961</v>
      </c>
      <c r="C7285">
        <v>12</v>
      </c>
      <c r="D7285">
        <v>0.14399999999999999</v>
      </c>
      <c r="E7285" t="s">
        <v>6</v>
      </c>
      <c r="F7285">
        <v>0.15490000000000001</v>
      </c>
    </row>
    <row r="7286" spans="1:6" x14ac:dyDescent="0.3">
      <c r="A7286" t="s">
        <v>5</v>
      </c>
      <c r="B7286" s="1">
        <v>45961</v>
      </c>
      <c r="C7286">
        <v>13</v>
      </c>
      <c r="D7286">
        <v>0.106</v>
      </c>
      <c r="E7286" t="s">
        <v>6</v>
      </c>
      <c r="F7286">
        <v>0.15392</v>
      </c>
    </row>
    <row r="7287" spans="1:6" x14ac:dyDescent="0.3">
      <c r="A7287" t="s">
        <v>5</v>
      </c>
      <c r="B7287" s="1">
        <v>45961</v>
      </c>
      <c r="C7287">
        <v>14</v>
      </c>
      <c r="D7287">
        <v>0.13500000000000001</v>
      </c>
      <c r="E7287" t="s">
        <v>6</v>
      </c>
      <c r="F7287">
        <v>0.14995</v>
      </c>
    </row>
    <row r="7288" spans="1:6" x14ac:dyDescent="0.3">
      <c r="A7288" t="s">
        <v>5</v>
      </c>
      <c r="B7288" s="1">
        <v>45961</v>
      </c>
      <c r="C7288">
        <v>15</v>
      </c>
      <c r="D7288">
        <v>0.107</v>
      </c>
      <c r="E7288" t="s">
        <v>6</v>
      </c>
      <c r="F7288">
        <v>8.5790000000000005E-2</v>
      </c>
    </row>
    <row r="7289" spans="1:6" x14ac:dyDescent="0.3">
      <c r="A7289" t="s">
        <v>5</v>
      </c>
      <c r="B7289" s="1">
        <v>45961</v>
      </c>
      <c r="C7289">
        <v>16</v>
      </c>
      <c r="D7289">
        <v>7.3999999999999996E-2</v>
      </c>
      <c r="E7289" t="s">
        <v>6</v>
      </c>
      <c r="F7289">
        <v>9.5129999999999992E-2</v>
      </c>
    </row>
    <row r="7290" spans="1:6" x14ac:dyDescent="0.3">
      <c r="A7290" t="s">
        <v>5</v>
      </c>
      <c r="B7290" s="1">
        <v>45961</v>
      </c>
      <c r="C7290">
        <v>17</v>
      </c>
      <c r="D7290">
        <v>7.2999999999999995E-2</v>
      </c>
      <c r="E7290" t="s">
        <v>6</v>
      </c>
      <c r="F7290">
        <v>0.11973</v>
      </c>
    </row>
    <row r="7291" spans="1:6" x14ac:dyDescent="0.3">
      <c r="A7291" t="s">
        <v>5</v>
      </c>
      <c r="B7291" s="1">
        <v>45961</v>
      </c>
      <c r="C7291">
        <v>18</v>
      </c>
      <c r="D7291">
        <v>7.2999999999999995E-2</v>
      </c>
      <c r="E7291" t="s">
        <v>6</v>
      </c>
      <c r="F7291">
        <v>0.14956</v>
      </c>
    </row>
    <row r="7292" spans="1:6" x14ac:dyDescent="0.3">
      <c r="A7292" t="s">
        <v>5</v>
      </c>
      <c r="B7292" s="1">
        <v>45961</v>
      </c>
      <c r="C7292">
        <v>19</v>
      </c>
      <c r="D7292">
        <v>5.2999999999999999E-2</v>
      </c>
      <c r="E7292" t="s">
        <v>6</v>
      </c>
      <c r="F7292">
        <v>0.22733</v>
      </c>
    </row>
    <row r="7293" spans="1:6" x14ac:dyDescent="0.3">
      <c r="A7293" t="s">
        <v>5</v>
      </c>
      <c r="B7293" s="1">
        <v>45961</v>
      </c>
      <c r="C7293">
        <v>20</v>
      </c>
      <c r="D7293">
        <v>8.2000000000000003E-2</v>
      </c>
      <c r="E7293" t="s">
        <v>6</v>
      </c>
      <c r="F7293">
        <v>0.23483000000000001</v>
      </c>
    </row>
    <row r="7294" spans="1:6" x14ac:dyDescent="0.3">
      <c r="A7294" t="s">
        <v>5</v>
      </c>
      <c r="B7294" s="1">
        <v>45961</v>
      </c>
      <c r="C7294">
        <v>21</v>
      </c>
      <c r="D7294">
        <v>0.82299999999999995</v>
      </c>
      <c r="E7294" t="s">
        <v>6</v>
      </c>
      <c r="F7294">
        <v>0.23798</v>
      </c>
    </row>
    <row r="7295" spans="1:6" x14ac:dyDescent="0.3">
      <c r="A7295" t="s">
        <v>5</v>
      </c>
      <c r="B7295" s="1">
        <v>45961</v>
      </c>
      <c r="C7295">
        <v>22</v>
      </c>
      <c r="D7295">
        <v>0.13100000000000001</v>
      </c>
      <c r="E7295" t="s">
        <v>6</v>
      </c>
      <c r="F7295">
        <v>0.2278</v>
      </c>
    </row>
    <row r="7296" spans="1:6" x14ac:dyDescent="0.3">
      <c r="A7296" t="s">
        <v>5</v>
      </c>
      <c r="B7296" s="1">
        <v>45961</v>
      </c>
      <c r="C7296">
        <v>23</v>
      </c>
      <c r="D7296">
        <v>0.106</v>
      </c>
      <c r="E7296" t="s">
        <v>6</v>
      </c>
      <c r="F7296">
        <v>0.15850999999999998</v>
      </c>
    </row>
    <row r="7297" spans="1:6" x14ac:dyDescent="0.3">
      <c r="A7297" t="s">
        <v>5</v>
      </c>
      <c r="B7297" s="1">
        <v>45961</v>
      </c>
      <c r="C7297">
        <v>24</v>
      </c>
      <c r="D7297">
        <v>0.13500000000000001</v>
      </c>
      <c r="E7297" t="s">
        <v>6</v>
      </c>
      <c r="F7297">
        <v>0.14874999999999999</v>
      </c>
    </row>
    <row r="7298" spans="1:6" x14ac:dyDescent="0.3">
      <c r="A7298" t="s">
        <v>5</v>
      </c>
      <c r="B7298" s="1">
        <v>45962</v>
      </c>
      <c r="C7298">
        <v>1</v>
      </c>
      <c r="D7298">
        <v>8.1000000000000003E-2</v>
      </c>
      <c r="E7298" t="s">
        <v>6</v>
      </c>
      <c r="F7298">
        <v>0.10854000000000001</v>
      </c>
    </row>
    <row r="7299" spans="1:6" x14ac:dyDescent="0.3">
      <c r="A7299" t="s">
        <v>5</v>
      </c>
      <c r="B7299" s="1">
        <v>45962</v>
      </c>
      <c r="C7299">
        <v>2</v>
      </c>
      <c r="D7299">
        <v>7.2999999999999995E-2</v>
      </c>
      <c r="E7299" t="s">
        <v>6</v>
      </c>
      <c r="F7299">
        <v>8.8069999999999996E-2</v>
      </c>
    </row>
    <row r="7300" spans="1:6" x14ac:dyDescent="0.3">
      <c r="A7300" t="s">
        <v>5</v>
      </c>
      <c r="B7300" s="1">
        <v>45962</v>
      </c>
      <c r="C7300">
        <v>3</v>
      </c>
      <c r="D7300">
        <v>6.3E-2</v>
      </c>
      <c r="E7300" t="s">
        <v>6</v>
      </c>
      <c r="F7300">
        <v>8.992E-2</v>
      </c>
    </row>
    <row r="7301" spans="1:6" x14ac:dyDescent="0.3">
      <c r="A7301" t="s">
        <v>5</v>
      </c>
      <c r="B7301" s="1">
        <v>45962</v>
      </c>
      <c r="C7301">
        <v>4</v>
      </c>
      <c r="D7301">
        <v>6.3E-2</v>
      </c>
      <c r="E7301" t="s">
        <v>6</v>
      </c>
      <c r="F7301">
        <v>9.5469999999999999E-2</v>
      </c>
    </row>
    <row r="7302" spans="1:6" x14ac:dyDescent="0.3">
      <c r="A7302" t="s">
        <v>5</v>
      </c>
      <c r="B7302" s="1">
        <v>45962</v>
      </c>
      <c r="C7302">
        <v>5</v>
      </c>
      <c r="D7302">
        <v>7.2999999999999995E-2</v>
      </c>
      <c r="E7302" t="s">
        <v>6</v>
      </c>
      <c r="F7302">
        <v>9.6120000000000011E-2</v>
      </c>
    </row>
    <row r="7303" spans="1:6" x14ac:dyDescent="0.3">
      <c r="A7303" t="s">
        <v>5</v>
      </c>
      <c r="B7303" s="1">
        <v>45962</v>
      </c>
      <c r="C7303">
        <v>6</v>
      </c>
      <c r="D7303">
        <v>5.8000000000000003E-2</v>
      </c>
      <c r="E7303" t="s">
        <v>6</v>
      </c>
      <c r="F7303">
        <v>9.9170000000000008E-2</v>
      </c>
    </row>
    <row r="7304" spans="1:6" x14ac:dyDescent="0.3">
      <c r="A7304" t="s">
        <v>5</v>
      </c>
      <c r="B7304" s="1">
        <v>45962</v>
      </c>
      <c r="C7304">
        <v>7</v>
      </c>
      <c r="D7304">
        <v>6.8000000000000005E-2</v>
      </c>
      <c r="E7304" t="s">
        <v>6</v>
      </c>
      <c r="F7304">
        <v>0.11101999999999999</v>
      </c>
    </row>
    <row r="7305" spans="1:6" x14ac:dyDescent="0.3">
      <c r="A7305" t="s">
        <v>5</v>
      </c>
      <c r="B7305" s="1">
        <v>45962</v>
      </c>
      <c r="C7305">
        <v>8</v>
      </c>
      <c r="D7305">
        <v>7.1999999999999995E-2</v>
      </c>
      <c r="E7305" t="s">
        <v>6</v>
      </c>
      <c r="F7305">
        <v>0.11839</v>
      </c>
    </row>
    <row r="7306" spans="1:6" x14ac:dyDescent="0.3">
      <c r="A7306" t="s">
        <v>5</v>
      </c>
      <c r="B7306" s="1">
        <v>45962</v>
      </c>
      <c r="C7306">
        <v>9</v>
      </c>
      <c r="D7306">
        <v>5.6000000000000001E-2</v>
      </c>
      <c r="E7306" t="s">
        <v>6</v>
      </c>
      <c r="F7306">
        <v>0.12963999999999998</v>
      </c>
    </row>
    <row r="7307" spans="1:6" x14ac:dyDescent="0.3">
      <c r="A7307" t="s">
        <v>5</v>
      </c>
      <c r="B7307" s="1">
        <v>45962</v>
      </c>
      <c r="C7307">
        <v>10</v>
      </c>
      <c r="D7307">
        <v>0.214</v>
      </c>
      <c r="E7307" t="s">
        <v>6</v>
      </c>
      <c r="F7307">
        <v>8.9340000000000003E-2</v>
      </c>
    </row>
    <row r="7308" spans="1:6" x14ac:dyDescent="0.3">
      <c r="A7308" t="s">
        <v>5</v>
      </c>
      <c r="B7308" s="1">
        <v>45962</v>
      </c>
      <c r="C7308">
        <v>11</v>
      </c>
      <c r="D7308">
        <v>0.105</v>
      </c>
      <c r="E7308" t="s">
        <v>6</v>
      </c>
      <c r="F7308">
        <v>7.7200000000000005E-2</v>
      </c>
    </row>
    <row r="7309" spans="1:6" x14ac:dyDescent="0.3">
      <c r="A7309" t="s">
        <v>5</v>
      </c>
      <c r="B7309" s="1">
        <v>45962</v>
      </c>
      <c r="C7309">
        <v>12</v>
      </c>
      <c r="D7309">
        <v>0.14499999999999999</v>
      </c>
      <c r="E7309" t="s">
        <v>6</v>
      </c>
      <c r="F7309">
        <v>7.2849999999999998E-2</v>
      </c>
    </row>
    <row r="7310" spans="1:6" x14ac:dyDescent="0.3">
      <c r="A7310" t="s">
        <v>5</v>
      </c>
      <c r="B7310" s="1">
        <v>45962</v>
      </c>
      <c r="C7310">
        <v>13</v>
      </c>
      <c r="D7310">
        <v>0.123</v>
      </c>
      <c r="E7310" t="s">
        <v>6</v>
      </c>
      <c r="F7310">
        <v>6.8589999999999998E-2</v>
      </c>
    </row>
    <row r="7311" spans="1:6" x14ac:dyDescent="0.3">
      <c r="A7311" t="s">
        <v>5</v>
      </c>
      <c r="B7311" s="1">
        <v>45962</v>
      </c>
      <c r="C7311">
        <v>14</v>
      </c>
      <c r="D7311">
        <v>6.8000000000000005E-2</v>
      </c>
      <c r="E7311" t="s">
        <v>6</v>
      </c>
      <c r="F7311">
        <v>7.442E-2</v>
      </c>
    </row>
    <row r="7312" spans="1:6" x14ac:dyDescent="0.3">
      <c r="A7312" t="s">
        <v>5</v>
      </c>
      <c r="B7312" s="1">
        <v>45962</v>
      </c>
      <c r="C7312">
        <v>15</v>
      </c>
      <c r="D7312">
        <v>7.6999999999999999E-2</v>
      </c>
      <c r="E7312" t="s">
        <v>6</v>
      </c>
      <c r="F7312">
        <v>7.5260000000000007E-2</v>
      </c>
    </row>
    <row r="7313" spans="1:6" x14ac:dyDescent="0.3">
      <c r="A7313" t="s">
        <v>5</v>
      </c>
      <c r="B7313" s="1">
        <v>45962</v>
      </c>
      <c r="C7313">
        <v>16</v>
      </c>
      <c r="D7313">
        <v>5.8000000000000003E-2</v>
      </c>
      <c r="E7313" t="s">
        <v>6</v>
      </c>
      <c r="F7313">
        <v>8.516E-2</v>
      </c>
    </row>
    <row r="7314" spans="1:6" x14ac:dyDescent="0.3">
      <c r="A7314" t="s">
        <v>5</v>
      </c>
      <c r="B7314" s="1">
        <v>45962</v>
      </c>
      <c r="C7314">
        <v>17</v>
      </c>
      <c r="D7314">
        <v>7.1999999999999995E-2</v>
      </c>
      <c r="E7314" t="s">
        <v>6</v>
      </c>
      <c r="F7314">
        <v>0.10737999999999999</v>
      </c>
    </row>
    <row r="7315" spans="1:6" x14ac:dyDescent="0.3">
      <c r="A7315" t="s">
        <v>5</v>
      </c>
      <c r="B7315" s="1">
        <v>45962</v>
      </c>
      <c r="C7315">
        <v>18</v>
      </c>
      <c r="D7315">
        <v>7.0000000000000007E-2</v>
      </c>
      <c r="E7315" t="s">
        <v>6</v>
      </c>
      <c r="F7315">
        <v>0.13109000000000001</v>
      </c>
    </row>
    <row r="7316" spans="1:6" x14ac:dyDescent="0.3">
      <c r="A7316" t="s">
        <v>5</v>
      </c>
      <c r="B7316" s="1">
        <v>45962</v>
      </c>
      <c r="C7316">
        <v>19</v>
      </c>
      <c r="D7316">
        <v>5.8999999999999997E-2</v>
      </c>
      <c r="E7316" t="s">
        <v>6</v>
      </c>
      <c r="F7316">
        <v>0.14536000000000002</v>
      </c>
    </row>
    <row r="7317" spans="1:6" x14ac:dyDescent="0.3">
      <c r="A7317" t="s">
        <v>5</v>
      </c>
      <c r="B7317" s="1">
        <v>45962</v>
      </c>
      <c r="C7317">
        <v>20</v>
      </c>
      <c r="D7317">
        <v>7.2999999999999995E-2</v>
      </c>
      <c r="E7317" t="s">
        <v>6</v>
      </c>
      <c r="F7317">
        <v>0.16238</v>
      </c>
    </row>
    <row r="7318" spans="1:6" x14ac:dyDescent="0.3">
      <c r="A7318" t="s">
        <v>5</v>
      </c>
      <c r="B7318" s="1">
        <v>45962</v>
      </c>
      <c r="C7318">
        <v>21</v>
      </c>
      <c r="D7318">
        <v>5.8000000000000003E-2</v>
      </c>
      <c r="E7318" t="s">
        <v>6</v>
      </c>
      <c r="F7318">
        <v>0.16368000000000002</v>
      </c>
    </row>
    <row r="7319" spans="1:6" x14ac:dyDescent="0.3">
      <c r="A7319" t="s">
        <v>5</v>
      </c>
      <c r="B7319" s="1">
        <v>45962</v>
      </c>
      <c r="C7319">
        <v>22</v>
      </c>
      <c r="D7319">
        <v>6.9000000000000006E-2</v>
      </c>
      <c r="E7319" t="s">
        <v>6</v>
      </c>
      <c r="F7319">
        <v>0.15906999999999999</v>
      </c>
    </row>
    <row r="7320" spans="1:6" x14ac:dyDescent="0.3">
      <c r="A7320" t="s">
        <v>5</v>
      </c>
      <c r="B7320" s="1">
        <v>45962</v>
      </c>
      <c r="C7320">
        <v>23</v>
      </c>
      <c r="D7320">
        <v>7.0999999999999994E-2</v>
      </c>
      <c r="E7320" t="s">
        <v>6</v>
      </c>
      <c r="F7320">
        <v>0.13738999999999998</v>
      </c>
    </row>
    <row r="7321" spans="1:6" x14ac:dyDescent="0.3">
      <c r="A7321" t="s">
        <v>5</v>
      </c>
      <c r="B7321" s="1">
        <v>45962</v>
      </c>
      <c r="C7321">
        <v>24</v>
      </c>
      <c r="D7321">
        <v>5.6000000000000001E-2</v>
      </c>
      <c r="E7321" t="s">
        <v>6</v>
      </c>
      <c r="F7321">
        <v>0.13072999999999999</v>
      </c>
    </row>
    <row r="7322" spans="1:6" x14ac:dyDescent="0.3">
      <c r="A7322" t="s">
        <v>5</v>
      </c>
      <c r="B7322" s="1">
        <v>45963</v>
      </c>
      <c r="C7322">
        <v>1</v>
      </c>
      <c r="D7322">
        <v>7.2999999999999995E-2</v>
      </c>
      <c r="E7322" t="s">
        <v>6</v>
      </c>
      <c r="F7322">
        <v>0.14308000000000001</v>
      </c>
    </row>
    <row r="7323" spans="1:6" x14ac:dyDescent="0.3">
      <c r="A7323" t="s">
        <v>5</v>
      </c>
      <c r="B7323" s="1">
        <v>45963</v>
      </c>
      <c r="C7323">
        <v>2</v>
      </c>
      <c r="D7323">
        <v>0.125</v>
      </c>
      <c r="E7323" t="s">
        <v>6</v>
      </c>
      <c r="F7323">
        <v>0.12497</v>
      </c>
    </row>
    <row r="7324" spans="1:6" x14ac:dyDescent="0.3">
      <c r="A7324" t="s">
        <v>5</v>
      </c>
      <c r="B7324" s="1">
        <v>45963</v>
      </c>
      <c r="C7324">
        <v>3</v>
      </c>
      <c r="D7324">
        <v>0.104</v>
      </c>
      <c r="E7324" t="s">
        <v>6</v>
      </c>
      <c r="F7324">
        <v>0.10643999999999999</v>
      </c>
    </row>
    <row r="7325" spans="1:6" x14ac:dyDescent="0.3">
      <c r="A7325" t="s">
        <v>5</v>
      </c>
      <c r="B7325" s="1">
        <v>45963</v>
      </c>
      <c r="C7325">
        <v>4</v>
      </c>
      <c r="D7325">
        <v>6.9000000000000006E-2</v>
      </c>
      <c r="E7325" t="s">
        <v>6</v>
      </c>
      <c r="F7325">
        <v>9.373999999999999E-2</v>
      </c>
    </row>
    <row r="7326" spans="1:6" x14ac:dyDescent="0.3">
      <c r="A7326" t="s">
        <v>5</v>
      </c>
      <c r="B7326" s="1">
        <v>45963</v>
      </c>
      <c r="C7326">
        <v>5</v>
      </c>
      <c r="D7326">
        <v>7.2999999999999995E-2</v>
      </c>
      <c r="E7326" t="s">
        <v>6</v>
      </c>
      <c r="F7326">
        <v>9.3599999999999989E-2</v>
      </c>
    </row>
    <row r="7327" spans="1:6" x14ac:dyDescent="0.3">
      <c r="A7327" t="s">
        <v>5</v>
      </c>
      <c r="B7327" s="1">
        <v>45963</v>
      </c>
      <c r="C7327">
        <v>6</v>
      </c>
      <c r="D7327">
        <v>6.6000000000000003E-2</v>
      </c>
      <c r="E7327" t="s">
        <v>6</v>
      </c>
      <c r="F7327">
        <v>9.3870000000000009E-2</v>
      </c>
    </row>
    <row r="7328" spans="1:6" x14ac:dyDescent="0.3">
      <c r="A7328" t="s">
        <v>5</v>
      </c>
      <c r="B7328" s="1">
        <v>45963</v>
      </c>
      <c r="C7328">
        <v>7</v>
      </c>
      <c r="D7328">
        <v>5.6000000000000001E-2</v>
      </c>
      <c r="E7328" t="s">
        <v>6</v>
      </c>
      <c r="F7328">
        <v>0.10345</v>
      </c>
    </row>
    <row r="7329" spans="1:6" x14ac:dyDescent="0.3">
      <c r="A7329" t="s">
        <v>5</v>
      </c>
      <c r="B7329" s="1">
        <v>45963</v>
      </c>
      <c r="C7329">
        <v>8</v>
      </c>
      <c r="D7329">
        <v>7.0999999999999994E-2</v>
      </c>
      <c r="E7329" t="s">
        <v>6</v>
      </c>
      <c r="F7329">
        <v>0.11051000000000001</v>
      </c>
    </row>
    <row r="7330" spans="1:6" x14ac:dyDescent="0.3">
      <c r="A7330" t="s">
        <v>5</v>
      </c>
      <c r="B7330" s="1">
        <v>45963</v>
      </c>
      <c r="C7330">
        <v>9</v>
      </c>
      <c r="D7330">
        <v>7.0000000000000007E-2</v>
      </c>
      <c r="E7330" t="s">
        <v>6</v>
      </c>
      <c r="F7330">
        <v>0.10748999999999999</v>
      </c>
    </row>
    <row r="7331" spans="1:6" x14ac:dyDescent="0.3">
      <c r="A7331" t="s">
        <v>5</v>
      </c>
      <c r="B7331" s="1">
        <v>45963</v>
      </c>
      <c r="C7331">
        <v>10</v>
      </c>
      <c r="D7331">
        <v>5.2999999999999999E-2</v>
      </c>
      <c r="E7331" t="s">
        <v>6</v>
      </c>
      <c r="F7331">
        <v>8.1920000000000007E-2</v>
      </c>
    </row>
    <row r="7332" spans="1:6" x14ac:dyDescent="0.3">
      <c r="A7332" t="s">
        <v>5</v>
      </c>
      <c r="B7332" s="1">
        <v>45963</v>
      </c>
      <c r="C7332">
        <v>11</v>
      </c>
      <c r="D7332">
        <v>6.8000000000000005E-2</v>
      </c>
      <c r="E7332" t="s">
        <v>6</v>
      </c>
      <c r="F7332">
        <v>6.6900000000000001E-2</v>
      </c>
    </row>
    <row r="7333" spans="1:6" x14ac:dyDescent="0.3">
      <c r="A7333" t="s">
        <v>5</v>
      </c>
      <c r="B7333" s="1">
        <v>45963</v>
      </c>
      <c r="C7333">
        <v>12</v>
      </c>
      <c r="D7333">
        <v>7.0000000000000007E-2</v>
      </c>
      <c r="E7333" t="s">
        <v>6</v>
      </c>
      <c r="F7333">
        <v>6.5879999999999994E-2</v>
      </c>
    </row>
    <row r="7334" spans="1:6" x14ac:dyDescent="0.3">
      <c r="A7334" t="s">
        <v>5</v>
      </c>
      <c r="B7334" s="1">
        <v>45963</v>
      </c>
      <c r="C7334">
        <v>13</v>
      </c>
      <c r="D7334">
        <v>5.7000000000000002E-2</v>
      </c>
      <c r="E7334" t="s">
        <v>6</v>
      </c>
      <c r="F7334">
        <v>6.547E-2</v>
      </c>
    </row>
    <row r="7335" spans="1:6" x14ac:dyDescent="0.3">
      <c r="A7335" t="s">
        <v>5</v>
      </c>
      <c r="B7335" s="1">
        <v>45963</v>
      </c>
      <c r="C7335">
        <v>14</v>
      </c>
      <c r="D7335">
        <v>6.4000000000000001E-2</v>
      </c>
      <c r="E7335" t="s">
        <v>6</v>
      </c>
      <c r="F7335">
        <v>6.5530000000000005E-2</v>
      </c>
    </row>
    <row r="7336" spans="1:6" x14ac:dyDescent="0.3">
      <c r="A7336" t="s">
        <v>5</v>
      </c>
      <c r="B7336" s="1">
        <v>45963</v>
      </c>
      <c r="C7336">
        <v>15</v>
      </c>
      <c r="D7336">
        <v>7.0000000000000007E-2</v>
      </c>
      <c r="E7336" t="s">
        <v>6</v>
      </c>
      <c r="F7336">
        <v>6.5890000000000004E-2</v>
      </c>
    </row>
    <row r="7337" spans="1:6" x14ac:dyDescent="0.3">
      <c r="A7337" t="s">
        <v>5</v>
      </c>
      <c r="B7337" s="1">
        <v>45963</v>
      </c>
      <c r="C7337">
        <v>16</v>
      </c>
      <c r="D7337">
        <v>5.8000000000000003E-2</v>
      </c>
      <c r="E7337" t="s">
        <v>6</v>
      </c>
      <c r="F7337">
        <v>6.8500000000000005E-2</v>
      </c>
    </row>
    <row r="7338" spans="1:6" x14ac:dyDescent="0.3">
      <c r="A7338" t="s">
        <v>5</v>
      </c>
      <c r="B7338" s="1">
        <v>45963</v>
      </c>
      <c r="C7338">
        <v>17</v>
      </c>
      <c r="D7338">
        <v>6.4000000000000001E-2</v>
      </c>
      <c r="E7338" t="s">
        <v>6</v>
      </c>
      <c r="F7338">
        <v>7.6439999999999994E-2</v>
      </c>
    </row>
    <row r="7339" spans="1:6" x14ac:dyDescent="0.3">
      <c r="A7339" t="s">
        <v>5</v>
      </c>
      <c r="B7339" s="1">
        <v>45963</v>
      </c>
      <c r="C7339">
        <v>18</v>
      </c>
      <c r="D7339">
        <v>7.0999999999999994E-2</v>
      </c>
      <c r="E7339" t="s">
        <v>6</v>
      </c>
      <c r="F7339">
        <v>0.11279</v>
      </c>
    </row>
    <row r="7340" spans="1:6" x14ac:dyDescent="0.3">
      <c r="A7340" t="s">
        <v>5</v>
      </c>
      <c r="B7340" s="1">
        <v>45963</v>
      </c>
      <c r="C7340">
        <v>19</v>
      </c>
      <c r="D7340">
        <v>7.1999999999999995E-2</v>
      </c>
      <c r="E7340" t="s">
        <v>6</v>
      </c>
      <c r="F7340">
        <v>0.14762999999999998</v>
      </c>
    </row>
    <row r="7341" spans="1:6" x14ac:dyDescent="0.3">
      <c r="A7341" t="s">
        <v>5</v>
      </c>
      <c r="B7341" s="1">
        <v>45963</v>
      </c>
      <c r="C7341">
        <v>20</v>
      </c>
      <c r="D7341">
        <v>0.104</v>
      </c>
      <c r="E7341" t="s">
        <v>6</v>
      </c>
      <c r="F7341">
        <v>0.17211000000000001</v>
      </c>
    </row>
    <row r="7342" spans="1:6" x14ac:dyDescent="0.3">
      <c r="A7342" t="s">
        <v>5</v>
      </c>
      <c r="B7342" s="1">
        <v>45963</v>
      </c>
      <c r="C7342">
        <v>21</v>
      </c>
      <c r="D7342">
        <v>0.17299999999999999</v>
      </c>
      <c r="E7342" t="s">
        <v>6</v>
      </c>
      <c r="F7342">
        <v>0.17746999999999999</v>
      </c>
    </row>
    <row r="7343" spans="1:6" x14ac:dyDescent="0.3">
      <c r="A7343" t="s">
        <v>5</v>
      </c>
      <c r="B7343" s="1">
        <v>45963</v>
      </c>
      <c r="C7343">
        <v>22</v>
      </c>
      <c r="D7343">
        <v>0.22700000000000001</v>
      </c>
      <c r="E7343" t="s">
        <v>6</v>
      </c>
      <c r="F7343">
        <v>0.18001</v>
      </c>
    </row>
    <row r="7344" spans="1:6" x14ac:dyDescent="0.3">
      <c r="A7344" t="s">
        <v>5</v>
      </c>
      <c r="B7344" s="1">
        <v>45963</v>
      </c>
      <c r="C7344">
        <v>23</v>
      </c>
      <c r="D7344">
        <v>0.99299999999999999</v>
      </c>
      <c r="E7344" t="s">
        <v>6</v>
      </c>
      <c r="F7344">
        <v>0.17019999999999999</v>
      </c>
    </row>
    <row r="7345" spans="1:6" x14ac:dyDescent="0.3">
      <c r="A7345" t="s">
        <v>5</v>
      </c>
      <c r="B7345" s="1">
        <v>45963</v>
      </c>
      <c r="C7345">
        <v>24</v>
      </c>
      <c r="D7345">
        <v>0.78800000000000003</v>
      </c>
      <c r="E7345" t="s">
        <v>6</v>
      </c>
      <c r="F7345">
        <v>0.16782</v>
      </c>
    </row>
    <row r="7346" spans="1:6" x14ac:dyDescent="0.3">
      <c r="A7346" t="s">
        <v>5</v>
      </c>
      <c r="B7346" s="1">
        <v>45964</v>
      </c>
      <c r="C7346">
        <v>1</v>
      </c>
      <c r="D7346">
        <v>0.159</v>
      </c>
      <c r="E7346" t="s">
        <v>6</v>
      </c>
      <c r="F7346">
        <v>0.13088</v>
      </c>
    </row>
    <row r="7347" spans="1:6" x14ac:dyDescent="0.3">
      <c r="A7347" t="s">
        <v>5</v>
      </c>
      <c r="B7347" s="1">
        <v>45964</v>
      </c>
      <c r="C7347">
        <v>2</v>
      </c>
      <c r="D7347">
        <v>7.1999999999999995E-2</v>
      </c>
      <c r="E7347" t="s">
        <v>6</v>
      </c>
      <c r="F7347">
        <v>0.12693000000000002</v>
      </c>
    </row>
    <row r="7348" spans="1:6" x14ac:dyDescent="0.3">
      <c r="A7348" t="s">
        <v>5</v>
      </c>
      <c r="B7348" s="1">
        <v>45964</v>
      </c>
      <c r="C7348">
        <v>3</v>
      </c>
      <c r="D7348">
        <v>7.0999999999999994E-2</v>
      </c>
      <c r="E7348" t="s">
        <v>6</v>
      </c>
      <c r="F7348">
        <v>0.12737000000000001</v>
      </c>
    </row>
    <row r="7349" spans="1:6" x14ac:dyDescent="0.3">
      <c r="A7349" t="s">
        <v>5</v>
      </c>
      <c r="B7349" s="1">
        <v>45964</v>
      </c>
      <c r="C7349">
        <v>4</v>
      </c>
      <c r="D7349">
        <v>7.9000000000000001E-2</v>
      </c>
      <c r="E7349" t="s">
        <v>6</v>
      </c>
      <c r="F7349">
        <v>0.12759999999999999</v>
      </c>
    </row>
    <row r="7350" spans="1:6" x14ac:dyDescent="0.3">
      <c r="A7350" t="s">
        <v>5</v>
      </c>
      <c r="B7350" s="1">
        <v>45964</v>
      </c>
      <c r="C7350">
        <v>5</v>
      </c>
      <c r="D7350">
        <v>6.2E-2</v>
      </c>
      <c r="E7350" t="s">
        <v>6</v>
      </c>
      <c r="F7350">
        <v>0.12753</v>
      </c>
    </row>
    <row r="7351" spans="1:6" x14ac:dyDescent="0.3">
      <c r="A7351" t="s">
        <v>5</v>
      </c>
      <c r="B7351" s="1">
        <v>45964</v>
      </c>
      <c r="C7351">
        <v>6</v>
      </c>
      <c r="D7351">
        <v>7.4999999999999997E-2</v>
      </c>
      <c r="E7351" t="s">
        <v>6</v>
      </c>
      <c r="F7351">
        <v>0.12891</v>
      </c>
    </row>
    <row r="7352" spans="1:6" x14ac:dyDescent="0.3">
      <c r="A7352" t="s">
        <v>5</v>
      </c>
      <c r="B7352" s="1">
        <v>45964</v>
      </c>
      <c r="C7352">
        <v>7</v>
      </c>
      <c r="D7352">
        <v>7.3999999999999996E-2</v>
      </c>
      <c r="E7352" t="s">
        <v>6</v>
      </c>
      <c r="F7352">
        <v>0.14715999999999999</v>
      </c>
    </row>
    <row r="7353" spans="1:6" x14ac:dyDescent="0.3">
      <c r="A7353" t="s">
        <v>5</v>
      </c>
      <c r="B7353" s="1">
        <v>45964</v>
      </c>
      <c r="C7353">
        <v>8</v>
      </c>
      <c r="D7353">
        <v>0.24</v>
      </c>
      <c r="E7353" t="s">
        <v>6</v>
      </c>
      <c r="F7353">
        <v>0.1799</v>
      </c>
    </row>
    <row r="7354" spans="1:6" x14ac:dyDescent="0.3">
      <c r="A7354" t="s">
        <v>5</v>
      </c>
      <c r="B7354" s="1">
        <v>45964</v>
      </c>
      <c r="C7354">
        <v>9</v>
      </c>
      <c r="D7354">
        <v>0.16900000000000001</v>
      </c>
      <c r="E7354" t="s">
        <v>6</v>
      </c>
      <c r="F7354">
        <v>0.18346000000000001</v>
      </c>
    </row>
    <row r="7355" spans="1:6" x14ac:dyDescent="0.3">
      <c r="A7355" t="s">
        <v>5</v>
      </c>
      <c r="B7355" s="1">
        <v>45964</v>
      </c>
      <c r="C7355">
        <v>10</v>
      </c>
      <c r="D7355">
        <v>5.5E-2</v>
      </c>
      <c r="E7355" t="s">
        <v>6</v>
      </c>
      <c r="F7355">
        <v>0.13294999999999998</v>
      </c>
    </row>
    <row r="7356" spans="1:6" x14ac:dyDescent="0.3">
      <c r="A7356" t="s">
        <v>5</v>
      </c>
      <c r="B7356" s="1">
        <v>45964</v>
      </c>
      <c r="C7356">
        <v>11</v>
      </c>
      <c r="D7356">
        <v>7.3999999999999996E-2</v>
      </c>
      <c r="E7356" t="s">
        <v>6</v>
      </c>
      <c r="F7356">
        <v>0.15812000000000001</v>
      </c>
    </row>
    <row r="7357" spans="1:6" x14ac:dyDescent="0.3">
      <c r="A7357" t="s">
        <v>5</v>
      </c>
      <c r="B7357" s="1">
        <v>45964</v>
      </c>
      <c r="C7357">
        <v>12</v>
      </c>
      <c r="D7357">
        <v>8.5000000000000006E-2</v>
      </c>
      <c r="E7357" t="s">
        <v>6</v>
      </c>
      <c r="F7357">
        <v>0.14366999999999999</v>
      </c>
    </row>
    <row r="7358" spans="1:6" x14ac:dyDescent="0.3">
      <c r="A7358" t="s">
        <v>5</v>
      </c>
      <c r="B7358" s="1">
        <v>45964</v>
      </c>
      <c r="C7358">
        <v>13</v>
      </c>
      <c r="D7358">
        <v>0.77</v>
      </c>
      <c r="E7358" t="s">
        <v>6</v>
      </c>
      <c r="F7358">
        <v>0.1401</v>
      </c>
    </row>
    <row r="7359" spans="1:6" x14ac:dyDescent="0.3">
      <c r="A7359" t="s">
        <v>5</v>
      </c>
      <c r="B7359" s="1">
        <v>45964</v>
      </c>
      <c r="C7359">
        <v>14</v>
      </c>
      <c r="D7359">
        <v>0.122</v>
      </c>
      <c r="E7359" t="s">
        <v>6</v>
      </c>
      <c r="F7359">
        <v>0.13447999999999999</v>
      </c>
    </row>
    <row r="7360" spans="1:6" x14ac:dyDescent="0.3">
      <c r="A7360" t="s">
        <v>5</v>
      </c>
      <c r="B7360" s="1">
        <v>45964</v>
      </c>
      <c r="C7360">
        <v>15</v>
      </c>
      <c r="D7360">
        <v>0.30099999999999999</v>
      </c>
      <c r="E7360" t="s">
        <v>6</v>
      </c>
      <c r="F7360">
        <v>7.467E-2</v>
      </c>
    </row>
    <row r="7361" spans="1:6" x14ac:dyDescent="0.3">
      <c r="A7361" t="s">
        <v>5</v>
      </c>
      <c r="B7361" s="1">
        <v>45964</v>
      </c>
      <c r="C7361">
        <v>16</v>
      </c>
      <c r="D7361">
        <v>0.14899999999999999</v>
      </c>
      <c r="E7361" t="s">
        <v>6</v>
      </c>
      <c r="F7361">
        <v>9.1670000000000001E-2</v>
      </c>
    </row>
    <row r="7362" spans="1:6" x14ac:dyDescent="0.3">
      <c r="A7362" t="s">
        <v>5</v>
      </c>
      <c r="B7362" s="1">
        <v>45964</v>
      </c>
      <c r="C7362">
        <v>17</v>
      </c>
      <c r="D7362">
        <v>0.14799999999999999</v>
      </c>
      <c r="E7362" t="s">
        <v>6</v>
      </c>
      <c r="F7362">
        <v>0.12248000000000001</v>
      </c>
    </row>
    <row r="7363" spans="1:6" x14ac:dyDescent="0.3">
      <c r="A7363" t="s">
        <v>5</v>
      </c>
      <c r="B7363" s="1">
        <v>45964</v>
      </c>
      <c r="C7363">
        <v>18</v>
      </c>
      <c r="D7363">
        <v>0.19</v>
      </c>
      <c r="E7363" t="s">
        <v>6</v>
      </c>
      <c r="F7363">
        <v>0.17291000000000001</v>
      </c>
    </row>
    <row r="7364" spans="1:6" x14ac:dyDescent="0.3">
      <c r="A7364" t="s">
        <v>5</v>
      </c>
      <c r="B7364" s="1">
        <v>45964</v>
      </c>
      <c r="C7364">
        <v>19</v>
      </c>
      <c r="D7364">
        <v>0.17699999999999999</v>
      </c>
      <c r="E7364" t="s">
        <v>6</v>
      </c>
      <c r="F7364">
        <v>0.26292000000000004</v>
      </c>
    </row>
    <row r="7365" spans="1:6" x14ac:dyDescent="0.3">
      <c r="A7365" t="s">
        <v>5</v>
      </c>
      <c r="B7365" s="1">
        <v>45964</v>
      </c>
      <c r="C7365">
        <v>20</v>
      </c>
      <c r="D7365">
        <v>0.17</v>
      </c>
      <c r="E7365" t="s">
        <v>6</v>
      </c>
      <c r="F7365">
        <v>0.28936000000000001</v>
      </c>
    </row>
    <row r="7366" spans="1:6" x14ac:dyDescent="0.3">
      <c r="A7366" t="s">
        <v>5</v>
      </c>
      <c r="B7366" s="1">
        <v>45964</v>
      </c>
      <c r="C7366">
        <v>21</v>
      </c>
      <c r="D7366">
        <v>0.27900000000000003</v>
      </c>
      <c r="E7366" t="s">
        <v>6</v>
      </c>
      <c r="F7366">
        <v>0.29436000000000001</v>
      </c>
    </row>
    <row r="7367" spans="1:6" x14ac:dyDescent="0.3">
      <c r="A7367" t="s">
        <v>5</v>
      </c>
      <c r="B7367" s="1">
        <v>45964</v>
      </c>
      <c r="C7367">
        <v>22</v>
      </c>
      <c r="D7367">
        <v>1.1060000000000001</v>
      </c>
      <c r="E7367" t="s">
        <v>6</v>
      </c>
      <c r="F7367">
        <v>0.26238</v>
      </c>
    </row>
    <row r="7368" spans="1:6" x14ac:dyDescent="0.3">
      <c r="A7368" t="s">
        <v>5</v>
      </c>
      <c r="B7368" s="1">
        <v>45964</v>
      </c>
      <c r="C7368">
        <v>23</v>
      </c>
      <c r="D7368">
        <v>0.248</v>
      </c>
      <c r="E7368" t="s">
        <v>6</v>
      </c>
      <c r="F7368">
        <v>0.16716999999999999</v>
      </c>
    </row>
    <row r="7369" spans="1:6" x14ac:dyDescent="0.3">
      <c r="A7369" t="s">
        <v>5</v>
      </c>
      <c r="B7369" s="1">
        <v>45964</v>
      </c>
      <c r="C7369">
        <v>24</v>
      </c>
      <c r="D7369">
        <v>0.26200000000000001</v>
      </c>
      <c r="E7369" t="s">
        <v>6</v>
      </c>
      <c r="F7369">
        <v>0.15297999999999998</v>
      </c>
    </row>
    <row r="7370" spans="1:6" x14ac:dyDescent="0.3">
      <c r="A7370" t="s">
        <v>5</v>
      </c>
      <c r="B7370" s="1">
        <v>45965</v>
      </c>
      <c r="C7370">
        <v>1</v>
      </c>
      <c r="D7370">
        <v>0.13800000000000001</v>
      </c>
      <c r="E7370" t="s">
        <v>6</v>
      </c>
      <c r="F7370">
        <v>0.13825999999999999</v>
      </c>
    </row>
    <row r="7371" spans="1:6" x14ac:dyDescent="0.3">
      <c r="A7371" t="s">
        <v>5</v>
      </c>
      <c r="B7371" s="1">
        <v>45965</v>
      </c>
      <c r="C7371">
        <v>2</v>
      </c>
      <c r="D7371">
        <v>0.114</v>
      </c>
      <c r="E7371" t="s">
        <v>6</v>
      </c>
      <c r="F7371">
        <v>0.13015000000000002</v>
      </c>
    </row>
    <row r="7372" spans="1:6" x14ac:dyDescent="0.3">
      <c r="A7372" t="s">
        <v>5</v>
      </c>
      <c r="B7372" s="1">
        <v>45965</v>
      </c>
      <c r="C7372">
        <v>3</v>
      </c>
      <c r="D7372">
        <v>0.122</v>
      </c>
      <c r="E7372" t="s">
        <v>6</v>
      </c>
      <c r="F7372">
        <v>0.13322999999999999</v>
      </c>
    </row>
    <row r="7373" spans="1:6" x14ac:dyDescent="0.3">
      <c r="A7373" t="s">
        <v>5</v>
      </c>
      <c r="B7373" s="1">
        <v>45965</v>
      </c>
      <c r="C7373">
        <v>4</v>
      </c>
      <c r="D7373">
        <v>0.113</v>
      </c>
      <c r="E7373" t="s">
        <v>6</v>
      </c>
      <c r="F7373">
        <v>0.11827</v>
      </c>
    </row>
    <row r="7374" spans="1:6" x14ac:dyDescent="0.3">
      <c r="A7374" t="s">
        <v>5</v>
      </c>
      <c r="B7374" s="1">
        <v>45965</v>
      </c>
      <c r="C7374">
        <v>5</v>
      </c>
      <c r="D7374">
        <v>0.113</v>
      </c>
      <c r="E7374" t="s">
        <v>6</v>
      </c>
      <c r="F7374">
        <v>0.11233</v>
      </c>
    </row>
    <row r="7375" spans="1:6" x14ac:dyDescent="0.3">
      <c r="A7375" t="s">
        <v>5</v>
      </c>
      <c r="B7375" s="1">
        <v>45965</v>
      </c>
      <c r="C7375">
        <v>6</v>
      </c>
      <c r="D7375">
        <v>0.104</v>
      </c>
      <c r="E7375" t="s">
        <v>6</v>
      </c>
      <c r="F7375">
        <v>0.11579</v>
      </c>
    </row>
    <row r="7376" spans="1:6" x14ac:dyDescent="0.3">
      <c r="A7376" t="s">
        <v>5</v>
      </c>
      <c r="B7376" s="1">
        <v>45965</v>
      </c>
      <c r="C7376">
        <v>7</v>
      </c>
      <c r="D7376">
        <v>0.121</v>
      </c>
      <c r="E7376" t="s">
        <v>6</v>
      </c>
      <c r="F7376">
        <v>0.12417</v>
      </c>
    </row>
    <row r="7377" spans="1:6" x14ac:dyDescent="0.3">
      <c r="A7377" t="s">
        <v>5</v>
      </c>
      <c r="B7377" s="1">
        <v>45965</v>
      </c>
      <c r="C7377">
        <v>8</v>
      </c>
      <c r="D7377">
        <v>0.111</v>
      </c>
      <c r="E7377" t="s">
        <v>6</v>
      </c>
      <c r="F7377">
        <v>0.13324</v>
      </c>
    </row>
    <row r="7378" spans="1:6" x14ac:dyDescent="0.3">
      <c r="A7378" t="s">
        <v>5</v>
      </c>
      <c r="B7378" s="1">
        <v>45965</v>
      </c>
      <c r="C7378">
        <v>9</v>
      </c>
      <c r="D7378">
        <v>0.155</v>
      </c>
      <c r="E7378" t="s">
        <v>6</v>
      </c>
      <c r="F7378">
        <v>0.15390000000000001</v>
      </c>
    </row>
    <row r="7379" spans="1:6" x14ac:dyDescent="0.3">
      <c r="A7379" t="s">
        <v>5</v>
      </c>
      <c r="B7379" s="1">
        <v>45965</v>
      </c>
      <c r="C7379">
        <v>10</v>
      </c>
      <c r="D7379">
        <v>0.14399999999999999</v>
      </c>
      <c r="E7379" t="s">
        <v>6</v>
      </c>
      <c r="F7379">
        <v>0.11081000000000001</v>
      </c>
    </row>
    <row r="7380" spans="1:6" x14ac:dyDescent="0.3">
      <c r="A7380" t="s">
        <v>5</v>
      </c>
      <c r="B7380" s="1">
        <v>45965</v>
      </c>
      <c r="C7380">
        <v>11</v>
      </c>
      <c r="D7380">
        <v>0.105</v>
      </c>
      <c r="E7380" t="s">
        <v>6</v>
      </c>
      <c r="F7380">
        <v>0.15578999999999998</v>
      </c>
    </row>
    <row r="7381" spans="1:6" x14ac:dyDescent="0.3">
      <c r="A7381" t="s">
        <v>5</v>
      </c>
      <c r="B7381" s="1">
        <v>45965</v>
      </c>
      <c r="C7381">
        <v>12</v>
      </c>
      <c r="D7381">
        <v>0.14000000000000001</v>
      </c>
      <c r="E7381" t="s">
        <v>6</v>
      </c>
      <c r="F7381">
        <v>0.14783000000000002</v>
      </c>
    </row>
    <row r="7382" spans="1:6" x14ac:dyDescent="0.3">
      <c r="A7382" t="s">
        <v>5</v>
      </c>
      <c r="B7382" s="1">
        <v>45965</v>
      </c>
      <c r="C7382">
        <v>13</v>
      </c>
      <c r="D7382">
        <v>0.16500000000000001</v>
      </c>
      <c r="E7382" t="s">
        <v>6</v>
      </c>
      <c r="F7382">
        <v>0.14734999999999998</v>
      </c>
    </row>
    <row r="7383" spans="1:6" x14ac:dyDescent="0.3">
      <c r="A7383" t="s">
        <v>5</v>
      </c>
      <c r="B7383" s="1">
        <v>45965</v>
      </c>
      <c r="C7383">
        <v>14</v>
      </c>
      <c r="D7383">
        <v>0.28499999999999998</v>
      </c>
      <c r="E7383" t="s">
        <v>6</v>
      </c>
      <c r="F7383">
        <v>0.14423</v>
      </c>
    </row>
    <row r="7384" spans="1:6" x14ac:dyDescent="0.3">
      <c r="A7384" t="s">
        <v>5</v>
      </c>
      <c r="B7384" s="1">
        <v>45965</v>
      </c>
      <c r="C7384">
        <v>15</v>
      </c>
      <c r="D7384">
        <v>0.122</v>
      </c>
      <c r="E7384" t="s">
        <v>6</v>
      </c>
      <c r="F7384">
        <v>8.0260000000000012E-2</v>
      </c>
    </row>
    <row r="7385" spans="1:6" x14ac:dyDescent="0.3">
      <c r="A7385" t="s">
        <v>5</v>
      </c>
      <c r="B7385" s="1">
        <v>45965</v>
      </c>
      <c r="C7385">
        <v>16</v>
      </c>
      <c r="D7385">
        <v>0.19</v>
      </c>
      <c r="E7385" t="s">
        <v>6</v>
      </c>
      <c r="F7385">
        <v>8.9799999999999991E-2</v>
      </c>
    </row>
    <row r="7386" spans="1:6" x14ac:dyDescent="0.3">
      <c r="A7386" t="s">
        <v>5</v>
      </c>
      <c r="B7386" s="1">
        <v>45965</v>
      </c>
      <c r="C7386">
        <v>17</v>
      </c>
      <c r="D7386">
        <v>0.20499999999999999</v>
      </c>
      <c r="E7386" t="s">
        <v>6</v>
      </c>
      <c r="F7386">
        <v>9.9000000000000005E-2</v>
      </c>
    </row>
    <row r="7387" spans="1:6" x14ac:dyDescent="0.3">
      <c r="A7387" t="s">
        <v>5</v>
      </c>
      <c r="B7387" s="1">
        <v>45965</v>
      </c>
      <c r="C7387">
        <v>18</v>
      </c>
      <c r="D7387">
        <v>0.128</v>
      </c>
      <c r="E7387" t="s">
        <v>6</v>
      </c>
      <c r="F7387">
        <v>0.13757</v>
      </c>
    </row>
    <row r="7388" spans="1:6" x14ac:dyDescent="0.3">
      <c r="A7388" t="s">
        <v>5</v>
      </c>
      <c r="B7388" s="1">
        <v>45965</v>
      </c>
      <c r="C7388">
        <v>19</v>
      </c>
      <c r="D7388">
        <v>0.17299999999999999</v>
      </c>
      <c r="E7388" t="s">
        <v>6</v>
      </c>
      <c r="F7388">
        <v>0.22353000000000001</v>
      </c>
    </row>
    <row r="7389" spans="1:6" x14ac:dyDescent="0.3">
      <c r="A7389" t="s">
        <v>5</v>
      </c>
      <c r="B7389" s="1">
        <v>45965</v>
      </c>
      <c r="C7389">
        <v>20</v>
      </c>
      <c r="D7389">
        <v>8.3000000000000004E-2</v>
      </c>
      <c r="E7389" t="s">
        <v>6</v>
      </c>
      <c r="F7389">
        <v>0.23014999999999999</v>
      </c>
    </row>
    <row r="7390" spans="1:6" x14ac:dyDescent="0.3">
      <c r="A7390" t="s">
        <v>5</v>
      </c>
      <c r="B7390" s="1">
        <v>45965</v>
      </c>
      <c r="C7390">
        <v>21</v>
      </c>
      <c r="D7390">
        <v>0.217</v>
      </c>
      <c r="E7390" t="s">
        <v>6</v>
      </c>
      <c r="F7390">
        <v>0.2293</v>
      </c>
    </row>
    <row r="7391" spans="1:6" x14ac:dyDescent="0.3">
      <c r="A7391" t="s">
        <v>5</v>
      </c>
      <c r="B7391" s="1">
        <v>45965</v>
      </c>
      <c r="C7391">
        <v>22</v>
      </c>
      <c r="D7391">
        <v>9.2999999999999999E-2</v>
      </c>
      <c r="E7391" t="s">
        <v>6</v>
      </c>
      <c r="F7391">
        <v>0.21969999999999998</v>
      </c>
    </row>
    <row r="7392" spans="1:6" x14ac:dyDescent="0.3">
      <c r="A7392" t="s">
        <v>5</v>
      </c>
      <c r="B7392" s="1">
        <v>45965</v>
      </c>
      <c r="C7392">
        <v>23</v>
      </c>
      <c r="D7392">
        <v>0.81200000000000006</v>
      </c>
      <c r="E7392" t="s">
        <v>6</v>
      </c>
      <c r="F7392">
        <v>0.1502</v>
      </c>
    </row>
    <row r="7393" spans="1:6" x14ac:dyDescent="0.3">
      <c r="A7393" t="s">
        <v>5</v>
      </c>
      <c r="B7393" s="1">
        <v>45965</v>
      </c>
      <c r="C7393">
        <v>24</v>
      </c>
      <c r="D7393">
        <v>0.69399999999999995</v>
      </c>
      <c r="E7393" t="s">
        <v>6</v>
      </c>
      <c r="F7393">
        <v>0.12124</v>
      </c>
    </row>
    <row r="7394" spans="1:6" x14ac:dyDescent="0.3">
      <c r="A7394" t="s">
        <v>5</v>
      </c>
      <c r="B7394" s="1">
        <v>45966</v>
      </c>
      <c r="C7394">
        <v>1</v>
      </c>
      <c r="D7394">
        <v>0.78700000000000003</v>
      </c>
      <c r="E7394" t="s">
        <v>6</v>
      </c>
      <c r="F7394">
        <v>0.10100000000000001</v>
      </c>
    </row>
    <row r="7395" spans="1:6" x14ac:dyDescent="0.3">
      <c r="A7395" t="s">
        <v>5</v>
      </c>
      <c r="B7395" s="1">
        <v>45966</v>
      </c>
      <c r="C7395">
        <v>2</v>
      </c>
      <c r="D7395">
        <v>0.08</v>
      </c>
      <c r="E7395" t="s">
        <v>6</v>
      </c>
      <c r="F7395">
        <v>9.6340000000000009E-2</v>
      </c>
    </row>
    <row r="7396" spans="1:6" x14ac:dyDescent="0.3">
      <c r="A7396" t="s">
        <v>5</v>
      </c>
      <c r="B7396" s="1">
        <v>45966</v>
      </c>
      <c r="C7396">
        <v>3</v>
      </c>
      <c r="D7396">
        <v>7.5999999999999998E-2</v>
      </c>
      <c r="E7396" t="s">
        <v>6</v>
      </c>
      <c r="F7396">
        <v>8.9569999999999997E-2</v>
      </c>
    </row>
    <row r="7397" spans="1:6" x14ac:dyDescent="0.3">
      <c r="A7397" t="s">
        <v>5</v>
      </c>
      <c r="B7397" s="1">
        <v>45966</v>
      </c>
      <c r="C7397">
        <v>4</v>
      </c>
      <c r="D7397">
        <v>0.08</v>
      </c>
      <c r="E7397" t="s">
        <v>6</v>
      </c>
      <c r="F7397">
        <v>8.2819999999999991E-2</v>
      </c>
    </row>
    <row r="7398" spans="1:6" x14ac:dyDescent="0.3">
      <c r="A7398" t="s">
        <v>5</v>
      </c>
      <c r="B7398" s="1">
        <v>45966</v>
      </c>
      <c r="C7398">
        <v>5</v>
      </c>
      <c r="D7398">
        <v>7.0000000000000007E-2</v>
      </c>
      <c r="E7398" t="s">
        <v>6</v>
      </c>
      <c r="F7398">
        <v>7.5060000000000002E-2</v>
      </c>
    </row>
    <row r="7399" spans="1:6" x14ac:dyDescent="0.3">
      <c r="A7399" t="s">
        <v>5</v>
      </c>
      <c r="B7399" s="1">
        <v>45966</v>
      </c>
      <c r="C7399">
        <v>6</v>
      </c>
      <c r="D7399">
        <v>6.8000000000000005E-2</v>
      </c>
      <c r="E7399" t="s">
        <v>6</v>
      </c>
      <c r="F7399">
        <v>8.1480000000000011E-2</v>
      </c>
    </row>
    <row r="7400" spans="1:6" x14ac:dyDescent="0.3">
      <c r="A7400" t="s">
        <v>5</v>
      </c>
      <c r="B7400" s="1">
        <v>45966</v>
      </c>
      <c r="C7400">
        <v>7</v>
      </c>
      <c r="D7400">
        <v>7.9000000000000001E-2</v>
      </c>
      <c r="E7400" t="s">
        <v>6</v>
      </c>
      <c r="F7400">
        <v>9.6049999999999996E-2</v>
      </c>
    </row>
    <row r="7401" spans="1:6" x14ac:dyDescent="0.3">
      <c r="A7401" t="s">
        <v>5</v>
      </c>
      <c r="B7401" s="1">
        <v>45966</v>
      </c>
      <c r="C7401">
        <v>8</v>
      </c>
      <c r="D7401">
        <v>0.09</v>
      </c>
      <c r="E7401" t="s">
        <v>6</v>
      </c>
      <c r="F7401">
        <v>9.706999999999999E-2</v>
      </c>
    </row>
    <row r="7402" spans="1:6" x14ac:dyDescent="0.3">
      <c r="A7402" t="s">
        <v>5</v>
      </c>
      <c r="B7402" s="1">
        <v>45966</v>
      </c>
      <c r="C7402">
        <v>9</v>
      </c>
      <c r="D7402">
        <v>0.216</v>
      </c>
      <c r="E7402" t="s">
        <v>6</v>
      </c>
      <c r="F7402">
        <v>0.1273</v>
      </c>
    </row>
    <row r="7403" spans="1:6" x14ac:dyDescent="0.3">
      <c r="A7403" t="s">
        <v>5</v>
      </c>
      <c r="B7403" s="1">
        <v>45966</v>
      </c>
      <c r="C7403">
        <v>10</v>
      </c>
      <c r="D7403">
        <v>0.16300000000000001</v>
      </c>
      <c r="E7403" t="s">
        <v>6</v>
      </c>
      <c r="F7403">
        <v>0.11318</v>
      </c>
    </row>
    <row r="7404" spans="1:6" x14ac:dyDescent="0.3">
      <c r="A7404" t="s">
        <v>5</v>
      </c>
      <c r="B7404" s="1">
        <v>45966</v>
      </c>
      <c r="C7404">
        <v>11</v>
      </c>
      <c r="D7404">
        <v>0.221</v>
      </c>
      <c r="E7404" t="s">
        <v>6</v>
      </c>
      <c r="F7404">
        <v>0.16462000000000002</v>
      </c>
    </row>
    <row r="7405" spans="1:6" x14ac:dyDescent="0.3">
      <c r="A7405" t="s">
        <v>5</v>
      </c>
      <c r="B7405" s="1">
        <v>45966</v>
      </c>
      <c r="C7405">
        <v>12</v>
      </c>
      <c r="D7405">
        <v>0.183</v>
      </c>
      <c r="E7405" t="s">
        <v>6</v>
      </c>
      <c r="F7405">
        <v>0.15959000000000001</v>
      </c>
    </row>
    <row r="7406" spans="1:6" x14ac:dyDescent="0.3">
      <c r="A7406" t="s">
        <v>5</v>
      </c>
      <c r="B7406" s="1">
        <v>45966</v>
      </c>
      <c r="C7406">
        <v>13</v>
      </c>
      <c r="D7406">
        <v>7.4999999999999997E-2</v>
      </c>
      <c r="E7406" t="s">
        <v>6</v>
      </c>
      <c r="F7406">
        <v>0.16171000000000002</v>
      </c>
    </row>
    <row r="7407" spans="1:6" x14ac:dyDescent="0.3">
      <c r="A7407" t="s">
        <v>5</v>
      </c>
      <c r="B7407" s="1">
        <v>45966</v>
      </c>
      <c r="C7407">
        <v>14</v>
      </c>
      <c r="D7407">
        <v>0.10100000000000001</v>
      </c>
      <c r="E7407" t="s">
        <v>6</v>
      </c>
      <c r="F7407">
        <v>0.15880000000000002</v>
      </c>
    </row>
    <row r="7408" spans="1:6" x14ac:dyDescent="0.3">
      <c r="A7408" t="s">
        <v>5</v>
      </c>
      <c r="B7408" s="1">
        <v>45966</v>
      </c>
      <c r="C7408">
        <v>15</v>
      </c>
      <c r="D7408">
        <v>0.246</v>
      </c>
      <c r="E7408" t="s">
        <v>6</v>
      </c>
      <c r="F7408">
        <v>9.8790000000000003E-2</v>
      </c>
    </row>
    <row r="7409" spans="1:6" x14ac:dyDescent="0.3">
      <c r="A7409" t="s">
        <v>5</v>
      </c>
      <c r="B7409" s="1">
        <v>45966</v>
      </c>
      <c r="C7409">
        <v>16</v>
      </c>
      <c r="D7409">
        <v>7.8E-2</v>
      </c>
      <c r="E7409" t="s">
        <v>6</v>
      </c>
      <c r="F7409">
        <v>0.10797</v>
      </c>
    </row>
    <row r="7410" spans="1:6" x14ac:dyDescent="0.3">
      <c r="A7410" t="s">
        <v>5</v>
      </c>
      <c r="B7410" s="1">
        <v>45966</v>
      </c>
      <c r="C7410">
        <v>17</v>
      </c>
      <c r="D7410">
        <v>0.27</v>
      </c>
      <c r="E7410" t="s">
        <v>6</v>
      </c>
      <c r="F7410">
        <v>0.11766</v>
      </c>
    </row>
    <row r="7411" spans="1:6" x14ac:dyDescent="0.3">
      <c r="A7411" t="s">
        <v>5</v>
      </c>
      <c r="B7411" s="1">
        <v>45966</v>
      </c>
      <c r="C7411">
        <v>18</v>
      </c>
      <c r="D7411">
        <v>0.25900000000000001</v>
      </c>
      <c r="E7411" t="s">
        <v>6</v>
      </c>
      <c r="F7411">
        <v>0.12497</v>
      </c>
    </row>
    <row r="7412" spans="1:6" x14ac:dyDescent="0.3">
      <c r="A7412" t="s">
        <v>5</v>
      </c>
      <c r="B7412" s="1">
        <v>45966</v>
      </c>
      <c r="C7412">
        <v>19</v>
      </c>
      <c r="D7412">
        <v>0.20899999999999999</v>
      </c>
      <c r="E7412" t="s">
        <v>6</v>
      </c>
      <c r="F7412">
        <v>0.20200000000000001</v>
      </c>
    </row>
    <row r="7413" spans="1:6" x14ac:dyDescent="0.3">
      <c r="A7413" t="s">
        <v>5</v>
      </c>
      <c r="B7413" s="1">
        <v>45966</v>
      </c>
      <c r="C7413">
        <v>20</v>
      </c>
      <c r="D7413">
        <v>0.16300000000000001</v>
      </c>
      <c r="E7413" t="s">
        <v>6</v>
      </c>
      <c r="F7413">
        <v>0.22300999999999999</v>
      </c>
    </row>
    <row r="7414" spans="1:6" x14ac:dyDescent="0.3">
      <c r="A7414" t="s">
        <v>5</v>
      </c>
      <c r="B7414" s="1">
        <v>45966</v>
      </c>
      <c r="C7414">
        <v>21</v>
      </c>
      <c r="D7414">
        <v>0.182</v>
      </c>
      <c r="E7414" t="s">
        <v>6</v>
      </c>
      <c r="F7414">
        <v>0.22805</v>
      </c>
    </row>
    <row r="7415" spans="1:6" x14ac:dyDescent="0.3">
      <c r="A7415" t="s">
        <v>5</v>
      </c>
      <c r="B7415" s="1">
        <v>45966</v>
      </c>
      <c r="C7415">
        <v>22</v>
      </c>
      <c r="D7415">
        <v>0.41699999999999998</v>
      </c>
      <c r="E7415" t="s">
        <v>6</v>
      </c>
      <c r="F7415">
        <v>0.22086</v>
      </c>
    </row>
    <row r="7416" spans="1:6" x14ac:dyDescent="0.3">
      <c r="A7416" t="s">
        <v>5</v>
      </c>
      <c r="B7416" s="1">
        <v>45966</v>
      </c>
      <c r="C7416">
        <v>23</v>
      </c>
      <c r="D7416">
        <v>0.215</v>
      </c>
      <c r="E7416" t="s">
        <v>6</v>
      </c>
      <c r="F7416">
        <v>0.13628000000000001</v>
      </c>
    </row>
    <row r="7417" spans="1:6" x14ac:dyDescent="0.3">
      <c r="A7417" t="s">
        <v>5</v>
      </c>
      <c r="B7417" s="1">
        <v>45966</v>
      </c>
      <c r="C7417">
        <v>24</v>
      </c>
      <c r="D7417">
        <v>0.25800000000000001</v>
      </c>
      <c r="E7417" t="s">
        <v>6</v>
      </c>
      <c r="F7417">
        <v>0.12387000000000001</v>
      </c>
    </row>
    <row r="7418" spans="1:6" x14ac:dyDescent="0.3">
      <c r="A7418" t="s">
        <v>5</v>
      </c>
      <c r="B7418" s="1">
        <v>45967</v>
      </c>
      <c r="C7418">
        <v>1</v>
      </c>
      <c r="D7418">
        <v>0.16</v>
      </c>
      <c r="E7418" t="s">
        <v>6</v>
      </c>
      <c r="F7418">
        <v>8.6430000000000007E-2</v>
      </c>
    </row>
    <row r="7419" spans="1:6" x14ac:dyDescent="0.3">
      <c r="A7419" t="s">
        <v>5</v>
      </c>
      <c r="B7419" s="1">
        <v>45967</v>
      </c>
      <c r="C7419">
        <v>2</v>
      </c>
      <c r="D7419">
        <v>0.10100000000000001</v>
      </c>
      <c r="E7419" t="s">
        <v>6</v>
      </c>
      <c r="F7419">
        <v>8.0670000000000006E-2</v>
      </c>
    </row>
    <row r="7420" spans="1:6" x14ac:dyDescent="0.3">
      <c r="A7420" t="s">
        <v>5</v>
      </c>
      <c r="B7420" s="1">
        <v>45967</v>
      </c>
      <c r="C7420">
        <v>3</v>
      </c>
      <c r="D7420">
        <v>0.121</v>
      </c>
      <c r="E7420" t="s">
        <v>6</v>
      </c>
      <c r="F7420">
        <v>8.251E-2</v>
      </c>
    </row>
    <row r="7421" spans="1:6" x14ac:dyDescent="0.3">
      <c r="A7421" t="s">
        <v>5</v>
      </c>
      <c r="B7421" s="1">
        <v>45967</v>
      </c>
      <c r="C7421">
        <v>4</v>
      </c>
      <c r="D7421">
        <v>0.111</v>
      </c>
      <c r="E7421" t="s">
        <v>6</v>
      </c>
      <c r="F7421">
        <v>7.5569999999999998E-2</v>
      </c>
    </row>
    <row r="7422" spans="1:6" x14ac:dyDescent="0.3">
      <c r="A7422" t="s">
        <v>5</v>
      </c>
      <c r="B7422" s="1">
        <v>45967</v>
      </c>
      <c r="C7422">
        <v>5</v>
      </c>
      <c r="D7422">
        <v>0.10299999999999999</v>
      </c>
      <c r="E7422" t="s">
        <v>6</v>
      </c>
      <c r="F7422">
        <v>7.0440000000000003E-2</v>
      </c>
    </row>
    <row r="7423" spans="1:6" x14ac:dyDescent="0.3">
      <c r="A7423" t="s">
        <v>5</v>
      </c>
      <c r="B7423" s="1">
        <v>45967</v>
      </c>
      <c r="C7423">
        <v>6</v>
      </c>
      <c r="D7423">
        <v>0.11700000000000001</v>
      </c>
      <c r="E7423" t="s">
        <v>6</v>
      </c>
      <c r="F7423">
        <v>7.8980000000000009E-2</v>
      </c>
    </row>
    <row r="7424" spans="1:6" x14ac:dyDescent="0.3">
      <c r="A7424" t="s">
        <v>5</v>
      </c>
      <c r="B7424" s="1">
        <v>45967</v>
      </c>
      <c r="C7424">
        <v>7</v>
      </c>
      <c r="D7424">
        <v>0.10100000000000001</v>
      </c>
      <c r="E7424" t="s">
        <v>6</v>
      </c>
      <c r="F7424">
        <v>0.10728</v>
      </c>
    </row>
    <row r="7425" spans="1:6" x14ac:dyDescent="0.3">
      <c r="A7425" t="s">
        <v>5</v>
      </c>
      <c r="B7425" s="1">
        <v>45967</v>
      </c>
      <c r="C7425">
        <v>8</v>
      </c>
      <c r="D7425">
        <v>0.121</v>
      </c>
      <c r="E7425" t="s">
        <v>6</v>
      </c>
      <c r="F7425">
        <v>0.13156999999999999</v>
      </c>
    </row>
    <row r="7426" spans="1:6" x14ac:dyDescent="0.3">
      <c r="A7426" t="s">
        <v>5</v>
      </c>
      <c r="B7426" s="1">
        <v>45967</v>
      </c>
      <c r="C7426">
        <v>9</v>
      </c>
      <c r="D7426">
        <v>0.187</v>
      </c>
      <c r="E7426" t="s">
        <v>6</v>
      </c>
      <c r="F7426">
        <v>0.15137999999999999</v>
      </c>
    </row>
    <row r="7427" spans="1:6" x14ac:dyDescent="0.3">
      <c r="A7427" t="s">
        <v>5</v>
      </c>
      <c r="B7427" s="1">
        <v>45967</v>
      </c>
      <c r="C7427">
        <v>10</v>
      </c>
      <c r="D7427">
        <v>0.182</v>
      </c>
      <c r="E7427" t="s">
        <v>6</v>
      </c>
      <c r="F7427">
        <v>0.10138999999999999</v>
      </c>
    </row>
    <row r="7428" spans="1:6" x14ac:dyDescent="0.3">
      <c r="A7428" t="s">
        <v>5</v>
      </c>
      <c r="B7428" s="1">
        <v>45967</v>
      </c>
      <c r="C7428">
        <v>11</v>
      </c>
      <c r="D7428">
        <v>0.31</v>
      </c>
      <c r="E7428" t="s">
        <v>6</v>
      </c>
      <c r="F7428">
        <v>0.15156</v>
      </c>
    </row>
    <row r="7429" spans="1:6" x14ac:dyDescent="0.3">
      <c r="A7429" t="s">
        <v>5</v>
      </c>
      <c r="B7429" s="1">
        <v>45967</v>
      </c>
      <c r="C7429">
        <v>12</v>
      </c>
      <c r="D7429">
        <v>0.189</v>
      </c>
      <c r="E7429" t="s">
        <v>6</v>
      </c>
      <c r="F7429">
        <v>0.14874999999999999</v>
      </c>
    </row>
    <row r="7430" spans="1:6" x14ac:dyDescent="0.3">
      <c r="A7430" t="s">
        <v>5</v>
      </c>
      <c r="B7430" s="1">
        <v>45967</v>
      </c>
      <c r="C7430">
        <v>13</v>
      </c>
      <c r="D7430">
        <v>0.21</v>
      </c>
      <c r="E7430" t="s">
        <v>6</v>
      </c>
      <c r="F7430">
        <v>0.14862999999999998</v>
      </c>
    </row>
    <row r="7431" spans="1:6" x14ac:dyDescent="0.3">
      <c r="A7431" t="s">
        <v>5</v>
      </c>
      <c r="B7431" s="1">
        <v>45967</v>
      </c>
      <c r="C7431">
        <v>14</v>
      </c>
      <c r="D7431">
        <v>0.23300000000000001</v>
      </c>
      <c r="E7431" t="s">
        <v>6</v>
      </c>
      <c r="F7431">
        <v>0.14574000000000001</v>
      </c>
    </row>
    <row r="7432" spans="1:6" x14ac:dyDescent="0.3">
      <c r="A7432" t="s">
        <v>5</v>
      </c>
      <c r="B7432" s="1">
        <v>45967</v>
      </c>
      <c r="C7432">
        <v>15</v>
      </c>
      <c r="D7432">
        <v>0.17599999999999999</v>
      </c>
      <c r="E7432" t="s">
        <v>6</v>
      </c>
      <c r="F7432">
        <v>8.1409999999999996E-2</v>
      </c>
    </row>
    <row r="7433" spans="1:6" x14ac:dyDescent="0.3">
      <c r="A7433" t="s">
        <v>5</v>
      </c>
      <c r="B7433" s="1">
        <v>45967</v>
      </c>
      <c r="C7433">
        <v>16</v>
      </c>
      <c r="D7433">
        <v>0.18</v>
      </c>
      <c r="E7433" t="s">
        <v>6</v>
      </c>
      <c r="F7433">
        <v>8.455E-2</v>
      </c>
    </row>
    <row r="7434" spans="1:6" x14ac:dyDescent="0.3">
      <c r="A7434" t="s">
        <v>5</v>
      </c>
      <c r="B7434" s="1">
        <v>45967</v>
      </c>
      <c r="C7434">
        <v>17</v>
      </c>
      <c r="D7434">
        <v>0.69899999999999995</v>
      </c>
      <c r="E7434" t="s">
        <v>6</v>
      </c>
      <c r="F7434">
        <v>0.10245</v>
      </c>
    </row>
    <row r="7435" spans="1:6" x14ac:dyDescent="0.3">
      <c r="A7435" t="s">
        <v>5</v>
      </c>
      <c r="B7435" s="1">
        <v>45967</v>
      </c>
      <c r="C7435">
        <v>18</v>
      </c>
      <c r="D7435">
        <v>0.41099999999999998</v>
      </c>
      <c r="E7435" t="s">
        <v>6</v>
      </c>
      <c r="F7435">
        <v>0.16336000000000001</v>
      </c>
    </row>
    <row r="7436" spans="1:6" x14ac:dyDescent="0.3">
      <c r="A7436" t="s">
        <v>5</v>
      </c>
      <c r="B7436" s="1">
        <v>45967</v>
      </c>
      <c r="C7436">
        <v>19</v>
      </c>
      <c r="D7436">
        <v>0.57399999999999995</v>
      </c>
      <c r="E7436" t="s">
        <v>6</v>
      </c>
      <c r="F7436">
        <v>0.26212000000000002</v>
      </c>
    </row>
    <row r="7437" spans="1:6" x14ac:dyDescent="0.3">
      <c r="A7437" t="s">
        <v>5</v>
      </c>
      <c r="B7437" s="1">
        <v>45967</v>
      </c>
      <c r="C7437">
        <v>20</v>
      </c>
      <c r="D7437">
        <v>0.46</v>
      </c>
      <c r="E7437" t="s">
        <v>6</v>
      </c>
      <c r="F7437">
        <v>0.28129999999999999</v>
      </c>
    </row>
    <row r="7438" spans="1:6" x14ac:dyDescent="0.3">
      <c r="A7438" t="s">
        <v>5</v>
      </c>
      <c r="B7438" s="1">
        <v>45967</v>
      </c>
      <c r="C7438">
        <v>21</v>
      </c>
      <c r="D7438">
        <v>0.51600000000000001</v>
      </c>
      <c r="E7438" t="s">
        <v>6</v>
      </c>
      <c r="F7438">
        <v>0.27145999999999998</v>
      </c>
    </row>
    <row r="7439" spans="1:6" x14ac:dyDescent="0.3">
      <c r="A7439" t="s">
        <v>5</v>
      </c>
      <c r="B7439" s="1">
        <v>45967</v>
      </c>
      <c r="C7439">
        <v>22</v>
      </c>
      <c r="D7439">
        <v>0.93100000000000005</v>
      </c>
      <c r="E7439" t="s">
        <v>6</v>
      </c>
      <c r="F7439">
        <v>0.24753999999999998</v>
      </c>
    </row>
    <row r="7440" spans="1:6" x14ac:dyDescent="0.3">
      <c r="A7440" t="s">
        <v>5</v>
      </c>
      <c r="B7440" s="1">
        <v>45967</v>
      </c>
      <c r="C7440">
        <v>23</v>
      </c>
      <c r="D7440">
        <v>0.193</v>
      </c>
      <c r="E7440" t="s">
        <v>6</v>
      </c>
      <c r="F7440">
        <v>0.17687</v>
      </c>
    </row>
    <row r="7441" spans="1:6" x14ac:dyDescent="0.3">
      <c r="A7441" t="s">
        <v>5</v>
      </c>
      <c r="B7441" s="1">
        <v>45967</v>
      </c>
      <c r="C7441">
        <v>24</v>
      </c>
      <c r="D7441">
        <v>0.21099999999999999</v>
      </c>
      <c r="E7441" t="s">
        <v>6</v>
      </c>
      <c r="F7441">
        <v>0.16613999999999998</v>
      </c>
    </row>
    <row r="7442" spans="1:6" x14ac:dyDescent="0.3">
      <c r="A7442" t="s">
        <v>5</v>
      </c>
      <c r="B7442" s="1">
        <v>45968</v>
      </c>
      <c r="C7442">
        <v>1</v>
      </c>
      <c r="D7442">
        <v>0.16600000000000001</v>
      </c>
      <c r="E7442" t="s">
        <v>6</v>
      </c>
      <c r="F7442">
        <v>0.10923999999999999</v>
      </c>
    </row>
    <row r="7443" spans="1:6" x14ac:dyDescent="0.3">
      <c r="A7443" t="s">
        <v>5</v>
      </c>
      <c r="B7443" s="1">
        <v>45968</v>
      </c>
      <c r="C7443">
        <v>2</v>
      </c>
      <c r="D7443">
        <v>0.108</v>
      </c>
      <c r="E7443" t="s">
        <v>6</v>
      </c>
      <c r="F7443">
        <v>0.10423</v>
      </c>
    </row>
    <row r="7444" spans="1:6" x14ac:dyDescent="0.3">
      <c r="A7444" t="s">
        <v>5</v>
      </c>
      <c r="B7444" s="1">
        <v>45968</v>
      </c>
      <c r="C7444">
        <v>3</v>
      </c>
      <c r="D7444">
        <v>0.11700000000000001</v>
      </c>
      <c r="E7444" t="s">
        <v>6</v>
      </c>
      <c r="F7444">
        <v>0.10256</v>
      </c>
    </row>
    <row r="7445" spans="1:6" x14ac:dyDescent="0.3">
      <c r="A7445" t="s">
        <v>5</v>
      </c>
      <c r="B7445" s="1">
        <v>45968</v>
      </c>
      <c r="C7445">
        <v>4</v>
      </c>
      <c r="D7445">
        <v>0.107</v>
      </c>
      <c r="E7445" t="s">
        <v>6</v>
      </c>
      <c r="F7445">
        <v>8.6489999999999997E-2</v>
      </c>
    </row>
    <row r="7446" spans="1:6" x14ac:dyDescent="0.3">
      <c r="A7446" t="s">
        <v>5</v>
      </c>
      <c r="B7446" s="1">
        <v>45968</v>
      </c>
      <c r="C7446">
        <v>5</v>
      </c>
      <c r="D7446">
        <v>0.112</v>
      </c>
      <c r="E7446" t="s">
        <v>6</v>
      </c>
      <c r="F7446">
        <v>8.183E-2</v>
      </c>
    </row>
    <row r="7447" spans="1:6" x14ac:dyDescent="0.3">
      <c r="A7447" t="s">
        <v>5</v>
      </c>
      <c r="B7447" s="1">
        <v>45968</v>
      </c>
      <c r="C7447">
        <v>6</v>
      </c>
      <c r="D7447">
        <v>8.1000000000000003E-2</v>
      </c>
      <c r="E7447" t="s">
        <v>6</v>
      </c>
      <c r="F7447">
        <v>9.1359999999999997E-2</v>
      </c>
    </row>
    <row r="7448" spans="1:6" x14ac:dyDescent="0.3">
      <c r="A7448" t="s">
        <v>5</v>
      </c>
      <c r="B7448" s="1">
        <v>45968</v>
      </c>
      <c r="C7448">
        <v>7</v>
      </c>
      <c r="D7448">
        <v>5.6000000000000001E-2</v>
      </c>
      <c r="E7448" t="s">
        <v>6</v>
      </c>
      <c r="F7448">
        <v>0.11187000000000001</v>
      </c>
    </row>
    <row r="7449" spans="1:6" x14ac:dyDescent="0.3">
      <c r="A7449" t="s">
        <v>5</v>
      </c>
      <c r="B7449" s="1">
        <v>45968</v>
      </c>
      <c r="C7449">
        <v>8</v>
      </c>
      <c r="D7449">
        <v>0.14099999999999999</v>
      </c>
      <c r="E7449" t="s">
        <v>6</v>
      </c>
      <c r="F7449">
        <v>0.12401999999999999</v>
      </c>
    </row>
    <row r="7450" spans="1:6" x14ac:dyDescent="0.3">
      <c r="A7450" t="s">
        <v>5</v>
      </c>
      <c r="B7450" s="1">
        <v>45968</v>
      </c>
      <c r="C7450">
        <v>9</v>
      </c>
      <c r="D7450">
        <v>8.7999999999999995E-2</v>
      </c>
      <c r="E7450" t="s">
        <v>6</v>
      </c>
      <c r="F7450">
        <v>0.16166</v>
      </c>
    </row>
    <row r="7451" spans="1:6" x14ac:dyDescent="0.3">
      <c r="A7451" t="s">
        <v>5</v>
      </c>
      <c r="B7451" s="1">
        <v>45968</v>
      </c>
      <c r="C7451">
        <v>10</v>
      </c>
      <c r="D7451">
        <v>5.6000000000000001E-2</v>
      </c>
      <c r="E7451" t="s">
        <v>6</v>
      </c>
      <c r="F7451">
        <v>0.14201</v>
      </c>
    </row>
    <row r="7452" spans="1:6" x14ac:dyDescent="0.3">
      <c r="A7452" t="s">
        <v>5</v>
      </c>
      <c r="B7452" s="1">
        <v>45968</v>
      </c>
      <c r="C7452">
        <v>11</v>
      </c>
      <c r="D7452">
        <v>0.129</v>
      </c>
      <c r="E7452" t="s">
        <v>6</v>
      </c>
      <c r="F7452">
        <v>0.19069999999999998</v>
      </c>
    </row>
    <row r="7453" spans="1:6" x14ac:dyDescent="0.3">
      <c r="A7453" t="s">
        <v>5</v>
      </c>
      <c r="B7453" s="1">
        <v>45968</v>
      </c>
      <c r="C7453">
        <v>12</v>
      </c>
      <c r="D7453">
        <v>0.129</v>
      </c>
      <c r="E7453" t="s">
        <v>6</v>
      </c>
      <c r="F7453">
        <v>0.18193000000000001</v>
      </c>
    </row>
    <row r="7454" spans="1:6" x14ac:dyDescent="0.3">
      <c r="A7454" t="s">
        <v>5</v>
      </c>
      <c r="B7454" s="1">
        <v>45968</v>
      </c>
      <c r="C7454">
        <v>13</v>
      </c>
      <c r="D7454">
        <v>0.24299999999999999</v>
      </c>
      <c r="E7454" t="s">
        <v>6</v>
      </c>
      <c r="F7454">
        <v>0.18102000000000001</v>
      </c>
    </row>
    <row r="7455" spans="1:6" x14ac:dyDescent="0.3">
      <c r="A7455" t="s">
        <v>5</v>
      </c>
      <c r="B7455" s="1">
        <v>45968</v>
      </c>
      <c r="C7455">
        <v>14</v>
      </c>
      <c r="D7455">
        <v>0.997</v>
      </c>
      <c r="E7455" t="s">
        <v>6</v>
      </c>
      <c r="F7455">
        <v>0.17188999999999999</v>
      </c>
    </row>
    <row r="7456" spans="1:6" x14ac:dyDescent="0.3">
      <c r="A7456" t="s">
        <v>5</v>
      </c>
      <c r="B7456" s="1">
        <v>45968</v>
      </c>
      <c r="C7456">
        <v>15</v>
      </c>
      <c r="D7456">
        <v>0.91800000000000004</v>
      </c>
      <c r="E7456" t="s">
        <v>6</v>
      </c>
      <c r="F7456">
        <v>0.11481999999999999</v>
      </c>
    </row>
    <row r="7457" spans="1:6" x14ac:dyDescent="0.3">
      <c r="A7457" t="s">
        <v>5</v>
      </c>
      <c r="B7457" s="1">
        <v>45968</v>
      </c>
      <c r="C7457">
        <v>16</v>
      </c>
      <c r="D7457">
        <v>0.183</v>
      </c>
      <c r="E7457" t="s">
        <v>6</v>
      </c>
      <c r="F7457">
        <v>0.12759000000000001</v>
      </c>
    </row>
    <row r="7458" spans="1:6" x14ac:dyDescent="0.3">
      <c r="A7458" t="s">
        <v>5</v>
      </c>
      <c r="B7458" s="1">
        <v>45968</v>
      </c>
      <c r="C7458">
        <v>17</v>
      </c>
      <c r="D7458">
        <v>0.107</v>
      </c>
      <c r="E7458" t="s">
        <v>6</v>
      </c>
      <c r="F7458">
        <v>0.14776</v>
      </c>
    </row>
    <row r="7459" spans="1:6" x14ac:dyDescent="0.3">
      <c r="A7459" t="s">
        <v>5</v>
      </c>
      <c r="B7459" s="1">
        <v>45968</v>
      </c>
      <c r="C7459">
        <v>18</v>
      </c>
      <c r="D7459">
        <v>7.3999999999999996E-2</v>
      </c>
      <c r="E7459" t="s">
        <v>6</v>
      </c>
      <c r="F7459">
        <v>0.16459000000000001</v>
      </c>
    </row>
    <row r="7460" spans="1:6" x14ac:dyDescent="0.3">
      <c r="A7460" t="s">
        <v>5</v>
      </c>
      <c r="B7460" s="1">
        <v>45968</v>
      </c>
      <c r="C7460">
        <v>19</v>
      </c>
      <c r="D7460">
        <v>9.5000000000000001E-2</v>
      </c>
      <c r="E7460" t="s">
        <v>6</v>
      </c>
      <c r="F7460">
        <v>0.25124000000000002</v>
      </c>
    </row>
    <row r="7461" spans="1:6" x14ac:dyDescent="0.3">
      <c r="A7461" t="s">
        <v>5</v>
      </c>
      <c r="B7461" s="1">
        <v>45968</v>
      </c>
      <c r="C7461">
        <v>20</v>
      </c>
      <c r="D7461">
        <v>0.13200000000000001</v>
      </c>
      <c r="E7461" t="s">
        <v>6</v>
      </c>
      <c r="F7461">
        <v>0.25236999999999998</v>
      </c>
    </row>
    <row r="7462" spans="1:6" x14ac:dyDescent="0.3">
      <c r="A7462" t="s">
        <v>5</v>
      </c>
      <c r="B7462" s="1">
        <v>45968</v>
      </c>
      <c r="C7462">
        <v>21</v>
      </c>
      <c r="D7462">
        <v>6.9000000000000006E-2</v>
      </c>
      <c r="E7462" t="s">
        <v>6</v>
      </c>
      <c r="F7462">
        <v>0.24718000000000001</v>
      </c>
    </row>
    <row r="7463" spans="1:6" x14ac:dyDescent="0.3">
      <c r="A7463" t="s">
        <v>5</v>
      </c>
      <c r="B7463" s="1">
        <v>45968</v>
      </c>
      <c r="C7463">
        <v>22</v>
      </c>
      <c r="D7463">
        <v>5.6000000000000001E-2</v>
      </c>
      <c r="E7463" t="s">
        <v>6</v>
      </c>
      <c r="F7463">
        <v>0.23243</v>
      </c>
    </row>
    <row r="7464" spans="1:6" x14ac:dyDescent="0.3">
      <c r="A7464" t="s">
        <v>5</v>
      </c>
      <c r="B7464" s="1">
        <v>45968</v>
      </c>
      <c r="C7464">
        <v>23</v>
      </c>
      <c r="D7464">
        <v>7.0999999999999994E-2</v>
      </c>
      <c r="E7464" t="s">
        <v>6</v>
      </c>
      <c r="F7464">
        <v>0.15828999999999999</v>
      </c>
    </row>
    <row r="7465" spans="1:6" x14ac:dyDescent="0.3">
      <c r="A7465" t="s">
        <v>5</v>
      </c>
      <c r="B7465" s="1">
        <v>45968</v>
      </c>
      <c r="C7465">
        <v>24</v>
      </c>
      <c r="D7465">
        <v>6.9000000000000006E-2</v>
      </c>
      <c r="E7465" t="s">
        <v>6</v>
      </c>
      <c r="F7465">
        <v>0.14191999999999999</v>
      </c>
    </row>
    <row r="7466" spans="1:6" x14ac:dyDescent="0.3">
      <c r="A7466" t="s">
        <v>5</v>
      </c>
      <c r="B7466" s="1">
        <v>45969</v>
      </c>
      <c r="C7466">
        <v>1</v>
      </c>
      <c r="D7466">
        <v>5.3999999999999999E-2</v>
      </c>
      <c r="E7466" t="s">
        <v>6</v>
      </c>
      <c r="F7466">
        <v>0.13102</v>
      </c>
    </row>
    <row r="7467" spans="1:6" x14ac:dyDescent="0.3">
      <c r="A7467" t="s">
        <v>5</v>
      </c>
      <c r="B7467" s="1">
        <v>45969</v>
      </c>
      <c r="C7467">
        <v>2</v>
      </c>
      <c r="D7467">
        <v>7.0000000000000007E-2</v>
      </c>
      <c r="E7467" t="s">
        <v>6</v>
      </c>
      <c r="F7467">
        <v>0.12196</v>
      </c>
    </row>
    <row r="7468" spans="1:6" x14ac:dyDescent="0.3">
      <c r="A7468" t="s">
        <v>5</v>
      </c>
      <c r="B7468" s="1">
        <v>45969</v>
      </c>
      <c r="C7468">
        <v>3</v>
      </c>
      <c r="D7468">
        <v>6.9000000000000006E-2</v>
      </c>
      <c r="E7468" t="s">
        <v>6</v>
      </c>
      <c r="F7468">
        <v>0.11826</v>
      </c>
    </row>
    <row r="7469" spans="1:6" x14ac:dyDescent="0.3">
      <c r="A7469" t="s">
        <v>5</v>
      </c>
      <c r="B7469" s="1">
        <v>45969</v>
      </c>
      <c r="C7469">
        <v>4</v>
      </c>
      <c r="D7469">
        <v>5.0999999999999997E-2</v>
      </c>
      <c r="E7469" t="s">
        <v>6</v>
      </c>
      <c r="F7469">
        <v>0.11005</v>
      </c>
    </row>
    <row r="7470" spans="1:6" x14ac:dyDescent="0.3">
      <c r="A7470" t="s">
        <v>5</v>
      </c>
      <c r="B7470" s="1">
        <v>45969</v>
      </c>
      <c r="C7470">
        <v>5</v>
      </c>
      <c r="D7470">
        <v>6.9000000000000006E-2</v>
      </c>
      <c r="E7470" t="s">
        <v>6</v>
      </c>
      <c r="F7470">
        <v>9.9140000000000006E-2</v>
      </c>
    </row>
    <row r="7471" spans="1:6" x14ac:dyDescent="0.3">
      <c r="A7471" t="s">
        <v>5</v>
      </c>
      <c r="B7471" s="1">
        <v>45969</v>
      </c>
      <c r="C7471">
        <v>6</v>
      </c>
      <c r="D7471">
        <v>6.9000000000000006E-2</v>
      </c>
      <c r="E7471" t="s">
        <v>6</v>
      </c>
      <c r="F7471">
        <v>0.10111000000000001</v>
      </c>
    </row>
    <row r="7472" spans="1:6" x14ac:dyDescent="0.3">
      <c r="A7472" t="s">
        <v>5</v>
      </c>
      <c r="B7472" s="1">
        <v>45969</v>
      </c>
      <c r="C7472">
        <v>7</v>
      </c>
      <c r="D7472">
        <v>5.0999999999999997E-2</v>
      </c>
      <c r="E7472" t="s">
        <v>6</v>
      </c>
      <c r="F7472">
        <v>0.11061</v>
      </c>
    </row>
    <row r="7473" spans="1:6" x14ac:dyDescent="0.3">
      <c r="A7473" t="s">
        <v>5</v>
      </c>
      <c r="B7473" s="1">
        <v>45969</v>
      </c>
      <c r="C7473">
        <v>8</v>
      </c>
      <c r="D7473">
        <v>0.125</v>
      </c>
      <c r="E7473" t="s">
        <v>6</v>
      </c>
      <c r="F7473">
        <v>0.11244</v>
      </c>
    </row>
    <row r="7474" spans="1:6" x14ac:dyDescent="0.3">
      <c r="A7474" t="s">
        <v>5</v>
      </c>
      <c r="B7474" s="1">
        <v>45969</v>
      </c>
      <c r="C7474">
        <v>9</v>
      </c>
      <c r="D7474">
        <v>9.8000000000000004E-2</v>
      </c>
      <c r="E7474" t="s">
        <v>6</v>
      </c>
      <c r="F7474">
        <v>9.9760000000000001E-2</v>
      </c>
    </row>
    <row r="7475" spans="1:6" x14ac:dyDescent="0.3">
      <c r="A7475" t="s">
        <v>5</v>
      </c>
      <c r="B7475" s="1">
        <v>45969</v>
      </c>
      <c r="C7475">
        <v>10</v>
      </c>
      <c r="D7475">
        <v>5.1999999999999998E-2</v>
      </c>
      <c r="E7475" t="s">
        <v>6</v>
      </c>
      <c r="F7475">
        <v>6.6040000000000001E-2</v>
      </c>
    </row>
    <row r="7476" spans="1:6" x14ac:dyDescent="0.3">
      <c r="A7476" t="s">
        <v>5</v>
      </c>
      <c r="B7476" s="1">
        <v>45969</v>
      </c>
      <c r="C7476">
        <v>11</v>
      </c>
      <c r="D7476">
        <v>6.7000000000000004E-2</v>
      </c>
      <c r="E7476" t="s">
        <v>6</v>
      </c>
      <c r="F7476">
        <v>6.2789999999999999E-2</v>
      </c>
    </row>
    <row r="7477" spans="1:6" x14ac:dyDescent="0.3">
      <c r="A7477" t="s">
        <v>5</v>
      </c>
      <c r="B7477" s="1">
        <v>45969</v>
      </c>
      <c r="C7477">
        <v>12</v>
      </c>
      <c r="D7477">
        <v>6.9000000000000006E-2</v>
      </c>
      <c r="E7477" t="s">
        <v>6</v>
      </c>
      <c r="F7477">
        <v>6.3090000000000007E-2</v>
      </c>
    </row>
    <row r="7478" spans="1:6" x14ac:dyDescent="0.3">
      <c r="A7478" t="s">
        <v>5</v>
      </c>
      <c r="B7478" s="1">
        <v>45969</v>
      </c>
      <c r="C7478">
        <v>13</v>
      </c>
      <c r="D7478">
        <v>5.0999999999999997E-2</v>
      </c>
      <c r="E7478" t="s">
        <v>6</v>
      </c>
      <c r="F7478">
        <v>6.3829999999999998E-2</v>
      </c>
    </row>
    <row r="7479" spans="1:6" x14ac:dyDescent="0.3">
      <c r="A7479" t="s">
        <v>5</v>
      </c>
      <c r="B7479" s="1">
        <v>45969</v>
      </c>
      <c r="C7479">
        <v>14</v>
      </c>
      <c r="D7479">
        <v>6.8000000000000005E-2</v>
      </c>
      <c r="E7479" t="s">
        <v>6</v>
      </c>
      <c r="F7479">
        <v>6.5079999999999999E-2</v>
      </c>
    </row>
    <row r="7480" spans="1:6" x14ac:dyDescent="0.3">
      <c r="A7480" t="s">
        <v>5</v>
      </c>
      <c r="B7480" s="1">
        <v>45969</v>
      </c>
      <c r="C7480">
        <v>15</v>
      </c>
      <c r="D7480">
        <v>6.9000000000000006E-2</v>
      </c>
      <c r="E7480" t="s">
        <v>6</v>
      </c>
      <c r="F7480">
        <v>6.5390000000000004E-2</v>
      </c>
    </row>
    <row r="7481" spans="1:6" x14ac:dyDescent="0.3">
      <c r="A7481" t="s">
        <v>5</v>
      </c>
      <c r="B7481" s="1">
        <v>45969</v>
      </c>
      <c r="C7481">
        <v>16</v>
      </c>
      <c r="D7481">
        <v>0.05</v>
      </c>
      <c r="E7481" t="s">
        <v>6</v>
      </c>
      <c r="F7481">
        <v>6.3530000000000003E-2</v>
      </c>
    </row>
    <row r="7482" spans="1:6" x14ac:dyDescent="0.3">
      <c r="A7482" t="s">
        <v>5</v>
      </c>
      <c r="B7482" s="1">
        <v>45969</v>
      </c>
      <c r="C7482">
        <v>17</v>
      </c>
      <c r="D7482">
        <v>6.9000000000000006E-2</v>
      </c>
      <c r="E7482" t="s">
        <v>6</v>
      </c>
      <c r="F7482">
        <v>6.6900000000000001E-2</v>
      </c>
    </row>
    <row r="7483" spans="1:6" x14ac:dyDescent="0.3">
      <c r="A7483" t="s">
        <v>5</v>
      </c>
      <c r="B7483" s="1">
        <v>45969</v>
      </c>
      <c r="C7483">
        <v>18</v>
      </c>
      <c r="D7483">
        <v>7.0000000000000007E-2</v>
      </c>
      <c r="E7483" t="s">
        <v>6</v>
      </c>
      <c r="F7483">
        <v>0.12772</v>
      </c>
    </row>
    <row r="7484" spans="1:6" x14ac:dyDescent="0.3">
      <c r="A7484" t="s">
        <v>5</v>
      </c>
      <c r="B7484" s="1">
        <v>45969</v>
      </c>
      <c r="C7484">
        <v>19</v>
      </c>
      <c r="D7484">
        <v>7.6999999999999999E-2</v>
      </c>
      <c r="E7484" t="s">
        <v>6</v>
      </c>
      <c r="F7484">
        <v>0.14886000000000002</v>
      </c>
    </row>
    <row r="7485" spans="1:6" x14ac:dyDescent="0.3">
      <c r="A7485" t="s">
        <v>5</v>
      </c>
      <c r="B7485" s="1">
        <v>45969</v>
      </c>
      <c r="C7485">
        <v>20</v>
      </c>
      <c r="D7485">
        <v>0.11700000000000001</v>
      </c>
      <c r="E7485" t="s">
        <v>6</v>
      </c>
      <c r="F7485">
        <v>0.14637999999999998</v>
      </c>
    </row>
    <row r="7486" spans="1:6" x14ac:dyDescent="0.3">
      <c r="A7486" t="s">
        <v>5</v>
      </c>
      <c r="B7486" s="1">
        <v>45969</v>
      </c>
      <c r="C7486">
        <v>21</v>
      </c>
      <c r="D7486">
        <v>6.8000000000000005E-2</v>
      </c>
      <c r="E7486" t="s">
        <v>6</v>
      </c>
      <c r="F7486">
        <v>0.1406</v>
      </c>
    </row>
    <row r="7487" spans="1:6" x14ac:dyDescent="0.3">
      <c r="A7487" t="s">
        <v>5</v>
      </c>
      <c r="B7487" s="1">
        <v>45969</v>
      </c>
      <c r="C7487">
        <v>22</v>
      </c>
      <c r="D7487">
        <v>5.1999999999999998E-2</v>
      </c>
      <c r="E7487" t="s">
        <v>6</v>
      </c>
      <c r="F7487">
        <v>0.13534000000000002</v>
      </c>
    </row>
    <row r="7488" spans="1:6" x14ac:dyDescent="0.3">
      <c r="A7488" t="s">
        <v>5</v>
      </c>
      <c r="B7488" s="1">
        <v>45969</v>
      </c>
      <c r="C7488">
        <v>23</v>
      </c>
      <c r="D7488">
        <v>6.9000000000000006E-2</v>
      </c>
      <c r="E7488" t="s">
        <v>6</v>
      </c>
      <c r="F7488">
        <v>0.13355</v>
      </c>
    </row>
    <row r="7489" spans="1:6" x14ac:dyDescent="0.3">
      <c r="A7489" t="s">
        <v>5</v>
      </c>
      <c r="B7489" s="1">
        <v>45969</v>
      </c>
      <c r="C7489">
        <v>24</v>
      </c>
      <c r="D7489">
        <v>6.6000000000000003E-2</v>
      </c>
      <c r="E7489" t="s">
        <v>6</v>
      </c>
      <c r="F7489">
        <v>0.1318</v>
      </c>
    </row>
    <row r="7490" spans="1:6" x14ac:dyDescent="0.3">
      <c r="A7490" t="s">
        <v>5</v>
      </c>
      <c r="B7490" s="1">
        <v>45970</v>
      </c>
      <c r="C7490">
        <v>1</v>
      </c>
      <c r="D7490">
        <v>5.2999999999999999E-2</v>
      </c>
      <c r="E7490" t="s">
        <v>6</v>
      </c>
      <c r="F7490">
        <v>0.12278</v>
      </c>
    </row>
    <row r="7491" spans="1:6" x14ac:dyDescent="0.3">
      <c r="A7491" t="s">
        <v>5</v>
      </c>
      <c r="B7491" s="1">
        <v>45970</v>
      </c>
      <c r="C7491">
        <v>2</v>
      </c>
      <c r="D7491">
        <v>6.9000000000000006E-2</v>
      </c>
      <c r="E7491" t="s">
        <v>6</v>
      </c>
      <c r="F7491">
        <v>0.11848</v>
      </c>
    </row>
    <row r="7492" spans="1:6" x14ac:dyDescent="0.3">
      <c r="A7492" t="s">
        <v>5</v>
      </c>
      <c r="B7492" s="1">
        <v>45970</v>
      </c>
      <c r="C7492">
        <v>3</v>
      </c>
      <c r="D7492">
        <v>6.4000000000000001E-2</v>
      </c>
      <c r="E7492" t="s">
        <v>6</v>
      </c>
      <c r="F7492">
        <v>0.11409999999999999</v>
      </c>
    </row>
    <row r="7493" spans="1:6" x14ac:dyDescent="0.3">
      <c r="A7493" t="s">
        <v>5</v>
      </c>
      <c r="B7493" s="1">
        <v>45970</v>
      </c>
      <c r="C7493">
        <v>4</v>
      </c>
      <c r="D7493">
        <v>0.113</v>
      </c>
      <c r="E7493" t="s">
        <v>6</v>
      </c>
      <c r="F7493">
        <v>0.11398</v>
      </c>
    </row>
    <row r="7494" spans="1:6" x14ac:dyDescent="0.3">
      <c r="A7494" t="s">
        <v>5</v>
      </c>
      <c r="B7494" s="1">
        <v>45970</v>
      </c>
      <c r="C7494">
        <v>5</v>
      </c>
      <c r="D7494">
        <v>0.10199999999999999</v>
      </c>
      <c r="E7494" t="s">
        <v>6</v>
      </c>
      <c r="F7494">
        <v>0.11414000000000001</v>
      </c>
    </row>
    <row r="7495" spans="1:6" x14ac:dyDescent="0.3">
      <c r="A7495" t="s">
        <v>5</v>
      </c>
      <c r="B7495" s="1">
        <v>45970</v>
      </c>
      <c r="C7495">
        <v>6</v>
      </c>
      <c r="D7495">
        <v>6.0999999999999999E-2</v>
      </c>
      <c r="E7495" t="s">
        <v>6</v>
      </c>
      <c r="F7495">
        <v>0.1172</v>
      </c>
    </row>
    <row r="7496" spans="1:6" x14ac:dyDescent="0.3">
      <c r="A7496" t="s">
        <v>5</v>
      </c>
      <c r="B7496" s="1">
        <v>45970</v>
      </c>
      <c r="C7496">
        <v>7</v>
      </c>
      <c r="D7496">
        <v>5.8000000000000003E-2</v>
      </c>
      <c r="E7496" t="s">
        <v>6</v>
      </c>
      <c r="F7496">
        <v>0.12725</v>
      </c>
    </row>
    <row r="7497" spans="1:6" x14ac:dyDescent="0.3">
      <c r="A7497" t="s">
        <v>5</v>
      </c>
      <c r="B7497" s="1">
        <v>45970</v>
      </c>
      <c r="C7497">
        <v>8</v>
      </c>
      <c r="D7497">
        <v>6.9000000000000006E-2</v>
      </c>
      <c r="E7497" t="s">
        <v>6</v>
      </c>
      <c r="F7497">
        <v>0.13392999999999999</v>
      </c>
    </row>
    <row r="7498" spans="1:6" x14ac:dyDescent="0.3">
      <c r="A7498" t="s">
        <v>5</v>
      </c>
      <c r="B7498" s="1">
        <v>45970</v>
      </c>
      <c r="C7498">
        <v>9</v>
      </c>
      <c r="D7498">
        <v>0.06</v>
      </c>
      <c r="E7498" t="s">
        <v>6</v>
      </c>
      <c r="F7498">
        <v>0.1331</v>
      </c>
    </row>
    <row r="7499" spans="1:6" x14ac:dyDescent="0.3">
      <c r="A7499" t="s">
        <v>5</v>
      </c>
      <c r="B7499" s="1">
        <v>45970</v>
      </c>
      <c r="C7499">
        <v>10</v>
      </c>
      <c r="D7499">
        <v>0.123</v>
      </c>
      <c r="E7499" t="s">
        <v>6</v>
      </c>
      <c r="F7499">
        <v>0.10128</v>
      </c>
    </row>
    <row r="7500" spans="1:6" x14ac:dyDescent="0.3">
      <c r="A7500" t="s">
        <v>5</v>
      </c>
      <c r="B7500" s="1">
        <v>45970</v>
      </c>
      <c r="C7500">
        <v>11</v>
      </c>
      <c r="D7500">
        <v>0.12</v>
      </c>
      <c r="E7500" t="s">
        <v>6</v>
      </c>
      <c r="F7500">
        <v>5.4700000000000006E-2</v>
      </c>
    </row>
    <row r="7501" spans="1:6" x14ac:dyDescent="0.3">
      <c r="A7501" t="s">
        <v>5</v>
      </c>
      <c r="B7501" s="1">
        <v>45970</v>
      </c>
      <c r="C7501">
        <v>12</v>
      </c>
      <c r="D7501">
        <v>5.2999999999999999E-2</v>
      </c>
      <c r="E7501" t="s">
        <v>6</v>
      </c>
      <c r="F7501">
        <v>5.1810000000000002E-2</v>
      </c>
    </row>
    <row r="7502" spans="1:6" x14ac:dyDescent="0.3">
      <c r="A7502" t="s">
        <v>5</v>
      </c>
      <c r="B7502" s="1">
        <v>45970</v>
      </c>
      <c r="C7502">
        <v>13</v>
      </c>
      <c r="D7502">
        <v>6.5000000000000002E-2</v>
      </c>
      <c r="E7502" t="s">
        <v>6</v>
      </c>
      <c r="F7502">
        <v>5.2600000000000001E-2</v>
      </c>
    </row>
    <row r="7503" spans="1:6" x14ac:dyDescent="0.3">
      <c r="A7503" t="s">
        <v>5</v>
      </c>
      <c r="B7503" s="1">
        <v>45970</v>
      </c>
      <c r="C7503">
        <v>14</v>
      </c>
      <c r="D7503">
        <v>6.8000000000000005E-2</v>
      </c>
      <c r="E7503" t="s">
        <v>6</v>
      </c>
      <c r="F7503">
        <v>5.45E-2</v>
      </c>
    </row>
    <row r="7504" spans="1:6" x14ac:dyDescent="0.3">
      <c r="A7504" t="s">
        <v>5</v>
      </c>
      <c r="B7504" s="1">
        <v>45970</v>
      </c>
      <c r="C7504">
        <v>15</v>
      </c>
      <c r="D7504">
        <v>5.0999999999999997E-2</v>
      </c>
      <c r="E7504" t="s">
        <v>6</v>
      </c>
      <c r="F7504">
        <v>5.6060000000000006E-2</v>
      </c>
    </row>
    <row r="7505" spans="1:6" x14ac:dyDescent="0.3">
      <c r="A7505" t="s">
        <v>5</v>
      </c>
      <c r="B7505" s="1">
        <v>45970</v>
      </c>
      <c r="C7505">
        <v>16</v>
      </c>
      <c r="D7505">
        <v>9.6000000000000002E-2</v>
      </c>
      <c r="E7505" t="s">
        <v>6</v>
      </c>
      <c r="F7505">
        <v>7.2930000000000009E-2</v>
      </c>
    </row>
    <row r="7506" spans="1:6" x14ac:dyDescent="0.3">
      <c r="A7506" t="s">
        <v>5</v>
      </c>
      <c r="B7506" s="1">
        <v>45970</v>
      </c>
      <c r="C7506">
        <v>17</v>
      </c>
      <c r="D7506">
        <v>0.105</v>
      </c>
      <c r="E7506" t="s">
        <v>6</v>
      </c>
      <c r="F7506">
        <v>0.11429</v>
      </c>
    </row>
    <row r="7507" spans="1:6" x14ac:dyDescent="0.3">
      <c r="A7507" t="s">
        <v>5</v>
      </c>
      <c r="B7507" s="1">
        <v>45970</v>
      </c>
      <c r="C7507">
        <v>18</v>
      </c>
      <c r="D7507">
        <v>0.1</v>
      </c>
      <c r="E7507" t="s">
        <v>6</v>
      </c>
      <c r="F7507">
        <v>0.14165</v>
      </c>
    </row>
    <row r="7508" spans="1:6" x14ac:dyDescent="0.3">
      <c r="A7508" t="s">
        <v>5</v>
      </c>
      <c r="B7508" s="1">
        <v>45970</v>
      </c>
      <c r="C7508">
        <v>19</v>
      </c>
      <c r="D7508">
        <v>0.223</v>
      </c>
      <c r="E7508" t="s">
        <v>6</v>
      </c>
      <c r="F7508">
        <v>0.14812999999999998</v>
      </c>
    </row>
    <row r="7509" spans="1:6" x14ac:dyDescent="0.3">
      <c r="A7509" t="s">
        <v>5</v>
      </c>
      <c r="B7509" s="1">
        <v>45970</v>
      </c>
      <c r="C7509">
        <v>20</v>
      </c>
      <c r="D7509">
        <v>0.13300000000000001</v>
      </c>
      <c r="E7509" t="s">
        <v>6</v>
      </c>
      <c r="F7509">
        <v>0.15784999999999999</v>
      </c>
    </row>
    <row r="7510" spans="1:6" x14ac:dyDescent="0.3">
      <c r="A7510" t="s">
        <v>5</v>
      </c>
      <c r="B7510" s="1">
        <v>45970</v>
      </c>
      <c r="C7510">
        <v>21</v>
      </c>
      <c r="D7510">
        <v>0.127</v>
      </c>
      <c r="E7510" t="s">
        <v>6</v>
      </c>
      <c r="F7510">
        <v>0.16400999999999999</v>
      </c>
    </row>
    <row r="7511" spans="1:6" x14ac:dyDescent="0.3">
      <c r="A7511" t="s">
        <v>5</v>
      </c>
      <c r="B7511" s="1">
        <v>45970</v>
      </c>
      <c r="C7511">
        <v>22</v>
      </c>
      <c r="D7511">
        <v>0.73099999999999998</v>
      </c>
      <c r="E7511" t="s">
        <v>6</v>
      </c>
      <c r="F7511">
        <v>0.16878000000000001</v>
      </c>
    </row>
    <row r="7512" spans="1:6" x14ac:dyDescent="0.3">
      <c r="A7512" t="s">
        <v>5</v>
      </c>
      <c r="B7512" s="1">
        <v>45970</v>
      </c>
      <c r="C7512">
        <v>23</v>
      </c>
      <c r="D7512">
        <v>0.161</v>
      </c>
      <c r="E7512" t="s">
        <v>6</v>
      </c>
      <c r="F7512">
        <v>0.15543999999999999</v>
      </c>
    </row>
    <row r="7513" spans="1:6" x14ac:dyDescent="0.3">
      <c r="A7513" t="s">
        <v>5</v>
      </c>
      <c r="B7513" s="1">
        <v>45970</v>
      </c>
      <c r="C7513">
        <v>24</v>
      </c>
      <c r="D7513">
        <v>0.19600000000000001</v>
      </c>
      <c r="E7513" t="s">
        <v>6</v>
      </c>
      <c r="F7513">
        <v>0.14286000000000001</v>
      </c>
    </row>
    <row r="7514" spans="1:6" x14ac:dyDescent="0.3">
      <c r="A7514" t="s">
        <v>5</v>
      </c>
      <c r="B7514" s="1">
        <v>45971</v>
      </c>
      <c r="C7514">
        <v>1</v>
      </c>
      <c r="D7514">
        <v>0.126</v>
      </c>
      <c r="E7514" t="s">
        <v>6</v>
      </c>
      <c r="F7514">
        <v>0.13049000000000002</v>
      </c>
    </row>
    <row r="7515" spans="1:6" x14ac:dyDescent="0.3">
      <c r="A7515" t="s">
        <v>5</v>
      </c>
      <c r="B7515" s="1">
        <v>45971</v>
      </c>
      <c r="C7515">
        <v>2</v>
      </c>
      <c r="D7515">
        <v>8.8999999999999996E-2</v>
      </c>
      <c r="E7515" t="s">
        <v>6</v>
      </c>
      <c r="F7515">
        <v>0.12179000000000001</v>
      </c>
    </row>
    <row r="7516" spans="1:6" x14ac:dyDescent="0.3">
      <c r="A7516" t="s">
        <v>5</v>
      </c>
      <c r="B7516" s="1">
        <v>45971</v>
      </c>
      <c r="C7516">
        <v>3</v>
      </c>
      <c r="D7516">
        <v>7.0000000000000007E-2</v>
      </c>
      <c r="E7516" t="s">
        <v>6</v>
      </c>
      <c r="F7516">
        <v>0.11112000000000001</v>
      </c>
    </row>
    <row r="7517" spans="1:6" x14ac:dyDescent="0.3">
      <c r="A7517" t="s">
        <v>5</v>
      </c>
      <c r="B7517" s="1">
        <v>45971</v>
      </c>
      <c r="C7517">
        <v>4</v>
      </c>
      <c r="D7517">
        <v>6.8000000000000005E-2</v>
      </c>
      <c r="E7517" t="s">
        <v>6</v>
      </c>
      <c r="F7517">
        <v>0.10525</v>
      </c>
    </row>
    <row r="7518" spans="1:6" x14ac:dyDescent="0.3">
      <c r="A7518" t="s">
        <v>5</v>
      </c>
      <c r="B7518" s="1">
        <v>45971</v>
      </c>
      <c r="C7518">
        <v>5</v>
      </c>
      <c r="D7518">
        <v>5.1999999999999998E-2</v>
      </c>
      <c r="E7518" t="s">
        <v>6</v>
      </c>
      <c r="F7518">
        <v>0.10468000000000001</v>
      </c>
    </row>
    <row r="7519" spans="1:6" x14ac:dyDescent="0.3">
      <c r="A7519" t="s">
        <v>5</v>
      </c>
      <c r="B7519" s="1">
        <v>45971</v>
      </c>
      <c r="C7519">
        <v>6</v>
      </c>
      <c r="D7519">
        <v>0.105</v>
      </c>
      <c r="E7519" t="s">
        <v>6</v>
      </c>
      <c r="F7519">
        <v>0.11004000000000001</v>
      </c>
    </row>
    <row r="7520" spans="1:6" x14ac:dyDescent="0.3">
      <c r="A7520" t="s">
        <v>5</v>
      </c>
      <c r="B7520" s="1">
        <v>45971</v>
      </c>
      <c r="C7520">
        <v>7</v>
      </c>
      <c r="D7520">
        <v>0.128</v>
      </c>
      <c r="E7520" t="s">
        <v>6</v>
      </c>
      <c r="F7520">
        <v>0.13294</v>
      </c>
    </row>
    <row r="7521" spans="1:6" x14ac:dyDescent="0.3">
      <c r="A7521" t="s">
        <v>5</v>
      </c>
      <c r="B7521" s="1">
        <v>45971</v>
      </c>
      <c r="C7521">
        <v>8</v>
      </c>
      <c r="D7521">
        <v>8.5999999999999993E-2</v>
      </c>
      <c r="E7521" t="s">
        <v>6</v>
      </c>
      <c r="F7521">
        <v>0.14745</v>
      </c>
    </row>
    <row r="7522" spans="1:6" x14ac:dyDescent="0.3">
      <c r="A7522" t="s">
        <v>5</v>
      </c>
      <c r="B7522" s="1">
        <v>45971</v>
      </c>
      <c r="C7522">
        <v>9</v>
      </c>
      <c r="D7522">
        <v>9.8000000000000004E-2</v>
      </c>
      <c r="E7522" t="s">
        <v>6</v>
      </c>
      <c r="F7522">
        <v>0.17221</v>
      </c>
    </row>
    <row r="7523" spans="1:6" x14ac:dyDescent="0.3">
      <c r="A7523" t="s">
        <v>5</v>
      </c>
      <c r="B7523" s="1">
        <v>45971</v>
      </c>
      <c r="C7523">
        <v>10</v>
      </c>
      <c r="D7523">
        <v>6.8000000000000005E-2</v>
      </c>
      <c r="E7523" t="s">
        <v>6</v>
      </c>
      <c r="F7523">
        <v>0.13134000000000001</v>
      </c>
    </row>
    <row r="7524" spans="1:6" x14ac:dyDescent="0.3">
      <c r="A7524" t="s">
        <v>5</v>
      </c>
      <c r="B7524" s="1">
        <v>45971</v>
      </c>
      <c r="C7524">
        <v>11</v>
      </c>
      <c r="D7524">
        <v>0.11600000000000001</v>
      </c>
      <c r="E7524" t="s">
        <v>6</v>
      </c>
      <c r="F7524">
        <v>0.1676</v>
      </c>
    </row>
    <row r="7525" spans="1:6" x14ac:dyDescent="0.3">
      <c r="A7525" t="s">
        <v>5</v>
      </c>
      <c r="B7525" s="1">
        <v>45971</v>
      </c>
      <c r="C7525">
        <v>12</v>
      </c>
      <c r="D7525">
        <v>0.13300000000000001</v>
      </c>
      <c r="E7525" t="s">
        <v>6</v>
      </c>
      <c r="F7525">
        <v>0.15834000000000001</v>
      </c>
    </row>
    <row r="7526" spans="1:6" x14ac:dyDescent="0.3">
      <c r="A7526" t="s">
        <v>5</v>
      </c>
      <c r="B7526" s="1">
        <v>45971</v>
      </c>
      <c r="C7526">
        <v>13</v>
      </c>
      <c r="D7526">
        <v>0.58699999999999997</v>
      </c>
      <c r="E7526" t="s">
        <v>6</v>
      </c>
      <c r="F7526">
        <v>0.16027000000000002</v>
      </c>
    </row>
    <row r="7527" spans="1:6" x14ac:dyDescent="0.3">
      <c r="A7527" t="s">
        <v>5</v>
      </c>
      <c r="B7527" s="1">
        <v>45971</v>
      </c>
      <c r="C7527">
        <v>14</v>
      </c>
      <c r="D7527">
        <v>0.23499999999999999</v>
      </c>
      <c r="E7527" t="s">
        <v>6</v>
      </c>
      <c r="F7527">
        <v>0.15059</v>
      </c>
    </row>
    <row r="7528" spans="1:6" x14ac:dyDescent="0.3">
      <c r="A7528" t="s">
        <v>5</v>
      </c>
      <c r="B7528" s="1">
        <v>45971</v>
      </c>
      <c r="C7528">
        <v>15</v>
      </c>
      <c r="D7528">
        <v>0.32500000000000001</v>
      </c>
      <c r="E7528" t="s">
        <v>6</v>
      </c>
      <c r="F7528">
        <v>8.7889999999999996E-2</v>
      </c>
    </row>
    <row r="7529" spans="1:6" x14ac:dyDescent="0.3">
      <c r="A7529" t="s">
        <v>5</v>
      </c>
      <c r="B7529" s="1">
        <v>45971</v>
      </c>
      <c r="C7529">
        <v>16</v>
      </c>
      <c r="D7529">
        <v>0.186</v>
      </c>
      <c r="E7529" t="s">
        <v>6</v>
      </c>
      <c r="F7529">
        <v>0.10711</v>
      </c>
    </row>
    <row r="7530" spans="1:6" x14ac:dyDescent="0.3">
      <c r="A7530" t="s">
        <v>5</v>
      </c>
      <c r="B7530" s="1">
        <v>45971</v>
      </c>
      <c r="C7530">
        <v>17</v>
      </c>
      <c r="D7530">
        <v>0.123</v>
      </c>
      <c r="E7530" t="s">
        <v>6</v>
      </c>
      <c r="F7530">
        <v>0.12966</v>
      </c>
    </row>
    <row r="7531" spans="1:6" x14ac:dyDescent="0.3">
      <c r="A7531" t="s">
        <v>5</v>
      </c>
      <c r="B7531" s="1">
        <v>45971</v>
      </c>
      <c r="C7531">
        <v>18</v>
      </c>
      <c r="D7531">
        <v>8.2000000000000003E-2</v>
      </c>
      <c r="E7531" t="s">
        <v>6</v>
      </c>
      <c r="F7531">
        <v>0.17282</v>
      </c>
    </row>
    <row r="7532" spans="1:6" x14ac:dyDescent="0.3">
      <c r="A7532" t="s">
        <v>5</v>
      </c>
      <c r="B7532" s="1">
        <v>45971</v>
      </c>
      <c r="C7532">
        <v>19</v>
      </c>
      <c r="D7532">
        <v>0.14499999999999999</v>
      </c>
      <c r="E7532" t="s">
        <v>6</v>
      </c>
      <c r="F7532">
        <v>0.26330999999999999</v>
      </c>
    </row>
    <row r="7533" spans="1:6" x14ac:dyDescent="0.3">
      <c r="A7533" t="s">
        <v>5</v>
      </c>
      <c r="B7533" s="1">
        <v>45971</v>
      </c>
      <c r="C7533">
        <v>20</v>
      </c>
      <c r="D7533">
        <v>0.115</v>
      </c>
      <c r="E7533" t="s">
        <v>6</v>
      </c>
      <c r="F7533">
        <v>0.27726999999999996</v>
      </c>
    </row>
    <row r="7534" spans="1:6" x14ac:dyDescent="0.3">
      <c r="A7534" t="s">
        <v>5</v>
      </c>
      <c r="B7534" s="1">
        <v>45971</v>
      </c>
      <c r="C7534">
        <v>21</v>
      </c>
      <c r="D7534">
        <v>0.32800000000000001</v>
      </c>
      <c r="E7534" t="s">
        <v>6</v>
      </c>
      <c r="F7534">
        <v>0.27054</v>
      </c>
    </row>
    <row r="7535" spans="1:6" x14ac:dyDescent="0.3">
      <c r="A7535" t="s">
        <v>5</v>
      </c>
      <c r="B7535" s="1">
        <v>45971</v>
      </c>
      <c r="C7535">
        <v>22</v>
      </c>
      <c r="D7535">
        <v>0.308</v>
      </c>
      <c r="E7535" t="s">
        <v>6</v>
      </c>
      <c r="F7535">
        <v>0.26486000000000004</v>
      </c>
    </row>
    <row r="7536" spans="1:6" x14ac:dyDescent="0.3">
      <c r="A7536" t="s">
        <v>5</v>
      </c>
      <c r="B7536" s="1">
        <v>45971</v>
      </c>
      <c r="C7536">
        <v>23</v>
      </c>
      <c r="D7536">
        <v>0.29099999999999998</v>
      </c>
      <c r="E7536" t="s">
        <v>6</v>
      </c>
      <c r="F7536">
        <v>0.17510000000000001</v>
      </c>
    </row>
    <row r="7537" spans="1:6" x14ac:dyDescent="0.3">
      <c r="A7537" t="s">
        <v>5</v>
      </c>
      <c r="B7537" s="1">
        <v>45971</v>
      </c>
      <c r="C7537">
        <v>24</v>
      </c>
      <c r="D7537">
        <v>0.40600000000000003</v>
      </c>
      <c r="E7537" t="s">
        <v>6</v>
      </c>
      <c r="F7537">
        <v>0.16284999999999999</v>
      </c>
    </row>
    <row r="7538" spans="1:6" x14ac:dyDescent="0.3">
      <c r="A7538" t="s">
        <v>5</v>
      </c>
      <c r="B7538" s="1">
        <v>45972</v>
      </c>
      <c r="C7538">
        <v>1</v>
      </c>
      <c r="D7538">
        <v>1.2150000000000001</v>
      </c>
      <c r="E7538" t="s">
        <v>6</v>
      </c>
      <c r="F7538">
        <v>0.14252999999999999</v>
      </c>
    </row>
    <row r="7539" spans="1:6" x14ac:dyDescent="0.3">
      <c r="A7539" t="s">
        <v>5</v>
      </c>
      <c r="B7539" s="1">
        <v>45972</v>
      </c>
      <c r="C7539">
        <v>2</v>
      </c>
      <c r="D7539">
        <v>0.54800000000000004</v>
      </c>
      <c r="E7539" t="s">
        <v>6</v>
      </c>
      <c r="F7539">
        <v>0.14138000000000001</v>
      </c>
    </row>
    <row r="7540" spans="1:6" x14ac:dyDescent="0.3">
      <c r="A7540" t="s">
        <v>5</v>
      </c>
      <c r="B7540" s="1">
        <v>45972</v>
      </c>
      <c r="C7540">
        <v>3</v>
      </c>
      <c r="D7540">
        <v>0.746</v>
      </c>
      <c r="E7540" t="s">
        <v>6</v>
      </c>
      <c r="F7540">
        <v>0.14293</v>
      </c>
    </row>
    <row r="7541" spans="1:6" x14ac:dyDescent="0.3">
      <c r="A7541" t="s">
        <v>5</v>
      </c>
      <c r="B7541" s="1">
        <v>45972</v>
      </c>
      <c r="C7541">
        <v>4</v>
      </c>
      <c r="D7541">
        <v>0.19600000000000001</v>
      </c>
      <c r="E7541" t="s">
        <v>6</v>
      </c>
      <c r="F7541">
        <v>0.13955999999999999</v>
      </c>
    </row>
    <row r="7542" spans="1:6" x14ac:dyDescent="0.3">
      <c r="A7542" t="s">
        <v>5</v>
      </c>
      <c r="B7542" s="1">
        <v>45972</v>
      </c>
      <c r="C7542">
        <v>5</v>
      </c>
      <c r="D7542">
        <v>0.11799999999999999</v>
      </c>
      <c r="E7542" t="s">
        <v>6</v>
      </c>
      <c r="F7542">
        <v>0.13961999999999999</v>
      </c>
    </row>
    <row r="7543" spans="1:6" x14ac:dyDescent="0.3">
      <c r="A7543" t="s">
        <v>5</v>
      </c>
      <c r="B7543" s="1">
        <v>45972</v>
      </c>
      <c r="C7543">
        <v>6</v>
      </c>
      <c r="D7543">
        <v>0.126</v>
      </c>
      <c r="E7543" t="s">
        <v>6</v>
      </c>
      <c r="F7543">
        <v>0.13807</v>
      </c>
    </row>
    <row r="7544" spans="1:6" x14ac:dyDescent="0.3">
      <c r="A7544" t="s">
        <v>5</v>
      </c>
      <c r="B7544" s="1">
        <v>45972</v>
      </c>
      <c r="C7544">
        <v>7</v>
      </c>
      <c r="D7544">
        <v>0.128</v>
      </c>
      <c r="E7544" t="s">
        <v>6</v>
      </c>
      <c r="F7544">
        <v>0.13925999999999999</v>
      </c>
    </row>
    <row r="7545" spans="1:6" x14ac:dyDescent="0.3">
      <c r="A7545" t="s">
        <v>5</v>
      </c>
      <c r="B7545" s="1">
        <v>45972</v>
      </c>
      <c r="C7545">
        <v>8</v>
      </c>
      <c r="D7545">
        <v>0.16800000000000001</v>
      </c>
      <c r="E7545" t="s">
        <v>6</v>
      </c>
      <c r="F7545">
        <v>0.14138000000000001</v>
      </c>
    </row>
    <row r="7546" spans="1:6" x14ac:dyDescent="0.3">
      <c r="A7546" t="s">
        <v>5</v>
      </c>
      <c r="B7546" s="1">
        <v>45972</v>
      </c>
      <c r="C7546">
        <v>9</v>
      </c>
      <c r="D7546">
        <v>0.13300000000000001</v>
      </c>
      <c r="E7546" t="s">
        <v>6</v>
      </c>
      <c r="F7546">
        <v>0.16347</v>
      </c>
    </row>
    <row r="7547" spans="1:6" x14ac:dyDescent="0.3">
      <c r="A7547" t="s">
        <v>5</v>
      </c>
      <c r="B7547" s="1">
        <v>45972</v>
      </c>
      <c r="C7547">
        <v>10</v>
      </c>
      <c r="D7547">
        <v>0.17</v>
      </c>
      <c r="E7547" t="s">
        <v>6</v>
      </c>
      <c r="F7547">
        <v>0.11731</v>
      </c>
    </row>
    <row r="7548" spans="1:6" x14ac:dyDescent="0.3">
      <c r="A7548" t="s">
        <v>5</v>
      </c>
      <c r="B7548" s="1">
        <v>45972</v>
      </c>
      <c r="C7548">
        <v>11</v>
      </c>
      <c r="D7548">
        <v>0.17799999999999999</v>
      </c>
      <c r="E7548" t="s">
        <v>6</v>
      </c>
      <c r="F7548">
        <v>0.14349000000000001</v>
      </c>
    </row>
    <row r="7549" spans="1:6" x14ac:dyDescent="0.3">
      <c r="A7549" t="s">
        <v>5</v>
      </c>
      <c r="B7549" s="1">
        <v>45972</v>
      </c>
      <c r="C7549">
        <v>12</v>
      </c>
      <c r="D7549">
        <v>0.128</v>
      </c>
      <c r="E7549" t="s">
        <v>6</v>
      </c>
      <c r="F7549">
        <v>0.14305999999999999</v>
      </c>
    </row>
    <row r="7550" spans="1:6" x14ac:dyDescent="0.3">
      <c r="A7550" t="s">
        <v>5</v>
      </c>
      <c r="B7550" s="1">
        <v>45972</v>
      </c>
      <c r="C7550">
        <v>13</v>
      </c>
      <c r="D7550">
        <v>0.19</v>
      </c>
      <c r="E7550" t="s">
        <v>6</v>
      </c>
      <c r="F7550">
        <v>0.14537</v>
      </c>
    </row>
    <row r="7551" spans="1:6" x14ac:dyDescent="0.3">
      <c r="A7551" t="s">
        <v>5</v>
      </c>
      <c r="B7551" s="1">
        <v>45972</v>
      </c>
      <c r="C7551">
        <v>14</v>
      </c>
      <c r="D7551">
        <v>0.28000000000000003</v>
      </c>
      <c r="E7551" t="s">
        <v>6</v>
      </c>
      <c r="F7551">
        <v>0.13835</v>
      </c>
    </row>
    <row r="7552" spans="1:6" x14ac:dyDescent="0.3">
      <c r="A7552" t="s">
        <v>5</v>
      </c>
      <c r="B7552" s="1">
        <v>45972</v>
      </c>
      <c r="C7552">
        <v>15</v>
      </c>
      <c r="D7552">
        <v>0.104</v>
      </c>
      <c r="E7552" t="s">
        <v>6</v>
      </c>
      <c r="F7552">
        <v>6.9889999999999994E-2</v>
      </c>
    </row>
    <row r="7553" spans="1:6" x14ac:dyDescent="0.3">
      <c r="A7553" t="s">
        <v>5</v>
      </c>
      <c r="B7553" s="1">
        <v>45972</v>
      </c>
      <c r="C7553">
        <v>16</v>
      </c>
      <c r="D7553">
        <v>6.4000000000000001E-2</v>
      </c>
      <c r="E7553" t="s">
        <v>6</v>
      </c>
      <c r="F7553">
        <v>7.8E-2</v>
      </c>
    </row>
    <row r="7554" spans="1:6" x14ac:dyDescent="0.3">
      <c r="A7554" t="s">
        <v>5</v>
      </c>
      <c r="B7554" s="1">
        <v>45972</v>
      </c>
      <c r="C7554">
        <v>17</v>
      </c>
      <c r="D7554">
        <v>0.41699999999999998</v>
      </c>
      <c r="E7554" t="s">
        <v>6</v>
      </c>
      <c r="F7554">
        <v>0.10689</v>
      </c>
    </row>
    <row r="7555" spans="1:6" x14ac:dyDescent="0.3">
      <c r="A7555" t="s">
        <v>5</v>
      </c>
      <c r="B7555" s="1">
        <v>45972</v>
      </c>
      <c r="C7555">
        <v>18</v>
      </c>
      <c r="D7555">
        <v>8.7999999999999995E-2</v>
      </c>
      <c r="E7555" t="s">
        <v>6</v>
      </c>
      <c r="F7555">
        <v>0.14692</v>
      </c>
    </row>
    <row r="7556" spans="1:6" x14ac:dyDescent="0.3">
      <c r="A7556" t="s">
        <v>5</v>
      </c>
      <c r="B7556" s="1">
        <v>45972</v>
      </c>
      <c r="C7556">
        <v>19</v>
      </c>
      <c r="D7556">
        <v>0.17399999999999999</v>
      </c>
      <c r="E7556" t="s">
        <v>6</v>
      </c>
      <c r="F7556">
        <v>0.22991999999999999</v>
      </c>
    </row>
    <row r="7557" spans="1:6" x14ac:dyDescent="0.3">
      <c r="A7557" t="s">
        <v>5</v>
      </c>
      <c r="B7557" s="1">
        <v>45972</v>
      </c>
      <c r="C7557">
        <v>20</v>
      </c>
      <c r="D7557">
        <v>9.4E-2</v>
      </c>
      <c r="E7557" t="s">
        <v>6</v>
      </c>
      <c r="F7557">
        <v>0.23711000000000002</v>
      </c>
    </row>
    <row r="7558" spans="1:6" x14ac:dyDescent="0.3">
      <c r="A7558" t="s">
        <v>5</v>
      </c>
      <c r="B7558" s="1">
        <v>45972</v>
      </c>
      <c r="C7558">
        <v>21</v>
      </c>
      <c r="D7558">
        <v>0.14299999999999999</v>
      </c>
      <c r="E7558" t="s">
        <v>6</v>
      </c>
      <c r="F7558">
        <v>0.23760000000000001</v>
      </c>
    </row>
    <row r="7559" spans="1:6" x14ac:dyDescent="0.3">
      <c r="A7559" t="s">
        <v>5</v>
      </c>
      <c r="B7559" s="1">
        <v>45972</v>
      </c>
      <c r="C7559">
        <v>22</v>
      </c>
      <c r="D7559">
        <v>1.0580000000000001</v>
      </c>
      <c r="E7559" t="s">
        <v>6</v>
      </c>
      <c r="F7559">
        <v>0.22953999999999999</v>
      </c>
    </row>
    <row r="7560" spans="1:6" x14ac:dyDescent="0.3">
      <c r="A7560" t="s">
        <v>5</v>
      </c>
      <c r="B7560" s="1">
        <v>45972</v>
      </c>
      <c r="C7560">
        <v>23</v>
      </c>
      <c r="D7560">
        <v>0.629</v>
      </c>
      <c r="E7560" t="s">
        <v>6</v>
      </c>
      <c r="F7560">
        <v>0.15594999999999998</v>
      </c>
    </row>
    <row r="7561" spans="1:6" x14ac:dyDescent="0.3">
      <c r="A7561" t="s">
        <v>5</v>
      </c>
      <c r="B7561" s="1">
        <v>45972</v>
      </c>
      <c r="C7561">
        <v>24</v>
      </c>
      <c r="D7561">
        <v>0.40500000000000003</v>
      </c>
      <c r="E7561" t="s">
        <v>6</v>
      </c>
      <c r="F7561">
        <v>0.13916000000000001</v>
      </c>
    </row>
    <row r="7562" spans="1:6" x14ac:dyDescent="0.3">
      <c r="A7562" t="s">
        <v>5</v>
      </c>
      <c r="B7562" s="1">
        <v>45973</v>
      </c>
      <c r="C7562">
        <v>1</v>
      </c>
      <c r="D7562">
        <v>0.19800000000000001</v>
      </c>
      <c r="E7562" t="s">
        <v>6</v>
      </c>
      <c r="F7562">
        <v>0.10878</v>
      </c>
    </row>
    <row r="7563" spans="1:6" x14ac:dyDescent="0.3">
      <c r="A7563" t="s">
        <v>5</v>
      </c>
      <c r="B7563" s="1">
        <v>45973</v>
      </c>
      <c r="C7563">
        <v>2</v>
      </c>
      <c r="D7563">
        <v>0.13600000000000001</v>
      </c>
      <c r="E7563" t="s">
        <v>6</v>
      </c>
      <c r="F7563">
        <v>9.0219999999999995E-2</v>
      </c>
    </row>
    <row r="7564" spans="1:6" x14ac:dyDescent="0.3">
      <c r="A7564" t="s">
        <v>5</v>
      </c>
      <c r="B7564" s="1">
        <v>45973</v>
      </c>
      <c r="C7564">
        <v>3</v>
      </c>
      <c r="D7564">
        <v>0.13200000000000001</v>
      </c>
      <c r="E7564" t="s">
        <v>6</v>
      </c>
      <c r="F7564">
        <v>8.7639999999999996E-2</v>
      </c>
    </row>
    <row r="7565" spans="1:6" x14ac:dyDescent="0.3">
      <c r="A7565" t="s">
        <v>5</v>
      </c>
      <c r="B7565" s="1">
        <v>45973</v>
      </c>
      <c r="C7565">
        <v>4</v>
      </c>
      <c r="D7565">
        <v>9.9000000000000005E-2</v>
      </c>
      <c r="E7565" t="s">
        <v>6</v>
      </c>
      <c r="F7565">
        <v>7.9799999999999996E-2</v>
      </c>
    </row>
    <row r="7566" spans="1:6" x14ac:dyDescent="0.3">
      <c r="A7566" t="s">
        <v>5</v>
      </c>
      <c r="B7566" s="1">
        <v>45973</v>
      </c>
      <c r="C7566">
        <v>5</v>
      </c>
      <c r="D7566">
        <v>0.12</v>
      </c>
      <c r="E7566" t="s">
        <v>6</v>
      </c>
      <c r="F7566">
        <v>7.5850000000000001E-2</v>
      </c>
    </row>
    <row r="7567" spans="1:6" x14ac:dyDescent="0.3">
      <c r="A7567" t="s">
        <v>5</v>
      </c>
      <c r="B7567" s="1">
        <v>45973</v>
      </c>
      <c r="C7567">
        <v>6</v>
      </c>
      <c r="D7567">
        <v>9.6000000000000002E-2</v>
      </c>
      <c r="E7567" t="s">
        <v>6</v>
      </c>
      <c r="F7567">
        <v>8.0879999999999994E-2</v>
      </c>
    </row>
    <row r="7568" spans="1:6" x14ac:dyDescent="0.3">
      <c r="A7568" t="s">
        <v>5</v>
      </c>
      <c r="B7568" s="1">
        <v>45973</v>
      </c>
      <c r="C7568">
        <v>7</v>
      </c>
      <c r="D7568">
        <v>0.113</v>
      </c>
      <c r="E7568" t="s">
        <v>6</v>
      </c>
      <c r="F7568">
        <v>0.10842</v>
      </c>
    </row>
    <row r="7569" spans="1:6" x14ac:dyDescent="0.3">
      <c r="A7569" t="s">
        <v>5</v>
      </c>
      <c r="B7569" s="1">
        <v>45973</v>
      </c>
      <c r="C7569">
        <v>8</v>
      </c>
      <c r="D7569">
        <v>9.1999999999999998E-2</v>
      </c>
      <c r="E7569" t="s">
        <v>6</v>
      </c>
      <c r="F7569">
        <v>0.11788</v>
      </c>
    </row>
    <row r="7570" spans="1:6" x14ac:dyDescent="0.3">
      <c r="A7570" t="s">
        <v>5</v>
      </c>
      <c r="B7570" s="1">
        <v>45973</v>
      </c>
      <c r="C7570">
        <v>9</v>
      </c>
      <c r="D7570">
        <v>8.4000000000000005E-2</v>
      </c>
      <c r="E7570" t="s">
        <v>6</v>
      </c>
      <c r="F7570">
        <v>0.13738999999999998</v>
      </c>
    </row>
    <row r="7571" spans="1:6" x14ac:dyDescent="0.3">
      <c r="A7571" t="s">
        <v>5</v>
      </c>
      <c r="B7571" s="1">
        <v>45973</v>
      </c>
      <c r="C7571">
        <v>10</v>
      </c>
      <c r="D7571">
        <v>9.5000000000000001E-2</v>
      </c>
      <c r="E7571" t="s">
        <v>6</v>
      </c>
      <c r="F7571">
        <v>9.987E-2</v>
      </c>
    </row>
    <row r="7572" spans="1:6" x14ac:dyDescent="0.3">
      <c r="A7572" t="s">
        <v>5</v>
      </c>
      <c r="B7572" s="1">
        <v>45973</v>
      </c>
      <c r="C7572">
        <v>11</v>
      </c>
      <c r="D7572">
        <v>0.16400000000000001</v>
      </c>
      <c r="E7572" t="s">
        <v>6</v>
      </c>
      <c r="F7572">
        <v>0.15480000000000002</v>
      </c>
    </row>
    <row r="7573" spans="1:6" x14ac:dyDescent="0.3">
      <c r="A7573" t="s">
        <v>5</v>
      </c>
      <c r="B7573" s="1">
        <v>45973</v>
      </c>
      <c r="C7573">
        <v>12</v>
      </c>
      <c r="D7573">
        <v>0.42299999999999999</v>
      </c>
      <c r="E7573" t="s">
        <v>6</v>
      </c>
      <c r="F7573">
        <v>0.15343999999999999</v>
      </c>
    </row>
    <row r="7574" spans="1:6" x14ac:dyDescent="0.3">
      <c r="A7574" t="s">
        <v>5</v>
      </c>
      <c r="B7574" s="1">
        <v>45973</v>
      </c>
      <c r="C7574">
        <v>13</v>
      </c>
      <c r="D7574">
        <v>0.42399999999999999</v>
      </c>
      <c r="E7574" t="s">
        <v>6</v>
      </c>
      <c r="F7574">
        <v>0.15787000000000001</v>
      </c>
    </row>
    <row r="7575" spans="1:6" x14ac:dyDescent="0.3">
      <c r="A7575" t="s">
        <v>5</v>
      </c>
      <c r="B7575" s="1">
        <v>45973</v>
      </c>
      <c r="C7575">
        <v>14</v>
      </c>
      <c r="D7575">
        <v>0.443</v>
      </c>
      <c r="E7575" t="s">
        <v>6</v>
      </c>
      <c r="F7575">
        <v>0.15465000000000001</v>
      </c>
    </row>
    <row r="7576" spans="1:6" x14ac:dyDescent="0.3">
      <c r="A7576" t="s">
        <v>5</v>
      </c>
      <c r="B7576" s="1">
        <v>45973</v>
      </c>
      <c r="C7576">
        <v>15</v>
      </c>
      <c r="D7576">
        <v>0.4</v>
      </c>
      <c r="E7576" t="s">
        <v>6</v>
      </c>
      <c r="F7576">
        <v>9.0060000000000001E-2</v>
      </c>
    </row>
    <row r="7577" spans="1:6" x14ac:dyDescent="0.3">
      <c r="A7577" t="s">
        <v>5</v>
      </c>
      <c r="B7577" s="1">
        <v>45973</v>
      </c>
      <c r="C7577">
        <v>16</v>
      </c>
      <c r="D7577">
        <v>0.41699999999999998</v>
      </c>
      <c r="E7577" t="s">
        <v>6</v>
      </c>
      <c r="F7577">
        <v>9.2780000000000001E-2</v>
      </c>
    </row>
    <row r="7578" spans="1:6" x14ac:dyDescent="0.3">
      <c r="A7578" t="s">
        <v>5</v>
      </c>
      <c r="B7578" s="1">
        <v>45973</v>
      </c>
      <c r="C7578">
        <v>17</v>
      </c>
      <c r="D7578">
        <v>0.17899999999999999</v>
      </c>
      <c r="E7578" t="s">
        <v>6</v>
      </c>
      <c r="F7578">
        <v>0.10471999999999999</v>
      </c>
    </row>
    <row r="7579" spans="1:6" x14ac:dyDescent="0.3">
      <c r="A7579" t="s">
        <v>5</v>
      </c>
      <c r="B7579" s="1">
        <v>45973</v>
      </c>
      <c r="C7579">
        <v>18</v>
      </c>
      <c r="D7579">
        <v>6.9000000000000006E-2</v>
      </c>
      <c r="E7579" t="s">
        <v>6</v>
      </c>
      <c r="F7579">
        <v>0.13408</v>
      </c>
    </row>
    <row r="7580" spans="1:6" x14ac:dyDescent="0.3">
      <c r="A7580" t="s">
        <v>5</v>
      </c>
      <c r="B7580" s="1">
        <v>45973</v>
      </c>
      <c r="C7580">
        <v>19</v>
      </c>
      <c r="D7580">
        <v>0.48599999999999999</v>
      </c>
      <c r="E7580" t="s">
        <v>6</v>
      </c>
      <c r="F7580">
        <v>0.20793999999999999</v>
      </c>
    </row>
    <row r="7581" spans="1:6" x14ac:dyDescent="0.3">
      <c r="A7581" t="s">
        <v>5</v>
      </c>
      <c r="B7581" s="1">
        <v>45973</v>
      </c>
      <c r="C7581">
        <v>20</v>
      </c>
      <c r="D7581">
        <v>0.19800000000000001</v>
      </c>
      <c r="E7581" t="s">
        <v>6</v>
      </c>
      <c r="F7581">
        <v>0.21678999999999998</v>
      </c>
    </row>
    <row r="7582" spans="1:6" x14ac:dyDescent="0.3">
      <c r="A7582" t="s">
        <v>5</v>
      </c>
      <c r="B7582" s="1">
        <v>45973</v>
      </c>
      <c r="C7582">
        <v>21</v>
      </c>
      <c r="D7582">
        <v>0.11700000000000001</v>
      </c>
      <c r="E7582" t="s">
        <v>6</v>
      </c>
      <c r="F7582">
        <v>0.22521000000000002</v>
      </c>
    </row>
    <row r="7583" spans="1:6" x14ac:dyDescent="0.3">
      <c r="A7583" t="s">
        <v>5</v>
      </c>
      <c r="B7583" s="1">
        <v>45973</v>
      </c>
      <c r="C7583">
        <v>22</v>
      </c>
      <c r="D7583">
        <v>0.439</v>
      </c>
      <c r="E7583" t="s">
        <v>6</v>
      </c>
      <c r="F7583">
        <v>0.21777000000000002</v>
      </c>
    </row>
    <row r="7584" spans="1:6" x14ac:dyDescent="0.3">
      <c r="A7584" t="s">
        <v>5</v>
      </c>
      <c r="B7584" s="1">
        <v>45973</v>
      </c>
      <c r="C7584">
        <v>23</v>
      </c>
      <c r="D7584">
        <v>0.187</v>
      </c>
      <c r="E7584" t="s">
        <v>6</v>
      </c>
      <c r="F7584">
        <v>0.13704</v>
      </c>
    </row>
    <row r="7585" spans="1:6" x14ac:dyDescent="0.3">
      <c r="A7585" t="s">
        <v>5</v>
      </c>
      <c r="B7585" s="1">
        <v>45973</v>
      </c>
      <c r="C7585">
        <v>24</v>
      </c>
      <c r="D7585">
        <v>0.14299999999999999</v>
      </c>
      <c r="E7585" t="s">
        <v>6</v>
      </c>
      <c r="F7585">
        <v>0.11913</v>
      </c>
    </row>
    <row r="7586" spans="1:6" x14ac:dyDescent="0.3">
      <c r="A7586" t="s">
        <v>5</v>
      </c>
      <c r="B7586" s="1">
        <v>45974</v>
      </c>
      <c r="C7586">
        <v>1</v>
      </c>
      <c r="D7586">
        <v>0.17799999999999999</v>
      </c>
      <c r="E7586" t="s">
        <v>6</v>
      </c>
      <c r="F7586">
        <v>9.0040000000000009E-2</v>
      </c>
    </row>
    <row r="7587" spans="1:6" x14ac:dyDescent="0.3">
      <c r="A7587" t="s">
        <v>5</v>
      </c>
      <c r="B7587" s="1">
        <v>45974</v>
      </c>
      <c r="C7587">
        <v>2</v>
      </c>
      <c r="D7587">
        <v>0.123</v>
      </c>
      <c r="E7587" t="s">
        <v>6</v>
      </c>
      <c r="F7587">
        <v>8.9200000000000002E-2</v>
      </c>
    </row>
    <row r="7588" spans="1:6" x14ac:dyDescent="0.3">
      <c r="A7588" t="s">
        <v>5</v>
      </c>
      <c r="B7588" s="1">
        <v>45974</v>
      </c>
      <c r="C7588">
        <v>3</v>
      </c>
      <c r="D7588">
        <v>0.104</v>
      </c>
      <c r="E7588" t="s">
        <v>6</v>
      </c>
      <c r="F7588">
        <v>8.5690000000000002E-2</v>
      </c>
    </row>
    <row r="7589" spans="1:6" x14ac:dyDescent="0.3">
      <c r="A7589" t="s">
        <v>5</v>
      </c>
      <c r="B7589" s="1">
        <v>45974</v>
      </c>
      <c r="C7589">
        <v>4</v>
      </c>
      <c r="D7589">
        <v>0.109</v>
      </c>
      <c r="E7589" t="s">
        <v>6</v>
      </c>
      <c r="F7589">
        <v>8.0079999999999998E-2</v>
      </c>
    </row>
    <row r="7590" spans="1:6" x14ac:dyDescent="0.3">
      <c r="A7590" t="s">
        <v>5</v>
      </c>
      <c r="B7590" s="1">
        <v>45974</v>
      </c>
      <c r="C7590">
        <v>5</v>
      </c>
      <c r="D7590">
        <v>0.10299999999999999</v>
      </c>
      <c r="E7590" t="s">
        <v>6</v>
      </c>
      <c r="F7590">
        <v>7.9519999999999993E-2</v>
      </c>
    </row>
    <row r="7591" spans="1:6" x14ac:dyDescent="0.3">
      <c r="A7591" t="s">
        <v>5</v>
      </c>
      <c r="B7591" s="1">
        <v>45974</v>
      </c>
      <c r="C7591">
        <v>6</v>
      </c>
      <c r="D7591">
        <v>0.115</v>
      </c>
      <c r="E7591" t="s">
        <v>6</v>
      </c>
      <c r="F7591">
        <v>8.1930000000000003E-2</v>
      </c>
    </row>
    <row r="7592" spans="1:6" x14ac:dyDescent="0.3">
      <c r="A7592" t="s">
        <v>5</v>
      </c>
      <c r="B7592" s="1">
        <v>45974</v>
      </c>
      <c r="C7592">
        <v>7</v>
      </c>
      <c r="D7592">
        <v>9.0999999999999998E-2</v>
      </c>
      <c r="E7592" t="s">
        <v>6</v>
      </c>
      <c r="F7592">
        <v>9.7409999999999997E-2</v>
      </c>
    </row>
    <row r="7593" spans="1:6" x14ac:dyDescent="0.3">
      <c r="A7593" t="s">
        <v>5</v>
      </c>
      <c r="B7593" s="1">
        <v>45974</v>
      </c>
      <c r="C7593">
        <v>8</v>
      </c>
      <c r="D7593">
        <v>0.11600000000000001</v>
      </c>
      <c r="E7593" t="s">
        <v>6</v>
      </c>
      <c r="F7593">
        <v>0.10499</v>
      </c>
    </row>
    <row r="7594" spans="1:6" x14ac:dyDescent="0.3">
      <c r="A7594" t="s">
        <v>5</v>
      </c>
      <c r="B7594" s="1">
        <v>45974</v>
      </c>
      <c r="C7594">
        <v>9</v>
      </c>
      <c r="D7594">
        <v>6.6000000000000003E-2</v>
      </c>
      <c r="E7594" t="s">
        <v>6</v>
      </c>
      <c r="F7594">
        <v>0.13833999999999999</v>
      </c>
    </row>
    <row r="7595" spans="1:6" x14ac:dyDescent="0.3">
      <c r="A7595" t="s">
        <v>5</v>
      </c>
      <c r="B7595" s="1">
        <v>45974</v>
      </c>
      <c r="C7595">
        <v>10</v>
      </c>
      <c r="D7595">
        <v>9.2999999999999999E-2</v>
      </c>
      <c r="E7595" t="s">
        <v>6</v>
      </c>
      <c r="F7595">
        <v>0.13019999999999998</v>
      </c>
    </row>
    <row r="7596" spans="1:6" x14ac:dyDescent="0.3">
      <c r="A7596" t="s">
        <v>5</v>
      </c>
      <c r="B7596" s="1">
        <v>45974</v>
      </c>
      <c r="C7596">
        <v>11</v>
      </c>
      <c r="D7596">
        <v>0.18</v>
      </c>
      <c r="E7596" t="s">
        <v>6</v>
      </c>
      <c r="F7596">
        <v>0.18246000000000001</v>
      </c>
    </row>
    <row r="7597" spans="1:6" x14ac:dyDescent="0.3">
      <c r="A7597" t="s">
        <v>5</v>
      </c>
      <c r="B7597" s="1">
        <v>45974</v>
      </c>
      <c r="C7597">
        <v>12</v>
      </c>
      <c r="D7597">
        <v>0.247</v>
      </c>
      <c r="E7597" t="s">
        <v>6</v>
      </c>
      <c r="F7597">
        <v>0.17258000000000001</v>
      </c>
    </row>
    <row r="7598" spans="1:6" x14ac:dyDescent="0.3">
      <c r="A7598" t="s">
        <v>5</v>
      </c>
      <c r="B7598" s="1">
        <v>45974</v>
      </c>
      <c r="C7598">
        <v>13</v>
      </c>
      <c r="D7598">
        <v>0.153</v>
      </c>
      <c r="E7598" t="s">
        <v>6</v>
      </c>
      <c r="F7598">
        <v>0.17474999999999999</v>
      </c>
    </row>
    <row r="7599" spans="1:6" x14ac:dyDescent="0.3">
      <c r="A7599" t="s">
        <v>5</v>
      </c>
      <c r="B7599" s="1">
        <v>45974</v>
      </c>
      <c r="C7599">
        <v>14</v>
      </c>
      <c r="D7599">
        <v>8.6999999999999994E-2</v>
      </c>
      <c r="E7599" t="s">
        <v>6</v>
      </c>
      <c r="F7599">
        <v>0.17080999999999999</v>
      </c>
    </row>
    <row r="7600" spans="1:6" x14ac:dyDescent="0.3">
      <c r="A7600" t="s">
        <v>5</v>
      </c>
      <c r="B7600" s="1">
        <v>45974</v>
      </c>
      <c r="C7600">
        <v>15</v>
      </c>
      <c r="D7600">
        <v>0.17399999999999999</v>
      </c>
      <c r="E7600" t="s">
        <v>6</v>
      </c>
      <c r="F7600">
        <v>0.10692</v>
      </c>
    </row>
    <row r="7601" spans="1:6" x14ac:dyDescent="0.3">
      <c r="A7601" t="s">
        <v>5</v>
      </c>
      <c r="B7601" s="1">
        <v>45974</v>
      </c>
      <c r="C7601">
        <v>16</v>
      </c>
      <c r="D7601">
        <v>0.115</v>
      </c>
      <c r="E7601" t="s">
        <v>6</v>
      </c>
      <c r="F7601">
        <v>0.11475</v>
      </c>
    </row>
    <row r="7602" spans="1:6" x14ac:dyDescent="0.3">
      <c r="A7602" t="s">
        <v>5</v>
      </c>
      <c r="B7602" s="1">
        <v>45974</v>
      </c>
      <c r="C7602">
        <v>17</v>
      </c>
      <c r="D7602">
        <v>7.5999999999999998E-2</v>
      </c>
      <c r="E7602" t="s">
        <v>6</v>
      </c>
      <c r="F7602">
        <v>0.12428</v>
      </c>
    </row>
    <row r="7603" spans="1:6" x14ac:dyDescent="0.3">
      <c r="A7603" t="s">
        <v>5</v>
      </c>
      <c r="B7603" s="1">
        <v>45974</v>
      </c>
      <c r="C7603">
        <v>18</v>
      </c>
      <c r="D7603">
        <v>7.4999999999999997E-2</v>
      </c>
      <c r="E7603" t="s">
        <v>6</v>
      </c>
      <c r="F7603">
        <v>0.13109999999999999</v>
      </c>
    </row>
    <row r="7604" spans="1:6" x14ac:dyDescent="0.3">
      <c r="A7604" t="s">
        <v>5</v>
      </c>
      <c r="B7604" s="1">
        <v>45974</v>
      </c>
      <c r="C7604">
        <v>19</v>
      </c>
      <c r="D7604">
        <v>9.2999999999999999E-2</v>
      </c>
      <c r="E7604" t="s">
        <v>6</v>
      </c>
      <c r="F7604">
        <v>0.20477000000000001</v>
      </c>
    </row>
    <row r="7605" spans="1:6" x14ac:dyDescent="0.3">
      <c r="A7605" t="s">
        <v>5</v>
      </c>
      <c r="B7605" s="1">
        <v>45974</v>
      </c>
      <c r="C7605">
        <v>20</v>
      </c>
      <c r="D7605">
        <v>0.129</v>
      </c>
      <c r="E7605" t="s">
        <v>6</v>
      </c>
      <c r="F7605">
        <v>0.20397999999999999</v>
      </c>
    </row>
    <row r="7606" spans="1:6" x14ac:dyDescent="0.3">
      <c r="A7606" t="s">
        <v>5</v>
      </c>
      <c r="B7606" s="1">
        <v>45974</v>
      </c>
      <c r="C7606">
        <v>21</v>
      </c>
      <c r="D7606">
        <v>0.159</v>
      </c>
      <c r="E7606" t="s">
        <v>6</v>
      </c>
      <c r="F7606">
        <v>0.19869000000000001</v>
      </c>
    </row>
    <row r="7607" spans="1:6" x14ac:dyDescent="0.3">
      <c r="A7607" t="s">
        <v>5</v>
      </c>
      <c r="B7607" s="1">
        <v>45974</v>
      </c>
      <c r="C7607">
        <v>22</v>
      </c>
      <c r="D7607">
        <v>0.36699999999999999</v>
      </c>
      <c r="E7607" t="s">
        <v>6</v>
      </c>
      <c r="F7607">
        <v>0.19066999999999998</v>
      </c>
    </row>
    <row r="7608" spans="1:6" x14ac:dyDescent="0.3">
      <c r="A7608" t="s">
        <v>5</v>
      </c>
      <c r="B7608" s="1">
        <v>45974</v>
      </c>
      <c r="C7608">
        <v>23</v>
      </c>
      <c r="D7608">
        <v>1.1679999999999999</v>
      </c>
      <c r="E7608" t="s">
        <v>6</v>
      </c>
      <c r="F7608">
        <v>0.11461</v>
      </c>
    </row>
    <row r="7609" spans="1:6" x14ac:dyDescent="0.3">
      <c r="A7609" t="s">
        <v>5</v>
      </c>
      <c r="B7609" s="1">
        <v>45974</v>
      </c>
      <c r="C7609">
        <v>24</v>
      </c>
      <c r="D7609">
        <v>0.64</v>
      </c>
      <c r="E7609" t="s">
        <v>6</v>
      </c>
      <c r="F7609">
        <v>0.10465000000000001</v>
      </c>
    </row>
    <row r="7610" spans="1:6" x14ac:dyDescent="0.3">
      <c r="A7610" t="s">
        <v>5</v>
      </c>
      <c r="B7610" s="1">
        <v>45975</v>
      </c>
      <c r="C7610">
        <v>1</v>
      </c>
      <c r="D7610">
        <v>0.57499999999999996</v>
      </c>
      <c r="E7610" t="s">
        <v>6</v>
      </c>
      <c r="F7610">
        <v>8.4190000000000001E-2</v>
      </c>
    </row>
    <row r="7611" spans="1:6" x14ac:dyDescent="0.3">
      <c r="A7611" t="s">
        <v>5</v>
      </c>
      <c r="B7611" s="1">
        <v>45975</v>
      </c>
      <c r="C7611">
        <v>2</v>
      </c>
      <c r="D7611">
        <v>0.13400000000000001</v>
      </c>
      <c r="E7611" t="s">
        <v>6</v>
      </c>
      <c r="F7611">
        <v>8.5870000000000002E-2</v>
      </c>
    </row>
    <row r="7612" spans="1:6" x14ac:dyDescent="0.3">
      <c r="A7612" t="s">
        <v>5</v>
      </c>
      <c r="B7612" s="1">
        <v>45975</v>
      </c>
      <c r="C7612">
        <v>3</v>
      </c>
      <c r="D7612">
        <v>0.1</v>
      </c>
      <c r="E7612" t="s">
        <v>6</v>
      </c>
      <c r="F7612">
        <v>7.9739999999999991E-2</v>
      </c>
    </row>
    <row r="7613" spans="1:6" x14ac:dyDescent="0.3">
      <c r="A7613" t="s">
        <v>5</v>
      </c>
      <c r="B7613" s="1">
        <v>45975</v>
      </c>
      <c r="C7613">
        <v>4</v>
      </c>
      <c r="D7613">
        <v>0.112</v>
      </c>
      <c r="E7613" t="s">
        <v>6</v>
      </c>
      <c r="F7613">
        <v>7.3469999999999994E-2</v>
      </c>
    </row>
    <row r="7614" spans="1:6" x14ac:dyDescent="0.3">
      <c r="A7614" t="s">
        <v>5</v>
      </c>
      <c r="B7614" s="1">
        <v>45975</v>
      </c>
      <c r="C7614">
        <v>5</v>
      </c>
      <c r="D7614">
        <v>0.104</v>
      </c>
      <c r="E7614" t="s">
        <v>6</v>
      </c>
      <c r="F7614">
        <v>7.0010000000000003E-2</v>
      </c>
    </row>
    <row r="7615" spans="1:6" x14ac:dyDescent="0.3">
      <c r="A7615" t="s">
        <v>5</v>
      </c>
      <c r="B7615" s="1">
        <v>45975</v>
      </c>
      <c r="C7615">
        <v>6</v>
      </c>
      <c r="D7615">
        <v>0.10299999999999999</v>
      </c>
      <c r="E7615" t="s">
        <v>6</v>
      </c>
      <c r="F7615">
        <v>7.5049999999999992E-2</v>
      </c>
    </row>
    <row r="7616" spans="1:6" x14ac:dyDescent="0.3">
      <c r="A7616" t="s">
        <v>5</v>
      </c>
      <c r="B7616" s="1">
        <v>45975</v>
      </c>
      <c r="C7616">
        <v>7</v>
      </c>
      <c r="D7616">
        <v>0.108</v>
      </c>
      <c r="E7616" t="s">
        <v>6</v>
      </c>
      <c r="F7616">
        <v>8.1409999999999996E-2</v>
      </c>
    </row>
    <row r="7617" spans="1:6" x14ac:dyDescent="0.3">
      <c r="A7617" t="s">
        <v>5</v>
      </c>
      <c r="B7617" s="1">
        <v>45975</v>
      </c>
      <c r="C7617">
        <v>8</v>
      </c>
      <c r="D7617">
        <v>0.13600000000000001</v>
      </c>
      <c r="E7617" t="s">
        <v>6</v>
      </c>
      <c r="F7617">
        <v>0.1026</v>
      </c>
    </row>
    <row r="7618" spans="1:6" x14ac:dyDescent="0.3">
      <c r="A7618" t="s">
        <v>5</v>
      </c>
      <c r="B7618" s="1">
        <v>45975</v>
      </c>
      <c r="C7618">
        <v>9</v>
      </c>
      <c r="D7618">
        <v>9.2999999999999999E-2</v>
      </c>
      <c r="E7618" t="s">
        <v>6</v>
      </c>
      <c r="F7618">
        <v>0.14016999999999999</v>
      </c>
    </row>
    <row r="7619" spans="1:6" x14ac:dyDescent="0.3">
      <c r="A7619" t="s">
        <v>5</v>
      </c>
      <c r="B7619" s="1">
        <v>45975</v>
      </c>
      <c r="C7619">
        <v>10</v>
      </c>
      <c r="D7619">
        <v>5.7000000000000002E-2</v>
      </c>
      <c r="E7619" t="s">
        <v>6</v>
      </c>
      <c r="F7619">
        <v>0.12136</v>
      </c>
    </row>
    <row r="7620" spans="1:6" x14ac:dyDescent="0.3">
      <c r="A7620" t="s">
        <v>5</v>
      </c>
      <c r="B7620" s="1">
        <v>45975</v>
      </c>
      <c r="C7620">
        <v>11</v>
      </c>
      <c r="D7620">
        <v>0.14299999999999999</v>
      </c>
      <c r="E7620" t="s">
        <v>6</v>
      </c>
      <c r="F7620">
        <v>0.16420999999999999</v>
      </c>
    </row>
    <row r="7621" spans="1:6" x14ac:dyDescent="0.3">
      <c r="A7621" t="s">
        <v>5</v>
      </c>
      <c r="B7621" s="1">
        <v>45975</v>
      </c>
      <c r="C7621">
        <v>12</v>
      </c>
      <c r="D7621">
        <v>8.7999999999999995E-2</v>
      </c>
      <c r="E7621" t="s">
        <v>6</v>
      </c>
      <c r="F7621">
        <v>0.1706</v>
      </c>
    </row>
    <row r="7622" spans="1:6" x14ac:dyDescent="0.3">
      <c r="A7622" t="s">
        <v>5</v>
      </c>
      <c r="B7622" s="1">
        <v>45975</v>
      </c>
      <c r="C7622">
        <v>13</v>
      </c>
      <c r="D7622">
        <v>0.06</v>
      </c>
      <c r="E7622" t="s">
        <v>6</v>
      </c>
      <c r="F7622">
        <v>0.17262</v>
      </c>
    </row>
    <row r="7623" spans="1:6" x14ac:dyDescent="0.3">
      <c r="A7623" t="s">
        <v>5</v>
      </c>
      <c r="B7623" s="1">
        <v>45975</v>
      </c>
      <c r="C7623">
        <v>14</v>
      </c>
      <c r="D7623">
        <v>8.1000000000000003E-2</v>
      </c>
      <c r="E7623" t="s">
        <v>6</v>
      </c>
      <c r="F7623">
        <v>0.16571</v>
      </c>
    </row>
    <row r="7624" spans="1:6" x14ac:dyDescent="0.3">
      <c r="A7624" t="s">
        <v>5</v>
      </c>
      <c r="B7624" s="1">
        <v>45975</v>
      </c>
      <c r="C7624">
        <v>15</v>
      </c>
      <c r="D7624">
        <v>6.7000000000000004E-2</v>
      </c>
      <c r="E7624" t="s">
        <v>6</v>
      </c>
      <c r="F7624">
        <v>0.10501000000000001</v>
      </c>
    </row>
    <row r="7625" spans="1:6" x14ac:dyDescent="0.3">
      <c r="A7625" t="s">
        <v>5</v>
      </c>
      <c r="B7625" s="1">
        <v>45975</v>
      </c>
      <c r="C7625">
        <v>16</v>
      </c>
      <c r="D7625">
        <v>9.1999999999999998E-2</v>
      </c>
      <c r="E7625" t="s">
        <v>6</v>
      </c>
      <c r="F7625">
        <v>0.109</v>
      </c>
    </row>
    <row r="7626" spans="1:6" x14ac:dyDescent="0.3">
      <c r="A7626" t="s">
        <v>5</v>
      </c>
      <c r="B7626" s="1">
        <v>45975</v>
      </c>
      <c r="C7626">
        <v>17</v>
      </c>
      <c r="D7626">
        <v>6.2E-2</v>
      </c>
      <c r="E7626" t="s">
        <v>6</v>
      </c>
      <c r="F7626">
        <v>0.11391</v>
      </c>
    </row>
    <row r="7627" spans="1:6" x14ac:dyDescent="0.3">
      <c r="A7627" t="s">
        <v>5</v>
      </c>
      <c r="B7627" s="1">
        <v>45975</v>
      </c>
      <c r="C7627">
        <v>18</v>
      </c>
      <c r="D7627">
        <v>7.2999999999999995E-2</v>
      </c>
      <c r="E7627" t="s">
        <v>6</v>
      </c>
      <c r="F7627">
        <v>0.13399</v>
      </c>
    </row>
    <row r="7628" spans="1:6" x14ac:dyDescent="0.3">
      <c r="A7628" t="s">
        <v>5</v>
      </c>
      <c r="B7628" s="1">
        <v>45975</v>
      </c>
      <c r="C7628">
        <v>19</v>
      </c>
      <c r="D7628">
        <v>0.39500000000000002</v>
      </c>
      <c r="E7628" t="s">
        <v>6</v>
      </c>
      <c r="F7628">
        <v>0.20571</v>
      </c>
    </row>
    <row r="7629" spans="1:6" x14ac:dyDescent="0.3">
      <c r="A7629" t="s">
        <v>5</v>
      </c>
      <c r="B7629" s="1">
        <v>45975</v>
      </c>
      <c r="C7629">
        <v>20</v>
      </c>
      <c r="D7629">
        <v>0.32800000000000001</v>
      </c>
      <c r="E7629" t="s">
        <v>6</v>
      </c>
      <c r="F7629">
        <v>0.20986000000000002</v>
      </c>
    </row>
    <row r="7630" spans="1:6" x14ac:dyDescent="0.3">
      <c r="A7630" t="s">
        <v>5</v>
      </c>
      <c r="B7630" s="1">
        <v>45975</v>
      </c>
      <c r="C7630">
        <v>21</v>
      </c>
      <c r="D7630">
        <v>0.38900000000000001</v>
      </c>
      <c r="E7630" t="s">
        <v>6</v>
      </c>
      <c r="F7630">
        <v>0.20605000000000001</v>
      </c>
    </row>
    <row r="7631" spans="1:6" x14ac:dyDescent="0.3">
      <c r="A7631" t="s">
        <v>5</v>
      </c>
      <c r="B7631" s="1">
        <v>45975</v>
      </c>
      <c r="C7631">
        <v>22</v>
      </c>
      <c r="D7631">
        <v>0.38200000000000001</v>
      </c>
      <c r="E7631" t="s">
        <v>6</v>
      </c>
      <c r="F7631">
        <v>0.19738999999999998</v>
      </c>
    </row>
    <row r="7632" spans="1:6" x14ac:dyDescent="0.3">
      <c r="A7632" t="s">
        <v>5</v>
      </c>
      <c r="B7632" s="1">
        <v>45975</v>
      </c>
      <c r="C7632">
        <v>23</v>
      </c>
      <c r="D7632">
        <v>0.21199999999999999</v>
      </c>
      <c r="E7632" t="s">
        <v>6</v>
      </c>
      <c r="F7632">
        <v>0.12493000000000001</v>
      </c>
    </row>
    <row r="7633" spans="1:6" x14ac:dyDescent="0.3">
      <c r="A7633" t="s">
        <v>5</v>
      </c>
      <c r="B7633" s="1">
        <v>45975</v>
      </c>
      <c r="C7633">
        <v>24</v>
      </c>
      <c r="D7633">
        <v>8.5000000000000006E-2</v>
      </c>
      <c r="E7633" t="s">
        <v>6</v>
      </c>
      <c r="F7633">
        <v>0.11777</v>
      </c>
    </row>
    <row r="7634" spans="1:6" x14ac:dyDescent="0.3">
      <c r="A7634" t="s">
        <v>5</v>
      </c>
      <c r="B7634" s="1">
        <v>45976</v>
      </c>
      <c r="C7634">
        <v>1</v>
      </c>
      <c r="D7634">
        <v>6.0999999999999999E-2</v>
      </c>
      <c r="E7634" t="s">
        <v>6</v>
      </c>
      <c r="F7634">
        <v>9.1590000000000005E-2</v>
      </c>
    </row>
    <row r="7635" spans="1:6" x14ac:dyDescent="0.3">
      <c r="A7635" t="s">
        <v>5</v>
      </c>
      <c r="B7635" s="1">
        <v>45976</v>
      </c>
      <c r="C7635">
        <v>2</v>
      </c>
      <c r="D7635">
        <v>7.1999999999999995E-2</v>
      </c>
      <c r="E7635" t="s">
        <v>6</v>
      </c>
      <c r="F7635">
        <v>8.9900000000000008E-2</v>
      </c>
    </row>
    <row r="7636" spans="1:6" x14ac:dyDescent="0.3">
      <c r="A7636" t="s">
        <v>5</v>
      </c>
      <c r="B7636" s="1">
        <v>45976</v>
      </c>
      <c r="C7636">
        <v>3</v>
      </c>
      <c r="D7636">
        <v>6.6000000000000003E-2</v>
      </c>
      <c r="E7636" t="s">
        <v>6</v>
      </c>
      <c r="F7636">
        <v>9.0450000000000003E-2</v>
      </c>
    </row>
    <row r="7637" spans="1:6" x14ac:dyDescent="0.3">
      <c r="A7637" t="s">
        <v>5</v>
      </c>
      <c r="B7637" s="1">
        <v>45976</v>
      </c>
      <c r="C7637">
        <v>4</v>
      </c>
      <c r="D7637">
        <v>5.7000000000000002E-2</v>
      </c>
      <c r="E7637" t="s">
        <v>6</v>
      </c>
      <c r="F7637">
        <v>8.7840000000000001E-2</v>
      </c>
    </row>
    <row r="7638" spans="1:6" x14ac:dyDescent="0.3">
      <c r="A7638" t="s">
        <v>5</v>
      </c>
      <c r="B7638" s="1">
        <v>45976</v>
      </c>
      <c r="C7638">
        <v>5</v>
      </c>
      <c r="D7638">
        <v>7.6999999999999999E-2</v>
      </c>
      <c r="E7638" t="s">
        <v>6</v>
      </c>
      <c r="F7638">
        <v>8.8079999999999992E-2</v>
      </c>
    </row>
    <row r="7639" spans="1:6" x14ac:dyDescent="0.3">
      <c r="A7639" t="s">
        <v>5</v>
      </c>
      <c r="B7639" s="1">
        <v>45976</v>
      </c>
      <c r="C7639">
        <v>6</v>
      </c>
      <c r="D7639">
        <v>5.5E-2</v>
      </c>
      <c r="E7639" t="s">
        <v>6</v>
      </c>
      <c r="F7639">
        <v>8.8900000000000007E-2</v>
      </c>
    </row>
    <row r="7640" spans="1:6" x14ac:dyDescent="0.3">
      <c r="A7640" t="s">
        <v>5</v>
      </c>
      <c r="B7640" s="1">
        <v>45976</v>
      </c>
      <c r="C7640">
        <v>7</v>
      </c>
      <c r="D7640">
        <v>0.254</v>
      </c>
      <c r="E7640" t="s">
        <v>6</v>
      </c>
      <c r="F7640">
        <v>8.8939999999999991E-2</v>
      </c>
    </row>
    <row r="7641" spans="1:6" x14ac:dyDescent="0.3">
      <c r="A7641" t="s">
        <v>5</v>
      </c>
      <c r="B7641" s="1">
        <v>45976</v>
      </c>
      <c r="C7641">
        <v>8</v>
      </c>
      <c r="D7641">
        <v>0.121</v>
      </c>
      <c r="E7641" t="s">
        <v>6</v>
      </c>
      <c r="F7641">
        <v>8.9120000000000005E-2</v>
      </c>
    </row>
    <row r="7642" spans="1:6" x14ac:dyDescent="0.3">
      <c r="A7642" t="s">
        <v>5</v>
      </c>
      <c r="B7642" s="1">
        <v>45976</v>
      </c>
      <c r="C7642">
        <v>9</v>
      </c>
      <c r="D7642">
        <v>6.2E-2</v>
      </c>
      <c r="E7642" t="s">
        <v>6</v>
      </c>
      <c r="F7642">
        <v>0.1066</v>
      </c>
    </row>
    <row r="7643" spans="1:6" x14ac:dyDescent="0.3">
      <c r="A7643" t="s">
        <v>5</v>
      </c>
      <c r="B7643" s="1">
        <v>45976</v>
      </c>
      <c r="C7643">
        <v>10</v>
      </c>
      <c r="D7643">
        <v>0.08</v>
      </c>
      <c r="E7643" t="s">
        <v>6</v>
      </c>
      <c r="F7643">
        <v>9.5750000000000002E-2</v>
      </c>
    </row>
    <row r="7644" spans="1:6" x14ac:dyDescent="0.3">
      <c r="A7644" t="s">
        <v>5</v>
      </c>
      <c r="B7644" s="1">
        <v>45976</v>
      </c>
      <c r="C7644">
        <v>11</v>
      </c>
      <c r="D7644">
        <v>5.6000000000000001E-2</v>
      </c>
      <c r="E7644" t="s">
        <v>6</v>
      </c>
      <c r="F7644">
        <v>8.7489999999999998E-2</v>
      </c>
    </row>
    <row r="7645" spans="1:6" x14ac:dyDescent="0.3">
      <c r="A7645" t="s">
        <v>5</v>
      </c>
      <c r="B7645" s="1">
        <v>45976</v>
      </c>
      <c r="C7645">
        <v>12</v>
      </c>
      <c r="D7645">
        <v>6.8000000000000005E-2</v>
      </c>
      <c r="E7645" t="s">
        <v>6</v>
      </c>
      <c r="F7645">
        <v>8.1349999999999992E-2</v>
      </c>
    </row>
    <row r="7646" spans="1:6" x14ac:dyDescent="0.3">
      <c r="A7646" t="s">
        <v>5</v>
      </c>
      <c r="B7646" s="1">
        <v>45976</v>
      </c>
      <c r="C7646">
        <v>13</v>
      </c>
      <c r="D7646">
        <v>6.5000000000000002E-2</v>
      </c>
      <c r="E7646" t="s">
        <v>6</v>
      </c>
      <c r="F7646">
        <v>8.7540000000000007E-2</v>
      </c>
    </row>
    <row r="7647" spans="1:6" x14ac:dyDescent="0.3">
      <c r="A7647" t="s">
        <v>5</v>
      </c>
      <c r="B7647" s="1">
        <v>45976</v>
      </c>
      <c r="C7647">
        <v>14</v>
      </c>
      <c r="D7647">
        <v>0.10199999999999999</v>
      </c>
      <c r="E7647" t="s">
        <v>6</v>
      </c>
      <c r="F7647">
        <v>8.8439999999999991E-2</v>
      </c>
    </row>
    <row r="7648" spans="1:6" x14ac:dyDescent="0.3">
      <c r="A7648" t="s">
        <v>5</v>
      </c>
      <c r="B7648" s="1">
        <v>45976</v>
      </c>
      <c r="C7648">
        <v>15</v>
      </c>
      <c r="D7648">
        <v>0.182</v>
      </c>
      <c r="E7648" t="s">
        <v>6</v>
      </c>
      <c r="F7648">
        <v>9.5340000000000008E-2</v>
      </c>
    </row>
    <row r="7649" spans="1:6" x14ac:dyDescent="0.3">
      <c r="A7649" t="s">
        <v>5</v>
      </c>
      <c r="B7649" s="1">
        <v>45976</v>
      </c>
      <c r="C7649">
        <v>16</v>
      </c>
      <c r="D7649">
        <v>6.6000000000000003E-2</v>
      </c>
      <c r="E7649" t="s">
        <v>6</v>
      </c>
      <c r="F7649">
        <v>0.10292</v>
      </c>
    </row>
    <row r="7650" spans="1:6" x14ac:dyDescent="0.3">
      <c r="A7650" t="s">
        <v>5</v>
      </c>
      <c r="B7650" s="1">
        <v>45976</v>
      </c>
      <c r="C7650">
        <v>17</v>
      </c>
      <c r="D7650">
        <v>6.4000000000000001E-2</v>
      </c>
      <c r="E7650" t="s">
        <v>6</v>
      </c>
      <c r="F7650">
        <v>0.10865999999999999</v>
      </c>
    </row>
    <row r="7651" spans="1:6" x14ac:dyDescent="0.3">
      <c r="A7651" t="s">
        <v>5</v>
      </c>
      <c r="B7651" s="1">
        <v>45976</v>
      </c>
      <c r="C7651">
        <v>18</v>
      </c>
      <c r="D7651">
        <v>7.0000000000000007E-2</v>
      </c>
      <c r="E7651" t="s">
        <v>6</v>
      </c>
      <c r="F7651">
        <v>0.11395999999999999</v>
      </c>
    </row>
    <row r="7652" spans="1:6" x14ac:dyDescent="0.3">
      <c r="A7652" t="s">
        <v>5</v>
      </c>
      <c r="B7652" s="1">
        <v>45976</v>
      </c>
      <c r="C7652">
        <v>19</v>
      </c>
      <c r="D7652">
        <v>5.5E-2</v>
      </c>
      <c r="E7652" t="s">
        <v>6</v>
      </c>
      <c r="F7652">
        <v>0.12773000000000001</v>
      </c>
    </row>
    <row r="7653" spans="1:6" x14ac:dyDescent="0.3">
      <c r="A7653" t="s">
        <v>5</v>
      </c>
      <c r="B7653" s="1">
        <v>45976</v>
      </c>
      <c r="C7653">
        <v>20</v>
      </c>
      <c r="D7653">
        <v>7.5999999999999998E-2</v>
      </c>
      <c r="E7653" t="s">
        <v>6</v>
      </c>
      <c r="F7653">
        <v>0.1167</v>
      </c>
    </row>
    <row r="7654" spans="1:6" x14ac:dyDescent="0.3">
      <c r="A7654" t="s">
        <v>5</v>
      </c>
      <c r="B7654" s="1">
        <v>45976</v>
      </c>
      <c r="C7654">
        <v>21</v>
      </c>
      <c r="D7654">
        <v>5.7000000000000002E-2</v>
      </c>
      <c r="E7654" t="s">
        <v>6</v>
      </c>
      <c r="F7654">
        <v>0.10527</v>
      </c>
    </row>
    <row r="7655" spans="1:6" x14ac:dyDescent="0.3">
      <c r="A7655" t="s">
        <v>5</v>
      </c>
      <c r="B7655" s="1">
        <v>45976</v>
      </c>
      <c r="C7655">
        <v>22</v>
      </c>
      <c r="D7655">
        <v>6.0999999999999999E-2</v>
      </c>
      <c r="E7655" t="s">
        <v>6</v>
      </c>
      <c r="F7655">
        <v>0.10113</v>
      </c>
    </row>
    <row r="7656" spans="1:6" x14ac:dyDescent="0.3">
      <c r="A7656" t="s">
        <v>5</v>
      </c>
      <c r="B7656" s="1">
        <v>45976</v>
      </c>
      <c r="C7656">
        <v>23</v>
      </c>
      <c r="D7656">
        <v>7.2999999999999995E-2</v>
      </c>
      <c r="E7656" t="s">
        <v>6</v>
      </c>
      <c r="F7656">
        <v>9.7650000000000001E-2</v>
      </c>
    </row>
    <row r="7657" spans="1:6" x14ac:dyDescent="0.3">
      <c r="A7657" t="s">
        <v>5</v>
      </c>
      <c r="B7657" s="1">
        <v>45976</v>
      </c>
      <c r="C7657">
        <v>24</v>
      </c>
      <c r="D7657">
        <v>5.5E-2</v>
      </c>
      <c r="E7657" t="s">
        <v>6</v>
      </c>
      <c r="F7657">
        <v>9.6840000000000009E-2</v>
      </c>
    </row>
    <row r="7658" spans="1:6" x14ac:dyDescent="0.3">
      <c r="A7658" t="s">
        <v>5</v>
      </c>
      <c r="B7658" s="1">
        <v>45977</v>
      </c>
      <c r="C7658">
        <v>1</v>
      </c>
      <c r="D7658">
        <v>7.1999999999999995E-2</v>
      </c>
      <c r="E7658" t="s">
        <v>6</v>
      </c>
      <c r="F7658">
        <v>9.7739999999999994E-2</v>
      </c>
    </row>
    <row r="7659" spans="1:6" x14ac:dyDescent="0.3">
      <c r="A7659" t="s">
        <v>5</v>
      </c>
      <c r="B7659" s="1">
        <v>45977</v>
      </c>
      <c r="C7659">
        <v>2</v>
      </c>
      <c r="D7659">
        <v>6.0999999999999999E-2</v>
      </c>
      <c r="E7659" t="s">
        <v>6</v>
      </c>
      <c r="F7659">
        <v>9.2760000000000009E-2</v>
      </c>
    </row>
    <row r="7660" spans="1:6" x14ac:dyDescent="0.3">
      <c r="A7660" t="s">
        <v>5</v>
      </c>
      <c r="B7660" s="1">
        <v>45977</v>
      </c>
      <c r="C7660">
        <v>3</v>
      </c>
      <c r="D7660">
        <v>5.3999999999999999E-2</v>
      </c>
      <c r="E7660" t="s">
        <v>6</v>
      </c>
      <c r="F7660">
        <v>9.1730000000000006E-2</v>
      </c>
    </row>
    <row r="7661" spans="1:6" x14ac:dyDescent="0.3">
      <c r="A7661" t="s">
        <v>5</v>
      </c>
      <c r="B7661" s="1">
        <v>45977</v>
      </c>
      <c r="C7661">
        <v>4</v>
      </c>
      <c r="D7661">
        <v>7.8E-2</v>
      </c>
      <c r="E7661" t="s">
        <v>6</v>
      </c>
      <c r="F7661">
        <v>8.9700000000000002E-2</v>
      </c>
    </row>
    <row r="7662" spans="1:6" x14ac:dyDescent="0.3">
      <c r="A7662" t="s">
        <v>5</v>
      </c>
      <c r="B7662" s="1">
        <v>45977</v>
      </c>
      <c r="C7662">
        <v>5</v>
      </c>
      <c r="D7662">
        <v>5.5E-2</v>
      </c>
      <c r="E7662" t="s">
        <v>6</v>
      </c>
      <c r="F7662">
        <v>8.8529999999999998E-2</v>
      </c>
    </row>
    <row r="7663" spans="1:6" x14ac:dyDescent="0.3">
      <c r="A7663" t="s">
        <v>5</v>
      </c>
      <c r="B7663" s="1">
        <v>45977</v>
      </c>
      <c r="C7663">
        <v>6</v>
      </c>
      <c r="D7663">
        <v>6.5000000000000002E-2</v>
      </c>
      <c r="E7663" t="s">
        <v>6</v>
      </c>
      <c r="F7663">
        <v>8.8410000000000002E-2</v>
      </c>
    </row>
    <row r="7664" spans="1:6" x14ac:dyDescent="0.3">
      <c r="A7664" t="s">
        <v>5</v>
      </c>
      <c r="B7664" s="1">
        <v>45977</v>
      </c>
      <c r="C7664">
        <v>7</v>
      </c>
      <c r="D7664">
        <v>6.7000000000000004E-2</v>
      </c>
      <c r="E7664" t="s">
        <v>6</v>
      </c>
      <c r="F7664">
        <v>8.8059999999999999E-2</v>
      </c>
    </row>
    <row r="7665" spans="1:6" x14ac:dyDescent="0.3">
      <c r="A7665" t="s">
        <v>5</v>
      </c>
      <c r="B7665" s="1">
        <v>45977</v>
      </c>
      <c r="C7665">
        <v>8</v>
      </c>
      <c r="D7665">
        <v>5.5E-2</v>
      </c>
      <c r="E7665" t="s">
        <v>6</v>
      </c>
      <c r="F7665">
        <v>9.5640000000000003E-2</v>
      </c>
    </row>
    <row r="7666" spans="1:6" x14ac:dyDescent="0.3">
      <c r="A7666" t="s">
        <v>5</v>
      </c>
      <c r="B7666" s="1">
        <v>45977</v>
      </c>
      <c r="C7666">
        <v>9</v>
      </c>
      <c r="D7666">
        <v>7.3999999999999996E-2</v>
      </c>
      <c r="E7666" t="s">
        <v>6</v>
      </c>
      <c r="F7666">
        <v>9.4840000000000008E-2</v>
      </c>
    </row>
    <row r="7667" spans="1:6" x14ac:dyDescent="0.3">
      <c r="A7667" t="s">
        <v>5</v>
      </c>
      <c r="B7667" s="1">
        <v>45977</v>
      </c>
      <c r="C7667">
        <v>10</v>
      </c>
      <c r="D7667">
        <v>5.7000000000000002E-2</v>
      </c>
      <c r="E7667" t="s">
        <v>6</v>
      </c>
      <c r="F7667">
        <v>8.0129999999999993E-2</v>
      </c>
    </row>
    <row r="7668" spans="1:6" x14ac:dyDescent="0.3">
      <c r="A7668" t="s">
        <v>5</v>
      </c>
      <c r="B7668" s="1">
        <v>45977</v>
      </c>
      <c r="C7668">
        <v>11</v>
      </c>
      <c r="D7668">
        <v>5.8000000000000003E-2</v>
      </c>
      <c r="E7668" t="s">
        <v>6</v>
      </c>
      <c r="F7668">
        <v>6.3340000000000007E-2</v>
      </c>
    </row>
    <row r="7669" spans="1:6" x14ac:dyDescent="0.3">
      <c r="A7669" t="s">
        <v>5</v>
      </c>
      <c r="B7669" s="1">
        <v>45977</v>
      </c>
      <c r="C7669">
        <v>12</v>
      </c>
      <c r="D7669">
        <v>7.3999999999999996E-2</v>
      </c>
      <c r="E7669" t="s">
        <v>6</v>
      </c>
      <c r="F7669">
        <v>5.919E-2</v>
      </c>
    </row>
    <row r="7670" spans="1:6" x14ac:dyDescent="0.3">
      <c r="A7670" t="s">
        <v>5</v>
      </c>
      <c r="B7670" s="1">
        <v>45977</v>
      </c>
      <c r="C7670">
        <v>13</v>
      </c>
      <c r="D7670">
        <v>5.5E-2</v>
      </c>
      <c r="E7670" t="s">
        <v>6</v>
      </c>
      <c r="F7670">
        <v>6.2520000000000006E-2</v>
      </c>
    </row>
    <row r="7671" spans="1:6" x14ac:dyDescent="0.3">
      <c r="A7671" t="s">
        <v>5</v>
      </c>
      <c r="B7671" s="1">
        <v>45977</v>
      </c>
      <c r="C7671">
        <v>14</v>
      </c>
      <c r="D7671">
        <v>6.6000000000000003E-2</v>
      </c>
      <c r="E7671" t="s">
        <v>6</v>
      </c>
      <c r="F7671">
        <v>6.173E-2</v>
      </c>
    </row>
    <row r="7672" spans="1:6" x14ac:dyDescent="0.3">
      <c r="A7672" t="s">
        <v>5</v>
      </c>
      <c r="B7672" s="1">
        <v>45977</v>
      </c>
      <c r="C7672">
        <v>15</v>
      </c>
      <c r="D7672">
        <v>0.11799999999999999</v>
      </c>
      <c r="E7672" t="s">
        <v>6</v>
      </c>
      <c r="F7672">
        <v>6.1530000000000001E-2</v>
      </c>
    </row>
    <row r="7673" spans="1:6" x14ac:dyDescent="0.3">
      <c r="A7673" t="s">
        <v>5</v>
      </c>
      <c r="B7673" s="1">
        <v>45977</v>
      </c>
      <c r="C7673">
        <v>16</v>
      </c>
      <c r="D7673">
        <v>0.121</v>
      </c>
      <c r="E7673" t="s">
        <v>6</v>
      </c>
      <c r="F7673">
        <v>6.581999999999999E-2</v>
      </c>
    </row>
    <row r="7674" spans="1:6" x14ac:dyDescent="0.3">
      <c r="A7674" t="s">
        <v>5</v>
      </c>
      <c r="B7674" s="1">
        <v>45977</v>
      </c>
      <c r="C7674">
        <v>17</v>
      </c>
      <c r="D7674">
        <v>0.06</v>
      </c>
      <c r="E7674" t="s">
        <v>6</v>
      </c>
      <c r="F7674">
        <v>8.4760000000000002E-2</v>
      </c>
    </row>
    <row r="7675" spans="1:6" x14ac:dyDescent="0.3">
      <c r="A7675" t="s">
        <v>5</v>
      </c>
      <c r="B7675" s="1">
        <v>45977</v>
      </c>
      <c r="C7675">
        <v>18</v>
      </c>
      <c r="D7675">
        <v>0.124</v>
      </c>
      <c r="E7675" t="s">
        <v>6</v>
      </c>
      <c r="F7675">
        <v>0.12015000000000001</v>
      </c>
    </row>
    <row r="7676" spans="1:6" x14ac:dyDescent="0.3">
      <c r="A7676" t="s">
        <v>5</v>
      </c>
      <c r="B7676" s="1">
        <v>45977</v>
      </c>
      <c r="C7676">
        <v>19</v>
      </c>
      <c r="D7676">
        <v>0.104</v>
      </c>
      <c r="E7676" t="s">
        <v>6</v>
      </c>
      <c r="F7676">
        <v>0.13450000000000001</v>
      </c>
    </row>
    <row r="7677" spans="1:6" x14ac:dyDescent="0.3">
      <c r="A7677" t="s">
        <v>5</v>
      </c>
      <c r="B7677" s="1">
        <v>45977</v>
      </c>
      <c r="C7677">
        <v>20</v>
      </c>
      <c r="D7677">
        <v>0.158</v>
      </c>
      <c r="E7677" t="s">
        <v>6</v>
      </c>
      <c r="F7677">
        <v>0.14460000000000001</v>
      </c>
    </row>
    <row r="7678" spans="1:6" x14ac:dyDescent="0.3">
      <c r="A7678" t="s">
        <v>5</v>
      </c>
      <c r="B7678" s="1">
        <v>45977</v>
      </c>
      <c r="C7678">
        <v>21</v>
      </c>
      <c r="D7678">
        <v>0.26100000000000001</v>
      </c>
      <c r="E7678" t="s">
        <v>6</v>
      </c>
      <c r="F7678">
        <v>0.15359</v>
      </c>
    </row>
    <row r="7679" spans="1:6" x14ac:dyDescent="0.3">
      <c r="A7679" t="s">
        <v>5</v>
      </c>
      <c r="B7679" s="1">
        <v>45977</v>
      </c>
      <c r="C7679">
        <v>22</v>
      </c>
      <c r="D7679">
        <v>0.09</v>
      </c>
      <c r="E7679" t="s">
        <v>6</v>
      </c>
      <c r="F7679">
        <v>0.15721000000000002</v>
      </c>
    </row>
    <row r="7680" spans="1:6" x14ac:dyDescent="0.3">
      <c r="A7680" t="s">
        <v>5</v>
      </c>
      <c r="B7680" s="1">
        <v>45977</v>
      </c>
      <c r="C7680">
        <v>23</v>
      </c>
      <c r="D7680">
        <v>0.156</v>
      </c>
      <c r="E7680" t="s">
        <v>6</v>
      </c>
      <c r="F7680">
        <v>0.13882</v>
      </c>
    </row>
    <row r="7681" spans="1:6" x14ac:dyDescent="0.3">
      <c r="A7681" t="s">
        <v>5</v>
      </c>
      <c r="B7681" s="1">
        <v>45977</v>
      </c>
      <c r="C7681">
        <v>24</v>
      </c>
      <c r="D7681">
        <v>0.13200000000000001</v>
      </c>
      <c r="E7681" t="s">
        <v>6</v>
      </c>
      <c r="F7681">
        <v>0.12348999999999999</v>
      </c>
    </row>
    <row r="7682" spans="1:6" x14ac:dyDescent="0.3">
      <c r="A7682" t="s">
        <v>5</v>
      </c>
      <c r="B7682" s="1">
        <v>45978</v>
      </c>
      <c r="C7682">
        <v>1</v>
      </c>
      <c r="D7682">
        <v>0.10299999999999999</v>
      </c>
      <c r="E7682" t="s">
        <v>6</v>
      </c>
      <c r="F7682">
        <v>0.12282999999999999</v>
      </c>
    </row>
    <row r="7683" spans="1:6" x14ac:dyDescent="0.3">
      <c r="A7683" t="s">
        <v>5</v>
      </c>
      <c r="B7683" s="1">
        <v>45978</v>
      </c>
      <c r="C7683">
        <v>2</v>
      </c>
      <c r="D7683">
        <v>0.11</v>
      </c>
      <c r="E7683" t="s">
        <v>6</v>
      </c>
      <c r="F7683">
        <v>0.11763</v>
      </c>
    </row>
    <row r="7684" spans="1:6" x14ac:dyDescent="0.3">
      <c r="A7684" t="s">
        <v>5</v>
      </c>
      <c r="B7684" s="1">
        <v>45978</v>
      </c>
      <c r="C7684">
        <v>3</v>
      </c>
      <c r="D7684">
        <v>9.4E-2</v>
      </c>
      <c r="E7684" t="s">
        <v>6</v>
      </c>
      <c r="F7684">
        <v>0.11550000000000001</v>
      </c>
    </row>
    <row r="7685" spans="1:6" x14ac:dyDescent="0.3">
      <c r="A7685" t="s">
        <v>5</v>
      </c>
      <c r="B7685" s="1">
        <v>45978</v>
      </c>
      <c r="C7685">
        <v>4</v>
      </c>
      <c r="D7685">
        <v>0.11600000000000001</v>
      </c>
      <c r="E7685" t="s">
        <v>6</v>
      </c>
      <c r="F7685">
        <v>0.11453000000000001</v>
      </c>
    </row>
    <row r="7686" spans="1:6" x14ac:dyDescent="0.3">
      <c r="A7686" t="s">
        <v>5</v>
      </c>
      <c r="B7686" s="1">
        <v>45978</v>
      </c>
      <c r="C7686">
        <v>5</v>
      </c>
      <c r="D7686">
        <v>9.2999999999999999E-2</v>
      </c>
      <c r="E7686" t="s">
        <v>6</v>
      </c>
      <c r="F7686">
        <v>0.11481999999999999</v>
      </c>
    </row>
    <row r="7687" spans="1:6" x14ac:dyDescent="0.3">
      <c r="A7687" t="s">
        <v>5</v>
      </c>
      <c r="B7687" s="1">
        <v>45978</v>
      </c>
      <c r="C7687">
        <v>6</v>
      </c>
      <c r="D7687">
        <v>0.11</v>
      </c>
      <c r="E7687" t="s">
        <v>6</v>
      </c>
      <c r="F7687">
        <v>0.12125</v>
      </c>
    </row>
    <row r="7688" spans="1:6" x14ac:dyDescent="0.3">
      <c r="A7688" t="s">
        <v>5</v>
      </c>
      <c r="B7688" s="1">
        <v>45978</v>
      </c>
      <c r="C7688">
        <v>7</v>
      </c>
      <c r="D7688">
        <v>9.6000000000000002E-2</v>
      </c>
      <c r="E7688" t="s">
        <v>6</v>
      </c>
      <c r="F7688">
        <v>0.13596</v>
      </c>
    </row>
    <row r="7689" spans="1:6" x14ac:dyDescent="0.3">
      <c r="A7689" t="s">
        <v>5</v>
      </c>
      <c r="B7689" s="1">
        <v>45978</v>
      </c>
      <c r="C7689">
        <v>8</v>
      </c>
      <c r="D7689">
        <v>8.5000000000000006E-2</v>
      </c>
      <c r="E7689" t="s">
        <v>6</v>
      </c>
      <c r="F7689">
        <v>0.16533</v>
      </c>
    </row>
    <row r="7690" spans="1:6" x14ac:dyDescent="0.3">
      <c r="A7690" t="s">
        <v>5</v>
      </c>
      <c r="B7690" s="1">
        <v>45978</v>
      </c>
      <c r="C7690">
        <v>9</v>
      </c>
      <c r="D7690">
        <v>9.6000000000000002E-2</v>
      </c>
      <c r="E7690" t="s">
        <v>6</v>
      </c>
      <c r="F7690">
        <v>0.20630000000000001</v>
      </c>
    </row>
    <row r="7691" spans="1:6" x14ac:dyDescent="0.3">
      <c r="A7691" t="s">
        <v>5</v>
      </c>
      <c r="B7691" s="1">
        <v>45978</v>
      </c>
      <c r="C7691">
        <v>10</v>
      </c>
      <c r="D7691">
        <v>5.3999999999999999E-2</v>
      </c>
      <c r="E7691" t="s">
        <v>6</v>
      </c>
      <c r="F7691">
        <v>0.1464</v>
      </c>
    </row>
    <row r="7692" spans="1:6" x14ac:dyDescent="0.3">
      <c r="A7692" t="s">
        <v>5</v>
      </c>
      <c r="B7692" s="1">
        <v>45978</v>
      </c>
      <c r="C7692">
        <v>11</v>
      </c>
      <c r="D7692">
        <v>7.4999999999999997E-2</v>
      </c>
      <c r="E7692" t="s">
        <v>6</v>
      </c>
      <c r="F7692">
        <v>0.19412000000000001</v>
      </c>
    </row>
    <row r="7693" spans="1:6" x14ac:dyDescent="0.3">
      <c r="A7693" t="s">
        <v>5</v>
      </c>
      <c r="B7693" s="1">
        <v>45978</v>
      </c>
      <c r="C7693">
        <v>12</v>
      </c>
      <c r="D7693">
        <v>0.16800000000000001</v>
      </c>
      <c r="E7693" t="s">
        <v>6</v>
      </c>
      <c r="F7693">
        <v>0.18415999999999999</v>
      </c>
    </row>
    <row r="7694" spans="1:6" x14ac:dyDescent="0.3">
      <c r="A7694" t="s">
        <v>5</v>
      </c>
      <c r="B7694" s="1">
        <v>45978</v>
      </c>
      <c r="C7694">
        <v>13</v>
      </c>
      <c r="D7694">
        <v>8.5000000000000006E-2</v>
      </c>
      <c r="E7694" t="s">
        <v>6</v>
      </c>
      <c r="F7694">
        <v>0.17762999999999998</v>
      </c>
    </row>
    <row r="7695" spans="1:6" x14ac:dyDescent="0.3">
      <c r="A7695" t="s">
        <v>5</v>
      </c>
      <c r="B7695" s="1">
        <v>45978</v>
      </c>
      <c r="C7695">
        <v>14</v>
      </c>
      <c r="D7695">
        <v>0.13400000000000001</v>
      </c>
      <c r="E7695" t="s">
        <v>6</v>
      </c>
      <c r="F7695">
        <v>0.16255</v>
      </c>
    </row>
    <row r="7696" spans="1:6" x14ac:dyDescent="0.3">
      <c r="A7696" t="s">
        <v>5</v>
      </c>
      <c r="B7696" s="1">
        <v>45978</v>
      </c>
      <c r="C7696">
        <v>15</v>
      </c>
      <c r="D7696">
        <v>0.13900000000000001</v>
      </c>
      <c r="E7696" t="s">
        <v>6</v>
      </c>
      <c r="F7696">
        <v>9.5829999999999999E-2</v>
      </c>
    </row>
    <row r="7697" spans="1:6" x14ac:dyDescent="0.3">
      <c r="A7697" t="s">
        <v>5</v>
      </c>
      <c r="B7697" s="1">
        <v>45978</v>
      </c>
      <c r="C7697">
        <v>16</v>
      </c>
      <c r="D7697">
        <v>0.11799999999999999</v>
      </c>
      <c r="E7697" t="s">
        <v>6</v>
      </c>
      <c r="F7697">
        <v>0.10686</v>
      </c>
    </row>
    <row r="7698" spans="1:6" x14ac:dyDescent="0.3">
      <c r="A7698" t="s">
        <v>5</v>
      </c>
      <c r="B7698" s="1">
        <v>45978</v>
      </c>
      <c r="C7698">
        <v>17</v>
      </c>
      <c r="D7698">
        <v>7.8E-2</v>
      </c>
      <c r="E7698" t="s">
        <v>6</v>
      </c>
      <c r="F7698">
        <v>0.13046000000000002</v>
      </c>
    </row>
    <row r="7699" spans="1:6" x14ac:dyDescent="0.3">
      <c r="A7699" t="s">
        <v>5</v>
      </c>
      <c r="B7699" s="1">
        <v>45978</v>
      </c>
      <c r="C7699">
        <v>18</v>
      </c>
      <c r="D7699">
        <v>0.16700000000000001</v>
      </c>
      <c r="E7699" t="s">
        <v>6</v>
      </c>
      <c r="F7699">
        <v>0.15875</v>
      </c>
    </row>
    <row r="7700" spans="1:6" x14ac:dyDescent="0.3">
      <c r="A7700" t="s">
        <v>5</v>
      </c>
      <c r="B7700" s="1">
        <v>45978</v>
      </c>
      <c r="C7700">
        <v>19</v>
      </c>
      <c r="D7700">
        <v>0.20399999999999999</v>
      </c>
      <c r="E7700" t="s">
        <v>6</v>
      </c>
      <c r="F7700">
        <v>0.24433000000000002</v>
      </c>
    </row>
    <row r="7701" spans="1:6" x14ac:dyDescent="0.3">
      <c r="A7701" t="s">
        <v>5</v>
      </c>
      <c r="B7701" s="1">
        <v>45978</v>
      </c>
      <c r="C7701">
        <v>20</v>
      </c>
      <c r="D7701">
        <v>7.9000000000000001E-2</v>
      </c>
      <c r="E7701" t="s">
        <v>6</v>
      </c>
      <c r="F7701">
        <v>0.24336000000000002</v>
      </c>
    </row>
    <row r="7702" spans="1:6" x14ac:dyDescent="0.3">
      <c r="A7702" t="s">
        <v>5</v>
      </c>
      <c r="B7702" s="1">
        <v>45978</v>
      </c>
      <c r="C7702">
        <v>21</v>
      </c>
      <c r="D7702">
        <v>8.3000000000000004E-2</v>
      </c>
      <c r="E7702" t="s">
        <v>6</v>
      </c>
      <c r="F7702">
        <v>0.23613999999999999</v>
      </c>
    </row>
    <row r="7703" spans="1:6" x14ac:dyDescent="0.3">
      <c r="A7703" t="s">
        <v>5</v>
      </c>
      <c r="B7703" s="1">
        <v>45978</v>
      </c>
      <c r="C7703">
        <v>22</v>
      </c>
      <c r="D7703">
        <v>0.36</v>
      </c>
      <c r="E7703" t="s">
        <v>6</v>
      </c>
      <c r="F7703">
        <v>0.22431999999999999</v>
      </c>
    </row>
    <row r="7704" spans="1:6" x14ac:dyDescent="0.3">
      <c r="A7704" t="s">
        <v>5</v>
      </c>
      <c r="B7704" s="1">
        <v>45978</v>
      </c>
      <c r="C7704">
        <v>23</v>
      </c>
      <c r="D7704">
        <v>0.20300000000000001</v>
      </c>
      <c r="E7704" t="s">
        <v>6</v>
      </c>
      <c r="F7704">
        <v>0.15190999999999999</v>
      </c>
    </row>
    <row r="7705" spans="1:6" x14ac:dyDescent="0.3">
      <c r="A7705" t="s">
        <v>5</v>
      </c>
      <c r="B7705" s="1">
        <v>45978</v>
      </c>
      <c r="C7705">
        <v>24</v>
      </c>
      <c r="D7705">
        <v>0.21299999999999999</v>
      </c>
      <c r="E7705" t="s">
        <v>6</v>
      </c>
      <c r="F7705">
        <v>0.14507</v>
      </c>
    </row>
    <row r="7706" spans="1:6" x14ac:dyDescent="0.3">
      <c r="A7706" t="s">
        <v>5</v>
      </c>
      <c r="B7706" s="1">
        <v>45979</v>
      </c>
      <c r="C7706">
        <v>1</v>
      </c>
      <c r="D7706">
        <v>0.11899999999999999</v>
      </c>
      <c r="E7706" t="s">
        <v>6</v>
      </c>
      <c r="F7706">
        <v>0.12109</v>
      </c>
    </row>
    <row r="7707" spans="1:6" x14ac:dyDescent="0.3">
      <c r="A7707" t="s">
        <v>5</v>
      </c>
      <c r="B7707" s="1">
        <v>45979</v>
      </c>
      <c r="C7707">
        <v>2</v>
      </c>
      <c r="D7707">
        <v>8.1000000000000003E-2</v>
      </c>
      <c r="E7707" t="s">
        <v>6</v>
      </c>
      <c r="F7707">
        <v>0.11916</v>
      </c>
    </row>
    <row r="7708" spans="1:6" x14ac:dyDescent="0.3">
      <c r="A7708" t="s">
        <v>5</v>
      </c>
      <c r="B7708" s="1">
        <v>45979</v>
      </c>
      <c r="C7708">
        <v>3</v>
      </c>
      <c r="D7708">
        <v>7.5999999999999998E-2</v>
      </c>
      <c r="E7708" t="s">
        <v>6</v>
      </c>
      <c r="F7708">
        <v>0.11668000000000001</v>
      </c>
    </row>
    <row r="7709" spans="1:6" x14ac:dyDescent="0.3">
      <c r="A7709" t="s">
        <v>5</v>
      </c>
      <c r="B7709" s="1">
        <v>45979</v>
      </c>
      <c r="C7709">
        <v>4</v>
      </c>
      <c r="D7709">
        <v>0.127</v>
      </c>
      <c r="E7709" t="s">
        <v>6</v>
      </c>
      <c r="F7709">
        <v>0.11126999999999999</v>
      </c>
    </row>
    <row r="7710" spans="1:6" x14ac:dyDescent="0.3">
      <c r="A7710" t="s">
        <v>5</v>
      </c>
      <c r="B7710" s="1">
        <v>45979</v>
      </c>
      <c r="C7710">
        <v>5</v>
      </c>
      <c r="D7710">
        <v>7.2999999999999995E-2</v>
      </c>
      <c r="E7710" t="s">
        <v>6</v>
      </c>
      <c r="F7710">
        <v>0.11031000000000001</v>
      </c>
    </row>
    <row r="7711" spans="1:6" x14ac:dyDescent="0.3">
      <c r="A7711" t="s">
        <v>5</v>
      </c>
      <c r="B7711" s="1">
        <v>45979</v>
      </c>
      <c r="C7711">
        <v>6</v>
      </c>
      <c r="D7711">
        <v>8.2000000000000003E-2</v>
      </c>
      <c r="E7711" t="s">
        <v>6</v>
      </c>
      <c r="F7711">
        <v>0.10954000000000001</v>
      </c>
    </row>
    <row r="7712" spans="1:6" x14ac:dyDescent="0.3">
      <c r="A7712" t="s">
        <v>5</v>
      </c>
      <c r="B7712" s="1">
        <v>45979</v>
      </c>
      <c r="C7712">
        <v>7</v>
      </c>
      <c r="D7712">
        <v>5.7000000000000002E-2</v>
      </c>
      <c r="E7712" t="s">
        <v>6</v>
      </c>
      <c r="F7712">
        <v>0.13058</v>
      </c>
    </row>
    <row r="7713" spans="1:6" x14ac:dyDescent="0.3">
      <c r="A7713" t="s">
        <v>5</v>
      </c>
      <c r="B7713" s="1">
        <v>45979</v>
      </c>
      <c r="C7713">
        <v>8</v>
      </c>
      <c r="D7713">
        <v>0.127</v>
      </c>
      <c r="E7713" t="s">
        <v>6</v>
      </c>
      <c r="F7713">
        <v>0.14474999999999999</v>
      </c>
    </row>
    <row r="7714" spans="1:6" x14ac:dyDescent="0.3">
      <c r="A7714" t="s">
        <v>5</v>
      </c>
      <c r="B7714" s="1">
        <v>45979</v>
      </c>
      <c r="C7714">
        <v>9</v>
      </c>
      <c r="D7714">
        <v>0.19600000000000001</v>
      </c>
      <c r="E7714" t="s">
        <v>6</v>
      </c>
      <c r="F7714">
        <v>0.17008999999999999</v>
      </c>
    </row>
    <row r="7715" spans="1:6" x14ac:dyDescent="0.3">
      <c r="A7715" t="s">
        <v>5</v>
      </c>
      <c r="B7715" s="1">
        <v>45979</v>
      </c>
      <c r="C7715">
        <v>10</v>
      </c>
      <c r="D7715">
        <v>7.2999999999999995E-2</v>
      </c>
      <c r="E7715" t="s">
        <v>6</v>
      </c>
      <c r="F7715">
        <v>0.13968</v>
      </c>
    </row>
    <row r="7716" spans="1:6" x14ac:dyDescent="0.3">
      <c r="A7716" t="s">
        <v>5</v>
      </c>
      <c r="B7716" s="1">
        <v>45979</v>
      </c>
      <c r="C7716">
        <v>11</v>
      </c>
      <c r="D7716">
        <v>8.8999999999999996E-2</v>
      </c>
      <c r="E7716" t="s">
        <v>6</v>
      </c>
      <c r="F7716">
        <v>0.16849</v>
      </c>
    </row>
    <row r="7717" spans="1:6" x14ac:dyDescent="0.3">
      <c r="A7717" t="s">
        <v>5</v>
      </c>
      <c r="B7717" s="1">
        <v>45979</v>
      </c>
      <c r="C7717">
        <v>12</v>
      </c>
      <c r="D7717">
        <v>1.1990000000000001</v>
      </c>
      <c r="E7717" t="s">
        <v>6</v>
      </c>
      <c r="F7717">
        <v>0.13929</v>
      </c>
    </row>
    <row r="7718" spans="1:6" x14ac:dyDescent="0.3">
      <c r="A7718" t="s">
        <v>5</v>
      </c>
      <c r="B7718" s="1">
        <v>45979</v>
      </c>
      <c r="C7718">
        <v>13</v>
      </c>
      <c r="D7718">
        <v>0.39900000000000002</v>
      </c>
      <c r="E7718" t="s">
        <v>6</v>
      </c>
      <c r="F7718">
        <v>0.13484000000000002</v>
      </c>
    </row>
    <row r="7719" spans="1:6" x14ac:dyDescent="0.3">
      <c r="A7719" t="s">
        <v>5</v>
      </c>
      <c r="B7719" s="1">
        <v>45979</v>
      </c>
      <c r="C7719">
        <v>14</v>
      </c>
      <c r="D7719">
        <v>0.60199999999999998</v>
      </c>
      <c r="E7719" t="s">
        <v>6</v>
      </c>
      <c r="F7719">
        <v>0.14335000000000001</v>
      </c>
    </row>
    <row r="7720" spans="1:6" x14ac:dyDescent="0.3">
      <c r="A7720" t="s">
        <v>5</v>
      </c>
      <c r="B7720" s="1">
        <v>45979</v>
      </c>
      <c r="C7720">
        <v>15</v>
      </c>
      <c r="D7720">
        <v>0.24199999999999999</v>
      </c>
      <c r="E7720" t="s">
        <v>6</v>
      </c>
      <c r="F7720">
        <v>8.48E-2</v>
      </c>
    </row>
    <row r="7721" spans="1:6" x14ac:dyDescent="0.3">
      <c r="A7721" t="s">
        <v>5</v>
      </c>
      <c r="B7721" s="1">
        <v>45979</v>
      </c>
      <c r="C7721">
        <v>16</v>
      </c>
      <c r="D7721">
        <v>6.2E-2</v>
      </c>
      <c r="E7721" t="s">
        <v>6</v>
      </c>
      <c r="F7721">
        <v>0.1105</v>
      </c>
    </row>
    <row r="7722" spans="1:6" x14ac:dyDescent="0.3">
      <c r="A7722" t="s">
        <v>5</v>
      </c>
      <c r="B7722" s="1">
        <v>45979</v>
      </c>
      <c r="C7722">
        <v>17</v>
      </c>
      <c r="D7722">
        <v>0.16800000000000001</v>
      </c>
      <c r="E7722" t="s">
        <v>6</v>
      </c>
      <c r="F7722">
        <v>0.14580000000000001</v>
      </c>
    </row>
    <row r="7723" spans="1:6" x14ac:dyDescent="0.3">
      <c r="A7723" t="s">
        <v>5</v>
      </c>
      <c r="B7723" s="1">
        <v>45979</v>
      </c>
      <c r="C7723">
        <v>18</v>
      </c>
      <c r="D7723">
        <v>7.0000000000000007E-2</v>
      </c>
      <c r="E7723" t="s">
        <v>6</v>
      </c>
      <c r="F7723">
        <v>0.17388999999999999</v>
      </c>
    </row>
    <row r="7724" spans="1:6" x14ac:dyDescent="0.3">
      <c r="A7724" t="s">
        <v>5</v>
      </c>
      <c r="B7724" s="1">
        <v>45979</v>
      </c>
      <c r="C7724">
        <v>19</v>
      </c>
      <c r="D7724">
        <v>6.9000000000000006E-2</v>
      </c>
      <c r="E7724" t="s">
        <v>6</v>
      </c>
      <c r="F7724">
        <v>0.26756999999999997</v>
      </c>
    </row>
    <row r="7725" spans="1:6" x14ac:dyDescent="0.3">
      <c r="A7725" t="s">
        <v>5</v>
      </c>
      <c r="B7725" s="1">
        <v>45979</v>
      </c>
      <c r="C7725">
        <v>20</v>
      </c>
      <c r="D7725">
        <v>9.4E-2</v>
      </c>
      <c r="E7725" t="s">
        <v>6</v>
      </c>
      <c r="F7725">
        <v>0.26874999999999999</v>
      </c>
    </row>
    <row r="7726" spans="1:6" x14ac:dyDescent="0.3">
      <c r="A7726" t="s">
        <v>5</v>
      </c>
      <c r="B7726" s="1">
        <v>45979</v>
      </c>
      <c r="C7726">
        <v>21</v>
      </c>
      <c r="D7726">
        <v>0.23499999999999999</v>
      </c>
      <c r="E7726" t="s">
        <v>6</v>
      </c>
      <c r="F7726">
        <v>0.27073000000000003</v>
      </c>
    </row>
    <row r="7727" spans="1:6" x14ac:dyDescent="0.3">
      <c r="A7727" t="s">
        <v>5</v>
      </c>
      <c r="B7727" s="1">
        <v>45979</v>
      </c>
      <c r="C7727">
        <v>22</v>
      </c>
      <c r="D7727">
        <v>0.318</v>
      </c>
      <c r="E7727" t="s">
        <v>6</v>
      </c>
      <c r="F7727">
        <v>0.27155000000000001</v>
      </c>
    </row>
    <row r="7728" spans="1:6" x14ac:dyDescent="0.3">
      <c r="A7728" t="s">
        <v>5</v>
      </c>
      <c r="B7728" s="1">
        <v>45979</v>
      </c>
      <c r="C7728">
        <v>23</v>
      </c>
      <c r="D7728">
        <v>0.33300000000000002</v>
      </c>
      <c r="E7728" t="s">
        <v>6</v>
      </c>
      <c r="F7728">
        <v>0.18421000000000001</v>
      </c>
    </row>
    <row r="7729" spans="1:6" x14ac:dyDescent="0.3">
      <c r="A7729" t="s">
        <v>5</v>
      </c>
      <c r="B7729" s="1">
        <v>45979</v>
      </c>
      <c r="C7729">
        <v>24</v>
      </c>
      <c r="D7729">
        <v>0.182</v>
      </c>
      <c r="E7729" t="s">
        <v>6</v>
      </c>
      <c r="F7729">
        <v>0.16525000000000001</v>
      </c>
    </row>
    <row r="7730" spans="1:6" x14ac:dyDescent="0.3">
      <c r="A7730" t="s">
        <v>5</v>
      </c>
      <c r="B7730" s="1">
        <v>45980</v>
      </c>
      <c r="C7730">
        <v>1</v>
      </c>
      <c r="D7730">
        <v>9.7000000000000003E-2</v>
      </c>
      <c r="E7730" t="s">
        <v>6</v>
      </c>
      <c r="F7730">
        <v>0.14688999999999999</v>
      </c>
    </row>
    <row r="7731" spans="1:6" x14ac:dyDescent="0.3">
      <c r="A7731" t="s">
        <v>5</v>
      </c>
      <c r="B7731" s="1">
        <v>45980</v>
      </c>
      <c r="C7731">
        <v>2</v>
      </c>
      <c r="D7731">
        <v>0.09</v>
      </c>
      <c r="E7731" t="s">
        <v>6</v>
      </c>
      <c r="F7731">
        <v>0.13406999999999999</v>
      </c>
    </row>
    <row r="7732" spans="1:6" x14ac:dyDescent="0.3">
      <c r="A7732" t="s">
        <v>5</v>
      </c>
      <c r="B7732" s="1">
        <v>45980</v>
      </c>
      <c r="C7732">
        <v>3</v>
      </c>
      <c r="D7732">
        <v>9.6000000000000002E-2</v>
      </c>
      <c r="E7732" t="s">
        <v>6</v>
      </c>
      <c r="F7732">
        <v>0.12695999999999999</v>
      </c>
    </row>
    <row r="7733" spans="1:6" x14ac:dyDescent="0.3">
      <c r="A7733" t="s">
        <v>5</v>
      </c>
      <c r="B7733" s="1">
        <v>45980</v>
      </c>
      <c r="C7733">
        <v>4</v>
      </c>
      <c r="D7733">
        <v>0.129</v>
      </c>
      <c r="E7733" t="s">
        <v>6</v>
      </c>
      <c r="F7733">
        <v>0.12340000000000001</v>
      </c>
    </row>
    <row r="7734" spans="1:6" x14ac:dyDescent="0.3">
      <c r="A7734" t="s">
        <v>5</v>
      </c>
      <c r="B7734" s="1">
        <v>45980</v>
      </c>
      <c r="C7734">
        <v>5</v>
      </c>
      <c r="D7734">
        <v>8.7999999999999995E-2</v>
      </c>
      <c r="E7734" t="s">
        <v>6</v>
      </c>
      <c r="F7734">
        <v>0.1221</v>
      </c>
    </row>
    <row r="7735" spans="1:6" x14ac:dyDescent="0.3">
      <c r="A7735" t="s">
        <v>5</v>
      </c>
      <c r="B7735" s="1">
        <v>45980</v>
      </c>
      <c r="C7735">
        <v>6</v>
      </c>
      <c r="D7735">
        <v>7.5999999999999998E-2</v>
      </c>
      <c r="E7735" t="s">
        <v>6</v>
      </c>
      <c r="F7735">
        <v>0.12364</v>
      </c>
    </row>
    <row r="7736" spans="1:6" x14ac:dyDescent="0.3">
      <c r="A7736" t="s">
        <v>5</v>
      </c>
      <c r="B7736" s="1">
        <v>45980</v>
      </c>
      <c r="C7736">
        <v>7</v>
      </c>
      <c r="D7736">
        <v>6.8000000000000005E-2</v>
      </c>
      <c r="E7736" t="s">
        <v>6</v>
      </c>
      <c r="F7736">
        <v>0.14235</v>
      </c>
    </row>
    <row r="7737" spans="1:6" x14ac:dyDescent="0.3">
      <c r="A7737" t="s">
        <v>5</v>
      </c>
      <c r="B7737" s="1">
        <v>45980</v>
      </c>
      <c r="C7737">
        <v>8</v>
      </c>
      <c r="D7737">
        <v>0.11899999999999999</v>
      </c>
      <c r="E7737" t="s">
        <v>6</v>
      </c>
      <c r="F7737">
        <v>0.14840999999999999</v>
      </c>
    </row>
    <row r="7738" spans="1:6" x14ac:dyDescent="0.3">
      <c r="A7738" t="s">
        <v>5</v>
      </c>
      <c r="B7738" s="1">
        <v>45980</v>
      </c>
      <c r="C7738">
        <v>9</v>
      </c>
      <c r="D7738">
        <v>0.14099999999999999</v>
      </c>
      <c r="E7738" t="s">
        <v>6</v>
      </c>
      <c r="F7738">
        <v>0.17748</v>
      </c>
    </row>
    <row r="7739" spans="1:6" x14ac:dyDescent="0.3">
      <c r="A7739" t="s">
        <v>5</v>
      </c>
      <c r="B7739" s="1">
        <v>45980</v>
      </c>
      <c r="C7739">
        <v>10</v>
      </c>
      <c r="D7739">
        <v>0.11600000000000001</v>
      </c>
      <c r="E7739" t="s">
        <v>6</v>
      </c>
      <c r="F7739">
        <v>0.15549000000000002</v>
      </c>
    </row>
    <row r="7740" spans="1:6" x14ac:dyDescent="0.3">
      <c r="A7740" t="s">
        <v>5</v>
      </c>
      <c r="B7740" s="1">
        <v>45980</v>
      </c>
      <c r="C7740">
        <v>11</v>
      </c>
      <c r="D7740">
        <v>6.4000000000000001E-2</v>
      </c>
      <c r="E7740" t="s">
        <v>6</v>
      </c>
      <c r="F7740">
        <v>0.21106999999999998</v>
      </c>
    </row>
    <row r="7741" spans="1:6" x14ac:dyDescent="0.3">
      <c r="A7741" t="s">
        <v>5</v>
      </c>
      <c r="B7741" s="1">
        <v>45980</v>
      </c>
      <c r="C7741">
        <v>12</v>
      </c>
      <c r="D7741">
        <v>0.158</v>
      </c>
      <c r="E7741" t="s">
        <v>6</v>
      </c>
      <c r="F7741">
        <v>0.19219999999999998</v>
      </c>
    </row>
    <row r="7742" spans="1:6" x14ac:dyDescent="0.3">
      <c r="A7742" t="s">
        <v>5</v>
      </c>
      <c r="B7742" s="1">
        <v>45980</v>
      </c>
      <c r="C7742">
        <v>13</v>
      </c>
      <c r="D7742">
        <v>0.84199999999999997</v>
      </c>
      <c r="E7742" t="s">
        <v>6</v>
      </c>
      <c r="F7742">
        <v>0.18925999999999998</v>
      </c>
    </row>
    <row r="7743" spans="1:6" x14ac:dyDescent="0.3">
      <c r="A7743" t="s">
        <v>5</v>
      </c>
      <c r="B7743" s="1">
        <v>45980</v>
      </c>
      <c r="C7743">
        <v>14</v>
      </c>
      <c r="D7743">
        <v>0.22700000000000001</v>
      </c>
      <c r="E7743" t="s">
        <v>6</v>
      </c>
      <c r="F7743">
        <v>0.18375999999999998</v>
      </c>
    </row>
    <row r="7744" spans="1:6" x14ac:dyDescent="0.3">
      <c r="A7744" t="s">
        <v>5</v>
      </c>
      <c r="B7744" s="1">
        <v>45980</v>
      </c>
      <c r="C7744">
        <v>15</v>
      </c>
      <c r="D7744">
        <v>0.126</v>
      </c>
      <c r="E7744" t="s">
        <v>6</v>
      </c>
      <c r="F7744">
        <v>0.1212</v>
      </c>
    </row>
    <row r="7745" spans="1:6" x14ac:dyDescent="0.3">
      <c r="A7745" t="s">
        <v>5</v>
      </c>
      <c r="B7745" s="1">
        <v>45980</v>
      </c>
      <c r="C7745">
        <v>16</v>
      </c>
      <c r="D7745">
        <v>5.8000000000000003E-2</v>
      </c>
      <c r="E7745" t="s">
        <v>6</v>
      </c>
      <c r="F7745">
        <v>0.1358</v>
      </c>
    </row>
    <row r="7746" spans="1:6" x14ac:dyDescent="0.3">
      <c r="A7746" t="s">
        <v>5</v>
      </c>
      <c r="B7746" s="1">
        <v>45980</v>
      </c>
      <c r="C7746">
        <v>17</v>
      </c>
      <c r="D7746">
        <v>0.28699999999999998</v>
      </c>
      <c r="E7746" t="s">
        <v>6</v>
      </c>
      <c r="F7746">
        <v>0.14277999999999999</v>
      </c>
    </row>
    <row r="7747" spans="1:6" x14ac:dyDescent="0.3">
      <c r="A7747" t="s">
        <v>5</v>
      </c>
      <c r="B7747" s="1">
        <v>45980</v>
      </c>
      <c r="C7747">
        <v>18</v>
      </c>
      <c r="D7747">
        <v>0.14599999999999999</v>
      </c>
      <c r="E7747" t="s">
        <v>6</v>
      </c>
      <c r="F7747">
        <v>0.16713999999999998</v>
      </c>
    </row>
    <row r="7748" spans="1:6" x14ac:dyDescent="0.3">
      <c r="A7748" t="s">
        <v>5</v>
      </c>
      <c r="B7748" s="1">
        <v>45980</v>
      </c>
      <c r="C7748">
        <v>19</v>
      </c>
      <c r="D7748">
        <v>5.7000000000000002E-2</v>
      </c>
      <c r="E7748" t="s">
        <v>6</v>
      </c>
      <c r="F7748">
        <v>0.2404</v>
      </c>
    </row>
    <row r="7749" spans="1:6" x14ac:dyDescent="0.3">
      <c r="A7749" t="s">
        <v>5</v>
      </c>
      <c r="B7749" s="1">
        <v>45980</v>
      </c>
      <c r="C7749">
        <v>20</v>
      </c>
      <c r="D7749">
        <v>0.19900000000000001</v>
      </c>
      <c r="E7749" t="s">
        <v>6</v>
      </c>
      <c r="F7749">
        <v>0.24665000000000001</v>
      </c>
    </row>
    <row r="7750" spans="1:6" x14ac:dyDescent="0.3">
      <c r="A7750" t="s">
        <v>5</v>
      </c>
      <c r="B7750" s="1">
        <v>45980</v>
      </c>
      <c r="C7750">
        <v>21</v>
      </c>
      <c r="D7750">
        <v>0.17299999999999999</v>
      </c>
      <c r="E7750" t="s">
        <v>6</v>
      </c>
      <c r="F7750">
        <v>0.25224999999999997</v>
      </c>
    </row>
    <row r="7751" spans="1:6" x14ac:dyDescent="0.3">
      <c r="A7751" t="s">
        <v>5</v>
      </c>
      <c r="B7751" s="1">
        <v>45980</v>
      </c>
      <c r="C7751">
        <v>22</v>
      </c>
      <c r="D7751">
        <v>0.32100000000000001</v>
      </c>
      <c r="E7751" t="s">
        <v>6</v>
      </c>
      <c r="F7751">
        <v>0.23371</v>
      </c>
    </row>
    <row r="7752" spans="1:6" x14ac:dyDescent="0.3">
      <c r="A7752" t="s">
        <v>5</v>
      </c>
      <c r="B7752" s="1">
        <v>45980</v>
      </c>
      <c r="C7752">
        <v>23</v>
      </c>
      <c r="D7752">
        <v>0.32400000000000001</v>
      </c>
      <c r="E7752" t="s">
        <v>6</v>
      </c>
      <c r="F7752">
        <v>0.15900999999999998</v>
      </c>
    </row>
    <row r="7753" spans="1:6" x14ac:dyDescent="0.3">
      <c r="A7753" t="s">
        <v>5</v>
      </c>
      <c r="B7753" s="1">
        <v>45980</v>
      </c>
      <c r="C7753">
        <v>24</v>
      </c>
      <c r="D7753">
        <v>0.23300000000000001</v>
      </c>
      <c r="E7753" t="s">
        <v>6</v>
      </c>
      <c r="F7753">
        <v>0.15087</v>
      </c>
    </row>
    <row r="7754" spans="1:6" x14ac:dyDescent="0.3">
      <c r="A7754" t="s">
        <v>5</v>
      </c>
      <c r="B7754" s="1">
        <v>45981</v>
      </c>
      <c r="C7754">
        <v>1</v>
      </c>
      <c r="D7754">
        <v>0.17599999999999999</v>
      </c>
      <c r="E7754" t="s">
        <v>6</v>
      </c>
      <c r="F7754">
        <v>0.12193999999999999</v>
      </c>
    </row>
    <row r="7755" spans="1:6" x14ac:dyDescent="0.3">
      <c r="A7755" t="s">
        <v>5</v>
      </c>
      <c r="B7755" s="1">
        <v>45981</v>
      </c>
      <c r="C7755">
        <v>2</v>
      </c>
      <c r="D7755">
        <v>0.115</v>
      </c>
      <c r="E7755" t="s">
        <v>6</v>
      </c>
      <c r="F7755">
        <v>0.11502</v>
      </c>
    </row>
    <row r="7756" spans="1:6" x14ac:dyDescent="0.3">
      <c r="A7756" t="s">
        <v>5</v>
      </c>
      <c r="B7756" s="1">
        <v>45981</v>
      </c>
      <c r="C7756">
        <v>3</v>
      </c>
      <c r="D7756">
        <v>0.10299999999999999</v>
      </c>
      <c r="E7756" t="s">
        <v>6</v>
      </c>
      <c r="F7756">
        <v>0.11408</v>
      </c>
    </row>
    <row r="7757" spans="1:6" x14ac:dyDescent="0.3">
      <c r="A7757" t="s">
        <v>5</v>
      </c>
      <c r="B7757" s="1">
        <v>45981</v>
      </c>
      <c r="C7757">
        <v>4</v>
      </c>
      <c r="D7757">
        <v>0.10299999999999999</v>
      </c>
      <c r="E7757" t="s">
        <v>6</v>
      </c>
      <c r="F7757">
        <v>0.10919</v>
      </c>
    </row>
    <row r="7758" spans="1:6" x14ac:dyDescent="0.3">
      <c r="A7758" t="s">
        <v>5</v>
      </c>
      <c r="B7758" s="1">
        <v>45981</v>
      </c>
      <c r="C7758">
        <v>5</v>
      </c>
      <c r="D7758">
        <v>6.8000000000000005E-2</v>
      </c>
      <c r="E7758" t="s">
        <v>6</v>
      </c>
      <c r="F7758">
        <v>0.10997</v>
      </c>
    </row>
    <row r="7759" spans="1:6" x14ac:dyDescent="0.3">
      <c r="A7759" t="s">
        <v>5</v>
      </c>
      <c r="B7759" s="1">
        <v>45981</v>
      </c>
      <c r="C7759">
        <v>6</v>
      </c>
      <c r="D7759">
        <v>7.9000000000000001E-2</v>
      </c>
      <c r="E7759" t="s">
        <v>6</v>
      </c>
      <c r="F7759">
        <v>0.12014</v>
      </c>
    </row>
    <row r="7760" spans="1:6" x14ac:dyDescent="0.3">
      <c r="A7760" t="s">
        <v>5</v>
      </c>
      <c r="B7760" s="1">
        <v>45981</v>
      </c>
      <c r="C7760">
        <v>7</v>
      </c>
      <c r="D7760">
        <v>5.8000000000000003E-2</v>
      </c>
      <c r="E7760" t="s">
        <v>6</v>
      </c>
      <c r="F7760">
        <v>0.13209000000000001</v>
      </c>
    </row>
    <row r="7761" spans="1:6" x14ac:dyDescent="0.3">
      <c r="A7761" t="s">
        <v>5</v>
      </c>
      <c r="B7761" s="1">
        <v>45981</v>
      </c>
      <c r="C7761">
        <v>8</v>
      </c>
      <c r="D7761">
        <v>0.11799999999999999</v>
      </c>
      <c r="E7761" t="s">
        <v>6</v>
      </c>
      <c r="F7761">
        <v>0.14968999999999999</v>
      </c>
    </row>
    <row r="7762" spans="1:6" x14ac:dyDescent="0.3">
      <c r="A7762" t="s">
        <v>5</v>
      </c>
      <c r="B7762" s="1">
        <v>45981</v>
      </c>
      <c r="C7762">
        <v>9</v>
      </c>
      <c r="D7762">
        <v>0.127</v>
      </c>
      <c r="E7762" t="s">
        <v>6</v>
      </c>
      <c r="F7762">
        <v>0.18681</v>
      </c>
    </row>
    <row r="7763" spans="1:6" x14ac:dyDescent="0.3">
      <c r="A7763" t="s">
        <v>5</v>
      </c>
      <c r="B7763" s="1">
        <v>45981</v>
      </c>
      <c r="C7763">
        <v>10</v>
      </c>
      <c r="D7763">
        <v>7.3999999999999996E-2</v>
      </c>
      <c r="E7763" t="s">
        <v>6</v>
      </c>
      <c r="F7763">
        <v>0.15162999999999999</v>
      </c>
    </row>
    <row r="7764" spans="1:6" x14ac:dyDescent="0.3">
      <c r="A7764" t="s">
        <v>5</v>
      </c>
      <c r="B7764" s="1">
        <v>45981</v>
      </c>
      <c r="C7764">
        <v>11</v>
      </c>
      <c r="D7764">
        <v>0.41399999999999998</v>
      </c>
      <c r="E7764" t="s">
        <v>6</v>
      </c>
      <c r="F7764">
        <v>0.19605</v>
      </c>
    </row>
    <row r="7765" spans="1:6" x14ac:dyDescent="0.3">
      <c r="A7765" t="s">
        <v>5</v>
      </c>
      <c r="B7765" s="1">
        <v>45981</v>
      </c>
      <c r="C7765">
        <v>12</v>
      </c>
      <c r="D7765">
        <v>0.53700000000000003</v>
      </c>
      <c r="E7765" t="s">
        <v>6</v>
      </c>
      <c r="F7765">
        <v>0.18777000000000002</v>
      </c>
    </row>
    <row r="7766" spans="1:6" x14ac:dyDescent="0.3">
      <c r="A7766" t="s">
        <v>5</v>
      </c>
      <c r="B7766" s="1">
        <v>45981</v>
      </c>
      <c r="C7766">
        <v>13</v>
      </c>
      <c r="D7766">
        <v>0.52200000000000002</v>
      </c>
      <c r="E7766" t="s">
        <v>6</v>
      </c>
      <c r="F7766">
        <v>0.18192</v>
      </c>
    </row>
    <row r="7767" spans="1:6" x14ac:dyDescent="0.3">
      <c r="A7767" t="s">
        <v>5</v>
      </c>
      <c r="B7767" s="1">
        <v>45981</v>
      </c>
      <c r="C7767">
        <v>14</v>
      </c>
      <c r="D7767">
        <v>0.23899999999999999</v>
      </c>
      <c r="E7767" t="s">
        <v>6</v>
      </c>
      <c r="F7767">
        <v>0.16932</v>
      </c>
    </row>
    <row r="7768" spans="1:6" x14ac:dyDescent="0.3">
      <c r="A7768" t="s">
        <v>5</v>
      </c>
      <c r="B7768" s="1">
        <v>45981</v>
      </c>
      <c r="C7768">
        <v>15</v>
      </c>
      <c r="D7768">
        <v>0.54500000000000004</v>
      </c>
      <c r="E7768" t="s">
        <v>6</v>
      </c>
      <c r="F7768">
        <v>9.221E-2</v>
      </c>
    </row>
    <row r="7769" spans="1:6" x14ac:dyDescent="0.3">
      <c r="A7769" t="s">
        <v>5</v>
      </c>
      <c r="B7769" s="1">
        <v>45981</v>
      </c>
      <c r="C7769">
        <v>16</v>
      </c>
      <c r="D7769">
        <v>0.68600000000000005</v>
      </c>
      <c r="E7769" t="s">
        <v>6</v>
      </c>
      <c r="F7769">
        <v>0.10387</v>
      </c>
    </row>
    <row r="7770" spans="1:6" x14ac:dyDescent="0.3">
      <c r="A7770" t="s">
        <v>5</v>
      </c>
      <c r="B7770" s="1">
        <v>45981</v>
      </c>
      <c r="C7770">
        <v>17</v>
      </c>
      <c r="D7770">
        <v>0.91300000000000003</v>
      </c>
      <c r="E7770" t="s">
        <v>6</v>
      </c>
      <c r="F7770">
        <v>0.13772000000000001</v>
      </c>
    </row>
    <row r="7771" spans="1:6" x14ac:dyDescent="0.3">
      <c r="A7771" t="s">
        <v>5</v>
      </c>
      <c r="B7771" s="1">
        <v>45981</v>
      </c>
      <c r="C7771">
        <v>18</v>
      </c>
      <c r="D7771">
        <v>0.17899999999999999</v>
      </c>
      <c r="E7771" t="s">
        <v>6</v>
      </c>
      <c r="F7771">
        <v>0.16463</v>
      </c>
    </row>
    <row r="7772" spans="1:6" x14ac:dyDescent="0.3">
      <c r="A7772" t="s">
        <v>5</v>
      </c>
      <c r="B7772" s="1">
        <v>45981</v>
      </c>
      <c r="C7772">
        <v>19</v>
      </c>
      <c r="D7772">
        <v>0.16900000000000001</v>
      </c>
      <c r="E7772" t="s">
        <v>6</v>
      </c>
      <c r="F7772">
        <v>0.24794999999999998</v>
      </c>
    </row>
    <row r="7773" spans="1:6" x14ac:dyDescent="0.3">
      <c r="A7773" t="s">
        <v>5</v>
      </c>
      <c r="B7773" s="1">
        <v>45981</v>
      </c>
      <c r="C7773">
        <v>20</v>
      </c>
      <c r="D7773">
        <v>0.182</v>
      </c>
      <c r="E7773" t="s">
        <v>6</v>
      </c>
      <c r="F7773">
        <v>0.25681999999999999</v>
      </c>
    </row>
    <row r="7774" spans="1:6" x14ac:dyDescent="0.3">
      <c r="A7774" t="s">
        <v>5</v>
      </c>
      <c r="B7774" s="1">
        <v>45981</v>
      </c>
      <c r="C7774">
        <v>21</v>
      </c>
      <c r="D7774">
        <v>0.104</v>
      </c>
      <c r="E7774" t="s">
        <v>6</v>
      </c>
      <c r="F7774">
        <v>0.25683</v>
      </c>
    </row>
    <row r="7775" spans="1:6" x14ac:dyDescent="0.3">
      <c r="A7775" t="s">
        <v>5</v>
      </c>
      <c r="B7775" s="1">
        <v>45981</v>
      </c>
      <c r="C7775">
        <v>22</v>
      </c>
      <c r="D7775">
        <v>0.39400000000000002</v>
      </c>
      <c r="E7775" t="s">
        <v>6</v>
      </c>
      <c r="F7775">
        <v>0.23537</v>
      </c>
    </row>
    <row r="7776" spans="1:6" x14ac:dyDescent="0.3">
      <c r="A7776" t="s">
        <v>5</v>
      </c>
      <c r="B7776" s="1">
        <v>45981</v>
      </c>
      <c r="C7776">
        <v>23</v>
      </c>
      <c r="D7776">
        <v>0.26400000000000001</v>
      </c>
      <c r="E7776" t="s">
        <v>6</v>
      </c>
      <c r="F7776">
        <v>0.16669999999999999</v>
      </c>
    </row>
    <row r="7777" spans="1:6" x14ac:dyDescent="0.3">
      <c r="A7777" t="s">
        <v>5</v>
      </c>
      <c r="B7777" s="1">
        <v>45981</v>
      </c>
      <c r="C7777">
        <v>24</v>
      </c>
      <c r="D7777">
        <v>0.16600000000000001</v>
      </c>
      <c r="E7777" t="s">
        <v>6</v>
      </c>
      <c r="F7777">
        <v>0.14978</v>
      </c>
    </row>
    <row r="7778" spans="1:6" x14ac:dyDescent="0.3">
      <c r="A7778" t="s">
        <v>5</v>
      </c>
      <c r="B7778" s="1">
        <v>45982</v>
      </c>
      <c r="C7778">
        <v>1</v>
      </c>
      <c r="D7778">
        <v>0.192</v>
      </c>
      <c r="E7778" t="s">
        <v>6</v>
      </c>
      <c r="F7778">
        <v>0.1215</v>
      </c>
    </row>
    <row r="7779" spans="1:6" x14ac:dyDescent="0.3">
      <c r="A7779" t="s">
        <v>5</v>
      </c>
      <c r="B7779" s="1">
        <v>45982</v>
      </c>
      <c r="C7779">
        <v>2</v>
      </c>
      <c r="D7779">
        <v>9.4E-2</v>
      </c>
      <c r="E7779" t="s">
        <v>6</v>
      </c>
      <c r="F7779">
        <v>0.11327</v>
      </c>
    </row>
    <row r="7780" spans="1:6" x14ac:dyDescent="0.3">
      <c r="A7780" t="s">
        <v>5</v>
      </c>
      <c r="B7780" s="1">
        <v>45982</v>
      </c>
      <c r="C7780">
        <v>3</v>
      </c>
      <c r="D7780">
        <v>0.105</v>
      </c>
      <c r="E7780" t="s">
        <v>6</v>
      </c>
      <c r="F7780">
        <v>0.11237</v>
      </c>
    </row>
    <row r="7781" spans="1:6" x14ac:dyDescent="0.3">
      <c r="A7781" t="s">
        <v>5</v>
      </c>
      <c r="B7781" s="1">
        <v>45982</v>
      </c>
      <c r="C7781">
        <v>4</v>
      </c>
      <c r="D7781">
        <v>0.13400000000000001</v>
      </c>
      <c r="E7781" t="s">
        <v>6</v>
      </c>
      <c r="F7781">
        <v>0.10582</v>
      </c>
    </row>
    <row r="7782" spans="1:6" x14ac:dyDescent="0.3">
      <c r="A7782" t="s">
        <v>5</v>
      </c>
      <c r="B7782" s="1">
        <v>45982</v>
      </c>
      <c r="C7782">
        <v>5</v>
      </c>
      <c r="D7782">
        <v>5.5E-2</v>
      </c>
      <c r="E7782" t="s">
        <v>6</v>
      </c>
      <c r="F7782">
        <v>0.10543000000000001</v>
      </c>
    </row>
    <row r="7783" spans="1:6" x14ac:dyDescent="0.3">
      <c r="A7783" t="s">
        <v>5</v>
      </c>
      <c r="B7783" s="1">
        <v>45982</v>
      </c>
      <c r="C7783">
        <v>6</v>
      </c>
      <c r="D7783">
        <v>7.5999999999999998E-2</v>
      </c>
      <c r="E7783" t="s">
        <v>6</v>
      </c>
      <c r="F7783">
        <v>9.8849999999999993E-2</v>
      </c>
    </row>
    <row r="7784" spans="1:6" x14ac:dyDescent="0.3">
      <c r="A7784" t="s">
        <v>5</v>
      </c>
      <c r="B7784" s="1">
        <v>45982</v>
      </c>
      <c r="C7784">
        <v>7</v>
      </c>
      <c r="D7784">
        <v>0.114</v>
      </c>
      <c r="E7784" t="s">
        <v>6</v>
      </c>
      <c r="F7784">
        <v>0.10647</v>
      </c>
    </row>
    <row r="7785" spans="1:6" x14ac:dyDescent="0.3">
      <c r="A7785" t="s">
        <v>5</v>
      </c>
      <c r="B7785" s="1">
        <v>45982</v>
      </c>
      <c r="C7785">
        <v>8</v>
      </c>
      <c r="D7785">
        <v>0.122</v>
      </c>
      <c r="E7785" t="s">
        <v>6</v>
      </c>
      <c r="F7785">
        <v>0.12490000000000001</v>
      </c>
    </row>
    <row r="7786" spans="1:6" x14ac:dyDescent="0.3">
      <c r="A7786" t="s">
        <v>5</v>
      </c>
      <c r="B7786" s="1">
        <v>45982</v>
      </c>
      <c r="C7786">
        <v>9</v>
      </c>
      <c r="D7786">
        <v>0.152</v>
      </c>
      <c r="E7786" t="s">
        <v>6</v>
      </c>
      <c r="F7786">
        <v>0.15287999999999999</v>
      </c>
    </row>
    <row r="7787" spans="1:6" x14ac:dyDescent="0.3">
      <c r="A7787" t="s">
        <v>5</v>
      </c>
      <c r="B7787" s="1">
        <v>45982</v>
      </c>
      <c r="C7787">
        <v>10</v>
      </c>
      <c r="D7787">
        <v>0.123</v>
      </c>
      <c r="E7787" t="s">
        <v>6</v>
      </c>
      <c r="F7787">
        <v>9.5680000000000001E-2</v>
      </c>
    </row>
    <row r="7788" spans="1:6" x14ac:dyDescent="0.3">
      <c r="A7788" t="s">
        <v>5</v>
      </c>
      <c r="B7788" s="1">
        <v>45982</v>
      </c>
      <c r="C7788">
        <v>11</v>
      </c>
      <c r="D7788">
        <v>0.114</v>
      </c>
      <c r="E7788" t="s">
        <v>6</v>
      </c>
      <c r="F7788">
        <v>0.13381000000000001</v>
      </c>
    </row>
    <row r="7789" spans="1:6" x14ac:dyDescent="0.3">
      <c r="A7789" t="s">
        <v>5</v>
      </c>
      <c r="B7789" s="1">
        <v>45982</v>
      </c>
      <c r="C7789">
        <v>12</v>
      </c>
      <c r="D7789">
        <v>0.20899999999999999</v>
      </c>
      <c r="E7789" t="s">
        <v>6</v>
      </c>
      <c r="F7789">
        <v>0.13419999999999999</v>
      </c>
    </row>
    <row r="7790" spans="1:6" x14ac:dyDescent="0.3">
      <c r="A7790" t="s">
        <v>5</v>
      </c>
      <c r="B7790" s="1">
        <v>45982</v>
      </c>
      <c r="C7790">
        <v>13</v>
      </c>
      <c r="D7790">
        <v>0.27500000000000002</v>
      </c>
      <c r="E7790" t="s">
        <v>6</v>
      </c>
      <c r="F7790">
        <v>0.13406999999999999</v>
      </c>
    </row>
    <row r="7791" spans="1:6" x14ac:dyDescent="0.3">
      <c r="A7791" t="s">
        <v>5</v>
      </c>
      <c r="B7791" s="1">
        <v>45982</v>
      </c>
      <c r="C7791">
        <v>14</v>
      </c>
      <c r="D7791">
        <v>0.28799999999999998</v>
      </c>
      <c r="E7791" t="s">
        <v>6</v>
      </c>
      <c r="F7791">
        <v>0.13202</v>
      </c>
    </row>
    <row r="7792" spans="1:6" x14ac:dyDescent="0.3">
      <c r="A7792" t="s">
        <v>5</v>
      </c>
      <c r="B7792" s="1">
        <v>45982</v>
      </c>
      <c r="C7792">
        <v>15</v>
      </c>
      <c r="D7792">
        <v>0.27200000000000002</v>
      </c>
      <c r="E7792" t="s">
        <v>6</v>
      </c>
      <c r="F7792">
        <v>6.812E-2</v>
      </c>
    </row>
    <row r="7793" spans="1:6" x14ac:dyDescent="0.3">
      <c r="A7793" t="s">
        <v>5</v>
      </c>
      <c r="B7793" s="1">
        <v>45982</v>
      </c>
      <c r="C7793">
        <v>16</v>
      </c>
      <c r="D7793">
        <v>0.192</v>
      </c>
      <c r="E7793" t="s">
        <v>6</v>
      </c>
      <c r="F7793">
        <v>8.0780000000000005E-2</v>
      </c>
    </row>
    <row r="7794" spans="1:6" x14ac:dyDescent="0.3">
      <c r="A7794" t="s">
        <v>5</v>
      </c>
      <c r="B7794" s="1">
        <v>45982</v>
      </c>
      <c r="C7794">
        <v>17</v>
      </c>
      <c r="D7794">
        <v>0.129</v>
      </c>
      <c r="E7794" t="s">
        <v>6</v>
      </c>
      <c r="F7794">
        <v>0.10879999999999999</v>
      </c>
    </row>
    <row r="7795" spans="1:6" x14ac:dyDescent="0.3">
      <c r="A7795" t="s">
        <v>5</v>
      </c>
      <c r="B7795" s="1">
        <v>45982</v>
      </c>
      <c r="C7795">
        <v>18</v>
      </c>
      <c r="D7795">
        <v>0.13100000000000001</v>
      </c>
      <c r="E7795" t="s">
        <v>6</v>
      </c>
      <c r="F7795">
        <v>0.16156000000000001</v>
      </c>
    </row>
    <row r="7796" spans="1:6" x14ac:dyDescent="0.3">
      <c r="A7796" t="s">
        <v>5</v>
      </c>
      <c r="B7796" s="1">
        <v>45982</v>
      </c>
      <c r="C7796">
        <v>19</v>
      </c>
      <c r="D7796">
        <v>0.11600000000000001</v>
      </c>
      <c r="E7796" t="s">
        <v>6</v>
      </c>
      <c r="F7796">
        <v>0.25914999999999999</v>
      </c>
    </row>
    <row r="7797" spans="1:6" x14ac:dyDescent="0.3">
      <c r="A7797" t="s">
        <v>5</v>
      </c>
      <c r="B7797" s="1">
        <v>45982</v>
      </c>
      <c r="C7797">
        <v>20</v>
      </c>
      <c r="D7797">
        <v>0.128</v>
      </c>
      <c r="E7797" t="s">
        <v>6</v>
      </c>
      <c r="F7797">
        <v>0.29463</v>
      </c>
    </row>
    <row r="7798" spans="1:6" x14ac:dyDescent="0.3">
      <c r="A7798" t="s">
        <v>5</v>
      </c>
      <c r="B7798" s="1">
        <v>45982</v>
      </c>
      <c r="C7798">
        <v>21</v>
      </c>
      <c r="D7798">
        <v>0.123</v>
      </c>
      <c r="E7798" t="s">
        <v>6</v>
      </c>
      <c r="F7798">
        <v>0.28523999999999999</v>
      </c>
    </row>
    <row r="7799" spans="1:6" x14ac:dyDescent="0.3">
      <c r="A7799" t="s">
        <v>5</v>
      </c>
      <c r="B7799" s="1">
        <v>45982</v>
      </c>
      <c r="C7799">
        <v>22</v>
      </c>
      <c r="D7799">
        <v>0.111</v>
      </c>
      <c r="E7799" t="s">
        <v>6</v>
      </c>
      <c r="F7799">
        <v>0.2525</v>
      </c>
    </row>
    <row r="7800" spans="1:6" x14ac:dyDescent="0.3">
      <c r="A7800" t="s">
        <v>5</v>
      </c>
      <c r="B7800" s="1">
        <v>45982</v>
      </c>
      <c r="C7800">
        <v>23</v>
      </c>
      <c r="D7800">
        <v>0.127</v>
      </c>
      <c r="E7800" t="s">
        <v>6</v>
      </c>
      <c r="F7800">
        <v>0.17754</v>
      </c>
    </row>
    <row r="7801" spans="1:6" x14ac:dyDescent="0.3">
      <c r="A7801" t="s">
        <v>5</v>
      </c>
      <c r="B7801" s="1">
        <v>45982</v>
      </c>
      <c r="C7801">
        <v>24</v>
      </c>
      <c r="D7801">
        <v>0.124</v>
      </c>
      <c r="E7801" t="s">
        <v>6</v>
      </c>
      <c r="F7801">
        <v>0.17224999999999999</v>
      </c>
    </row>
    <row r="7802" spans="1:6" x14ac:dyDescent="0.3">
      <c r="A7802" t="s">
        <v>5</v>
      </c>
      <c r="B7802" s="1">
        <v>45983</v>
      </c>
      <c r="C7802">
        <v>1</v>
      </c>
      <c r="D7802">
        <v>0.12</v>
      </c>
      <c r="E7802" t="s">
        <v>6</v>
      </c>
      <c r="F7802">
        <v>0.14027999999999999</v>
      </c>
    </row>
    <row r="7803" spans="1:6" x14ac:dyDescent="0.3">
      <c r="A7803" t="s">
        <v>5</v>
      </c>
      <c r="B7803" s="1">
        <v>45983</v>
      </c>
      <c r="C7803">
        <v>2</v>
      </c>
      <c r="D7803">
        <v>0.128</v>
      </c>
      <c r="E7803" t="s">
        <v>6</v>
      </c>
      <c r="F7803">
        <v>0.13113</v>
      </c>
    </row>
    <row r="7804" spans="1:6" x14ac:dyDescent="0.3">
      <c r="A7804" t="s">
        <v>5</v>
      </c>
      <c r="B7804" s="1">
        <v>45983</v>
      </c>
      <c r="C7804">
        <v>3</v>
      </c>
      <c r="D7804">
        <v>0.111</v>
      </c>
      <c r="E7804" t="s">
        <v>6</v>
      </c>
      <c r="F7804">
        <v>0.12834000000000001</v>
      </c>
    </row>
    <row r="7805" spans="1:6" x14ac:dyDescent="0.3">
      <c r="A7805" t="s">
        <v>5</v>
      </c>
      <c r="B7805" s="1">
        <v>45983</v>
      </c>
      <c r="C7805">
        <v>4</v>
      </c>
      <c r="D7805">
        <v>0.123</v>
      </c>
      <c r="E7805" t="s">
        <v>6</v>
      </c>
      <c r="F7805">
        <v>0.12007999999999999</v>
      </c>
    </row>
    <row r="7806" spans="1:6" x14ac:dyDescent="0.3">
      <c r="A7806" t="s">
        <v>5</v>
      </c>
      <c r="B7806" s="1">
        <v>45983</v>
      </c>
      <c r="C7806">
        <v>5</v>
      </c>
      <c r="D7806">
        <v>0.127</v>
      </c>
      <c r="E7806" t="s">
        <v>6</v>
      </c>
      <c r="F7806">
        <v>0.11706999999999999</v>
      </c>
    </row>
    <row r="7807" spans="1:6" x14ac:dyDescent="0.3">
      <c r="A7807" t="s">
        <v>5</v>
      </c>
      <c r="B7807" s="1">
        <v>45983</v>
      </c>
      <c r="C7807">
        <v>6</v>
      </c>
      <c r="D7807">
        <v>0.115</v>
      </c>
      <c r="E7807" t="s">
        <v>6</v>
      </c>
      <c r="F7807">
        <v>0.11713999999999999</v>
      </c>
    </row>
    <row r="7808" spans="1:6" x14ac:dyDescent="0.3">
      <c r="A7808" t="s">
        <v>5</v>
      </c>
      <c r="B7808" s="1">
        <v>45983</v>
      </c>
      <c r="C7808">
        <v>7</v>
      </c>
      <c r="D7808">
        <v>0.128</v>
      </c>
      <c r="E7808" t="s">
        <v>6</v>
      </c>
      <c r="F7808">
        <v>0.12309</v>
      </c>
    </row>
    <row r="7809" spans="1:6" x14ac:dyDescent="0.3">
      <c r="A7809" t="s">
        <v>5</v>
      </c>
      <c r="B7809" s="1">
        <v>45983</v>
      </c>
      <c r="C7809">
        <v>8</v>
      </c>
      <c r="D7809">
        <v>0.11600000000000001</v>
      </c>
      <c r="E7809" t="s">
        <v>6</v>
      </c>
      <c r="F7809">
        <v>0.13091999999999998</v>
      </c>
    </row>
    <row r="7810" spans="1:6" x14ac:dyDescent="0.3">
      <c r="A7810" t="s">
        <v>5</v>
      </c>
      <c r="B7810" s="1">
        <v>45983</v>
      </c>
      <c r="C7810">
        <v>9</v>
      </c>
      <c r="D7810">
        <v>0.114</v>
      </c>
      <c r="E7810" t="s">
        <v>6</v>
      </c>
      <c r="F7810">
        <v>0.12798000000000001</v>
      </c>
    </row>
    <row r="7811" spans="1:6" x14ac:dyDescent="0.3">
      <c r="A7811" t="s">
        <v>5</v>
      </c>
      <c r="B7811" s="1">
        <v>45983</v>
      </c>
      <c r="C7811">
        <v>10</v>
      </c>
      <c r="D7811">
        <v>0.125</v>
      </c>
      <c r="E7811" t="s">
        <v>6</v>
      </c>
      <c r="F7811">
        <v>8.1769999999999995E-2</v>
      </c>
    </row>
    <row r="7812" spans="1:6" x14ac:dyDescent="0.3">
      <c r="A7812" t="s">
        <v>5</v>
      </c>
      <c r="B7812" s="1">
        <v>45983</v>
      </c>
      <c r="C7812">
        <v>11</v>
      </c>
      <c r="D7812">
        <v>0.115</v>
      </c>
      <c r="E7812" t="s">
        <v>6</v>
      </c>
      <c r="F7812">
        <v>4.6920000000000003E-2</v>
      </c>
    </row>
    <row r="7813" spans="1:6" x14ac:dyDescent="0.3">
      <c r="A7813" t="s">
        <v>5</v>
      </c>
      <c r="B7813" s="1">
        <v>45983</v>
      </c>
      <c r="C7813">
        <v>12</v>
      </c>
      <c r="D7813">
        <v>0.127</v>
      </c>
      <c r="E7813" t="s">
        <v>6</v>
      </c>
      <c r="F7813">
        <v>4.5929999999999999E-2</v>
      </c>
    </row>
    <row r="7814" spans="1:6" x14ac:dyDescent="0.3">
      <c r="A7814" t="s">
        <v>5</v>
      </c>
      <c r="B7814" s="1">
        <v>45983</v>
      </c>
      <c r="C7814">
        <v>13</v>
      </c>
      <c r="D7814">
        <v>0.121</v>
      </c>
      <c r="E7814" t="s">
        <v>6</v>
      </c>
      <c r="F7814">
        <v>4.6340000000000006E-2</v>
      </c>
    </row>
    <row r="7815" spans="1:6" x14ac:dyDescent="0.3">
      <c r="A7815" t="s">
        <v>5</v>
      </c>
      <c r="B7815" s="1">
        <v>45983</v>
      </c>
      <c r="C7815">
        <v>14</v>
      </c>
      <c r="D7815">
        <v>0.113</v>
      </c>
      <c r="E7815" t="s">
        <v>6</v>
      </c>
      <c r="F7815">
        <v>4.6789999999999998E-2</v>
      </c>
    </row>
    <row r="7816" spans="1:6" x14ac:dyDescent="0.3">
      <c r="A7816" t="s">
        <v>5</v>
      </c>
      <c r="B7816" s="1">
        <v>45983</v>
      </c>
      <c r="C7816">
        <v>15</v>
      </c>
      <c r="D7816">
        <v>0.126</v>
      </c>
      <c r="E7816" t="s">
        <v>6</v>
      </c>
      <c r="F7816">
        <v>4.5560000000000003E-2</v>
      </c>
    </row>
    <row r="7817" spans="1:6" x14ac:dyDescent="0.3">
      <c r="A7817" t="s">
        <v>5</v>
      </c>
      <c r="B7817" s="1">
        <v>45983</v>
      </c>
      <c r="C7817">
        <v>16</v>
      </c>
      <c r="D7817">
        <v>0.11899999999999999</v>
      </c>
      <c r="E7817" t="s">
        <v>6</v>
      </c>
      <c r="F7817">
        <v>4.8809999999999999E-2</v>
      </c>
    </row>
    <row r="7818" spans="1:6" x14ac:dyDescent="0.3">
      <c r="A7818" t="s">
        <v>5</v>
      </c>
      <c r="B7818" s="1">
        <v>45983</v>
      </c>
      <c r="C7818">
        <v>17</v>
      </c>
      <c r="D7818">
        <v>0.125</v>
      </c>
      <c r="E7818" t="s">
        <v>6</v>
      </c>
      <c r="F7818">
        <v>9.1329999999999995E-2</v>
      </c>
    </row>
    <row r="7819" spans="1:6" x14ac:dyDescent="0.3">
      <c r="A7819" t="s">
        <v>5</v>
      </c>
      <c r="B7819" s="1">
        <v>45983</v>
      </c>
      <c r="C7819">
        <v>18</v>
      </c>
      <c r="D7819">
        <v>0.123</v>
      </c>
      <c r="E7819" t="s">
        <v>6</v>
      </c>
      <c r="F7819">
        <v>0.13982</v>
      </c>
    </row>
    <row r="7820" spans="1:6" x14ac:dyDescent="0.3">
      <c r="A7820" t="s">
        <v>5</v>
      </c>
      <c r="B7820" s="1">
        <v>45983</v>
      </c>
      <c r="C7820">
        <v>19</v>
      </c>
      <c r="D7820">
        <v>0.109</v>
      </c>
      <c r="E7820" t="s">
        <v>6</v>
      </c>
      <c r="F7820">
        <v>0.15349000000000002</v>
      </c>
    </row>
    <row r="7821" spans="1:6" x14ac:dyDescent="0.3">
      <c r="A7821" t="s">
        <v>5</v>
      </c>
      <c r="B7821" s="1">
        <v>45983</v>
      </c>
      <c r="C7821">
        <v>20</v>
      </c>
      <c r="D7821">
        <v>0.127</v>
      </c>
      <c r="E7821" t="s">
        <v>6</v>
      </c>
      <c r="F7821">
        <v>0.15977000000000002</v>
      </c>
    </row>
    <row r="7822" spans="1:6" x14ac:dyDescent="0.3">
      <c r="A7822" t="s">
        <v>5</v>
      </c>
      <c r="B7822" s="1">
        <v>45983</v>
      </c>
      <c r="C7822">
        <v>21</v>
      </c>
      <c r="D7822">
        <v>0.122</v>
      </c>
      <c r="E7822" t="s">
        <v>6</v>
      </c>
      <c r="F7822">
        <v>0.14541999999999999</v>
      </c>
    </row>
    <row r="7823" spans="1:6" x14ac:dyDescent="0.3">
      <c r="A7823" t="s">
        <v>5</v>
      </c>
      <c r="B7823" s="1">
        <v>45983</v>
      </c>
      <c r="C7823">
        <v>22</v>
      </c>
      <c r="D7823">
        <v>0.121</v>
      </c>
      <c r="E7823" t="s">
        <v>6</v>
      </c>
      <c r="F7823">
        <v>0.14263000000000001</v>
      </c>
    </row>
    <row r="7824" spans="1:6" x14ac:dyDescent="0.3">
      <c r="A7824" t="s">
        <v>5</v>
      </c>
      <c r="B7824" s="1">
        <v>45983</v>
      </c>
      <c r="C7824">
        <v>23</v>
      </c>
      <c r="D7824">
        <v>0.127</v>
      </c>
      <c r="E7824" t="s">
        <v>6</v>
      </c>
      <c r="F7824">
        <v>0.13833000000000001</v>
      </c>
    </row>
    <row r="7825" spans="1:6" x14ac:dyDescent="0.3">
      <c r="A7825" t="s">
        <v>5</v>
      </c>
      <c r="B7825" s="1">
        <v>45983</v>
      </c>
      <c r="C7825">
        <v>24</v>
      </c>
      <c r="D7825">
        <v>0.107</v>
      </c>
      <c r="E7825" t="s">
        <v>6</v>
      </c>
      <c r="F7825">
        <v>0.13138999999999998</v>
      </c>
    </row>
    <row r="7826" spans="1:6" x14ac:dyDescent="0.3">
      <c r="A7826" t="s">
        <v>5</v>
      </c>
      <c r="B7826" s="1">
        <v>45984</v>
      </c>
      <c r="C7826">
        <v>1</v>
      </c>
      <c r="D7826">
        <v>0.129</v>
      </c>
      <c r="E7826" t="s">
        <v>6</v>
      </c>
      <c r="F7826">
        <v>0.13052</v>
      </c>
    </row>
    <row r="7827" spans="1:6" x14ac:dyDescent="0.3">
      <c r="A7827" t="s">
        <v>5</v>
      </c>
      <c r="B7827" s="1">
        <v>45984</v>
      </c>
      <c r="C7827">
        <v>2</v>
      </c>
      <c r="D7827">
        <v>0.125</v>
      </c>
      <c r="E7827" t="s">
        <v>6</v>
      </c>
      <c r="F7827">
        <v>0.11946999999999999</v>
      </c>
    </row>
    <row r="7828" spans="1:6" x14ac:dyDescent="0.3">
      <c r="A7828" t="s">
        <v>5</v>
      </c>
      <c r="B7828" s="1">
        <v>45984</v>
      </c>
      <c r="C7828">
        <v>3</v>
      </c>
      <c r="D7828">
        <v>0.121</v>
      </c>
      <c r="E7828" t="s">
        <v>6</v>
      </c>
      <c r="F7828">
        <v>9.98E-2</v>
      </c>
    </row>
    <row r="7829" spans="1:6" x14ac:dyDescent="0.3">
      <c r="A7829" t="s">
        <v>5</v>
      </c>
      <c r="B7829" s="1">
        <v>45984</v>
      </c>
      <c r="C7829">
        <v>4</v>
      </c>
      <c r="D7829">
        <v>0.13</v>
      </c>
      <c r="E7829" t="s">
        <v>6</v>
      </c>
      <c r="F7829">
        <v>9.8060000000000008E-2</v>
      </c>
    </row>
    <row r="7830" spans="1:6" x14ac:dyDescent="0.3">
      <c r="A7830" t="s">
        <v>5</v>
      </c>
      <c r="B7830" s="1">
        <v>45984</v>
      </c>
      <c r="C7830">
        <v>5</v>
      </c>
      <c r="D7830">
        <v>0.106</v>
      </c>
      <c r="E7830" t="s">
        <v>6</v>
      </c>
      <c r="F7830">
        <v>9.2959999999999987E-2</v>
      </c>
    </row>
    <row r="7831" spans="1:6" x14ac:dyDescent="0.3">
      <c r="A7831" t="s">
        <v>5</v>
      </c>
      <c r="B7831" s="1">
        <v>45984</v>
      </c>
      <c r="C7831">
        <v>6</v>
      </c>
      <c r="D7831">
        <v>0.13</v>
      </c>
      <c r="E7831" t="s">
        <v>6</v>
      </c>
      <c r="F7831">
        <v>0.10074</v>
      </c>
    </row>
    <row r="7832" spans="1:6" x14ac:dyDescent="0.3">
      <c r="A7832" t="s">
        <v>5</v>
      </c>
      <c r="B7832" s="1">
        <v>45984</v>
      </c>
      <c r="C7832">
        <v>7</v>
      </c>
      <c r="D7832">
        <v>0.126</v>
      </c>
      <c r="E7832" t="s">
        <v>6</v>
      </c>
      <c r="F7832">
        <v>0.10496999999999999</v>
      </c>
    </row>
    <row r="7833" spans="1:6" x14ac:dyDescent="0.3">
      <c r="A7833" t="s">
        <v>5</v>
      </c>
      <c r="B7833" s="1">
        <v>45984</v>
      </c>
      <c r="C7833">
        <v>8</v>
      </c>
      <c r="D7833">
        <v>0.11899999999999999</v>
      </c>
      <c r="E7833" t="s">
        <v>6</v>
      </c>
      <c r="F7833">
        <v>0.12162000000000001</v>
      </c>
    </row>
    <row r="7834" spans="1:6" x14ac:dyDescent="0.3">
      <c r="A7834" t="s">
        <v>5</v>
      </c>
      <c r="B7834" s="1">
        <v>45984</v>
      </c>
      <c r="C7834">
        <v>9</v>
      </c>
      <c r="D7834">
        <v>0.128</v>
      </c>
      <c r="E7834" t="s">
        <v>6</v>
      </c>
      <c r="F7834">
        <v>0.1182</v>
      </c>
    </row>
    <row r="7835" spans="1:6" x14ac:dyDescent="0.3">
      <c r="A7835" t="s">
        <v>5</v>
      </c>
      <c r="B7835" s="1">
        <v>45984</v>
      </c>
      <c r="C7835">
        <v>10</v>
      </c>
      <c r="D7835">
        <v>0.104</v>
      </c>
      <c r="E7835" t="s">
        <v>6</v>
      </c>
      <c r="F7835">
        <v>7.3790000000000008E-2</v>
      </c>
    </row>
    <row r="7836" spans="1:6" x14ac:dyDescent="0.3">
      <c r="A7836" t="s">
        <v>5</v>
      </c>
      <c r="B7836" s="1">
        <v>45984</v>
      </c>
      <c r="C7836">
        <v>11</v>
      </c>
      <c r="D7836">
        <v>0.127</v>
      </c>
      <c r="E7836" t="s">
        <v>6</v>
      </c>
      <c r="F7836">
        <v>6.1130000000000004E-2</v>
      </c>
    </row>
    <row r="7837" spans="1:6" x14ac:dyDescent="0.3">
      <c r="A7837" t="s">
        <v>5</v>
      </c>
      <c r="B7837" s="1">
        <v>45984</v>
      </c>
      <c r="C7837">
        <v>12</v>
      </c>
      <c r="D7837">
        <v>0.121</v>
      </c>
      <c r="E7837" t="s">
        <v>6</v>
      </c>
      <c r="F7837">
        <v>5.9179999999999996E-2</v>
      </c>
    </row>
    <row r="7838" spans="1:6" x14ac:dyDescent="0.3">
      <c r="A7838" t="s">
        <v>5</v>
      </c>
      <c r="B7838" s="1">
        <v>45984</v>
      </c>
      <c r="C7838">
        <v>13</v>
      </c>
      <c r="D7838">
        <v>0.12</v>
      </c>
      <c r="E7838" t="s">
        <v>6</v>
      </c>
      <c r="F7838">
        <v>5.9290000000000002E-2</v>
      </c>
    </row>
    <row r="7839" spans="1:6" x14ac:dyDescent="0.3">
      <c r="A7839" t="s">
        <v>5</v>
      </c>
      <c r="B7839" s="1">
        <v>45984</v>
      </c>
      <c r="C7839">
        <v>14</v>
      </c>
      <c r="D7839">
        <v>0.126</v>
      </c>
      <c r="E7839" t="s">
        <v>6</v>
      </c>
      <c r="F7839">
        <v>5.8439999999999999E-2</v>
      </c>
    </row>
    <row r="7840" spans="1:6" x14ac:dyDescent="0.3">
      <c r="A7840" t="s">
        <v>5</v>
      </c>
      <c r="B7840" s="1">
        <v>45984</v>
      </c>
      <c r="C7840">
        <v>15</v>
      </c>
      <c r="D7840">
        <v>0.106</v>
      </c>
      <c r="E7840" t="s">
        <v>6</v>
      </c>
      <c r="F7840">
        <v>5.8029999999999998E-2</v>
      </c>
    </row>
    <row r="7841" spans="1:6" x14ac:dyDescent="0.3">
      <c r="A7841" t="s">
        <v>5</v>
      </c>
      <c r="B7841" s="1">
        <v>45984</v>
      </c>
      <c r="C7841">
        <v>16</v>
      </c>
      <c r="D7841">
        <v>0.17199999999999999</v>
      </c>
      <c r="E7841" t="s">
        <v>6</v>
      </c>
      <c r="F7841">
        <v>5.953E-2</v>
      </c>
    </row>
    <row r="7842" spans="1:6" x14ac:dyDescent="0.3">
      <c r="A7842" t="s">
        <v>5</v>
      </c>
      <c r="B7842" s="1">
        <v>45984</v>
      </c>
      <c r="C7842">
        <v>17</v>
      </c>
      <c r="D7842">
        <v>0.183</v>
      </c>
      <c r="E7842" t="s">
        <v>6</v>
      </c>
      <c r="F7842">
        <v>7.4079999999999993E-2</v>
      </c>
    </row>
    <row r="7843" spans="1:6" x14ac:dyDescent="0.3">
      <c r="A7843" t="s">
        <v>5</v>
      </c>
      <c r="B7843" s="1">
        <v>45984</v>
      </c>
      <c r="C7843">
        <v>18</v>
      </c>
      <c r="D7843">
        <v>0.21299999999999999</v>
      </c>
      <c r="E7843" t="s">
        <v>6</v>
      </c>
      <c r="F7843">
        <v>0.1166</v>
      </c>
    </row>
    <row r="7844" spans="1:6" x14ac:dyDescent="0.3">
      <c r="A7844" t="s">
        <v>5</v>
      </c>
      <c r="B7844" s="1">
        <v>45984</v>
      </c>
      <c r="C7844">
        <v>19</v>
      </c>
      <c r="D7844">
        <v>0.157</v>
      </c>
      <c r="E7844" t="s">
        <v>6</v>
      </c>
      <c r="F7844">
        <v>0.12387000000000001</v>
      </c>
    </row>
    <row r="7845" spans="1:6" x14ac:dyDescent="0.3">
      <c r="A7845" t="s">
        <v>5</v>
      </c>
      <c r="B7845" s="1">
        <v>45984</v>
      </c>
      <c r="C7845">
        <v>20</v>
      </c>
      <c r="D7845">
        <v>0.13300000000000001</v>
      </c>
      <c r="E7845" t="s">
        <v>6</v>
      </c>
      <c r="F7845">
        <v>0.13097</v>
      </c>
    </row>
    <row r="7846" spans="1:6" x14ac:dyDescent="0.3">
      <c r="A7846" t="s">
        <v>5</v>
      </c>
      <c r="B7846" s="1">
        <v>45984</v>
      </c>
      <c r="C7846">
        <v>21</v>
      </c>
      <c r="D7846">
        <v>0.16200000000000001</v>
      </c>
      <c r="E7846" t="s">
        <v>6</v>
      </c>
      <c r="F7846">
        <v>0.13634000000000002</v>
      </c>
    </row>
    <row r="7847" spans="1:6" x14ac:dyDescent="0.3">
      <c r="A7847" t="s">
        <v>5</v>
      </c>
      <c r="B7847" s="1">
        <v>45984</v>
      </c>
      <c r="C7847">
        <v>22</v>
      </c>
      <c r="D7847">
        <v>0.10299999999999999</v>
      </c>
      <c r="E7847" t="s">
        <v>6</v>
      </c>
      <c r="F7847">
        <v>0.12478</v>
      </c>
    </row>
    <row r="7848" spans="1:6" x14ac:dyDescent="0.3">
      <c r="A7848" t="s">
        <v>5</v>
      </c>
      <c r="B7848" s="1">
        <v>45984</v>
      </c>
      <c r="C7848">
        <v>23</v>
      </c>
      <c r="D7848">
        <v>0.17199999999999999</v>
      </c>
      <c r="E7848" t="s">
        <v>6</v>
      </c>
      <c r="F7848">
        <v>0.11715</v>
      </c>
    </row>
    <row r="7849" spans="1:6" x14ac:dyDescent="0.3">
      <c r="A7849" t="s">
        <v>5</v>
      </c>
      <c r="B7849" s="1">
        <v>45984</v>
      </c>
      <c r="C7849">
        <v>24</v>
      </c>
      <c r="D7849">
        <v>0.11</v>
      </c>
      <c r="E7849" t="s">
        <v>6</v>
      </c>
      <c r="F7849">
        <v>9.3790000000000012E-2</v>
      </c>
    </row>
    <row r="7850" spans="1:6" x14ac:dyDescent="0.3">
      <c r="A7850" t="s">
        <v>5</v>
      </c>
      <c r="B7850" s="1">
        <v>45985</v>
      </c>
      <c r="C7850">
        <v>1</v>
      </c>
      <c r="D7850">
        <v>0.123</v>
      </c>
      <c r="E7850" t="s">
        <v>6</v>
      </c>
      <c r="F7850">
        <v>8.4430000000000005E-2</v>
      </c>
    </row>
    <row r="7851" spans="1:6" x14ac:dyDescent="0.3">
      <c r="A7851" t="s">
        <v>5</v>
      </c>
      <c r="B7851" s="1">
        <v>45985</v>
      </c>
      <c r="C7851">
        <v>2</v>
      </c>
      <c r="D7851">
        <v>0.13100000000000001</v>
      </c>
      <c r="E7851" t="s">
        <v>6</v>
      </c>
      <c r="F7851">
        <v>6.7790000000000003E-2</v>
      </c>
    </row>
    <row r="7852" spans="1:6" x14ac:dyDescent="0.3">
      <c r="A7852" t="s">
        <v>5</v>
      </c>
      <c r="B7852" s="1">
        <v>45985</v>
      </c>
      <c r="C7852">
        <v>3</v>
      </c>
      <c r="D7852">
        <v>7.2999999999999995E-2</v>
      </c>
      <c r="E7852" t="s">
        <v>6</v>
      </c>
      <c r="F7852">
        <v>6.1259999999999995E-2</v>
      </c>
    </row>
    <row r="7853" spans="1:6" x14ac:dyDescent="0.3">
      <c r="A7853" t="s">
        <v>5</v>
      </c>
      <c r="B7853" s="1">
        <v>45985</v>
      </c>
      <c r="C7853">
        <v>4</v>
      </c>
      <c r="D7853">
        <v>6.9000000000000006E-2</v>
      </c>
      <c r="E7853" t="s">
        <v>6</v>
      </c>
      <c r="F7853">
        <v>6.1249999999999999E-2</v>
      </c>
    </row>
    <row r="7854" spans="1:6" x14ac:dyDescent="0.3">
      <c r="A7854" t="s">
        <v>5</v>
      </c>
      <c r="B7854" s="1">
        <v>45985</v>
      </c>
      <c r="C7854">
        <v>5</v>
      </c>
      <c r="D7854">
        <v>6.8000000000000005E-2</v>
      </c>
      <c r="E7854" t="s">
        <v>6</v>
      </c>
      <c r="F7854">
        <v>6.0780000000000001E-2</v>
      </c>
    </row>
    <row r="7855" spans="1:6" x14ac:dyDescent="0.3">
      <c r="A7855" t="s">
        <v>5</v>
      </c>
      <c r="B7855" s="1">
        <v>45985</v>
      </c>
      <c r="C7855">
        <v>6</v>
      </c>
      <c r="D7855">
        <v>5.2999999999999999E-2</v>
      </c>
      <c r="E7855" t="s">
        <v>6</v>
      </c>
      <c r="F7855">
        <v>5.9279999999999999E-2</v>
      </c>
    </row>
    <row r="7856" spans="1:6" x14ac:dyDescent="0.3">
      <c r="A7856" t="s">
        <v>5</v>
      </c>
      <c r="B7856" s="1">
        <v>45985</v>
      </c>
      <c r="C7856">
        <v>7</v>
      </c>
      <c r="D7856">
        <v>7.9000000000000001E-2</v>
      </c>
      <c r="E7856" t="s">
        <v>6</v>
      </c>
      <c r="F7856">
        <v>7.2430000000000008E-2</v>
      </c>
    </row>
    <row r="7857" spans="1:6" x14ac:dyDescent="0.3">
      <c r="A7857" t="s">
        <v>5</v>
      </c>
      <c r="B7857" s="1">
        <v>45985</v>
      </c>
      <c r="C7857">
        <v>8</v>
      </c>
      <c r="D7857">
        <v>0.14599999999999999</v>
      </c>
      <c r="E7857" t="s">
        <v>6</v>
      </c>
      <c r="F7857">
        <v>0.10023</v>
      </c>
    </row>
    <row r="7858" spans="1:6" x14ac:dyDescent="0.3">
      <c r="A7858" t="s">
        <v>5</v>
      </c>
      <c r="B7858" s="1">
        <v>45985</v>
      </c>
      <c r="C7858">
        <v>9</v>
      </c>
      <c r="D7858">
        <v>6.9000000000000006E-2</v>
      </c>
      <c r="E7858" t="s">
        <v>6</v>
      </c>
      <c r="F7858">
        <v>0.14280000000000001</v>
      </c>
    </row>
    <row r="7859" spans="1:6" x14ac:dyDescent="0.3">
      <c r="A7859" t="s">
        <v>5</v>
      </c>
      <c r="B7859" s="1">
        <v>45985</v>
      </c>
      <c r="C7859">
        <v>10</v>
      </c>
      <c r="D7859">
        <v>6.6000000000000003E-2</v>
      </c>
      <c r="E7859" t="s">
        <v>6</v>
      </c>
      <c r="F7859">
        <v>0.12944999999999998</v>
      </c>
    </row>
    <row r="7860" spans="1:6" x14ac:dyDescent="0.3">
      <c r="A7860" t="s">
        <v>5</v>
      </c>
      <c r="B7860" s="1">
        <v>45985</v>
      </c>
      <c r="C7860">
        <v>11</v>
      </c>
      <c r="D7860">
        <v>6.7000000000000004E-2</v>
      </c>
      <c r="E7860" t="s">
        <v>6</v>
      </c>
      <c r="F7860">
        <v>0.18453</v>
      </c>
    </row>
    <row r="7861" spans="1:6" x14ac:dyDescent="0.3">
      <c r="A7861" t="s">
        <v>5</v>
      </c>
      <c r="B7861" s="1">
        <v>45985</v>
      </c>
      <c r="C7861">
        <v>12</v>
      </c>
      <c r="D7861">
        <v>0.05</v>
      </c>
      <c r="E7861" t="s">
        <v>6</v>
      </c>
      <c r="F7861">
        <v>0.17699999999999999</v>
      </c>
    </row>
    <row r="7862" spans="1:6" x14ac:dyDescent="0.3">
      <c r="A7862" t="s">
        <v>5</v>
      </c>
      <c r="B7862" s="1">
        <v>45985</v>
      </c>
      <c r="C7862">
        <v>13</v>
      </c>
      <c r="D7862">
        <v>0.95399999999999996</v>
      </c>
      <c r="E7862" t="s">
        <v>6</v>
      </c>
      <c r="F7862">
        <v>0.17324000000000001</v>
      </c>
    </row>
    <row r="7863" spans="1:6" x14ac:dyDescent="0.3">
      <c r="A7863" t="s">
        <v>5</v>
      </c>
      <c r="B7863" s="1">
        <v>45985</v>
      </c>
      <c r="C7863">
        <v>14</v>
      </c>
      <c r="D7863">
        <v>9.1999999999999998E-2</v>
      </c>
      <c r="E7863" t="s">
        <v>6</v>
      </c>
      <c r="F7863">
        <v>0.17682</v>
      </c>
    </row>
    <row r="7864" spans="1:6" x14ac:dyDescent="0.3">
      <c r="A7864" t="s">
        <v>5</v>
      </c>
      <c r="B7864" s="1">
        <v>45985</v>
      </c>
      <c r="C7864">
        <v>15</v>
      </c>
      <c r="D7864">
        <v>0.19800000000000001</v>
      </c>
      <c r="E7864" t="s">
        <v>6</v>
      </c>
      <c r="F7864">
        <v>0.11631999999999999</v>
      </c>
    </row>
    <row r="7865" spans="1:6" x14ac:dyDescent="0.3">
      <c r="A7865" t="s">
        <v>5</v>
      </c>
      <c r="B7865" s="1">
        <v>45985</v>
      </c>
      <c r="C7865">
        <v>16</v>
      </c>
      <c r="D7865">
        <v>0.14299999999999999</v>
      </c>
      <c r="E7865" t="s">
        <v>6</v>
      </c>
      <c r="F7865">
        <v>0.12481999999999999</v>
      </c>
    </row>
    <row r="7866" spans="1:6" x14ac:dyDescent="0.3">
      <c r="A7866" t="s">
        <v>5</v>
      </c>
      <c r="B7866" s="1">
        <v>45985</v>
      </c>
      <c r="C7866">
        <v>17</v>
      </c>
      <c r="D7866">
        <v>0.128</v>
      </c>
      <c r="E7866" t="s">
        <v>6</v>
      </c>
      <c r="F7866">
        <v>0.13599</v>
      </c>
    </row>
    <row r="7867" spans="1:6" x14ac:dyDescent="0.3">
      <c r="A7867" t="s">
        <v>5</v>
      </c>
      <c r="B7867" s="1">
        <v>45985</v>
      </c>
      <c r="C7867">
        <v>18</v>
      </c>
      <c r="D7867">
        <v>0.112</v>
      </c>
      <c r="E7867" t="s">
        <v>6</v>
      </c>
      <c r="F7867">
        <v>0.14124999999999999</v>
      </c>
    </row>
    <row r="7868" spans="1:6" x14ac:dyDescent="0.3">
      <c r="A7868" t="s">
        <v>5</v>
      </c>
      <c r="B7868" s="1">
        <v>45985</v>
      </c>
      <c r="C7868">
        <v>19</v>
      </c>
      <c r="D7868">
        <v>0.08</v>
      </c>
      <c r="E7868" t="s">
        <v>6</v>
      </c>
      <c r="F7868">
        <v>0.21859000000000001</v>
      </c>
    </row>
    <row r="7869" spans="1:6" x14ac:dyDescent="0.3">
      <c r="A7869" t="s">
        <v>5</v>
      </c>
      <c r="B7869" s="1">
        <v>45985</v>
      </c>
      <c r="C7869">
        <v>20</v>
      </c>
      <c r="D7869">
        <v>0.185</v>
      </c>
      <c r="E7869" t="s">
        <v>6</v>
      </c>
      <c r="F7869">
        <v>0.22196000000000002</v>
      </c>
    </row>
    <row r="7870" spans="1:6" x14ac:dyDescent="0.3">
      <c r="A7870" t="s">
        <v>5</v>
      </c>
      <c r="B7870" s="1">
        <v>45985</v>
      </c>
      <c r="C7870">
        <v>21</v>
      </c>
      <c r="D7870">
        <v>0.29699999999999999</v>
      </c>
      <c r="E7870" t="s">
        <v>6</v>
      </c>
      <c r="F7870">
        <v>0.22997999999999999</v>
      </c>
    </row>
    <row r="7871" spans="1:6" x14ac:dyDescent="0.3">
      <c r="A7871" t="s">
        <v>5</v>
      </c>
      <c r="B7871" s="1">
        <v>45985</v>
      </c>
      <c r="C7871">
        <v>22</v>
      </c>
      <c r="D7871">
        <v>0.438</v>
      </c>
      <c r="E7871" t="s">
        <v>6</v>
      </c>
      <c r="F7871">
        <v>0.22191999999999998</v>
      </c>
    </row>
    <row r="7872" spans="1:6" x14ac:dyDescent="0.3">
      <c r="A7872" t="s">
        <v>5</v>
      </c>
      <c r="B7872" s="1">
        <v>45985</v>
      </c>
      <c r="C7872">
        <v>23</v>
      </c>
      <c r="D7872">
        <v>0.30099999999999999</v>
      </c>
      <c r="E7872" t="s">
        <v>6</v>
      </c>
      <c r="F7872">
        <v>0.14951</v>
      </c>
    </row>
    <row r="7873" spans="1:6" x14ac:dyDescent="0.3">
      <c r="A7873" t="s">
        <v>5</v>
      </c>
      <c r="B7873" s="1">
        <v>45985</v>
      </c>
      <c r="C7873">
        <v>24</v>
      </c>
      <c r="D7873">
        <v>1.3</v>
      </c>
      <c r="E7873" t="s">
        <v>6</v>
      </c>
      <c r="F7873">
        <v>0.14348</v>
      </c>
    </row>
    <row r="7874" spans="1:6" x14ac:dyDescent="0.3">
      <c r="A7874" t="s">
        <v>5</v>
      </c>
      <c r="B7874" s="1">
        <v>45986</v>
      </c>
      <c r="C7874">
        <v>1</v>
      </c>
      <c r="D7874">
        <v>0.752</v>
      </c>
      <c r="E7874" t="s">
        <v>6</v>
      </c>
      <c r="F7874">
        <v>9.7099999999999992E-2</v>
      </c>
    </row>
    <row r="7875" spans="1:6" x14ac:dyDescent="0.3">
      <c r="A7875" t="s">
        <v>5</v>
      </c>
      <c r="B7875" s="1">
        <v>45986</v>
      </c>
      <c r="C7875">
        <v>2</v>
      </c>
      <c r="D7875">
        <v>0.50800000000000001</v>
      </c>
      <c r="E7875" t="s">
        <v>6</v>
      </c>
      <c r="F7875">
        <v>9.4909999999999994E-2</v>
      </c>
    </row>
    <row r="7876" spans="1:6" x14ac:dyDescent="0.3">
      <c r="A7876" t="s">
        <v>5</v>
      </c>
      <c r="B7876" s="1">
        <v>45986</v>
      </c>
      <c r="C7876">
        <v>3</v>
      </c>
      <c r="D7876">
        <v>0.11899999999999999</v>
      </c>
      <c r="E7876" t="s">
        <v>6</v>
      </c>
      <c r="F7876">
        <v>8.5550000000000001E-2</v>
      </c>
    </row>
    <row r="7877" spans="1:6" x14ac:dyDescent="0.3">
      <c r="A7877" t="s">
        <v>5</v>
      </c>
      <c r="B7877" s="1">
        <v>45986</v>
      </c>
      <c r="C7877">
        <v>4</v>
      </c>
      <c r="D7877">
        <v>6.6000000000000003E-2</v>
      </c>
      <c r="E7877" t="s">
        <v>6</v>
      </c>
      <c r="F7877">
        <v>7.3529999999999998E-2</v>
      </c>
    </row>
    <row r="7878" spans="1:6" x14ac:dyDescent="0.3">
      <c r="A7878" t="s">
        <v>5</v>
      </c>
      <c r="B7878" s="1">
        <v>45986</v>
      </c>
      <c r="C7878">
        <v>5</v>
      </c>
      <c r="D7878">
        <v>8.6999999999999994E-2</v>
      </c>
      <c r="E7878" t="s">
        <v>6</v>
      </c>
      <c r="F7878">
        <v>6.8170000000000008E-2</v>
      </c>
    </row>
    <row r="7879" spans="1:6" x14ac:dyDescent="0.3">
      <c r="A7879" t="s">
        <v>5</v>
      </c>
      <c r="B7879" s="1">
        <v>45986</v>
      </c>
      <c r="C7879">
        <v>6</v>
      </c>
      <c r="D7879">
        <v>6.9000000000000006E-2</v>
      </c>
      <c r="E7879" t="s">
        <v>6</v>
      </c>
      <c r="F7879">
        <v>8.3599999999999994E-2</v>
      </c>
    </row>
    <row r="7880" spans="1:6" x14ac:dyDescent="0.3">
      <c r="A7880" t="s">
        <v>5</v>
      </c>
      <c r="B7880" s="1">
        <v>45986</v>
      </c>
      <c r="C7880">
        <v>7</v>
      </c>
      <c r="D7880">
        <v>6.9000000000000006E-2</v>
      </c>
      <c r="E7880" t="s">
        <v>6</v>
      </c>
      <c r="F7880">
        <v>0.11366</v>
      </c>
    </row>
    <row r="7881" spans="1:6" x14ac:dyDescent="0.3">
      <c r="A7881" t="s">
        <v>5</v>
      </c>
      <c r="B7881" s="1">
        <v>45986</v>
      </c>
      <c r="C7881">
        <v>8</v>
      </c>
      <c r="D7881">
        <v>0.106</v>
      </c>
      <c r="E7881" t="s">
        <v>6</v>
      </c>
      <c r="F7881">
        <v>0.12819999999999998</v>
      </c>
    </row>
    <row r="7882" spans="1:6" x14ac:dyDescent="0.3">
      <c r="A7882" t="s">
        <v>5</v>
      </c>
      <c r="B7882" s="1">
        <v>45986</v>
      </c>
      <c r="C7882">
        <v>9</v>
      </c>
      <c r="D7882">
        <v>0.151</v>
      </c>
      <c r="E7882" t="s">
        <v>6</v>
      </c>
      <c r="F7882">
        <v>0.15913999999999998</v>
      </c>
    </row>
    <row r="7883" spans="1:6" x14ac:dyDescent="0.3">
      <c r="A7883" t="s">
        <v>5</v>
      </c>
      <c r="B7883" s="1">
        <v>45986</v>
      </c>
      <c r="C7883">
        <v>10</v>
      </c>
      <c r="D7883">
        <v>9.2999999999999999E-2</v>
      </c>
      <c r="E7883" t="s">
        <v>6</v>
      </c>
      <c r="F7883">
        <v>0.13213</v>
      </c>
    </row>
    <row r="7884" spans="1:6" x14ac:dyDescent="0.3">
      <c r="A7884" t="s">
        <v>5</v>
      </c>
      <c r="B7884" s="1">
        <v>45986</v>
      </c>
      <c r="C7884">
        <v>11</v>
      </c>
      <c r="D7884">
        <v>6.8000000000000005E-2</v>
      </c>
      <c r="E7884" t="s">
        <v>6</v>
      </c>
      <c r="F7884">
        <v>0.15264</v>
      </c>
    </row>
    <row r="7885" spans="1:6" x14ac:dyDescent="0.3">
      <c r="A7885" t="s">
        <v>5</v>
      </c>
      <c r="B7885" s="1">
        <v>45986</v>
      </c>
      <c r="C7885">
        <v>12</v>
      </c>
      <c r="D7885">
        <v>0.109</v>
      </c>
      <c r="E7885" t="s">
        <v>6</v>
      </c>
      <c r="F7885">
        <v>0.14271</v>
      </c>
    </row>
    <row r="7886" spans="1:6" x14ac:dyDescent="0.3">
      <c r="A7886" t="s">
        <v>5</v>
      </c>
      <c r="B7886" s="1">
        <v>45986</v>
      </c>
      <c r="C7886">
        <v>13</v>
      </c>
      <c r="D7886">
        <v>0.29299999999999998</v>
      </c>
      <c r="E7886" t="s">
        <v>6</v>
      </c>
      <c r="F7886">
        <v>0.14074</v>
      </c>
    </row>
    <row r="7887" spans="1:6" x14ac:dyDescent="0.3">
      <c r="A7887" t="s">
        <v>5</v>
      </c>
      <c r="B7887" s="1">
        <v>45986</v>
      </c>
      <c r="C7887">
        <v>14</v>
      </c>
      <c r="D7887">
        <v>0.184</v>
      </c>
      <c r="E7887" t="s">
        <v>6</v>
      </c>
      <c r="F7887">
        <v>0.13805000000000001</v>
      </c>
    </row>
    <row r="7888" spans="1:6" x14ac:dyDescent="0.3">
      <c r="A7888" t="s">
        <v>5</v>
      </c>
      <c r="B7888" s="1">
        <v>45986</v>
      </c>
      <c r="C7888">
        <v>15</v>
      </c>
      <c r="D7888">
        <v>0.13500000000000001</v>
      </c>
      <c r="E7888" t="s">
        <v>6</v>
      </c>
      <c r="F7888">
        <v>7.281E-2</v>
      </c>
    </row>
    <row r="7889" spans="1:6" x14ac:dyDescent="0.3">
      <c r="A7889" t="s">
        <v>5</v>
      </c>
      <c r="B7889" s="1">
        <v>45986</v>
      </c>
      <c r="C7889">
        <v>16</v>
      </c>
      <c r="D7889">
        <v>7.9000000000000001E-2</v>
      </c>
      <c r="E7889" t="s">
        <v>6</v>
      </c>
      <c r="F7889">
        <v>7.5719999999999996E-2</v>
      </c>
    </row>
    <row r="7890" spans="1:6" x14ac:dyDescent="0.3">
      <c r="A7890" t="s">
        <v>5</v>
      </c>
      <c r="B7890" s="1">
        <v>45986</v>
      </c>
      <c r="C7890">
        <v>17</v>
      </c>
      <c r="D7890">
        <v>0.121</v>
      </c>
      <c r="E7890" t="s">
        <v>6</v>
      </c>
      <c r="F7890">
        <v>0.10013</v>
      </c>
    </row>
    <row r="7891" spans="1:6" x14ac:dyDescent="0.3">
      <c r="A7891" t="s">
        <v>5</v>
      </c>
      <c r="B7891" s="1">
        <v>45986</v>
      </c>
      <c r="C7891">
        <v>18</v>
      </c>
      <c r="D7891">
        <v>9.9000000000000005E-2</v>
      </c>
      <c r="E7891" t="s">
        <v>6</v>
      </c>
      <c r="F7891">
        <v>0.16405</v>
      </c>
    </row>
    <row r="7892" spans="1:6" x14ac:dyDescent="0.3">
      <c r="A7892" t="s">
        <v>5</v>
      </c>
      <c r="B7892" s="1">
        <v>45986</v>
      </c>
      <c r="C7892">
        <v>19</v>
      </c>
      <c r="D7892">
        <v>6.5000000000000002E-2</v>
      </c>
      <c r="E7892" t="s">
        <v>6</v>
      </c>
      <c r="F7892">
        <v>0.24719999999999998</v>
      </c>
    </row>
    <row r="7893" spans="1:6" x14ac:dyDescent="0.3">
      <c r="A7893" t="s">
        <v>5</v>
      </c>
      <c r="B7893" s="1">
        <v>45986</v>
      </c>
      <c r="C7893">
        <v>20</v>
      </c>
      <c r="D7893">
        <v>0.15</v>
      </c>
      <c r="E7893" t="s">
        <v>6</v>
      </c>
      <c r="F7893">
        <v>0.25028</v>
      </c>
    </row>
    <row r="7894" spans="1:6" x14ac:dyDescent="0.3">
      <c r="A7894" t="s">
        <v>5</v>
      </c>
      <c r="B7894" s="1">
        <v>45986</v>
      </c>
      <c r="C7894">
        <v>21</v>
      </c>
      <c r="D7894">
        <v>0.104</v>
      </c>
      <c r="E7894" t="s">
        <v>6</v>
      </c>
      <c r="F7894">
        <v>0.24462999999999999</v>
      </c>
    </row>
    <row r="7895" spans="1:6" x14ac:dyDescent="0.3">
      <c r="A7895" t="s">
        <v>5</v>
      </c>
      <c r="B7895" s="1">
        <v>45986</v>
      </c>
      <c r="C7895">
        <v>22</v>
      </c>
      <c r="D7895">
        <v>1.6659999999999999</v>
      </c>
      <c r="E7895" t="s">
        <v>6</v>
      </c>
      <c r="F7895">
        <v>0.23324</v>
      </c>
    </row>
    <row r="7896" spans="1:6" x14ac:dyDescent="0.3">
      <c r="A7896" t="s">
        <v>5</v>
      </c>
      <c r="B7896" s="1">
        <v>45986</v>
      </c>
      <c r="C7896">
        <v>23</v>
      </c>
      <c r="D7896">
        <v>0.38800000000000001</v>
      </c>
      <c r="E7896" t="s">
        <v>6</v>
      </c>
      <c r="F7896">
        <v>0.16738999999999998</v>
      </c>
    </row>
    <row r="7897" spans="1:6" x14ac:dyDescent="0.3">
      <c r="A7897" t="s">
        <v>5</v>
      </c>
      <c r="B7897" s="1">
        <v>45986</v>
      </c>
      <c r="C7897">
        <v>24</v>
      </c>
      <c r="D7897">
        <v>0.25700000000000001</v>
      </c>
      <c r="E7897" t="s">
        <v>6</v>
      </c>
      <c r="F7897">
        <v>0.15684000000000001</v>
      </c>
    </row>
    <row r="7898" spans="1:6" x14ac:dyDescent="0.3">
      <c r="A7898" t="s">
        <v>5</v>
      </c>
      <c r="B7898" s="1">
        <v>45987</v>
      </c>
      <c r="C7898">
        <v>1</v>
      </c>
      <c r="D7898">
        <v>0.17199999999999999</v>
      </c>
      <c r="E7898" t="s">
        <v>6</v>
      </c>
      <c r="F7898">
        <v>0.12382</v>
      </c>
    </row>
    <row r="7899" spans="1:6" x14ac:dyDescent="0.3">
      <c r="A7899" t="s">
        <v>5</v>
      </c>
      <c r="B7899" s="1">
        <v>45987</v>
      </c>
      <c r="C7899">
        <v>2</v>
      </c>
      <c r="D7899">
        <v>0.14799999999999999</v>
      </c>
      <c r="E7899" t="s">
        <v>6</v>
      </c>
      <c r="F7899">
        <v>0.11575000000000001</v>
      </c>
    </row>
    <row r="7900" spans="1:6" x14ac:dyDescent="0.3">
      <c r="A7900" t="s">
        <v>5</v>
      </c>
      <c r="B7900" s="1">
        <v>45987</v>
      </c>
      <c r="C7900">
        <v>3</v>
      </c>
      <c r="D7900">
        <v>7.3999999999999996E-2</v>
      </c>
      <c r="E7900" t="s">
        <v>6</v>
      </c>
      <c r="F7900">
        <v>0.11037999999999999</v>
      </c>
    </row>
    <row r="7901" spans="1:6" x14ac:dyDescent="0.3">
      <c r="A7901" t="s">
        <v>5</v>
      </c>
      <c r="B7901" s="1">
        <v>45987</v>
      </c>
      <c r="C7901">
        <v>4</v>
      </c>
      <c r="D7901">
        <v>7.5999999999999998E-2</v>
      </c>
      <c r="E7901" t="s">
        <v>6</v>
      </c>
      <c r="F7901">
        <v>0.10823999999999999</v>
      </c>
    </row>
    <row r="7902" spans="1:6" x14ac:dyDescent="0.3">
      <c r="A7902" t="s">
        <v>5</v>
      </c>
      <c r="B7902" s="1">
        <v>45987</v>
      </c>
      <c r="C7902">
        <v>5</v>
      </c>
      <c r="D7902">
        <v>5.5E-2</v>
      </c>
      <c r="E7902" t="s">
        <v>6</v>
      </c>
      <c r="F7902">
        <v>0.10754999999999999</v>
      </c>
    </row>
    <row r="7903" spans="1:6" x14ac:dyDescent="0.3">
      <c r="A7903" t="s">
        <v>5</v>
      </c>
      <c r="B7903" s="1">
        <v>45987</v>
      </c>
      <c r="C7903">
        <v>6</v>
      </c>
      <c r="D7903">
        <v>7.1999999999999995E-2</v>
      </c>
      <c r="E7903" t="s">
        <v>6</v>
      </c>
      <c r="F7903">
        <v>0.11778</v>
      </c>
    </row>
    <row r="7904" spans="1:6" x14ac:dyDescent="0.3">
      <c r="A7904" t="s">
        <v>5</v>
      </c>
      <c r="B7904" s="1">
        <v>45987</v>
      </c>
      <c r="C7904">
        <v>7</v>
      </c>
      <c r="D7904">
        <v>6.7000000000000004E-2</v>
      </c>
      <c r="E7904" t="s">
        <v>6</v>
      </c>
      <c r="F7904">
        <v>0.12484000000000001</v>
      </c>
    </row>
    <row r="7905" spans="1:6" x14ac:dyDescent="0.3">
      <c r="A7905" t="s">
        <v>5</v>
      </c>
      <c r="B7905" s="1">
        <v>45987</v>
      </c>
      <c r="C7905">
        <v>8</v>
      </c>
      <c r="D7905">
        <v>5.1999999999999998E-2</v>
      </c>
      <c r="E7905" t="s">
        <v>6</v>
      </c>
      <c r="F7905">
        <v>0.13946</v>
      </c>
    </row>
    <row r="7906" spans="1:6" x14ac:dyDescent="0.3">
      <c r="A7906" t="s">
        <v>5</v>
      </c>
      <c r="B7906" s="1">
        <v>45987</v>
      </c>
      <c r="C7906">
        <v>9</v>
      </c>
      <c r="D7906">
        <v>0.125</v>
      </c>
      <c r="E7906" t="s">
        <v>6</v>
      </c>
      <c r="F7906">
        <v>0.17449000000000001</v>
      </c>
    </row>
    <row r="7907" spans="1:6" x14ac:dyDescent="0.3">
      <c r="A7907" t="s">
        <v>5</v>
      </c>
      <c r="B7907" s="1">
        <v>45987</v>
      </c>
      <c r="C7907">
        <v>10</v>
      </c>
      <c r="D7907">
        <v>8.2000000000000003E-2</v>
      </c>
      <c r="E7907" t="s">
        <v>6</v>
      </c>
      <c r="F7907">
        <v>0.13441</v>
      </c>
    </row>
    <row r="7908" spans="1:6" x14ac:dyDescent="0.3">
      <c r="A7908" t="s">
        <v>5</v>
      </c>
      <c r="B7908" s="1">
        <v>45987</v>
      </c>
      <c r="C7908">
        <v>11</v>
      </c>
      <c r="D7908">
        <v>6.6000000000000003E-2</v>
      </c>
      <c r="E7908" t="s">
        <v>6</v>
      </c>
      <c r="F7908">
        <v>0.16377</v>
      </c>
    </row>
    <row r="7909" spans="1:6" x14ac:dyDescent="0.3">
      <c r="A7909" t="s">
        <v>5</v>
      </c>
      <c r="B7909" s="1">
        <v>45987</v>
      </c>
      <c r="C7909">
        <v>12</v>
      </c>
      <c r="D7909">
        <v>0.14499999999999999</v>
      </c>
      <c r="E7909" t="s">
        <v>6</v>
      </c>
      <c r="F7909">
        <v>0.13383</v>
      </c>
    </row>
    <row r="7910" spans="1:6" x14ac:dyDescent="0.3">
      <c r="A7910" t="s">
        <v>5</v>
      </c>
      <c r="B7910" s="1">
        <v>45987</v>
      </c>
      <c r="C7910">
        <v>13</v>
      </c>
      <c r="D7910">
        <v>0.13600000000000001</v>
      </c>
      <c r="E7910" t="s">
        <v>6</v>
      </c>
      <c r="F7910">
        <v>0.13228999999999999</v>
      </c>
    </row>
    <row r="7911" spans="1:6" x14ac:dyDescent="0.3">
      <c r="A7911" t="s">
        <v>5</v>
      </c>
      <c r="B7911" s="1">
        <v>45987</v>
      </c>
      <c r="C7911">
        <v>14</v>
      </c>
      <c r="D7911">
        <v>0.22</v>
      </c>
      <c r="E7911" t="s">
        <v>6</v>
      </c>
      <c r="F7911">
        <v>0.12968000000000002</v>
      </c>
    </row>
    <row r="7912" spans="1:6" x14ac:dyDescent="0.3">
      <c r="A7912" t="s">
        <v>5</v>
      </c>
      <c r="B7912" s="1">
        <v>45987</v>
      </c>
      <c r="C7912">
        <v>15</v>
      </c>
      <c r="D7912">
        <v>0.22500000000000001</v>
      </c>
      <c r="E7912" t="s">
        <v>6</v>
      </c>
      <c r="F7912">
        <v>6.5019999999999994E-2</v>
      </c>
    </row>
    <row r="7913" spans="1:6" x14ac:dyDescent="0.3">
      <c r="A7913" t="s">
        <v>5</v>
      </c>
      <c r="B7913" s="1">
        <v>45987</v>
      </c>
      <c r="C7913">
        <v>16</v>
      </c>
      <c r="D7913">
        <v>0.54900000000000004</v>
      </c>
      <c r="E7913" t="s">
        <v>6</v>
      </c>
      <c r="F7913">
        <v>7.9689999999999997E-2</v>
      </c>
    </row>
    <row r="7914" spans="1:6" x14ac:dyDescent="0.3">
      <c r="A7914" t="s">
        <v>5</v>
      </c>
      <c r="B7914" s="1">
        <v>45987</v>
      </c>
      <c r="C7914">
        <v>17</v>
      </c>
      <c r="D7914">
        <v>0.71</v>
      </c>
      <c r="E7914" t="s">
        <v>6</v>
      </c>
      <c r="F7914">
        <v>0.13377</v>
      </c>
    </row>
    <row r="7915" spans="1:6" x14ac:dyDescent="0.3">
      <c r="A7915" t="s">
        <v>5</v>
      </c>
      <c r="B7915" s="1">
        <v>45987</v>
      </c>
      <c r="C7915">
        <v>18</v>
      </c>
      <c r="D7915">
        <v>0.79400000000000004</v>
      </c>
      <c r="E7915" t="s">
        <v>6</v>
      </c>
      <c r="F7915">
        <v>0.16811000000000001</v>
      </c>
    </row>
    <row r="7916" spans="1:6" x14ac:dyDescent="0.3">
      <c r="A7916" t="s">
        <v>5</v>
      </c>
      <c r="B7916" s="1">
        <v>45987</v>
      </c>
      <c r="C7916">
        <v>19</v>
      </c>
      <c r="D7916">
        <v>0.18099999999999999</v>
      </c>
      <c r="E7916" t="s">
        <v>6</v>
      </c>
      <c r="F7916">
        <v>0.26269999999999999</v>
      </c>
    </row>
    <row r="7917" spans="1:6" x14ac:dyDescent="0.3">
      <c r="A7917" t="s">
        <v>5</v>
      </c>
      <c r="B7917" s="1">
        <v>45987</v>
      </c>
      <c r="C7917">
        <v>20</v>
      </c>
      <c r="D7917">
        <v>0.14299999999999999</v>
      </c>
      <c r="E7917" t="s">
        <v>6</v>
      </c>
      <c r="F7917">
        <v>0.28619</v>
      </c>
    </row>
    <row r="7918" spans="1:6" x14ac:dyDescent="0.3">
      <c r="A7918" t="s">
        <v>5</v>
      </c>
      <c r="B7918" s="1">
        <v>45987</v>
      </c>
      <c r="C7918">
        <v>21</v>
      </c>
      <c r="D7918">
        <v>0.23300000000000001</v>
      </c>
      <c r="E7918" t="s">
        <v>6</v>
      </c>
      <c r="F7918">
        <v>0.26857999999999999</v>
      </c>
    </row>
    <row r="7919" spans="1:6" x14ac:dyDescent="0.3">
      <c r="A7919" t="s">
        <v>5</v>
      </c>
      <c r="B7919" s="1">
        <v>45987</v>
      </c>
      <c r="C7919">
        <v>22</v>
      </c>
      <c r="D7919">
        <v>0.23400000000000001</v>
      </c>
      <c r="E7919" t="s">
        <v>6</v>
      </c>
      <c r="F7919">
        <v>0.24345</v>
      </c>
    </row>
    <row r="7920" spans="1:6" x14ac:dyDescent="0.3">
      <c r="A7920" t="s">
        <v>5</v>
      </c>
      <c r="B7920" s="1">
        <v>45987</v>
      </c>
      <c r="C7920">
        <v>23</v>
      </c>
      <c r="D7920">
        <v>0.23799999999999999</v>
      </c>
      <c r="E7920" t="s">
        <v>6</v>
      </c>
      <c r="F7920">
        <v>0.16614999999999999</v>
      </c>
    </row>
    <row r="7921" spans="1:6" x14ac:dyDescent="0.3">
      <c r="A7921" t="s">
        <v>5</v>
      </c>
      <c r="B7921" s="1">
        <v>45987</v>
      </c>
      <c r="C7921">
        <v>24</v>
      </c>
      <c r="D7921">
        <v>0.255</v>
      </c>
      <c r="E7921" t="s">
        <v>6</v>
      </c>
      <c r="F7921">
        <v>0.15775</v>
      </c>
    </row>
    <row r="7922" spans="1:6" x14ac:dyDescent="0.3">
      <c r="A7922" t="s">
        <v>5</v>
      </c>
      <c r="B7922" s="1">
        <v>45988</v>
      </c>
      <c r="C7922">
        <v>1</v>
      </c>
      <c r="D7922">
        <v>0.247</v>
      </c>
      <c r="E7922" t="s">
        <v>6</v>
      </c>
      <c r="F7922">
        <v>0.12821000000000002</v>
      </c>
    </row>
    <row r="7923" spans="1:6" x14ac:dyDescent="0.3">
      <c r="A7923" t="s">
        <v>5</v>
      </c>
      <c r="B7923" s="1">
        <v>45988</v>
      </c>
      <c r="C7923">
        <v>2</v>
      </c>
      <c r="D7923">
        <v>0.217</v>
      </c>
      <c r="E7923" t="s">
        <v>6</v>
      </c>
      <c r="F7923">
        <v>0.12251999999999999</v>
      </c>
    </row>
    <row r="7924" spans="1:6" x14ac:dyDescent="0.3">
      <c r="A7924" t="s">
        <v>5</v>
      </c>
      <c r="B7924" s="1">
        <v>45988</v>
      </c>
      <c r="C7924">
        <v>3</v>
      </c>
      <c r="D7924">
        <v>0.13700000000000001</v>
      </c>
      <c r="E7924" t="s">
        <v>6</v>
      </c>
      <c r="F7924">
        <v>0.11544</v>
      </c>
    </row>
    <row r="7925" spans="1:6" x14ac:dyDescent="0.3">
      <c r="A7925" t="s">
        <v>5</v>
      </c>
      <c r="B7925" s="1">
        <v>45988</v>
      </c>
      <c r="C7925">
        <v>4</v>
      </c>
      <c r="D7925">
        <v>0.14399999999999999</v>
      </c>
      <c r="E7925" t="s">
        <v>6</v>
      </c>
      <c r="F7925">
        <v>0.10648000000000001</v>
      </c>
    </row>
    <row r="7926" spans="1:6" x14ac:dyDescent="0.3">
      <c r="A7926" t="s">
        <v>5</v>
      </c>
      <c r="B7926" s="1">
        <v>45988</v>
      </c>
      <c r="C7926">
        <v>5</v>
      </c>
      <c r="D7926">
        <v>0.121</v>
      </c>
      <c r="E7926" t="s">
        <v>6</v>
      </c>
      <c r="F7926">
        <v>0.10427</v>
      </c>
    </row>
    <row r="7927" spans="1:6" x14ac:dyDescent="0.3">
      <c r="A7927" t="s">
        <v>5</v>
      </c>
      <c r="B7927" s="1">
        <v>45988</v>
      </c>
      <c r="C7927">
        <v>6</v>
      </c>
      <c r="D7927">
        <v>0.13700000000000001</v>
      </c>
      <c r="E7927" t="s">
        <v>6</v>
      </c>
      <c r="F7927">
        <v>0.10571</v>
      </c>
    </row>
    <row r="7928" spans="1:6" x14ac:dyDescent="0.3">
      <c r="A7928" t="s">
        <v>5</v>
      </c>
      <c r="B7928" s="1">
        <v>45988</v>
      </c>
      <c r="C7928">
        <v>7</v>
      </c>
      <c r="D7928">
        <v>0.13200000000000001</v>
      </c>
      <c r="E7928" t="s">
        <v>6</v>
      </c>
      <c r="F7928">
        <v>0.11481999999999999</v>
      </c>
    </row>
    <row r="7929" spans="1:6" x14ac:dyDescent="0.3">
      <c r="A7929" t="s">
        <v>5</v>
      </c>
      <c r="B7929" s="1">
        <v>45988</v>
      </c>
      <c r="C7929">
        <v>8</v>
      </c>
      <c r="D7929">
        <v>0.13600000000000001</v>
      </c>
      <c r="E7929" t="s">
        <v>6</v>
      </c>
      <c r="F7929">
        <v>0.13508000000000001</v>
      </c>
    </row>
    <row r="7930" spans="1:6" x14ac:dyDescent="0.3">
      <c r="A7930" t="s">
        <v>5</v>
      </c>
      <c r="B7930" s="1">
        <v>45988</v>
      </c>
      <c r="C7930">
        <v>9</v>
      </c>
      <c r="D7930">
        <v>0.14699999999999999</v>
      </c>
      <c r="E7930" t="s">
        <v>6</v>
      </c>
      <c r="F7930">
        <v>0.16669</v>
      </c>
    </row>
    <row r="7931" spans="1:6" x14ac:dyDescent="0.3">
      <c r="A7931" t="s">
        <v>5</v>
      </c>
      <c r="B7931" s="1">
        <v>45988</v>
      </c>
      <c r="C7931">
        <v>10</v>
      </c>
      <c r="D7931">
        <v>0.161</v>
      </c>
      <c r="E7931" t="s">
        <v>6</v>
      </c>
      <c r="F7931">
        <v>0.14124999999999999</v>
      </c>
    </row>
    <row r="7932" spans="1:6" x14ac:dyDescent="0.3">
      <c r="A7932" t="s">
        <v>5</v>
      </c>
      <c r="B7932" s="1">
        <v>45988</v>
      </c>
      <c r="C7932">
        <v>11</v>
      </c>
      <c r="D7932">
        <v>0.19500000000000001</v>
      </c>
      <c r="E7932" t="s">
        <v>6</v>
      </c>
      <c r="F7932">
        <v>0.17768999999999999</v>
      </c>
    </row>
    <row r="7933" spans="1:6" x14ac:dyDescent="0.3">
      <c r="A7933" t="s">
        <v>5</v>
      </c>
      <c r="B7933" s="1">
        <v>45988</v>
      </c>
      <c r="C7933">
        <v>12</v>
      </c>
      <c r="D7933">
        <v>0.16</v>
      </c>
      <c r="E7933" t="s">
        <v>6</v>
      </c>
      <c r="F7933">
        <v>0.16961999999999999</v>
      </c>
    </row>
    <row r="7934" spans="1:6" x14ac:dyDescent="0.3">
      <c r="A7934" t="s">
        <v>5</v>
      </c>
      <c r="B7934" s="1">
        <v>45988</v>
      </c>
      <c r="C7934">
        <v>13</v>
      </c>
      <c r="D7934">
        <v>0.14899999999999999</v>
      </c>
      <c r="E7934" t="s">
        <v>6</v>
      </c>
      <c r="F7934">
        <v>0.17036999999999999</v>
      </c>
    </row>
    <row r="7935" spans="1:6" x14ac:dyDescent="0.3">
      <c r="A7935" t="s">
        <v>5</v>
      </c>
      <c r="B7935" s="1">
        <v>45988</v>
      </c>
      <c r="C7935">
        <v>14</v>
      </c>
      <c r="D7935">
        <v>0.66900000000000004</v>
      </c>
      <c r="E7935" t="s">
        <v>6</v>
      </c>
      <c r="F7935">
        <v>0.17366000000000001</v>
      </c>
    </row>
    <row r="7936" spans="1:6" x14ac:dyDescent="0.3">
      <c r="A7936" t="s">
        <v>5</v>
      </c>
      <c r="B7936" s="1">
        <v>45988</v>
      </c>
      <c r="C7936">
        <v>15</v>
      </c>
      <c r="D7936">
        <v>0.22900000000000001</v>
      </c>
      <c r="E7936" t="s">
        <v>6</v>
      </c>
      <c r="F7936">
        <v>0.11258</v>
      </c>
    </row>
    <row r="7937" spans="1:6" x14ac:dyDescent="0.3">
      <c r="A7937" t="s">
        <v>5</v>
      </c>
      <c r="B7937" s="1">
        <v>45988</v>
      </c>
      <c r="C7937">
        <v>16</v>
      </c>
      <c r="D7937">
        <v>0.31900000000000001</v>
      </c>
      <c r="E7937" t="s">
        <v>6</v>
      </c>
      <c r="F7937">
        <v>0.12173</v>
      </c>
    </row>
    <row r="7938" spans="1:6" x14ac:dyDescent="0.3">
      <c r="A7938" t="s">
        <v>5</v>
      </c>
      <c r="B7938" s="1">
        <v>45988</v>
      </c>
      <c r="C7938">
        <v>17</v>
      </c>
      <c r="D7938">
        <v>0.157</v>
      </c>
      <c r="E7938" t="s">
        <v>6</v>
      </c>
      <c r="F7938">
        <v>0.14038</v>
      </c>
    </row>
    <row r="7939" spans="1:6" x14ac:dyDescent="0.3">
      <c r="A7939" t="s">
        <v>5</v>
      </c>
      <c r="B7939" s="1">
        <v>45988</v>
      </c>
      <c r="C7939">
        <v>18</v>
      </c>
      <c r="D7939">
        <v>0.222</v>
      </c>
      <c r="E7939" t="s">
        <v>6</v>
      </c>
      <c r="F7939">
        <v>0.16275999999999999</v>
      </c>
    </row>
    <row r="7940" spans="1:6" x14ac:dyDescent="0.3">
      <c r="A7940" t="s">
        <v>5</v>
      </c>
      <c r="B7940" s="1">
        <v>45988</v>
      </c>
      <c r="C7940">
        <v>19</v>
      </c>
      <c r="D7940">
        <v>0.16700000000000001</v>
      </c>
      <c r="E7940" t="s">
        <v>6</v>
      </c>
      <c r="F7940">
        <v>0.25086999999999998</v>
      </c>
    </row>
    <row r="7941" spans="1:6" x14ac:dyDescent="0.3">
      <c r="A7941" t="s">
        <v>5</v>
      </c>
      <c r="B7941" s="1">
        <v>45988</v>
      </c>
      <c r="C7941">
        <v>20</v>
      </c>
      <c r="D7941">
        <v>0.153</v>
      </c>
      <c r="E7941" t="s">
        <v>6</v>
      </c>
      <c r="F7941">
        <v>0.25977999999999996</v>
      </c>
    </row>
    <row r="7942" spans="1:6" x14ac:dyDescent="0.3">
      <c r="A7942" t="s">
        <v>5</v>
      </c>
      <c r="B7942" s="1">
        <v>45988</v>
      </c>
      <c r="C7942">
        <v>21</v>
      </c>
      <c r="D7942">
        <v>0.29399999999999998</v>
      </c>
      <c r="E7942" t="s">
        <v>6</v>
      </c>
      <c r="F7942">
        <v>0.29049000000000003</v>
      </c>
    </row>
    <row r="7943" spans="1:6" x14ac:dyDescent="0.3">
      <c r="A7943" t="s">
        <v>5</v>
      </c>
      <c r="B7943" s="1">
        <v>45988</v>
      </c>
      <c r="C7943">
        <v>22</v>
      </c>
      <c r="D7943">
        <v>0.44900000000000001</v>
      </c>
      <c r="E7943" t="s">
        <v>6</v>
      </c>
      <c r="F7943">
        <v>0.29955999999999999</v>
      </c>
    </row>
    <row r="7944" spans="1:6" x14ac:dyDescent="0.3">
      <c r="A7944" t="s">
        <v>5</v>
      </c>
      <c r="B7944" s="1">
        <v>45988</v>
      </c>
      <c r="C7944">
        <v>23</v>
      </c>
      <c r="D7944">
        <v>0.89300000000000002</v>
      </c>
      <c r="E7944" t="s">
        <v>6</v>
      </c>
      <c r="F7944">
        <v>0.18663999999999997</v>
      </c>
    </row>
    <row r="7945" spans="1:6" x14ac:dyDescent="0.3">
      <c r="A7945" t="s">
        <v>5</v>
      </c>
      <c r="B7945" s="1">
        <v>45988</v>
      </c>
      <c r="C7945">
        <v>24</v>
      </c>
      <c r="D7945">
        <v>0.79300000000000004</v>
      </c>
      <c r="E7945" t="s">
        <v>6</v>
      </c>
      <c r="F7945">
        <v>0.16533</v>
      </c>
    </row>
    <row r="7946" spans="1:6" x14ac:dyDescent="0.3">
      <c r="A7946" t="s">
        <v>5</v>
      </c>
      <c r="B7946" s="1">
        <v>45989</v>
      </c>
      <c r="C7946">
        <v>1</v>
      </c>
      <c r="D7946">
        <v>0.64100000000000001</v>
      </c>
      <c r="E7946" t="s">
        <v>6</v>
      </c>
      <c r="F7946">
        <v>0.12339</v>
      </c>
    </row>
    <row r="7947" spans="1:6" x14ac:dyDescent="0.3">
      <c r="A7947" t="s">
        <v>5</v>
      </c>
      <c r="B7947" s="1">
        <v>45989</v>
      </c>
      <c r="C7947">
        <v>2</v>
      </c>
      <c r="D7947">
        <v>0.79100000000000004</v>
      </c>
      <c r="E7947" t="s">
        <v>6</v>
      </c>
      <c r="F7947">
        <v>0.12041</v>
      </c>
    </row>
    <row r="7948" spans="1:6" x14ac:dyDescent="0.3">
      <c r="A7948" t="s">
        <v>5</v>
      </c>
      <c r="B7948" s="1">
        <v>45989</v>
      </c>
      <c r="C7948">
        <v>3</v>
      </c>
      <c r="D7948">
        <v>0.13900000000000001</v>
      </c>
      <c r="E7948" t="s">
        <v>6</v>
      </c>
      <c r="F7948">
        <v>0.12536</v>
      </c>
    </row>
    <row r="7949" spans="1:6" x14ac:dyDescent="0.3">
      <c r="A7949" t="s">
        <v>5</v>
      </c>
      <c r="B7949" s="1">
        <v>45989</v>
      </c>
      <c r="C7949">
        <v>4</v>
      </c>
      <c r="D7949">
        <v>0.12</v>
      </c>
      <c r="E7949" t="s">
        <v>6</v>
      </c>
      <c r="F7949">
        <v>0.12067</v>
      </c>
    </row>
    <row r="7950" spans="1:6" x14ac:dyDescent="0.3">
      <c r="A7950" t="s">
        <v>5</v>
      </c>
      <c r="B7950" s="1">
        <v>45989</v>
      </c>
      <c r="C7950">
        <v>5</v>
      </c>
      <c r="D7950">
        <v>0.13800000000000001</v>
      </c>
      <c r="E7950" t="s">
        <v>6</v>
      </c>
      <c r="F7950">
        <v>0.12040000000000001</v>
      </c>
    </row>
    <row r="7951" spans="1:6" x14ac:dyDescent="0.3">
      <c r="A7951" t="s">
        <v>5</v>
      </c>
      <c r="B7951" s="1">
        <v>45989</v>
      </c>
      <c r="C7951">
        <v>6</v>
      </c>
      <c r="D7951">
        <v>0.125</v>
      </c>
      <c r="E7951" t="s">
        <v>6</v>
      </c>
      <c r="F7951">
        <v>0.12268000000000001</v>
      </c>
    </row>
    <row r="7952" spans="1:6" x14ac:dyDescent="0.3">
      <c r="A7952" t="s">
        <v>5</v>
      </c>
      <c r="B7952" s="1">
        <v>45989</v>
      </c>
      <c r="C7952">
        <v>7</v>
      </c>
      <c r="D7952">
        <v>0.14199999999999999</v>
      </c>
      <c r="E7952" t="s">
        <v>6</v>
      </c>
      <c r="F7952">
        <v>0.12770999999999999</v>
      </c>
    </row>
    <row r="7953" spans="1:6" x14ac:dyDescent="0.3">
      <c r="A7953" t="s">
        <v>5</v>
      </c>
      <c r="B7953" s="1">
        <v>45989</v>
      </c>
      <c r="C7953">
        <v>8</v>
      </c>
      <c r="D7953">
        <v>0.14399999999999999</v>
      </c>
      <c r="E7953" t="s">
        <v>6</v>
      </c>
      <c r="F7953">
        <v>0.17488000000000001</v>
      </c>
    </row>
    <row r="7954" spans="1:6" x14ac:dyDescent="0.3">
      <c r="A7954" t="s">
        <v>5</v>
      </c>
      <c r="B7954" s="1">
        <v>45989</v>
      </c>
      <c r="C7954">
        <v>9</v>
      </c>
      <c r="D7954">
        <v>0.16</v>
      </c>
      <c r="E7954" t="s">
        <v>6</v>
      </c>
      <c r="F7954">
        <v>0.20741999999999999</v>
      </c>
    </row>
    <row r="7955" spans="1:6" x14ac:dyDescent="0.3">
      <c r="A7955" t="s">
        <v>5</v>
      </c>
      <c r="B7955" s="1">
        <v>45989</v>
      </c>
      <c r="C7955">
        <v>10</v>
      </c>
      <c r="D7955">
        <v>0.13100000000000001</v>
      </c>
      <c r="E7955" t="s">
        <v>6</v>
      </c>
      <c r="F7955">
        <v>0.16384000000000001</v>
      </c>
    </row>
    <row r="7956" spans="1:6" x14ac:dyDescent="0.3">
      <c r="A7956" t="s">
        <v>5</v>
      </c>
      <c r="B7956" s="1">
        <v>45989</v>
      </c>
      <c r="C7956">
        <v>11</v>
      </c>
      <c r="D7956">
        <v>0.129</v>
      </c>
      <c r="E7956" t="s">
        <v>6</v>
      </c>
      <c r="F7956">
        <v>0.20399999999999999</v>
      </c>
    </row>
    <row r="7957" spans="1:6" x14ac:dyDescent="0.3">
      <c r="A7957" t="s">
        <v>5</v>
      </c>
      <c r="B7957" s="1">
        <v>45989</v>
      </c>
      <c r="C7957">
        <v>12</v>
      </c>
      <c r="D7957">
        <v>0.125</v>
      </c>
      <c r="E7957" t="s">
        <v>6</v>
      </c>
      <c r="F7957">
        <v>0.19494999999999998</v>
      </c>
    </row>
    <row r="7958" spans="1:6" x14ac:dyDescent="0.3">
      <c r="A7958" t="s">
        <v>5</v>
      </c>
      <c r="B7958" s="1">
        <v>45989</v>
      </c>
      <c r="C7958">
        <v>13</v>
      </c>
      <c r="D7958">
        <v>0.89100000000000001</v>
      </c>
      <c r="E7958" t="s">
        <v>6</v>
      </c>
      <c r="F7958">
        <v>0.19421000000000002</v>
      </c>
    </row>
    <row r="7959" spans="1:6" x14ac:dyDescent="0.3">
      <c r="A7959" t="s">
        <v>5</v>
      </c>
      <c r="B7959" s="1">
        <v>45989</v>
      </c>
      <c r="C7959">
        <v>14</v>
      </c>
      <c r="D7959">
        <v>0.13400000000000001</v>
      </c>
      <c r="E7959" t="s">
        <v>6</v>
      </c>
      <c r="F7959">
        <v>0.18674000000000002</v>
      </c>
    </row>
    <row r="7960" spans="1:6" x14ac:dyDescent="0.3">
      <c r="A7960" t="s">
        <v>5</v>
      </c>
      <c r="B7960" s="1">
        <v>45989</v>
      </c>
      <c r="C7960">
        <v>15</v>
      </c>
      <c r="D7960">
        <v>0.192</v>
      </c>
      <c r="E7960" t="s">
        <v>6</v>
      </c>
      <c r="F7960">
        <v>0.11913</v>
      </c>
    </row>
    <row r="7961" spans="1:6" x14ac:dyDescent="0.3">
      <c r="A7961" t="s">
        <v>5</v>
      </c>
      <c r="B7961" s="1">
        <v>45989</v>
      </c>
      <c r="C7961">
        <v>16</v>
      </c>
      <c r="D7961">
        <v>0.13600000000000001</v>
      </c>
      <c r="E7961" t="s">
        <v>6</v>
      </c>
      <c r="F7961">
        <v>0.12525</v>
      </c>
    </row>
    <row r="7962" spans="1:6" x14ac:dyDescent="0.3">
      <c r="A7962" t="s">
        <v>5</v>
      </c>
      <c r="B7962" s="1">
        <v>45989</v>
      </c>
      <c r="C7962">
        <v>17</v>
      </c>
      <c r="D7962">
        <v>0.13800000000000001</v>
      </c>
      <c r="E7962" t="s">
        <v>6</v>
      </c>
      <c r="F7962">
        <v>0.13816999999999999</v>
      </c>
    </row>
    <row r="7963" spans="1:6" x14ac:dyDescent="0.3">
      <c r="A7963" t="s">
        <v>5</v>
      </c>
      <c r="B7963" s="1">
        <v>45989</v>
      </c>
      <c r="C7963">
        <v>18</v>
      </c>
      <c r="D7963">
        <v>0.11700000000000001</v>
      </c>
      <c r="E7963" t="s">
        <v>6</v>
      </c>
      <c r="F7963">
        <v>0.16592999999999999</v>
      </c>
    </row>
    <row r="7964" spans="1:6" x14ac:dyDescent="0.3">
      <c r="A7964" t="s">
        <v>5</v>
      </c>
      <c r="B7964" s="1">
        <v>45989</v>
      </c>
      <c r="C7964">
        <v>19</v>
      </c>
      <c r="D7964">
        <v>0.124</v>
      </c>
      <c r="E7964" t="s">
        <v>6</v>
      </c>
      <c r="F7964">
        <v>0.25067</v>
      </c>
    </row>
    <row r="7965" spans="1:6" x14ac:dyDescent="0.3">
      <c r="A7965" t="s">
        <v>5</v>
      </c>
      <c r="B7965" s="1">
        <v>45989</v>
      </c>
      <c r="C7965">
        <v>20</v>
      </c>
      <c r="D7965">
        <v>0.13500000000000001</v>
      </c>
      <c r="E7965" t="s">
        <v>6</v>
      </c>
      <c r="F7965">
        <v>0.26083000000000001</v>
      </c>
    </row>
    <row r="7966" spans="1:6" x14ac:dyDescent="0.3">
      <c r="A7966" t="s">
        <v>5</v>
      </c>
      <c r="B7966" s="1">
        <v>45989</v>
      </c>
      <c r="C7966">
        <v>21</v>
      </c>
      <c r="D7966">
        <v>0.12</v>
      </c>
      <c r="E7966" t="s">
        <v>6</v>
      </c>
      <c r="F7966">
        <v>0.27629000000000004</v>
      </c>
    </row>
    <row r="7967" spans="1:6" x14ac:dyDescent="0.3">
      <c r="A7967" t="s">
        <v>5</v>
      </c>
      <c r="B7967" s="1">
        <v>45989</v>
      </c>
      <c r="C7967">
        <v>22</v>
      </c>
      <c r="D7967">
        <v>0.13300000000000001</v>
      </c>
      <c r="E7967" t="s">
        <v>6</v>
      </c>
      <c r="F7967">
        <v>0.25330999999999998</v>
      </c>
    </row>
    <row r="7968" spans="1:6" x14ac:dyDescent="0.3">
      <c r="A7968" t="s">
        <v>5</v>
      </c>
      <c r="B7968" s="1">
        <v>45989</v>
      </c>
      <c r="C7968">
        <v>23</v>
      </c>
      <c r="D7968">
        <v>0.106</v>
      </c>
      <c r="E7968" t="s">
        <v>6</v>
      </c>
      <c r="F7968">
        <v>0.16725000000000001</v>
      </c>
    </row>
    <row r="7969" spans="1:6" x14ac:dyDescent="0.3">
      <c r="A7969" t="s">
        <v>5</v>
      </c>
      <c r="B7969" s="1">
        <v>45989</v>
      </c>
      <c r="C7969">
        <v>24</v>
      </c>
      <c r="D7969">
        <v>0.13300000000000001</v>
      </c>
      <c r="E7969" t="s">
        <v>6</v>
      </c>
      <c r="F7969">
        <v>0.15669</v>
      </c>
    </row>
    <row r="7970" spans="1:6" x14ac:dyDescent="0.3">
      <c r="A7970" t="s">
        <v>5</v>
      </c>
      <c r="B7970" s="1">
        <v>45990</v>
      </c>
      <c r="C7970">
        <v>1</v>
      </c>
      <c r="D7970">
        <v>0.127</v>
      </c>
      <c r="E7970" t="s">
        <v>6</v>
      </c>
      <c r="F7970">
        <v>0.14357</v>
      </c>
    </row>
    <row r="7971" spans="1:6" x14ac:dyDescent="0.3">
      <c r="A7971" t="s">
        <v>5</v>
      </c>
      <c r="B7971" s="1">
        <v>45990</v>
      </c>
      <c r="C7971">
        <v>2</v>
      </c>
      <c r="D7971">
        <v>0.128</v>
      </c>
      <c r="E7971" t="s">
        <v>6</v>
      </c>
      <c r="F7971">
        <v>0.1394</v>
      </c>
    </row>
    <row r="7972" spans="1:6" x14ac:dyDescent="0.3">
      <c r="A7972" t="s">
        <v>5</v>
      </c>
      <c r="B7972" s="1">
        <v>45990</v>
      </c>
      <c r="C7972">
        <v>3</v>
      </c>
      <c r="D7972">
        <v>0.126</v>
      </c>
      <c r="E7972" t="s">
        <v>6</v>
      </c>
      <c r="F7972">
        <v>0.13854</v>
      </c>
    </row>
    <row r="7973" spans="1:6" x14ac:dyDescent="0.3">
      <c r="A7973" t="s">
        <v>5</v>
      </c>
      <c r="B7973" s="1">
        <v>45990</v>
      </c>
      <c r="C7973">
        <v>4</v>
      </c>
      <c r="D7973">
        <v>0.11700000000000001</v>
      </c>
      <c r="E7973" t="s">
        <v>6</v>
      </c>
      <c r="F7973">
        <v>0.13325999999999999</v>
      </c>
    </row>
    <row r="7974" spans="1:6" x14ac:dyDescent="0.3">
      <c r="A7974" t="s">
        <v>5</v>
      </c>
      <c r="B7974" s="1">
        <v>45990</v>
      </c>
      <c r="C7974">
        <v>5</v>
      </c>
      <c r="D7974">
        <v>0.13300000000000001</v>
      </c>
      <c r="E7974" t="s">
        <v>6</v>
      </c>
      <c r="F7974">
        <v>0.12395</v>
      </c>
    </row>
    <row r="7975" spans="1:6" x14ac:dyDescent="0.3">
      <c r="A7975" t="s">
        <v>5</v>
      </c>
      <c r="B7975" s="1">
        <v>45990</v>
      </c>
      <c r="C7975">
        <v>6</v>
      </c>
      <c r="D7975">
        <v>0.12</v>
      </c>
      <c r="E7975" t="s">
        <v>6</v>
      </c>
      <c r="F7975">
        <v>0.12254999999999999</v>
      </c>
    </row>
    <row r="7976" spans="1:6" x14ac:dyDescent="0.3">
      <c r="A7976" t="s">
        <v>5</v>
      </c>
      <c r="B7976" s="1">
        <v>45990</v>
      </c>
      <c r="C7976">
        <v>7</v>
      </c>
      <c r="D7976">
        <v>0.13400000000000001</v>
      </c>
      <c r="E7976" t="s">
        <v>6</v>
      </c>
      <c r="F7976">
        <v>0.12334999999999999</v>
      </c>
    </row>
    <row r="7977" spans="1:6" x14ac:dyDescent="0.3">
      <c r="A7977" t="s">
        <v>5</v>
      </c>
      <c r="B7977" s="1">
        <v>45990</v>
      </c>
      <c r="C7977">
        <v>8</v>
      </c>
      <c r="D7977">
        <v>0.11600000000000001</v>
      </c>
      <c r="E7977" t="s">
        <v>6</v>
      </c>
      <c r="F7977">
        <v>0.12690000000000001</v>
      </c>
    </row>
    <row r="7978" spans="1:6" x14ac:dyDescent="0.3">
      <c r="A7978" t="s">
        <v>5</v>
      </c>
      <c r="B7978" s="1">
        <v>45990</v>
      </c>
      <c r="C7978">
        <v>9</v>
      </c>
      <c r="D7978">
        <v>0.122</v>
      </c>
      <c r="E7978" t="s">
        <v>6</v>
      </c>
      <c r="F7978">
        <v>0.14057</v>
      </c>
    </row>
    <row r="7979" spans="1:6" x14ac:dyDescent="0.3">
      <c r="A7979" t="s">
        <v>5</v>
      </c>
      <c r="B7979" s="1">
        <v>45990</v>
      </c>
      <c r="C7979">
        <v>10</v>
      </c>
      <c r="D7979">
        <v>0.13100000000000001</v>
      </c>
      <c r="E7979" t="s">
        <v>6</v>
      </c>
      <c r="F7979">
        <v>0.11893000000000001</v>
      </c>
    </row>
    <row r="7980" spans="1:6" x14ac:dyDescent="0.3">
      <c r="A7980" t="s">
        <v>5</v>
      </c>
      <c r="B7980" s="1">
        <v>45990</v>
      </c>
      <c r="C7980">
        <v>11</v>
      </c>
      <c r="D7980">
        <v>0.11899999999999999</v>
      </c>
      <c r="E7980" t="s">
        <v>6</v>
      </c>
      <c r="F7980">
        <v>9.8920000000000008E-2</v>
      </c>
    </row>
    <row r="7981" spans="1:6" x14ac:dyDescent="0.3">
      <c r="A7981" t="s">
        <v>5</v>
      </c>
      <c r="B7981" s="1">
        <v>45990</v>
      </c>
      <c r="C7981">
        <v>12</v>
      </c>
      <c r="D7981">
        <v>0.13100000000000001</v>
      </c>
      <c r="E7981" t="s">
        <v>6</v>
      </c>
      <c r="F7981">
        <v>8.4890000000000007E-2</v>
      </c>
    </row>
    <row r="7982" spans="1:6" x14ac:dyDescent="0.3">
      <c r="A7982" t="s">
        <v>5</v>
      </c>
      <c r="B7982" s="1">
        <v>45990</v>
      </c>
      <c r="C7982">
        <v>13</v>
      </c>
      <c r="D7982">
        <v>0.106</v>
      </c>
      <c r="E7982" t="s">
        <v>6</v>
      </c>
      <c r="F7982">
        <v>8.5180000000000006E-2</v>
      </c>
    </row>
    <row r="7983" spans="1:6" x14ac:dyDescent="0.3">
      <c r="A7983" t="s">
        <v>5</v>
      </c>
      <c r="B7983" s="1">
        <v>45990</v>
      </c>
      <c r="C7983">
        <v>14</v>
      </c>
      <c r="D7983">
        <v>0.13100000000000001</v>
      </c>
      <c r="E7983" t="s">
        <v>6</v>
      </c>
      <c r="F7983">
        <v>7.8819999999999987E-2</v>
      </c>
    </row>
    <row r="7984" spans="1:6" x14ac:dyDescent="0.3">
      <c r="A7984" t="s">
        <v>5</v>
      </c>
      <c r="B7984" s="1">
        <v>45990</v>
      </c>
      <c r="C7984">
        <v>15</v>
      </c>
      <c r="D7984">
        <v>0.125</v>
      </c>
      <c r="E7984" t="s">
        <v>6</v>
      </c>
      <c r="F7984">
        <v>8.2489999999999994E-2</v>
      </c>
    </row>
    <row r="7985" spans="1:6" x14ac:dyDescent="0.3">
      <c r="A7985" t="s">
        <v>5</v>
      </c>
      <c r="B7985" s="1">
        <v>45990</v>
      </c>
      <c r="C7985">
        <v>16</v>
      </c>
      <c r="D7985">
        <v>0.127</v>
      </c>
      <c r="E7985" t="s">
        <v>6</v>
      </c>
      <c r="F7985">
        <v>9.5019999999999993E-2</v>
      </c>
    </row>
    <row r="7986" spans="1:6" x14ac:dyDescent="0.3">
      <c r="A7986" t="s">
        <v>5</v>
      </c>
      <c r="B7986" s="1">
        <v>45990</v>
      </c>
      <c r="C7986">
        <v>17</v>
      </c>
      <c r="D7986">
        <v>0.124</v>
      </c>
      <c r="E7986" t="s">
        <v>6</v>
      </c>
      <c r="F7986">
        <v>0.11458</v>
      </c>
    </row>
    <row r="7987" spans="1:6" x14ac:dyDescent="0.3">
      <c r="A7987" t="s">
        <v>5</v>
      </c>
      <c r="B7987" s="1">
        <v>45990</v>
      </c>
      <c r="C7987">
        <v>18</v>
      </c>
      <c r="D7987">
        <v>0.11799999999999999</v>
      </c>
      <c r="E7987" t="s">
        <v>6</v>
      </c>
      <c r="F7987">
        <v>0.14663999999999999</v>
      </c>
    </row>
    <row r="7988" spans="1:6" x14ac:dyDescent="0.3">
      <c r="A7988" t="s">
        <v>5</v>
      </c>
      <c r="B7988" s="1">
        <v>45990</v>
      </c>
      <c r="C7988">
        <v>19</v>
      </c>
      <c r="D7988">
        <v>0.13400000000000001</v>
      </c>
      <c r="E7988" t="s">
        <v>6</v>
      </c>
      <c r="F7988">
        <v>0.13894000000000001</v>
      </c>
    </row>
    <row r="7989" spans="1:6" x14ac:dyDescent="0.3">
      <c r="A7989" t="s">
        <v>5</v>
      </c>
      <c r="B7989" s="1">
        <v>45990</v>
      </c>
      <c r="C7989">
        <v>20</v>
      </c>
      <c r="D7989">
        <v>0.11899999999999999</v>
      </c>
      <c r="E7989" t="s">
        <v>6</v>
      </c>
      <c r="F7989">
        <v>0.14157</v>
      </c>
    </row>
    <row r="7990" spans="1:6" x14ac:dyDescent="0.3">
      <c r="A7990" t="s">
        <v>5</v>
      </c>
      <c r="B7990" s="1">
        <v>45990</v>
      </c>
      <c r="C7990">
        <v>21</v>
      </c>
      <c r="D7990">
        <v>0.13300000000000001</v>
      </c>
      <c r="E7990" t="s">
        <v>6</v>
      </c>
      <c r="F7990">
        <v>0.14166000000000001</v>
      </c>
    </row>
    <row r="7991" spans="1:6" x14ac:dyDescent="0.3">
      <c r="A7991" t="s">
        <v>5</v>
      </c>
      <c r="B7991" s="1">
        <v>45990</v>
      </c>
      <c r="C7991">
        <v>22</v>
      </c>
      <c r="D7991">
        <v>0.111</v>
      </c>
      <c r="E7991" t="s">
        <v>6</v>
      </c>
      <c r="F7991">
        <v>0.13858000000000001</v>
      </c>
    </row>
    <row r="7992" spans="1:6" x14ac:dyDescent="0.3">
      <c r="A7992" t="s">
        <v>5</v>
      </c>
      <c r="B7992" s="1">
        <v>45990</v>
      </c>
      <c r="C7992">
        <v>23</v>
      </c>
      <c r="D7992">
        <v>0.13</v>
      </c>
      <c r="E7992" t="s">
        <v>6</v>
      </c>
      <c r="F7992">
        <v>0.12604000000000001</v>
      </c>
    </row>
    <row r="7993" spans="1:6" x14ac:dyDescent="0.3">
      <c r="A7993" t="s">
        <v>5</v>
      </c>
      <c r="B7993" s="1">
        <v>45990</v>
      </c>
      <c r="C7993">
        <v>24</v>
      </c>
      <c r="D7993">
        <v>0.13</v>
      </c>
      <c r="E7993" t="s">
        <v>6</v>
      </c>
      <c r="F7993">
        <v>0.12039</v>
      </c>
    </row>
    <row r="7994" spans="1:6" x14ac:dyDescent="0.3">
      <c r="A7994" t="s">
        <v>5</v>
      </c>
      <c r="B7994" s="1">
        <v>45991</v>
      </c>
      <c r="C7994">
        <v>1</v>
      </c>
      <c r="D7994">
        <v>0.125</v>
      </c>
      <c r="E7994" t="s">
        <v>6</v>
      </c>
      <c r="F7994">
        <v>0.11827</v>
      </c>
    </row>
    <row r="7995" spans="1:6" x14ac:dyDescent="0.3">
      <c r="A7995" t="s">
        <v>5</v>
      </c>
      <c r="B7995" s="1">
        <v>45991</v>
      </c>
      <c r="C7995">
        <v>2</v>
      </c>
      <c r="D7995">
        <v>0.128</v>
      </c>
      <c r="E7995" t="s">
        <v>6</v>
      </c>
      <c r="F7995">
        <v>0.11341</v>
      </c>
    </row>
    <row r="7996" spans="1:6" x14ac:dyDescent="0.3">
      <c r="A7996" t="s">
        <v>5</v>
      </c>
      <c r="B7996" s="1">
        <v>45991</v>
      </c>
      <c r="C7996">
        <v>3</v>
      </c>
      <c r="D7996">
        <v>0.115</v>
      </c>
      <c r="E7996" t="s">
        <v>6</v>
      </c>
      <c r="F7996">
        <v>0.11262</v>
      </c>
    </row>
    <row r="7997" spans="1:6" x14ac:dyDescent="0.3">
      <c r="A7997" t="s">
        <v>5</v>
      </c>
      <c r="B7997" s="1">
        <v>45991</v>
      </c>
      <c r="C7997">
        <v>4</v>
      </c>
      <c r="D7997">
        <v>0.13400000000000001</v>
      </c>
      <c r="E7997" t="s">
        <v>6</v>
      </c>
      <c r="F7997">
        <v>0.11108</v>
      </c>
    </row>
    <row r="7998" spans="1:6" x14ac:dyDescent="0.3">
      <c r="A7998" t="s">
        <v>5</v>
      </c>
      <c r="B7998" s="1">
        <v>45991</v>
      </c>
      <c r="C7998">
        <v>5</v>
      </c>
      <c r="D7998">
        <v>0.11899999999999999</v>
      </c>
      <c r="E7998" t="s">
        <v>6</v>
      </c>
      <c r="F7998">
        <v>0.11144</v>
      </c>
    </row>
    <row r="7999" spans="1:6" x14ac:dyDescent="0.3">
      <c r="A7999" t="s">
        <v>5</v>
      </c>
      <c r="B7999" s="1">
        <v>45991</v>
      </c>
      <c r="C7999">
        <v>6</v>
      </c>
      <c r="D7999">
        <v>0.13300000000000001</v>
      </c>
      <c r="E7999" t="s">
        <v>6</v>
      </c>
      <c r="F7999">
        <v>0.11186</v>
      </c>
    </row>
    <row r="8000" spans="1:6" x14ac:dyDescent="0.3">
      <c r="A8000" t="s">
        <v>5</v>
      </c>
      <c r="B8000" s="1">
        <v>45991</v>
      </c>
      <c r="C8000">
        <v>7</v>
      </c>
      <c r="D8000">
        <v>0.113</v>
      </c>
      <c r="E8000" t="s">
        <v>6</v>
      </c>
      <c r="F8000">
        <v>0.10908</v>
      </c>
    </row>
    <row r="8001" spans="1:6" x14ac:dyDescent="0.3">
      <c r="A8001" t="s">
        <v>5</v>
      </c>
      <c r="B8001" s="1">
        <v>45991</v>
      </c>
      <c r="C8001">
        <v>8</v>
      </c>
      <c r="D8001">
        <v>0.126</v>
      </c>
      <c r="E8001" t="s">
        <v>6</v>
      </c>
      <c r="F8001">
        <v>0.11237999999999999</v>
      </c>
    </row>
    <row r="8002" spans="1:6" x14ac:dyDescent="0.3">
      <c r="A8002" t="s">
        <v>5</v>
      </c>
      <c r="B8002" s="1">
        <v>45991</v>
      </c>
      <c r="C8002">
        <v>9</v>
      </c>
      <c r="D8002">
        <v>0.127</v>
      </c>
      <c r="E8002" t="s">
        <v>6</v>
      </c>
      <c r="F8002">
        <v>0.12164</v>
      </c>
    </row>
    <row r="8003" spans="1:6" x14ac:dyDescent="0.3">
      <c r="A8003" t="s">
        <v>5</v>
      </c>
      <c r="B8003" s="1">
        <v>45991</v>
      </c>
      <c r="C8003">
        <v>10</v>
      </c>
      <c r="D8003">
        <v>0.122</v>
      </c>
      <c r="E8003" t="s">
        <v>6</v>
      </c>
      <c r="F8003">
        <v>0.12490999999999999</v>
      </c>
    </row>
    <row r="8004" spans="1:6" x14ac:dyDescent="0.3">
      <c r="A8004" t="s">
        <v>5</v>
      </c>
      <c r="B8004" s="1">
        <v>45991</v>
      </c>
      <c r="C8004">
        <v>11</v>
      </c>
      <c r="D8004">
        <v>0.15</v>
      </c>
      <c r="E8004" t="s">
        <v>6</v>
      </c>
      <c r="F8004">
        <v>0.11115999999999999</v>
      </c>
    </row>
    <row r="8005" spans="1:6" x14ac:dyDescent="0.3">
      <c r="A8005" t="s">
        <v>5</v>
      </c>
      <c r="B8005" s="1">
        <v>45991</v>
      </c>
      <c r="C8005">
        <v>12</v>
      </c>
      <c r="D8005">
        <v>0.19600000000000001</v>
      </c>
      <c r="E8005" t="s">
        <v>6</v>
      </c>
      <c r="F8005">
        <v>9.6640000000000004E-2</v>
      </c>
    </row>
    <row r="8006" spans="1:6" x14ac:dyDescent="0.3">
      <c r="A8006" t="s">
        <v>5</v>
      </c>
      <c r="B8006" s="1">
        <v>45991</v>
      </c>
      <c r="C8006">
        <v>13</v>
      </c>
      <c r="D8006">
        <v>0.13500000000000001</v>
      </c>
      <c r="E8006" t="s">
        <v>6</v>
      </c>
      <c r="F8006">
        <v>8.233E-2</v>
      </c>
    </row>
    <row r="8007" spans="1:6" x14ac:dyDescent="0.3">
      <c r="A8007" t="s">
        <v>5</v>
      </c>
      <c r="B8007" s="1">
        <v>45991</v>
      </c>
      <c r="C8007">
        <v>14</v>
      </c>
      <c r="D8007">
        <v>0.13</v>
      </c>
      <c r="E8007" t="s">
        <v>6</v>
      </c>
      <c r="F8007">
        <v>8.8849999999999998E-2</v>
      </c>
    </row>
    <row r="8008" spans="1:6" x14ac:dyDescent="0.3">
      <c r="A8008" t="s">
        <v>5</v>
      </c>
      <c r="B8008" s="1">
        <v>45991</v>
      </c>
      <c r="C8008">
        <v>15</v>
      </c>
      <c r="D8008">
        <v>0.11799999999999999</v>
      </c>
      <c r="E8008" t="s">
        <v>6</v>
      </c>
      <c r="F8008">
        <v>9.2060000000000003E-2</v>
      </c>
    </row>
    <row r="8009" spans="1:6" x14ac:dyDescent="0.3">
      <c r="A8009" t="s">
        <v>5</v>
      </c>
      <c r="B8009" s="1">
        <v>45991</v>
      </c>
      <c r="C8009">
        <v>16</v>
      </c>
      <c r="D8009">
        <v>0.13300000000000001</v>
      </c>
      <c r="E8009" t="s">
        <v>6</v>
      </c>
      <c r="F8009">
        <v>0.10466</v>
      </c>
    </row>
    <row r="8010" spans="1:6" x14ac:dyDescent="0.3">
      <c r="A8010" t="s">
        <v>5</v>
      </c>
      <c r="B8010" s="1">
        <v>45991</v>
      </c>
      <c r="C8010">
        <v>17</v>
      </c>
      <c r="D8010">
        <v>0.115</v>
      </c>
      <c r="E8010" t="s">
        <v>6</v>
      </c>
      <c r="F8010">
        <v>0.12590999999999999</v>
      </c>
    </row>
    <row r="8011" spans="1:6" x14ac:dyDescent="0.3">
      <c r="A8011" t="s">
        <v>5</v>
      </c>
      <c r="B8011" s="1">
        <v>45991</v>
      </c>
      <c r="C8011">
        <v>18</v>
      </c>
      <c r="D8011">
        <v>0.13</v>
      </c>
      <c r="E8011" t="s">
        <v>6</v>
      </c>
      <c r="F8011">
        <v>0.14437</v>
      </c>
    </row>
    <row r="8012" spans="1:6" x14ac:dyDescent="0.3">
      <c r="A8012" t="s">
        <v>5</v>
      </c>
      <c r="B8012" s="1">
        <v>45991</v>
      </c>
      <c r="C8012">
        <v>19</v>
      </c>
      <c r="D8012">
        <v>0.17199999999999999</v>
      </c>
      <c r="E8012" t="s">
        <v>6</v>
      </c>
      <c r="F8012">
        <v>0.14624000000000001</v>
      </c>
    </row>
    <row r="8013" spans="1:6" x14ac:dyDescent="0.3">
      <c r="A8013" t="s">
        <v>5</v>
      </c>
      <c r="B8013" s="1">
        <v>45991</v>
      </c>
      <c r="C8013">
        <v>20</v>
      </c>
      <c r="D8013">
        <v>0.156</v>
      </c>
      <c r="E8013" t="s">
        <v>6</v>
      </c>
      <c r="F8013">
        <v>0.14871999999999999</v>
      </c>
    </row>
    <row r="8014" spans="1:6" x14ac:dyDescent="0.3">
      <c r="A8014" t="s">
        <v>5</v>
      </c>
      <c r="B8014" s="1">
        <v>45991</v>
      </c>
      <c r="C8014">
        <v>21</v>
      </c>
      <c r="D8014">
        <v>0.26300000000000001</v>
      </c>
      <c r="E8014" t="s">
        <v>6</v>
      </c>
      <c r="F8014">
        <v>0.14308000000000001</v>
      </c>
    </row>
    <row r="8015" spans="1:6" x14ac:dyDescent="0.3">
      <c r="A8015" t="s">
        <v>5</v>
      </c>
      <c r="B8015" s="1">
        <v>45991</v>
      </c>
      <c r="C8015">
        <v>22</v>
      </c>
      <c r="D8015">
        <v>0.28399999999999997</v>
      </c>
      <c r="E8015" t="s">
        <v>6</v>
      </c>
      <c r="F8015">
        <v>0.13659000000000002</v>
      </c>
    </row>
    <row r="8016" spans="1:6" x14ac:dyDescent="0.3">
      <c r="A8016" t="s">
        <v>5</v>
      </c>
      <c r="B8016" s="1">
        <v>45991</v>
      </c>
      <c r="C8016">
        <v>23</v>
      </c>
      <c r="D8016">
        <v>0.185</v>
      </c>
      <c r="E8016" t="s">
        <v>6</v>
      </c>
      <c r="F8016">
        <v>0.13218000000000002</v>
      </c>
    </row>
    <row r="8017" spans="1:6" x14ac:dyDescent="0.3">
      <c r="A8017" t="s">
        <v>5</v>
      </c>
      <c r="B8017" s="1">
        <v>45991</v>
      </c>
      <c r="C8017">
        <v>24</v>
      </c>
      <c r="D8017">
        <v>0.25800000000000001</v>
      </c>
      <c r="E8017" t="s">
        <v>6</v>
      </c>
      <c r="F8017">
        <v>0.12562000000000001</v>
      </c>
    </row>
    <row r="8018" spans="1:6" x14ac:dyDescent="0.3">
      <c r="A8018" t="s">
        <v>5</v>
      </c>
      <c r="B8018" s="1">
        <v>45992</v>
      </c>
      <c r="C8018">
        <v>1</v>
      </c>
      <c r="D8018">
        <v>0.17599999999999999</v>
      </c>
      <c r="E8018" t="s">
        <v>6</v>
      </c>
      <c r="F8018">
        <v>0.12581999999999999</v>
      </c>
    </row>
    <row r="8019" spans="1:6" x14ac:dyDescent="0.3">
      <c r="A8019" t="s">
        <v>5</v>
      </c>
      <c r="B8019" s="1">
        <v>45992</v>
      </c>
      <c r="C8019">
        <v>2</v>
      </c>
      <c r="D8019">
        <v>0.182</v>
      </c>
      <c r="E8019" t="s">
        <v>6</v>
      </c>
      <c r="F8019">
        <v>0.11614000000000001</v>
      </c>
    </row>
    <row r="8020" spans="1:6" x14ac:dyDescent="0.3">
      <c r="A8020" t="s">
        <v>5</v>
      </c>
      <c r="B8020" s="1">
        <v>45992</v>
      </c>
      <c r="C8020">
        <v>3</v>
      </c>
      <c r="D8020">
        <v>0.13800000000000001</v>
      </c>
      <c r="E8020" t="s">
        <v>6</v>
      </c>
      <c r="F8020">
        <v>0.11181000000000001</v>
      </c>
    </row>
    <row r="8021" spans="1:6" x14ac:dyDescent="0.3">
      <c r="A8021" t="s">
        <v>5</v>
      </c>
      <c r="B8021" s="1">
        <v>45992</v>
      </c>
      <c r="C8021">
        <v>4</v>
      </c>
      <c r="D8021">
        <v>0.14000000000000001</v>
      </c>
      <c r="E8021" t="s">
        <v>6</v>
      </c>
      <c r="F8021">
        <v>0.11267000000000001</v>
      </c>
    </row>
    <row r="8022" spans="1:6" x14ac:dyDescent="0.3">
      <c r="A8022" t="s">
        <v>5</v>
      </c>
      <c r="B8022" s="1">
        <v>45992</v>
      </c>
      <c r="C8022">
        <v>5</v>
      </c>
      <c r="D8022">
        <v>0.13200000000000001</v>
      </c>
      <c r="E8022" t="s">
        <v>6</v>
      </c>
      <c r="F8022">
        <v>0.11937</v>
      </c>
    </row>
    <row r="8023" spans="1:6" x14ac:dyDescent="0.3">
      <c r="A8023" t="s">
        <v>5</v>
      </c>
      <c r="B8023" s="1">
        <v>45992</v>
      </c>
      <c r="C8023">
        <v>6</v>
      </c>
      <c r="D8023">
        <v>0.125</v>
      </c>
      <c r="E8023" t="s">
        <v>6</v>
      </c>
      <c r="F8023">
        <v>0.12919999999999998</v>
      </c>
    </row>
    <row r="8024" spans="1:6" x14ac:dyDescent="0.3">
      <c r="A8024" t="s">
        <v>5</v>
      </c>
      <c r="B8024" s="1">
        <v>45992</v>
      </c>
      <c r="C8024">
        <v>7</v>
      </c>
      <c r="D8024">
        <v>0.13200000000000001</v>
      </c>
      <c r="E8024" t="s">
        <v>6</v>
      </c>
      <c r="F8024">
        <v>0.13771</v>
      </c>
    </row>
    <row r="8025" spans="1:6" x14ac:dyDescent="0.3">
      <c r="A8025" t="s">
        <v>5</v>
      </c>
      <c r="B8025" s="1">
        <v>45992</v>
      </c>
      <c r="C8025">
        <v>8</v>
      </c>
      <c r="D8025">
        <v>0.13900000000000001</v>
      </c>
      <c r="E8025" t="s">
        <v>6</v>
      </c>
      <c r="F8025">
        <v>0.14607000000000001</v>
      </c>
    </row>
    <row r="8026" spans="1:6" x14ac:dyDescent="0.3">
      <c r="A8026" t="s">
        <v>5</v>
      </c>
      <c r="B8026" s="1">
        <v>45992</v>
      </c>
      <c r="C8026">
        <v>9</v>
      </c>
      <c r="D8026">
        <v>0.16400000000000001</v>
      </c>
      <c r="E8026" t="s">
        <v>6</v>
      </c>
      <c r="F8026">
        <v>0.17637</v>
      </c>
    </row>
    <row r="8027" spans="1:6" x14ac:dyDescent="0.3">
      <c r="A8027" t="s">
        <v>5</v>
      </c>
      <c r="B8027" s="1">
        <v>45992</v>
      </c>
      <c r="C8027">
        <v>10</v>
      </c>
      <c r="D8027">
        <v>0.13100000000000001</v>
      </c>
      <c r="E8027" t="s">
        <v>6</v>
      </c>
      <c r="F8027">
        <v>0.15462000000000001</v>
      </c>
    </row>
    <row r="8028" spans="1:6" x14ac:dyDescent="0.3">
      <c r="A8028" t="s">
        <v>5</v>
      </c>
      <c r="B8028" s="1">
        <v>45992</v>
      </c>
      <c r="C8028">
        <v>11</v>
      </c>
      <c r="D8028">
        <v>0.14799999999999999</v>
      </c>
      <c r="E8028" t="s">
        <v>6</v>
      </c>
      <c r="F8028">
        <v>0.20105000000000001</v>
      </c>
    </row>
    <row r="8029" spans="1:6" x14ac:dyDescent="0.3">
      <c r="A8029" t="s">
        <v>5</v>
      </c>
      <c r="B8029" s="1">
        <v>45992</v>
      </c>
      <c r="C8029">
        <v>12</v>
      </c>
      <c r="D8029">
        <v>0.14899999999999999</v>
      </c>
      <c r="E8029" t="s">
        <v>6</v>
      </c>
      <c r="F8029">
        <v>0.19372999999999999</v>
      </c>
    </row>
    <row r="8030" spans="1:6" x14ac:dyDescent="0.3">
      <c r="A8030" t="s">
        <v>5</v>
      </c>
      <c r="B8030" s="1">
        <v>45992</v>
      </c>
      <c r="C8030">
        <v>13</v>
      </c>
      <c r="D8030">
        <v>0.13300000000000001</v>
      </c>
      <c r="E8030" t="s">
        <v>6</v>
      </c>
      <c r="F8030">
        <v>0.19655</v>
      </c>
    </row>
    <row r="8031" spans="1:6" x14ac:dyDescent="0.3">
      <c r="A8031" t="s">
        <v>5</v>
      </c>
      <c r="B8031" s="1">
        <v>45992</v>
      </c>
      <c r="C8031">
        <v>14</v>
      </c>
      <c r="D8031">
        <v>0.12</v>
      </c>
      <c r="E8031" t="s">
        <v>6</v>
      </c>
      <c r="F8031">
        <v>0.19213</v>
      </c>
    </row>
    <row r="8032" spans="1:6" x14ac:dyDescent="0.3">
      <c r="A8032" t="s">
        <v>5</v>
      </c>
      <c r="B8032" s="1">
        <v>45992</v>
      </c>
      <c r="C8032">
        <v>15</v>
      </c>
      <c r="D8032">
        <v>0.307</v>
      </c>
      <c r="E8032" t="s">
        <v>6</v>
      </c>
      <c r="F8032">
        <v>0.12753</v>
      </c>
    </row>
    <row r="8033" spans="1:6" x14ac:dyDescent="0.3">
      <c r="A8033" t="s">
        <v>5</v>
      </c>
      <c r="B8033" s="1">
        <v>45992</v>
      </c>
      <c r="C8033">
        <v>16</v>
      </c>
      <c r="D8033">
        <v>0.19900000000000001</v>
      </c>
      <c r="E8033" t="s">
        <v>6</v>
      </c>
      <c r="F8033">
        <v>0.13253000000000001</v>
      </c>
    </row>
    <row r="8034" spans="1:6" x14ac:dyDescent="0.3">
      <c r="A8034" t="s">
        <v>5</v>
      </c>
      <c r="B8034" s="1">
        <v>45992</v>
      </c>
      <c r="C8034">
        <v>17</v>
      </c>
      <c r="D8034">
        <v>0.188</v>
      </c>
      <c r="E8034" t="s">
        <v>6</v>
      </c>
      <c r="F8034">
        <v>0.14463999999999999</v>
      </c>
    </row>
    <row r="8035" spans="1:6" x14ac:dyDescent="0.3">
      <c r="A8035" t="s">
        <v>5</v>
      </c>
      <c r="B8035" s="1">
        <v>45992</v>
      </c>
      <c r="C8035">
        <v>18</v>
      </c>
      <c r="D8035">
        <v>0.185</v>
      </c>
      <c r="E8035" t="s">
        <v>6</v>
      </c>
      <c r="F8035">
        <v>0.15500999999999998</v>
      </c>
    </row>
    <row r="8036" spans="1:6" x14ac:dyDescent="0.3">
      <c r="A8036" t="s">
        <v>5</v>
      </c>
      <c r="B8036" s="1">
        <v>45992</v>
      </c>
      <c r="C8036">
        <v>19</v>
      </c>
      <c r="D8036">
        <v>0.161</v>
      </c>
      <c r="E8036" t="s">
        <v>6</v>
      </c>
      <c r="F8036">
        <v>0.23669999999999999</v>
      </c>
    </row>
    <row r="8037" spans="1:6" x14ac:dyDescent="0.3">
      <c r="A8037" t="s">
        <v>5</v>
      </c>
      <c r="B8037" s="1">
        <v>45992</v>
      </c>
      <c r="C8037">
        <v>20</v>
      </c>
      <c r="D8037">
        <v>0.20300000000000001</v>
      </c>
      <c r="E8037" t="s">
        <v>6</v>
      </c>
      <c r="F8037">
        <v>0.25601000000000002</v>
      </c>
    </row>
    <row r="8038" spans="1:6" x14ac:dyDescent="0.3">
      <c r="A8038" t="s">
        <v>5</v>
      </c>
      <c r="B8038" s="1">
        <v>45992</v>
      </c>
      <c r="C8038">
        <v>21</v>
      </c>
      <c r="D8038">
        <v>0.28999999999999998</v>
      </c>
      <c r="E8038" t="s">
        <v>6</v>
      </c>
      <c r="F8038">
        <v>0.27287</v>
      </c>
    </row>
    <row r="8039" spans="1:6" x14ac:dyDescent="0.3">
      <c r="A8039" t="s">
        <v>5</v>
      </c>
      <c r="B8039" s="1">
        <v>45992</v>
      </c>
      <c r="C8039">
        <v>22</v>
      </c>
      <c r="D8039">
        <v>0.53</v>
      </c>
      <c r="E8039" t="s">
        <v>6</v>
      </c>
      <c r="F8039">
        <v>0.27050000000000002</v>
      </c>
    </row>
    <row r="8040" spans="1:6" x14ac:dyDescent="0.3">
      <c r="A8040" t="s">
        <v>5</v>
      </c>
      <c r="B8040" s="1">
        <v>45992</v>
      </c>
      <c r="C8040">
        <v>23</v>
      </c>
      <c r="D8040">
        <v>0.30399999999999999</v>
      </c>
      <c r="E8040" t="s">
        <v>6</v>
      </c>
      <c r="F8040">
        <v>0.17011999999999999</v>
      </c>
    </row>
    <row r="8041" spans="1:6" x14ac:dyDescent="0.3">
      <c r="A8041" t="s">
        <v>5</v>
      </c>
      <c r="B8041" s="1">
        <v>45992</v>
      </c>
      <c r="C8041">
        <v>24</v>
      </c>
      <c r="D8041">
        <v>0.35799999999999998</v>
      </c>
      <c r="E8041" t="s">
        <v>6</v>
      </c>
      <c r="F8041">
        <v>0.15353999999999998</v>
      </c>
    </row>
    <row r="8042" spans="1:6" x14ac:dyDescent="0.3">
      <c r="A8042" t="s">
        <v>5</v>
      </c>
      <c r="B8042" s="1">
        <v>45993</v>
      </c>
      <c r="C8042">
        <v>1</v>
      </c>
      <c r="D8042">
        <v>0.28199999999999997</v>
      </c>
      <c r="E8042" t="s">
        <v>6</v>
      </c>
      <c r="F8042">
        <v>0.1162</v>
      </c>
    </row>
    <row r="8043" spans="1:6" x14ac:dyDescent="0.3">
      <c r="A8043" t="s">
        <v>5</v>
      </c>
      <c r="B8043" s="1">
        <v>45993</v>
      </c>
      <c r="C8043">
        <v>2</v>
      </c>
      <c r="D8043">
        <v>0.17100000000000001</v>
      </c>
      <c r="E8043" t="s">
        <v>6</v>
      </c>
      <c r="F8043">
        <v>0.11561</v>
      </c>
    </row>
    <row r="8044" spans="1:6" x14ac:dyDescent="0.3">
      <c r="A8044" t="s">
        <v>5</v>
      </c>
      <c r="B8044" s="1">
        <v>45993</v>
      </c>
      <c r="C8044">
        <v>3</v>
      </c>
      <c r="D8044">
        <v>0.13800000000000001</v>
      </c>
      <c r="E8044" t="s">
        <v>6</v>
      </c>
      <c r="F8044">
        <v>0.11297</v>
      </c>
    </row>
    <row r="8045" spans="1:6" x14ac:dyDescent="0.3">
      <c r="A8045" t="s">
        <v>5</v>
      </c>
      <c r="B8045" s="1">
        <v>45993</v>
      </c>
      <c r="C8045">
        <v>4</v>
      </c>
      <c r="D8045">
        <v>0.13900000000000001</v>
      </c>
      <c r="E8045" t="s">
        <v>6</v>
      </c>
      <c r="F8045">
        <v>0.10704999999999999</v>
      </c>
    </row>
    <row r="8046" spans="1:6" x14ac:dyDescent="0.3">
      <c r="A8046" t="s">
        <v>5</v>
      </c>
      <c r="B8046" s="1">
        <v>45993</v>
      </c>
      <c r="C8046">
        <v>5</v>
      </c>
      <c r="D8046">
        <v>0.129</v>
      </c>
      <c r="E8046" t="s">
        <v>6</v>
      </c>
      <c r="F8046">
        <v>0.106</v>
      </c>
    </row>
    <row r="8047" spans="1:6" x14ac:dyDescent="0.3">
      <c r="A8047" t="s">
        <v>5</v>
      </c>
      <c r="B8047" s="1">
        <v>45993</v>
      </c>
      <c r="C8047">
        <v>6</v>
      </c>
      <c r="D8047">
        <v>0.126</v>
      </c>
      <c r="E8047" t="s">
        <v>6</v>
      </c>
      <c r="F8047">
        <v>0.10712000000000001</v>
      </c>
    </row>
    <row r="8048" spans="1:6" x14ac:dyDescent="0.3">
      <c r="A8048" t="s">
        <v>5</v>
      </c>
      <c r="B8048" s="1">
        <v>45993</v>
      </c>
      <c r="C8048">
        <v>7</v>
      </c>
      <c r="D8048">
        <v>0.13700000000000001</v>
      </c>
      <c r="E8048" t="s">
        <v>6</v>
      </c>
      <c r="F8048">
        <v>0.11833</v>
      </c>
    </row>
    <row r="8049" spans="1:6" x14ac:dyDescent="0.3">
      <c r="A8049" t="s">
        <v>5</v>
      </c>
      <c r="B8049" s="1">
        <v>45993</v>
      </c>
      <c r="C8049">
        <v>8</v>
      </c>
      <c r="D8049">
        <v>0.16400000000000001</v>
      </c>
      <c r="E8049" t="s">
        <v>6</v>
      </c>
      <c r="F8049">
        <v>0.12618000000000001</v>
      </c>
    </row>
    <row r="8050" spans="1:6" x14ac:dyDescent="0.3">
      <c r="A8050" t="s">
        <v>5</v>
      </c>
      <c r="B8050" s="1">
        <v>45993</v>
      </c>
      <c r="C8050">
        <v>9</v>
      </c>
      <c r="D8050">
        <v>0.19900000000000001</v>
      </c>
      <c r="E8050" t="s">
        <v>6</v>
      </c>
      <c r="F8050">
        <v>0.1651</v>
      </c>
    </row>
    <row r="8051" spans="1:6" x14ac:dyDescent="0.3">
      <c r="A8051" t="s">
        <v>5</v>
      </c>
      <c r="B8051" s="1">
        <v>45993</v>
      </c>
      <c r="C8051">
        <v>10</v>
      </c>
      <c r="D8051">
        <v>0.18099999999999999</v>
      </c>
      <c r="E8051" t="s">
        <v>6</v>
      </c>
      <c r="F8051">
        <v>0.15891999999999998</v>
      </c>
    </row>
    <row r="8052" spans="1:6" x14ac:dyDescent="0.3">
      <c r="A8052" t="s">
        <v>5</v>
      </c>
      <c r="B8052" s="1">
        <v>45993</v>
      </c>
      <c r="C8052">
        <v>11</v>
      </c>
      <c r="D8052">
        <v>0.17499999999999999</v>
      </c>
      <c r="E8052" t="s">
        <v>6</v>
      </c>
      <c r="F8052">
        <v>0.20795</v>
      </c>
    </row>
    <row r="8053" spans="1:6" x14ac:dyDescent="0.3">
      <c r="A8053" t="s">
        <v>5</v>
      </c>
      <c r="B8053" s="1">
        <v>45993</v>
      </c>
      <c r="C8053">
        <v>12</v>
      </c>
      <c r="D8053">
        <v>0.14299999999999999</v>
      </c>
      <c r="E8053" t="s">
        <v>6</v>
      </c>
      <c r="F8053">
        <v>0.20629</v>
      </c>
    </row>
    <row r="8054" spans="1:6" x14ac:dyDescent="0.3">
      <c r="A8054" t="s">
        <v>5</v>
      </c>
      <c r="B8054" s="1">
        <v>45993</v>
      </c>
      <c r="C8054">
        <v>13</v>
      </c>
      <c r="D8054">
        <v>0.35199999999999998</v>
      </c>
      <c r="E8054" t="s">
        <v>6</v>
      </c>
      <c r="F8054">
        <v>0.20604</v>
      </c>
    </row>
    <row r="8055" spans="1:6" x14ac:dyDescent="0.3">
      <c r="A8055" t="s">
        <v>5</v>
      </c>
      <c r="B8055" s="1">
        <v>45993</v>
      </c>
      <c r="C8055">
        <v>14</v>
      </c>
      <c r="D8055">
        <v>0.22600000000000001</v>
      </c>
      <c r="E8055" t="s">
        <v>6</v>
      </c>
      <c r="F8055">
        <v>0.19742999999999999</v>
      </c>
    </row>
    <row r="8056" spans="1:6" x14ac:dyDescent="0.3">
      <c r="A8056" t="s">
        <v>5</v>
      </c>
      <c r="B8056" s="1">
        <v>45993</v>
      </c>
      <c r="C8056">
        <v>15</v>
      </c>
      <c r="D8056">
        <v>6.8000000000000005E-2</v>
      </c>
      <c r="E8056" t="s">
        <v>6</v>
      </c>
      <c r="F8056">
        <v>0.13099</v>
      </c>
    </row>
    <row r="8057" spans="1:6" x14ac:dyDescent="0.3">
      <c r="A8057" t="s">
        <v>5</v>
      </c>
      <c r="B8057" s="1">
        <v>45993</v>
      </c>
      <c r="C8057">
        <v>16</v>
      </c>
      <c r="D8057">
        <v>6.9000000000000006E-2</v>
      </c>
      <c r="E8057" t="s">
        <v>6</v>
      </c>
      <c r="F8057">
        <v>0.14266000000000001</v>
      </c>
    </row>
    <row r="8058" spans="1:6" x14ac:dyDescent="0.3">
      <c r="A8058" t="s">
        <v>5</v>
      </c>
      <c r="B8058" s="1">
        <v>45993</v>
      </c>
      <c r="C8058">
        <v>17</v>
      </c>
      <c r="D8058">
        <v>0.377</v>
      </c>
      <c r="E8058" t="s">
        <v>6</v>
      </c>
      <c r="F8058">
        <v>0.14621000000000001</v>
      </c>
    </row>
    <row r="8059" spans="1:6" x14ac:dyDescent="0.3">
      <c r="A8059" t="s">
        <v>5</v>
      </c>
      <c r="B8059" s="1">
        <v>45993</v>
      </c>
      <c r="C8059">
        <v>18</v>
      </c>
      <c r="D8059">
        <v>1.0069999999999999</v>
      </c>
      <c r="E8059" t="s">
        <v>6</v>
      </c>
      <c r="F8059">
        <v>0.17590999999999998</v>
      </c>
    </row>
    <row r="8060" spans="1:6" x14ac:dyDescent="0.3">
      <c r="A8060" t="s">
        <v>5</v>
      </c>
      <c r="B8060" s="1">
        <v>45993</v>
      </c>
      <c r="C8060">
        <v>19</v>
      </c>
      <c r="D8060">
        <v>0.753</v>
      </c>
      <c r="E8060" t="s">
        <v>6</v>
      </c>
      <c r="F8060">
        <v>0.26221</v>
      </c>
    </row>
    <row r="8061" spans="1:6" x14ac:dyDescent="0.3">
      <c r="A8061" t="s">
        <v>5</v>
      </c>
      <c r="B8061" s="1">
        <v>45993</v>
      </c>
      <c r="C8061">
        <v>20</v>
      </c>
      <c r="D8061">
        <v>8.7999999999999995E-2</v>
      </c>
      <c r="E8061" t="s">
        <v>6</v>
      </c>
      <c r="F8061">
        <v>0.26429000000000002</v>
      </c>
    </row>
    <row r="8062" spans="1:6" x14ac:dyDescent="0.3">
      <c r="A8062" t="s">
        <v>5</v>
      </c>
      <c r="B8062" s="1">
        <v>45993</v>
      </c>
      <c r="C8062">
        <v>21</v>
      </c>
      <c r="D8062">
        <v>0.14899999999999999</v>
      </c>
      <c r="E8062" t="s">
        <v>6</v>
      </c>
      <c r="F8062">
        <v>0.25695000000000001</v>
      </c>
    </row>
    <row r="8063" spans="1:6" x14ac:dyDescent="0.3">
      <c r="A8063" t="s">
        <v>5</v>
      </c>
      <c r="B8063" s="1">
        <v>45993</v>
      </c>
      <c r="C8063">
        <v>22</v>
      </c>
      <c r="D8063">
        <v>0.33400000000000002</v>
      </c>
      <c r="E8063" t="s">
        <v>6</v>
      </c>
      <c r="F8063">
        <v>0.23843</v>
      </c>
    </row>
    <row r="8064" spans="1:6" x14ac:dyDescent="0.3">
      <c r="A8064" t="s">
        <v>5</v>
      </c>
      <c r="B8064" s="1">
        <v>45993</v>
      </c>
      <c r="C8064">
        <v>23</v>
      </c>
      <c r="D8064">
        <v>0.189</v>
      </c>
      <c r="E8064" t="s">
        <v>6</v>
      </c>
      <c r="F8064">
        <v>0.15702000000000002</v>
      </c>
    </row>
    <row r="8065" spans="1:6" x14ac:dyDescent="0.3">
      <c r="A8065" t="s">
        <v>5</v>
      </c>
      <c r="B8065" s="1">
        <v>45993</v>
      </c>
      <c r="C8065">
        <v>24</v>
      </c>
      <c r="D8065">
        <v>0.185</v>
      </c>
      <c r="E8065" t="s">
        <v>6</v>
      </c>
      <c r="F8065">
        <v>0.14713999999999999</v>
      </c>
    </row>
    <row r="8066" spans="1:6" x14ac:dyDescent="0.3">
      <c r="A8066" t="s">
        <v>5</v>
      </c>
      <c r="B8066" s="1">
        <v>45994</v>
      </c>
      <c r="C8066">
        <v>1</v>
      </c>
      <c r="D8066">
        <v>0.14699999999999999</v>
      </c>
      <c r="E8066" t="s">
        <v>6</v>
      </c>
      <c r="F8066">
        <v>0.12918000000000002</v>
      </c>
    </row>
    <row r="8067" spans="1:6" x14ac:dyDescent="0.3">
      <c r="A8067" t="s">
        <v>5</v>
      </c>
      <c r="B8067" s="1">
        <v>45994</v>
      </c>
      <c r="C8067">
        <v>2</v>
      </c>
      <c r="D8067">
        <v>7.3999999999999996E-2</v>
      </c>
      <c r="E8067" t="s">
        <v>6</v>
      </c>
      <c r="F8067">
        <v>0.12484999999999999</v>
      </c>
    </row>
    <row r="8068" spans="1:6" x14ac:dyDescent="0.3">
      <c r="A8068" t="s">
        <v>5</v>
      </c>
      <c r="B8068" s="1">
        <v>45994</v>
      </c>
      <c r="C8068">
        <v>3</v>
      </c>
      <c r="D8068">
        <v>6.9000000000000006E-2</v>
      </c>
      <c r="E8068" t="s">
        <v>6</v>
      </c>
      <c r="F8068">
        <v>0.12057</v>
      </c>
    </row>
    <row r="8069" spans="1:6" x14ac:dyDescent="0.3">
      <c r="A8069" t="s">
        <v>5</v>
      </c>
      <c r="B8069" s="1">
        <v>45994</v>
      </c>
      <c r="C8069">
        <v>4</v>
      </c>
      <c r="D8069">
        <v>0.124</v>
      </c>
      <c r="E8069" t="s">
        <v>6</v>
      </c>
      <c r="F8069">
        <v>0.11158</v>
      </c>
    </row>
    <row r="8070" spans="1:6" x14ac:dyDescent="0.3">
      <c r="A8070" t="s">
        <v>5</v>
      </c>
      <c r="B8070" s="1">
        <v>45994</v>
      </c>
      <c r="C8070">
        <v>5</v>
      </c>
      <c r="D8070">
        <v>0.11</v>
      </c>
      <c r="E8070" t="s">
        <v>6</v>
      </c>
      <c r="F8070">
        <v>0.11067</v>
      </c>
    </row>
    <row r="8071" spans="1:6" x14ac:dyDescent="0.3">
      <c r="A8071" t="s">
        <v>5</v>
      </c>
      <c r="B8071" s="1">
        <v>45994</v>
      </c>
      <c r="C8071">
        <v>6</v>
      </c>
      <c r="D8071">
        <v>7.6999999999999999E-2</v>
      </c>
      <c r="E8071" t="s">
        <v>6</v>
      </c>
      <c r="F8071">
        <v>0.11461</v>
      </c>
    </row>
    <row r="8072" spans="1:6" x14ac:dyDescent="0.3">
      <c r="A8072" t="s">
        <v>5</v>
      </c>
      <c r="B8072" s="1">
        <v>45994</v>
      </c>
      <c r="C8072">
        <v>7</v>
      </c>
      <c r="D8072">
        <v>0.06</v>
      </c>
      <c r="E8072" t="s">
        <v>6</v>
      </c>
      <c r="F8072">
        <v>0.12107</v>
      </c>
    </row>
    <row r="8073" spans="1:6" x14ac:dyDescent="0.3">
      <c r="A8073" t="s">
        <v>5</v>
      </c>
      <c r="B8073" s="1">
        <v>45994</v>
      </c>
      <c r="C8073">
        <v>8</v>
      </c>
      <c r="D8073">
        <v>0.112</v>
      </c>
      <c r="E8073" t="s">
        <v>6</v>
      </c>
      <c r="F8073">
        <v>0.13534000000000002</v>
      </c>
    </row>
    <row r="8074" spans="1:6" x14ac:dyDescent="0.3">
      <c r="A8074" t="s">
        <v>5</v>
      </c>
      <c r="B8074" s="1">
        <v>45994</v>
      </c>
      <c r="C8074">
        <v>9</v>
      </c>
      <c r="D8074">
        <v>9.9000000000000005E-2</v>
      </c>
      <c r="E8074" t="s">
        <v>6</v>
      </c>
      <c r="F8074">
        <v>0.16844000000000001</v>
      </c>
    </row>
    <row r="8075" spans="1:6" x14ac:dyDescent="0.3">
      <c r="A8075" t="s">
        <v>5</v>
      </c>
      <c r="B8075" s="1">
        <v>45994</v>
      </c>
      <c r="C8075">
        <v>10</v>
      </c>
      <c r="D8075">
        <v>0.113</v>
      </c>
      <c r="E8075" t="s">
        <v>6</v>
      </c>
      <c r="F8075">
        <v>0.15108000000000002</v>
      </c>
    </row>
    <row r="8076" spans="1:6" x14ac:dyDescent="0.3">
      <c r="A8076" t="s">
        <v>5</v>
      </c>
      <c r="B8076" s="1">
        <v>45994</v>
      </c>
      <c r="C8076">
        <v>11</v>
      </c>
      <c r="D8076">
        <v>7.6999999999999999E-2</v>
      </c>
      <c r="E8076" t="s">
        <v>6</v>
      </c>
      <c r="F8076">
        <v>0.19863999999999998</v>
      </c>
    </row>
    <row r="8077" spans="1:6" x14ac:dyDescent="0.3">
      <c r="A8077" t="s">
        <v>5</v>
      </c>
      <c r="B8077" s="1">
        <v>45994</v>
      </c>
      <c r="C8077">
        <v>12</v>
      </c>
      <c r="D8077">
        <v>9.8000000000000004E-2</v>
      </c>
      <c r="E8077" t="s">
        <v>6</v>
      </c>
      <c r="F8077">
        <v>0.17158999999999999</v>
      </c>
    </row>
    <row r="8078" spans="1:6" x14ac:dyDescent="0.3">
      <c r="A8078" t="s">
        <v>5</v>
      </c>
      <c r="B8078" s="1">
        <v>45994</v>
      </c>
      <c r="C8078">
        <v>13</v>
      </c>
      <c r="D8078">
        <v>0.20499999999999999</v>
      </c>
      <c r="E8078" t="s">
        <v>6</v>
      </c>
      <c r="F8078">
        <v>0.15397999999999998</v>
      </c>
    </row>
    <row r="8079" spans="1:6" x14ac:dyDescent="0.3">
      <c r="A8079" t="s">
        <v>5</v>
      </c>
      <c r="B8079" s="1">
        <v>45994</v>
      </c>
      <c r="C8079">
        <v>14</v>
      </c>
      <c r="D8079">
        <v>0.217</v>
      </c>
      <c r="E8079" t="s">
        <v>6</v>
      </c>
      <c r="F8079">
        <v>0.14576</v>
      </c>
    </row>
    <row r="8080" spans="1:6" x14ac:dyDescent="0.3">
      <c r="A8080" t="s">
        <v>5</v>
      </c>
      <c r="B8080" s="1">
        <v>45994</v>
      </c>
      <c r="C8080">
        <v>15</v>
      </c>
      <c r="D8080">
        <v>0.18099999999999999</v>
      </c>
      <c r="E8080" t="s">
        <v>6</v>
      </c>
      <c r="F8080">
        <v>7.9409999999999994E-2</v>
      </c>
    </row>
    <row r="8081" spans="1:6" x14ac:dyDescent="0.3">
      <c r="A8081" t="s">
        <v>5</v>
      </c>
      <c r="B8081" s="1">
        <v>45994</v>
      </c>
      <c r="C8081">
        <v>16</v>
      </c>
      <c r="D8081">
        <v>0.14699999999999999</v>
      </c>
      <c r="E8081" t="s">
        <v>6</v>
      </c>
      <c r="F8081">
        <v>9.7860000000000003E-2</v>
      </c>
    </row>
    <row r="8082" spans="1:6" x14ac:dyDescent="0.3">
      <c r="A8082" t="s">
        <v>5</v>
      </c>
      <c r="B8082" s="1">
        <v>45994</v>
      </c>
      <c r="C8082">
        <v>17</v>
      </c>
      <c r="D8082">
        <v>9.9000000000000005E-2</v>
      </c>
      <c r="E8082" t="s">
        <v>6</v>
      </c>
      <c r="F8082">
        <v>0.12883</v>
      </c>
    </row>
    <row r="8083" spans="1:6" x14ac:dyDescent="0.3">
      <c r="A8083" t="s">
        <v>5</v>
      </c>
      <c r="B8083" s="1">
        <v>45994</v>
      </c>
      <c r="C8083">
        <v>18</v>
      </c>
      <c r="D8083">
        <v>0.10199999999999999</v>
      </c>
      <c r="E8083" t="s">
        <v>6</v>
      </c>
      <c r="F8083">
        <v>0.15506999999999999</v>
      </c>
    </row>
    <row r="8084" spans="1:6" x14ac:dyDescent="0.3">
      <c r="A8084" t="s">
        <v>5</v>
      </c>
      <c r="B8084" s="1">
        <v>45994</v>
      </c>
      <c r="C8084">
        <v>19</v>
      </c>
      <c r="D8084">
        <v>7.9000000000000001E-2</v>
      </c>
      <c r="E8084" t="s">
        <v>6</v>
      </c>
      <c r="F8084">
        <v>0.23759</v>
      </c>
    </row>
    <row r="8085" spans="1:6" x14ac:dyDescent="0.3">
      <c r="A8085" t="s">
        <v>5</v>
      </c>
      <c r="B8085" s="1">
        <v>45994</v>
      </c>
      <c r="C8085">
        <v>20</v>
      </c>
      <c r="D8085">
        <v>0.17899999999999999</v>
      </c>
      <c r="E8085" t="s">
        <v>6</v>
      </c>
      <c r="F8085">
        <v>0.23544000000000001</v>
      </c>
    </row>
    <row r="8086" spans="1:6" x14ac:dyDescent="0.3">
      <c r="A8086" t="s">
        <v>5</v>
      </c>
      <c r="B8086" s="1">
        <v>45994</v>
      </c>
      <c r="C8086">
        <v>21</v>
      </c>
      <c r="D8086">
        <v>0.159</v>
      </c>
      <c r="E8086" t="s">
        <v>6</v>
      </c>
      <c r="F8086">
        <v>0.23702999999999999</v>
      </c>
    </row>
    <row r="8087" spans="1:6" x14ac:dyDescent="0.3">
      <c r="A8087" t="s">
        <v>5</v>
      </c>
      <c r="B8087" s="1">
        <v>45994</v>
      </c>
      <c r="C8087">
        <v>22</v>
      </c>
      <c r="D8087">
        <v>0.28999999999999998</v>
      </c>
      <c r="E8087" t="s">
        <v>6</v>
      </c>
      <c r="F8087">
        <v>0.22941</v>
      </c>
    </row>
    <row r="8088" spans="1:6" x14ac:dyDescent="0.3">
      <c r="A8088" t="s">
        <v>5</v>
      </c>
      <c r="B8088" s="1">
        <v>45994</v>
      </c>
      <c r="C8088">
        <v>23</v>
      </c>
      <c r="D8088">
        <v>0.17799999999999999</v>
      </c>
      <c r="E8088" t="s">
        <v>6</v>
      </c>
      <c r="F8088">
        <v>0.15322</v>
      </c>
    </row>
    <row r="8089" spans="1:6" x14ac:dyDescent="0.3">
      <c r="A8089" t="s">
        <v>5</v>
      </c>
      <c r="B8089" s="1">
        <v>45994</v>
      </c>
      <c r="C8089">
        <v>24</v>
      </c>
      <c r="D8089">
        <v>0.61599999999999999</v>
      </c>
      <c r="E8089" t="s">
        <v>6</v>
      </c>
      <c r="F8089">
        <v>0.14221999999999999</v>
      </c>
    </row>
    <row r="8090" spans="1:6" x14ac:dyDescent="0.3">
      <c r="A8090" t="s">
        <v>5</v>
      </c>
      <c r="B8090" s="1">
        <v>45995</v>
      </c>
      <c r="C8090">
        <v>1</v>
      </c>
      <c r="D8090">
        <v>0.85499999999999998</v>
      </c>
      <c r="E8090" t="s">
        <v>6</v>
      </c>
      <c r="F8090">
        <v>0.10718000000000001</v>
      </c>
    </row>
    <row r="8091" spans="1:6" x14ac:dyDescent="0.3">
      <c r="A8091" t="s">
        <v>5</v>
      </c>
      <c r="B8091" s="1">
        <v>45995</v>
      </c>
      <c r="C8091">
        <v>2</v>
      </c>
      <c r="D8091">
        <v>0.107</v>
      </c>
      <c r="E8091" t="s">
        <v>6</v>
      </c>
      <c r="F8091">
        <v>0.10399</v>
      </c>
    </row>
    <row r="8092" spans="1:6" x14ac:dyDescent="0.3">
      <c r="A8092" t="s">
        <v>5</v>
      </c>
      <c r="B8092" s="1">
        <v>45995</v>
      </c>
      <c r="C8092">
        <v>3</v>
      </c>
      <c r="D8092">
        <v>7.1999999999999995E-2</v>
      </c>
      <c r="E8092" t="s">
        <v>6</v>
      </c>
      <c r="F8092">
        <v>9.733E-2</v>
      </c>
    </row>
    <row r="8093" spans="1:6" x14ac:dyDescent="0.3">
      <c r="A8093" t="s">
        <v>5</v>
      </c>
      <c r="B8093" s="1">
        <v>45995</v>
      </c>
      <c r="C8093">
        <v>4</v>
      </c>
      <c r="D8093">
        <v>7.3999999999999996E-2</v>
      </c>
      <c r="E8093" t="s">
        <v>6</v>
      </c>
      <c r="F8093">
        <v>8.9010000000000006E-2</v>
      </c>
    </row>
    <row r="8094" spans="1:6" x14ac:dyDescent="0.3">
      <c r="A8094" t="s">
        <v>5</v>
      </c>
      <c r="B8094" s="1">
        <v>45995</v>
      </c>
      <c r="C8094">
        <v>5</v>
      </c>
      <c r="D8094">
        <v>7.5999999999999998E-2</v>
      </c>
      <c r="E8094" t="s">
        <v>6</v>
      </c>
      <c r="F8094">
        <v>8.0840000000000009E-2</v>
      </c>
    </row>
    <row r="8095" spans="1:6" x14ac:dyDescent="0.3">
      <c r="A8095" t="s">
        <v>5</v>
      </c>
      <c r="B8095" s="1">
        <v>45995</v>
      </c>
      <c r="C8095">
        <v>6</v>
      </c>
      <c r="D8095">
        <v>0.06</v>
      </c>
      <c r="E8095" t="s">
        <v>6</v>
      </c>
      <c r="F8095">
        <v>9.2510000000000009E-2</v>
      </c>
    </row>
    <row r="8096" spans="1:6" x14ac:dyDescent="0.3">
      <c r="A8096" t="s">
        <v>5</v>
      </c>
      <c r="B8096" s="1">
        <v>45995</v>
      </c>
      <c r="C8096">
        <v>7</v>
      </c>
      <c r="D8096">
        <v>7.5999999999999998E-2</v>
      </c>
      <c r="E8096" t="s">
        <v>6</v>
      </c>
      <c r="F8096">
        <v>0.10797</v>
      </c>
    </row>
    <row r="8097" spans="1:6" x14ac:dyDescent="0.3">
      <c r="A8097" t="s">
        <v>5</v>
      </c>
      <c r="B8097" s="1">
        <v>45995</v>
      </c>
      <c r="C8097">
        <v>8</v>
      </c>
      <c r="D8097">
        <v>7.4999999999999997E-2</v>
      </c>
      <c r="E8097" t="s">
        <v>6</v>
      </c>
      <c r="F8097">
        <v>0.12339</v>
      </c>
    </row>
    <row r="8098" spans="1:6" x14ac:dyDescent="0.3">
      <c r="A8098" t="s">
        <v>5</v>
      </c>
      <c r="B8098" s="1">
        <v>45995</v>
      </c>
      <c r="C8098">
        <v>9</v>
      </c>
      <c r="D8098">
        <v>0.1</v>
      </c>
      <c r="E8098" t="s">
        <v>6</v>
      </c>
      <c r="F8098">
        <v>0.15694999999999998</v>
      </c>
    </row>
    <row r="8099" spans="1:6" x14ac:dyDescent="0.3">
      <c r="A8099" t="s">
        <v>5</v>
      </c>
      <c r="B8099" s="1">
        <v>45995</v>
      </c>
      <c r="C8099">
        <v>10</v>
      </c>
      <c r="D8099">
        <v>0.106</v>
      </c>
      <c r="E8099" t="s">
        <v>6</v>
      </c>
      <c r="F8099">
        <v>0.14999000000000001</v>
      </c>
    </row>
    <row r="8100" spans="1:6" x14ac:dyDescent="0.3">
      <c r="A8100" t="s">
        <v>5</v>
      </c>
      <c r="B8100" s="1">
        <v>45995</v>
      </c>
      <c r="C8100">
        <v>11</v>
      </c>
      <c r="D8100">
        <v>9.2999999999999999E-2</v>
      </c>
      <c r="E8100" t="s">
        <v>6</v>
      </c>
      <c r="F8100">
        <v>0.20238</v>
      </c>
    </row>
    <row r="8101" spans="1:6" x14ac:dyDescent="0.3">
      <c r="A8101" t="s">
        <v>5</v>
      </c>
      <c r="B8101" s="1">
        <v>45995</v>
      </c>
      <c r="C8101">
        <v>12</v>
      </c>
      <c r="D8101">
        <v>9.2999999999999999E-2</v>
      </c>
      <c r="E8101" t="s">
        <v>6</v>
      </c>
      <c r="F8101">
        <v>0.19463</v>
      </c>
    </row>
    <row r="8102" spans="1:6" x14ac:dyDescent="0.3">
      <c r="A8102" t="s">
        <v>5</v>
      </c>
      <c r="B8102" s="1">
        <v>45995</v>
      </c>
      <c r="C8102">
        <v>13</v>
      </c>
      <c r="D8102">
        <v>8.7999999999999995E-2</v>
      </c>
      <c r="E8102" t="s">
        <v>6</v>
      </c>
      <c r="F8102">
        <v>0.18780000000000002</v>
      </c>
    </row>
    <row r="8103" spans="1:6" x14ac:dyDescent="0.3">
      <c r="A8103" t="s">
        <v>5</v>
      </c>
      <c r="B8103" s="1">
        <v>45995</v>
      </c>
      <c r="C8103">
        <v>14</v>
      </c>
      <c r="D8103">
        <v>0.13300000000000001</v>
      </c>
      <c r="E8103" t="s">
        <v>6</v>
      </c>
      <c r="F8103">
        <v>0.18175999999999998</v>
      </c>
    </row>
    <row r="8104" spans="1:6" x14ac:dyDescent="0.3">
      <c r="A8104" t="s">
        <v>5</v>
      </c>
      <c r="B8104" s="1">
        <v>45995</v>
      </c>
      <c r="C8104">
        <v>15</v>
      </c>
      <c r="D8104">
        <v>5.3999999999999999E-2</v>
      </c>
      <c r="E8104" t="s">
        <v>6</v>
      </c>
      <c r="F8104">
        <v>0.11568000000000001</v>
      </c>
    </row>
    <row r="8105" spans="1:6" x14ac:dyDescent="0.3">
      <c r="A8105" t="s">
        <v>5</v>
      </c>
      <c r="B8105" s="1">
        <v>45995</v>
      </c>
      <c r="C8105">
        <v>16</v>
      </c>
      <c r="D8105">
        <v>0.104</v>
      </c>
      <c r="E8105" t="s">
        <v>6</v>
      </c>
      <c r="F8105">
        <v>0.1232</v>
      </c>
    </row>
    <row r="8106" spans="1:6" x14ac:dyDescent="0.3">
      <c r="A8106" t="s">
        <v>5</v>
      </c>
      <c r="B8106" s="1">
        <v>45995</v>
      </c>
      <c r="C8106">
        <v>17</v>
      </c>
      <c r="D8106">
        <v>0.13500000000000001</v>
      </c>
      <c r="E8106" t="s">
        <v>6</v>
      </c>
      <c r="F8106">
        <v>0.13606000000000001</v>
      </c>
    </row>
    <row r="8107" spans="1:6" x14ac:dyDescent="0.3">
      <c r="A8107" t="s">
        <v>5</v>
      </c>
      <c r="B8107" s="1">
        <v>45995</v>
      </c>
      <c r="C8107">
        <v>18</v>
      </c>
      <c r="D8107">
        <v>0.13100000000000001</v>
      </c>
      <c r="E8107" t="s">
        <v>6</v>
      </c>
      <c r="F8107">
        <v>0.14828</v>
      </c>
    </row>
    <row r="8108" spans="1:6" x14ac:dyDescent="0.3">
      <c r="A8108" t="s">
        <v>5</v>
      </c>
      <c r="B8108" s="1">
        <v>45995</v>
      </c>
      <c r="C8108">
        <v>19</v>
      </c>
      <c r="D8108">
        <v>0.154</v>
      </c>
      <c r="E8108" t="s">
        <v>6</v>
      </c>
      <c r="F8108">
        <v>0.22119999999999998</v>
      </c>
    </row>
    <row r="8109" spans="1:6" x14ac:dyDescent="0.3">
      <c r="A8109" t="s">
        <v>5</v>
      </c>
      <c r="B8109" s="1">
        <v>45995</v>
      </c>
      <c r="C8109">
        <v>20</v>
      </c>
      <c r="D8109">
        <v>9.7000000000000003E-2</v>
      </c>
      <c r="E8109" t="s">
        <v>6</v>
      </c>
      <c r="F8109">
        <v>0.22541</v>
      </c>
    </row>
    <row r="8110" spans="1:6" x14ac:dyDescent="0.3">
      <c r="A8110" t="s">
        <v>5</v>
      </c>
      <c r="B8110" s="1">
        <v>45995</v>
      </c>
      <c r="C8110">
        <v>21</v>
      </c>
      <c r="D8110">
        <v>0.56899999999999995</v>
      </c>
      <c r="E8110" t="s">
        <v>6</v>
      </c>
      <c r="F8110">
        <v>0.22550999999999999</v>
      </c>
    </row>
    <row r="8111" spans="1:6" x14ac:dyDescent="0.3">
      <c r="A8111" t="s">
        <v>5</v>
      </c>
      <c r="B8111" s="1">
        <v>45995</v>
      </c>
      <c r="C8111">
        <v>22</v>
      </c>
      <c r="D8111">
        <v>1.369</v>
      </c>
      <c r="E8111" t="s">
        <v>6</v>
      </c>
      <c r="F8111">
        <v>0.22131999999999999</v>
      </c>
    </row>
    <row r="8112" spans="1:6" x14ac:dyDescent="0.3">
      <c r="A8112" t="s">
        <v>5</v>
      </c>
      <c r="B8112" s="1">
        <v>45995</v>
      </c>
      <c r="C8112">
        <v>23</v>
      </c>
      <c r="D8112">
        <v>0.19900000000000001</v>
      </c>
      <c r="E8112" t="s">
        <v>6</v>
      </c>
      <c r="F8112">
        <v>0.14995</v>
      </c>
    </row>
    <row r="8113" spans="1:6" x14ac:dyDescent="0.3">
      <c r="A8113" t="s">
        <v>5</v>
      </c>
      <c r="B8113" s="1">
        <v>45995</v>
      </c>
      <c r="C8113">
        <v>24</v>
      </c>
      <c r="D8113">
        <v>0.216</v>
      </c>
      <c r="E8113" t="s">
        <v>6</v>
      </c>
      <c r="F8113">
        <v>0.13342999999999999</v>
      </c>
    </row>
    <row r="8114" spans="1:6" x14ac:dyDescent="0.3">
      <c r="A8114" t="s">
        <v>5</v>
      </c>
      <c r="B8114" s="1">
        <v>45996</v>
      </c>
      <c r="C8114">
        <v>1</v>
      </c>
      <c r="D8114">
        <v>9.7000000000000003E-2</v>
      </c>
      <c r="E8114" t="s">
        <v>6</v>
      </c>
      <c r="F8114">
        <v>0.11955</v>
      </c>
    </row>
    <row r="8115" spans="1:6" x14ac:dyDescent="0.3">
      <c r="A8115" t="s">
        <v>5</v>
      </c>
      <c r="B8115" s="1">
        <v>45996</v>
      </c>
      <c r="C8115">
        <v>2</v>
      </c>
      <c r="D8115">
        <v>0.13700000000000001</v>
      </c>
      <c r="E8115" t="s">
        <v>6</v>
      </c>
      <c r="F8115">
        <v>0.10887000000000001</v>
      </c>
    </row>
    <row r="8116" spans="1:6" x14ac:dyDescent="0.3">
      <c r="A8116" t="s">
        <v>5</v>
      </c>
      <c r="B8116" s="1">
        <v>45996</v>
      </c>
      <c r="C8116">
        <v>3</v>
      </c>
      <c r="D8116">
        <v>0.11799999999999999</v>
      </c>
      <c r="E8116" t="s">
        <v>6</v>
      </c>
      <c r="F8116">
        <v>0.10407</v>
      </c>
    </row>
    <row r="8117" spans="1:6" x14ac:dyDescent="0.3">
      <c r="A8117" t="s">
        <v>5</v>
      </c>
      <c r="B8117" s="1">
        <v>45996</v>
      </c>
      <c r="C8117">
        <v>4</v>
      </c>
      <c r="D8117">
        <v>0.13200000000000001</v>
      </c>
      <c r="E8117" t="s">
        <v>6</v>
      </c>
      <c r="F8117">
        <v>0.10070999999999999</v>
      </c>
    </row>
    <row r="8118" spans="1:6" x14ac:dyDescent="0.3">
      <c r="A8118" t="s">
        <v>5</v>
      </c>
      <c r="B8118" s="1">
        <v>45996</v>
      </c>
      <c r="C8118">
        <v>5</v>
      </c>
      <c r="D8118">
        <v>0.11600000000000001</v>
      </c>
      <c r="E8118" t="s">
        <v>6</v>
      </c>
      <c r="F8118">
        <v>0.10056999999999999</v>
      </c>
    </row>
    <row r="8119" spans="1:6" x14ac:dyDescent="0.3">
      <c r="A8119" t="s">
        <v>5</v>
      </c>
      <c r="B8119" s="1">
        <v>45996</v>
      </c>
      <c r="C8119">
        <v>6</v>
      </c>
      <c r="D8119">
        <v>0.13700000000000001</v>
      </c>
      <c r="E8119" t="s">
        <v>6</v>
      </c>
      <c r="F8119">
        <v>0.10425</v>
      </c>
    </row>
    <row r="8120" spans="1:6" x14ac:dyDescent="0.3">
      <c r="A8120" t="s">
        <v>5</v>
      </c>
      <c r="B8120" s="1">
        <v>45996</v>
      </c>
      <c r="C8120">
        <v>7</v>
      </c>
      <c r="D8120">
        <v>0.111</v>
      </c>
      <c r="E8120" t="s">
        <v>6</v>
      </c>
      <c r="F8120">
        <v>0.11637</v>
      </c>
    </row>
    <row r="8121" spans="1:6" x14ac:dyDescent="0.3">
      <c r="A8121" t="s">
        <v>5</v>
      </c>
      <c r="B8121" s="1">
        <v>45996</v>
      </c>
      <c r="C8121">
        <v>8</v>
      </c>
      <c r="D8121">
        <v>0.127</v>
      </c>
      <c r="E8121" t="s">
        <v>6</v>
      </c>
      <c r="F8121">
        <v>0.12429000000000001</v>
      </c>
    </row>
    <row r="8122" spans="1:6" x14ac:dyDescent="0.3">
      <c r="A8122" t="s">
        <v>5</v>
      </c>
      <c r="B8122" s="1">
        <v>45996</v>
      </c>
      <c r="C8122">
        <v>9</v>
      </c>
      <c r="D8122">
        <v>0.124</v>
      </c>
      <c r="E8122" t="s">
        <v>6</v>
      </c>
      <c r="F8122">
        <v>0.15991</v>
      </c>
    </row>
    <row r="8123" spans="1:6" x14ac:dyDescent="0.3">
      <c r="A8123" t="s">
        <v>5</v>
      </c>
      <c r="B8123" s="1">
        <v>45996</v>
      </c>
      <c r="C8123">
        <v>10</v>
      </c>
      <c r="D8123">
        <v>0.28799999999999998</v>
      </c>
      <c r="E8123" t="s">
        <v>6</v>
      </c>
      <c r="F8123">
        <v>0.15659999999999999</v>
      </c>
    </row>
    <row r="8124" spans="1:6" x14ac:dyDescent="0.3">
      <c r="A8124" t="s">
        <v>5</v>
      </c>
      <c r="B8124" s="1">
        <v>45996</v>
      </c>
      <c r="C8124">
        <v>11</v>
      </c>
      <c r="D8124">
        <v>6.3E-2</v>
      </c>
      <c r="E8124" t="s">
        <v>6</v>
      </c>
      <c r="F8124">
        <v>0.21586000000000002</v>
      </c>
    </row>
    <row r="8125" spans="1:6" x14ac:dyDescent="0.3">
      <c r="A8125" t="s">
        <v>5</v>
      </c>
      <c r="B8125" s="1">
        <v>45996</v>
      </c>
      <c r="C8125">
        <v>12</v>
      </c>
      <c r="D8125">
        <v>5.2999999999999999E-2</v>
      </c>
      <c r="E8125" t="s">
        <v>6</v>
      </c>
      <c r="F8125">
        <v>0.20990999999999999</v>
      </c>
    </row>
    <row r="8126" spans="1:6" x14ac:dyDescent="0.3">
      <c r="A8126" t="s">
        <v>5</v>
      </c>
      <c r="B8126" s="1">
        <v>45996</v>
      </c>
      <c r="C8126">
        <v>13</v>
      </c>
      <c r="D8126">
        <v>7.5999999999999998E-2</v>
      </c>
      <c r="E8126" t="s">
        <v>6</v>
      </c>
      <c r="F8126">
        <v>0.20038999999999998</v>
      </c>
    </row>
    <row r="8127" spans="1:6" x14ac:dyDescent="0.3">
      <c r="A8127" t="s">
        <v>5</v>
      </c>
      <c r="B8127" s="1">
        <v>45996</v>
      </c>
      <c r="C8127">
        <v>14</v>
      </c>
      <c r="D8127">
        <v>0.129</v>
      </c>
      <c r="E8127" t="s">
        <v>6</v>
      </c>
      <c r="F8127">
        <v>0.18791999999999998</v>
      </c>
    </row>
    <row r="8128" spans="1:6" x14ac:dyDescent="0.3">
      <c r="A8128" t="s">
        <v>5</v>
      </c>
      <c r="B8128" s="1">
        <v>45996</v>
      </c>
      <c r="C8128">
        <v>15</v>
      </c>
      <c r="D8128">
        <v>0.15</v>
      </c>
      <c r="E8128" t="s">
        <v>6</v>
      </c>
      <c r="F8128">
        <v>0.12067</v>
      </c>
    </row>
    <row r="8129" spans="1:6" x14ac:dyDescent="0.3">
      <c r="A8129" t="s">
        <v>5</v>
      </c>
      <c r="B8129" s="1">
        <v>45996</v>
      </c>
      <c r="C8129">
        <v>16</v>
      </c>
      <c r="D8129">
        <v>6.0999999999999999E-2</v>
      </c>
      <c r="E8129" t="s">
        <v>6</v>
      </c>
      <c r="F8129">
        <v>0.13506000000000001</v>
      </c>
    </row>
    <row r="8130" spans="1:6" x14ac:dyDescent="0.3">
      <c r="A8130" t="s">
        <v>5</v>
      </c>
      <c r="B8130" s="1">
        <v>45996</v>
      </c>
      <c r="C8130">
        <v>17</v>
      </c>
      <c r="D8130">
        <v>6.2E-2</v>
      </c>
      <c r="E8130" t="s">
        <v>6</v>
      </c>
      <c r="F8130">
        <v>0.14568999999999999</v>
      </c>
    </row>
    <row r="8131" spans="1:6" x14ac:dyDescent="0.3">
      <c r="A8131" t="s">
        <v>5</v>
      </c>
      <c r="B8131" s="1">
        <v>45996</v>
      </c>
      <c r="C8131">
        <v>18</v>
      </c>
      <c r="D8131">
        <v>6.2E-2</v>
      </c>
      <c r="E8131" t="s">
        <v>6</v>
      </c>
      <c r="F8131">
        <v>0.15277000000000002</v>
      </c>
    </row>
    <row r="8132" spans="1:6" x14ac:dyDescent="0.3">
      <c r="A8132" t="s">
        <v>5</v>
      </c>
      <c r="B8132" s="1">
        <v>45996</v>
      </c>
      <c r="C8132">
        <v>19</v>
      </c>
      <c r="D8132">
        <v>6.4000000000000001E-2</v>
      </c>
      <c r="E8132" t="s">
        <v>6</v>
      </c>
      <c r="F8132">
        <v>0.22336</v>
      </c>
    </row>
    <row r="8133" spans="1:6" x14ac:dyDescent="0.3">
      <c r="A8133" t="s">
        <v>5</v>
      </c>
      <c r="B8133" s="1">
        <v>45996</v>
      </c>
      <c r="C8133">
        <v>20</v>
      </c>
      <c r="D8133">
        <v>5.3999999999999999E-2</v>
      </c>
      <c r="E8133" t="s">
        <v>6</v>
      </c>
      <c r="F8133">
        <v>0.21703999999999998</v>
      </c>
    </row>
    <row r="8134" spans="1:6" x14ac:dyDescent="0.3">
      <c r="A8134" t="s">
        <v>5</v>
      </c>
      <c r="B8134" s="1">
        <v>45996</v>
      </c>
      <c r="C8134">
        <v>21</v>
      </c>
      <c r="D8134">
        <v>6.5000000000000002E-2</v>
      </c>
      <c r="E8134" t="s">
        <v>6</v>
      </c>
      <c r="F8134">
        <v>0.21246000000000001</v>
      </c>
    </row>
    <row r="8135" spans="1:6" x14ac:dyDescent="0.3">
      <c r="A8135" t="s">
        <v>5</v>
      </c>
      <c r="B8135" s="1">
        <v>45996</v>
      </c>
      <c r="C8135">
        <v>22</v>
      </c>
      <c r="D8135">
        <v>1E-3</v>
      </c>
      <c r="E8135" t="s">
        <v>6</v>
      </c>
      <c r="F8135">
        <v>0.20366999999999999</v>
      </c>
    </row>
    <row r="8136" spans="1:6" x14ac:dyDescent="0.3">
      <c r="A8136" t="s">
        <v>5</v>
      </c>
      <c r="B8136" s="1">
        <v>45996</v>
      </c>
      <c r="C8136">
        <v>23</v>
      </c>
      <c r="D8136">
        <v>7.0000000000000001E-3</v>
      </c>
      <c r="E8136" t="s">
        <v>6</v>
      </c>
      <c r="F8136">
        <v>0.13268000000000002</v>
      </c>
    </row>
    <row r="8137" spans="1:6" x14ac:dyDescent="0.3">
      <c r="A8137" t="s">
        <v>5</v>
      </c>
      <c r="B8137" s="1">
        <v>45996</v>
      </c>
      <c r="C8137">
        <v>24</v>
      </c>
      <c r="D8137">
        <v>6.3E-2</v>
      </c>
      <c r="E8137" t="s">
        <v>6</v>
      </c>
      <c r="F8137">
        <v>0.11962</v>
      </c>
    </row>
    <row r="8138" spans="1:6" x14ac:dyDescent="0.3">
      <c r="A8138" t="s">
        <v>5</v>
      </c>
      <c r="B8138" s="1">
        <v>45997</v>
      </c>
      <c r="C8138">
        <v>1</v>
      </c>
      <c r="D8138">
        <v>0.129</v>
      </c>
      <c r="E8138" t="s">
        <v>6</v>
      </c>
      <c r="F8138">
        <v>9.1879999999999989E-2</v>
      </c>
    </row>
    <row r="8139" spans="1:6" x14ac:dyDescent="0.3">
      <c r="A8139" t="s">
        <v>5</v>
      </c>
      <c r="B8139" s="1">
        <v>45997</v>
      </c>
      <c r="C8139">
        <v>2</v>
      </c>
      <c r="D8139">
        <v>7.1999999999999995E-2</v>
      </c>
      <c r="E8139" t="s">
        <v>6</v>
      </c>
      <c r="F8139">
        <v>8.134000000000001E-2</v>
      </c>
    </row>
    <row r="8140" spans="1:6" x14ac:dyDescent="0.3">
      <c r="A8140" t="s">
        <v>5</v>
      </c>
      <c r="B8140" s="1">
        <v>45997</v>
      </c>
      <c r="C8140">
        <v>3</v>
      </c>
      <c r="D8140">
        <v>6.7000000000000004E-2</v>
      </c>
      <c r="E8140" t="s">
        <v>6</v>
      </c>
      <c r="F8140">
        <v>8.0620000000000011E-2</v>
      </c>
    </row>
    <row r="8141" spans="1:6" x14ac:dyDescent="0.3">
      <c r="A8141" t="s">
        <v>5</v>
      </c>
      <c r="B8141" s="1">
        <v>45997</v>
      </c>
      <c r="C8141">
        <v>4</v>
      </c>
      <c r="D8141">
        <v>6.6000000000000003E-2</v>
      </c>
      <c r="E8141" t="s">
        <v>6</v>
      </c>
      <c r="F8141">
        <v>7.3599999999999999E-2</v>
      </c>
    </row>
    <row r="8142" spans="1:6" x14ac:dyDescent="0.3">
      <c r="A8142" t="s">
        <v>5</v>
      </c>
      <c r="B8142" s="1">
        <v>45997</v>
      </c>
      <c r="C8142">
        <v>5</v>
      </c>
      <c r="D8142">
        <v>6.7000000000000004E-2</v>
      </c>
      <c r="E8142" t="s">
        <v>6</v>
      </c>
      <c r="F8142">
        <v>7.1540000000000006E-2</v>
      </c>
    </row>
    <row r="8143" spans="1:6" x14ac:dyDescent="0.3">
      <c r="A8143" t="s">
        <v>5</v>
      </c>
      <c r="B8143" s="1">
        <v>45997</v>
      </c>
      <c r="C8143">
        <v>6</v>
      </c>
      <c r="D8143">
        <v>5.8999999999999997E-2</v>
      </c>
      <c r="E8143" t="s">
        <v>6</v>
      </c>
      <c r="F8143">
        <v>7.2870000000000004E-2</v>
      </c>
    </row>
    <row r="8144" spans="1:6" x14ac:dyDescent="0.3">
      <c r="A8144" t="s">
        <v>5</v>
      </c>
      <c r="B8144" s="1">
        <v>45997</v>
      </c>
      <c r="C8144">
        <v>7</v>
      </c>
      <c r="D8144">
        <v>6.9000000000000006E-2</v>
      </c>
      <c r="E8144" t="s">
        <v>6</v>
      </c>
      <c r="F8144">
        <v>7.5740000000000002E-2</v>
      </c>
    </row>
    <row r="8145" spans="1:6" x14ac:dyDescent="0.3">
      <c r="A8145" t="s">
        <v>5</v>
      </c>
      <c r="B8145" s="1">
        <v>45997</v>
      </c>
      <c r="C8145">
        <v>8</v>
      </c>
      <c r="D8145">
        <v>5.0999999999999997E-2</v>
      </c>
      <c r="E8145" t="s">
        <v>6</v>
      </c>
      <c r="F8145">
        <v>8.1799999999999998E-2</v>
      </c>
    </row>
    <row r="8146" spans="1:6" x14ac:dyDescent="0.3">
      <c r="A8146" t="s">
        <v>5</v>
      </c>
      <c r="B8146" s="1">
        <v>45997</v>
      </c>
      <c r="C8146">
        <v>9</v>
      </c>
      <c r="D8146">
        <v>7.0000000000000007E-2</v>
      </c>
      <c r="E8146" t="s">
        <v>6</v>
      </c>
      <c r="F8146">
        <v>8.965999999999999E-2</v>
      </c>
    </row>
    <row r="8147" spans="1:6" x14ac:dyDescent="0.3">
      <c r="A8147" t="s">
        <v>5</v>
      </c>
      <c r="B8147" s="1">
        <v>45997</v>
      </c>
      <c r="C8147">
        <v>10</v>
      </c>
      <c r="D8147">
        <v>5.0999999999999997E-2</v>
      </c>
      <c r="E8147" t="s">
        <v>6</v>
      </c>
      <c r="F8147">
        <v>9.7030000000000005E-2</v>
      </c>
    </row>
    <row r="8148" spans="1:6" x14ac:dyDescent="0.3">
      <c r="A8148" t="s">
        <v>5</v>
      </c>
      <c r="B8148" s="1">
        <v>45997</v>
      </c>
      <c r="C8148">
        <v>11</v>
      </c>
      <c r="D8148">
        <v>6.9000000000000006E-2</v>
      </c>
      <c r="E8148" t="s">
        <v>6</v>
      </c>
      <c r="F8148">
        <v>8.8660000000000003E-2</v>
      </c>
    </row>
    <row r="8149" spans="1:6" x14ac:dyDescent="0.3">
      <c r="A8149" t="s">
        <v>5</v>
      </c>
      <c r="B8149" s="1">
        <v>45997</v>
      </c>
      <c r="C8149">
        <v>12</v>
      </c>
      <c r="D8149">
        <v>5.2999999999999999E-2</v>
      </c>
      <c r="E8149" t="s">
        <v>6</v>
      </c>
      <c r="F8149">
        <v>8.158E-2</v>
      </c>
    </row>
    <row r="8150" spans="1:6" x14ac:dyDescent="0.3">
      <c r="A8150" t="s">
        <v>5</v>
      </c>
      <c r="B8150" s="1">
        <v>45997</v>
      </c>
      <c r="C8150">
        <v>13</v>
      </c>
      <c r="D8150">
        <v>6.4000000000000001E-2</v>
      </c>
      <c r="E8150" t="s">
        <v>6</v>
      </c>
      <c r="F8150">
        <v>8.2170000000000007E-2</v>
      </c>
    </row>
    <row r="8151" spans="1:6" x14ac:dyDescent="0.3">
      <c r="A8151" t="s">
        <v>5</v>
      </c>
      <c r="B8151" s="1">
        <v>45997</v>
      </c>
      <c r="C8151">
        <v>14</v>
      </c>
      <c r="D8151">
        <v>6.0999999999999999E-2</v>
      </c>
      <c r="E8151" t="s">
        <v>6</v>
      </c>
      <c r="F8151">
        <v>7.8109999999999999E-2</v>
      </c>
    </row>
    <row r="8152" spans="1:6" x14ac:dyDescent="0.3">
      <c r="A8152" t="s">
        <v>5</v>
      </c>
      <c r="B8152" s="1">
        <v>45997</v>
      </c>
      <c r="C8152">
        <v>15</v>
      </c>
      <c r="D8152">
        <v>0.06</v>
      </c>
      <c r="E8152" t="s">
        <v>6</v>
      </c>
      <c r="F8152">
        <v>7.8310000000000005E-2</v>
      </c>
    </row>
    <row r="8153" spans="1:6" x14ac:dyDescent="0.3">
      <c r="A8153" t="s">
        <v>5</v>
      </c>
      <c r="B8153" s="1">
        <v>45997</v>
      </c>
      <c r="C8153">
        <v>16</v>
      </c>
      <c r="D8153">
        <v>6.4000000000000001E-2</v>
      </c>
      <c r="E8153" t="s">
        <v>6</v>
      </c>
      <c r="F8153">
        <v>8.3119999999999999E-2</v>
      </c>
    </row>
    <row r="8154" spans="1:6" x14ac:dyDescent="0.3">
      <c r="A8154" t="s">
        <v>5</v>
      </c>
      <c r="B8154" s="1">
        <v>45997</v>
      </c>
      <c r="C8154">
        <v>17</v>
      </c>
      <c r="D8154">
        <v>5.3999999999999999E-2</v>
      </c>
      <c r="E8154" t="s">
        <v>6</v>
      </c>
      <c r="F8154">
        <v>9.4819999999999988E-2</v>
      </c>
    </row>
    <row r="8155" spans="1:6" x14ac:dyDescent="0.3">
      <c r="A8155" t="s">
        <v>5</v>
      </c>
      <c r="B8155" s="1">
        <v>45997</v>
      </c>
      <c r="C8155">
        <v>18</v>
      </c>
      <c r="D8155">
        <v>6.9000000000000006E-2</v>
      </c>
      <c r="E8155" t="s">
        <v>6</v>
      </c>
      <c r="F8155">
        <v>0.11658</v>
      </c>
    </row>
    <row r="8156" spans="1:6" x14ac:dyDescent="0.3">
      <c r="A8156" t="s">
        <v>5</v>
      </c>
      <c r="B8156" s="1">
        <v>45997</v>
      </c>
      <c r="C8156">
        <v>19</v>
      </c>
      <c r="D8156">
        <v>5.1999999999999998E-2</v>
      </c>
      <c r="E8156" t="s">
        <v>6</v>
      </c>
      <c r="F8156">
        <v>0.11854000000000001</v>
      </c>
    </row>
    <row r="8157" spans="1:6" x14ac:dyDescent="0.3">
      <c r="A8157" t="s">
        <v>5</v>
      </c>
      <c r="B8157" s="1">
        <v>45997</v>
      </c>
      <c r="C8157">
        <v>20</v>
      </c>
      <c r="D8157">
        <v>6.9000000000000006E-2</v>
      </c>
      <c r="E8157" t="s">
        <v>6</v>
      </c>
      <c r="F8157">
        <v>0.12235</v>
      </c>
    </row>
    <row r="8158" spans="1:6" x14ac:dyDescent="0.3">
      <c r="A8158" t="s">
        <v>5</v>
      </c>
      <c r="B8158" s="1">
        <v>45997</v>
      </c>
      <c r="C8158">
        <v>21</v>
      </c>
      <c r="D8158">
        <v>4.7E-2</v>
      </c>
      <c r="E8158" t="s">
        <v>6</v>
      </c>
      <c r="F8158">
        <v>0.12734999999999999</v>
      </c>
    </row>
    <row r="8159" spans="1:6" x14ac:dyDescent="0.3">
      <c r="A8159" t="s">
        <v>5</v>
      </c>
      <c r="B8159" s="1">
        <v>45997</v>
      </c>
      <c r="C8159">
        <v>22</v>
      </c>
      <c r="D8159">
        <v>6.7000000000000004E-2</v>
      </c>
      <c r="E8159" t="s">
        <v>6</v>
      </c>
      <c r="F8159">
        <v>0.12805000000000002</v>
      </c>
    </row>
    <row r="8160" spans="1:6" x14ac:dyDescent="0.3">
      <c r="A8160" t="s">
        <v>5</v>
      </c>
      <c r="B8160" s="1">
        <v>45997</v>
      </c>
      <c r="C8160">
        <v>23</v>
      </c>
      <c r="D8160">
        <v>5.7000000000000002E-2</v>
      </c>
      <c r="E8160" t="s">
        <v>6</v>
      </c>
      <c r="F8160">
        <v>0.12426999999999999</v>
      </c>
    </row>
    <row r="8161" spans="1:6" x14ac:dyDescent="0.3">
      <c r="A8161" t="s">
        <v>5</v>
      </c>
      <c r="B8161" s="1">
        <v>45997</v>
      </c>
      <c r="C8161">
        <v>24</v>
      </c>
      <c r="D8161">
        <v>7.0000000000000007E-2</v>
      </c>
      <c r="E8161" t="s">
        <v>6</v>
      </c>
      <c r="F8161">
        <v>0.10969</v>
      </c>
    </row>
    <row r="8162" spans="1:6" x14ac:dyDescent="0.3">
      <c r="A8162" t="s">
        <v>5</v>
      </c>
      <c r="B8162" s="1">
        <v>45998</v>
      </c>
      <c r="C8162">
        <v>1</v>
      </c>
      <c r="D8162">
        <v>5.0999999999999997E-2</v>
      </c>
      <c r="E8162" t="s">
        <v>6</v>
      </c>
      <c r="F8162">
        <v>9.69E-2</v>
      </c>
    </row>
    <row r="8163" spans="1:6" x14ac:dyDescent="0.3">
      <c r="A8163" t="s">
        <v>5</v>
      </c>
      <c r="B8163" s="1">
        <v>45998</v>
      </c>
      <c r="C8163">
        <v>2</v>
      </c>
      <c r="D8163">
        <v>6.3E-2</v>
      </c>
      <c r="E8163" t="s">
        <v>6</v>
      </c>
      <c r="F8163">
        <v>8.9079999999999993E-2</v>
      </c>
    </row>
    <row r="8164" spans="1:6" x14ac:dyDescent="0.3">
      <c r="A8164" t="s">
        <v>5</v>
      </c>
      <c r="B8164" s="1">
        <v>45998</v>
      </c>
      <c r="C8164">
        <v>3</v>
      </c>
      <c r="D8164">
        <v>6.4000000000000001E-2</v>
      </c>
      <c r="E8164" t="s">
        <v>6</v>
      </c>
      <c r="F8164">
        <v>9.1170000000000001E-2</v>
      </c>
    </row>
    <row r="8165" spans="1:6" x14ac:dyDescent="0.3">
      <c r="A8165" t="s">
        <v>5</v>
      </c>
      <c r="B8165" s="1">
        <v>45998</v>
      </c>
      <c r="C8165">
        <v>4</v>
      </c>
      <c r="D8165">
        <v>2.8000000000000001E-2</v>
      </c>
      <c r="E8165" t="s">
        <v>6</v>
      </c>
      <c r="F8165">
        <v>8.7599999999999997E-2</v>
      </c>
    </row>
    <row r="8166" spans="1:6" x14ac:dyDescent="0.3">
      <c r="A8166" t="s">
        <v>5</v>
      </c>
      <c r="B8166" s="1">
        <v>45998</v>
      </c>
      <c r="C8166">
        <v>5</v>
      </c>
      <c r="D8166">
        <v>0</v>
      </c>
      <c r="E8166" t="s">
        <v>6</v>
      </c>
      <c r="F8166">
        <v>8.098000000000001E-2</v>
      </c>
    </row>
    <row r="8167" spans="1:6" x14ac:dyDescent="0.3">
      <c r="A8167" t="s">
        <v>5</v>
      </c>
      <c r="B8167" s="1">
        <v>45998</v>
      </c>
      <c r="C8167">
        <v>6</v>
      </c>
      <c r="D8167">
        <v>0</v>
      </c>
      <c r="E8167" t="s">
        <v>6</v>
      </c>
      <c r="F8167">
        <v>8.4610000000000005E-2</v>
      </c>
    </row>
    <row r="8168" spans="1:6" x14ac:dyDescent="0.3">
      <c r="A8168" t="s">
        <v>5</v>
      </c>
      <c r="B8168" s="1">
        <v>45998</v>
      </c>
      <c r="C8168">
        <v>7</v>
      </c>
      <c r="D8168">
        <v>0</v>
      </c>
      <c r="E8168" t="s">
        <v>6</v>
      </c>
      <c r="F8168">
        <v>8.7109999999999993E-2</v>
      </c>
    </row>
    <row r="8169" spans="1:6" x14ac:dyDescent="0.3">
      <c r="A8169" t="s">
        <v>5</v>
      </c>
      <c r="B8169" s="1">
        <v>45998</v>
      </c>
      <c r="C8169">
        <v>8</v>
      </c>
      <c r="D8169">
        <v>0</v>
      </c>
      <c r="E8169" t="s">
        <v>6</v>
      </c>
      <c r="F8169">
        <v>8.7129999999999999E-2</v>
      </c>
    </row>
    <row r="8170" spans="1:6" x14ac:dyDescent="0.3">
      <c r="A8170" t="s">
        <v>5</v>
      </c>
      <c r="B8170" s="1">
        <v>45998</v>
      </c>
      <c r="C8170">
        <v>9</v>
      </c>
      <c r="D8170">
        <v>0</v>
      </c>
      <c r="E8170" t="s">
        <v>6</v>
      </c>
      <c r="F8170">
        <v>9.74E-2</v>
      </c>
    </row>
    <row r="8171" spans="1:6" x14ac:dyDescent="0.3">
      <c r="A8171" t="s">
        <v>5</v>
      </c>
      <c r="B8171" s="1">
        <v>45998</v>
      </c>
      <c r="C8171">
        <v>10</v>
      </c>
      <c r="D8171">
        <v>0</v>
      </c>
      <c r="E8171" t="s">
        <v>6</v>
      </c>
      <c r="F8171">
        <v>8.5559999999999997E-2</v>
      </c>
    </row>
    <row r="8172" spans="1:6" x14ac:dyDescent="0.3">
      <c r="A8172" t="s">
        <v>5</v>
      </c>
      <c r="B8172" s="1">
        <v>45998</v>
      </c>
      <c r="C8172">
        <v>11</v>
      </c>
      <c r="D8172">
        <v>0</v>
      </c>
      <c r="E8172" t="s">
        <v>6</v>
      </c>
      <c r="F8172">
        <v>7.5819999999999999E-2</v>
      </c>
    </row>
    <row r="8173" spans="1:6" x14ac:dyDescent="0.3">
      <c r="A8173" t="s">
        <v>5</v>
      </c>
      <c r="B8173" s="1">
        <v>45998</v>
      </c>
      <c r="C8173">
        <v>12</v>
      </c>
      <c r="D8173">
        <v>0</v>
      </c>
      <c r="E8173" t="s">
        <v>6</v>
      </c>
      <c r="F8173">
        <v>7.0889999999999995E-2</v>
      </c>
    </row>
    <row r="8174" spans="1:6" x14ac:dyDescent="0.3">
      <c r="A8174" t="s">
        <v>5</v>
      </c>
      <c r="B8174" s="1">
        <v>45998</v>
      </c>
      <c r="C8174">
        <v>13</v>
      </c>
      <c r="D8174">
        <v>0</v>
      </c>
      <c r="E8174" t="s">
        <v>6</v>
      </c>
      <c r="F8174">
        <v>6.7569999999999991E-2</v>
      </c>
    </row>
    <row r="8175" spans="1:6" x14ac:dyDescent="0.3">
      <c r="A8175" t="s">
        <v>5</v>
      </c>
      <c r="B8175" s="1">
        <v>45998</v>
      </c>
      <c r="C8175">
        <v>14</v>
      </c>
      <c r="D8175">
        <v>0</v>
      </c>
      <c r="E8175" t="s">
        <v>6</v>
      </c>
      <c r="F8175">
        <v>6.6409999999999997E-2</v>
      </c>
    </row>
    <row r="8176" spans="1:6" x14ac:dyDescent="0.3">
      <c r="A8176" t="s">
        <v>5</v>
      </c>
      <c r="B8176" s="1">
        <v>45998</v>
      </c>
      <c r="C8176">
        <v>15</v>
      </c>
      <c r="D8176">
        <v>0</v>
      </c>
      <c r="E8176" t="s">
        <v>6</v>
      </c>
      <c r="F8176">
        <v>6.631999999999999E-2</v>
      </c>
    </row>
    <row r="8177" spans="1:6" x14ac:dyDescent="0.3">
      <c r="A8177" t="s">
        <v>5</v>
      </c>
      <c r="B8177" s="1">
        <v>45998</v>
      </c>
      <c r="C8177">
        <v>16</v>
      </c>
      <c r="D8177">
        <v>0</v>
      </c>
      <c r="E8177" t="s">
        <v>6</v>
      </c>
      <c r="F8177">
        <v>7.2109999999999994E-2</v>
      </c>
    </row>
    <row r="8178" spans="1:6" x14ac:dyDescent="0.3">
      <c r="A8178" t="s">
        <v>5</v>
      </c>
      <c r="B8178" s="1">
        <v>45998</v>
      </c>
      <c r="C8178">
        <v>17</v>
      </c>
      <c r="D8178">
        <v>0</v>
      </c>
      <c r="E8178" t="s">
        <v>6</v>
      </c>
      <c r="F8178">
        <v>8.1530000000000005E-2</v>
      </c>
    </row>
    <row r="8179" spans="1:6" x14ac:dyDescent="0.3">
      <c r="A8179" t="s">
        <v>5</v>
      </c>
      <c r="B8179" s="1">
        <v>45998</v>
      </c>
      <c r="C8179">
        <v>18</v>
      </c>
      <c r="D8179">
        <v>0</v>
      </c>
      <c r="E8179" t="s">
        <v>6</v>
      </c>
      <c r="F8179">
        <v>0.11555</v>
      </c>
    </row>
    <row r="8180" spans="1:6" x14ac:dyDescent="0.3">
      <c r="A8180" t="s">
        <v>5</v>
      </c>
      <c r="B8180" s="1">
        <v>45998</v>
      </c>
      <c r="C8180">
        <v>19</v>
      </c>
      <c r="D8180">
        <v>0</v>
      </c>
      <c r="E8180" t="s">
        <v>6</v>
      </c>
      <c r="F8180">
        <v>0.13333</v>
      </c>
    </row>
    <row r="8181" spans="1:6" x14ac:dyDescent="0.3">
      <c r="A8181" t="s">
        <v>5</v>
      </c>
      <c r="B8181" s="1">
        <v>45998</v>
      </c>
      <c r="C8181">
        <v>20</v>
      </c>
      <c r="D8181">
        <v>0</v>
      </c>
      <c r="E8181" t="s">
        <v>6</v>
      </c>
      <c r="F8181">
        <v>0.14291999999999999</v>
      </c>
    </row>
    <row r="8182" spans="1:6" x14ac:dyDescent="0.3">
      <c r="A8182" t="s">
        <v>5</v>
      </c>
      <c r="B8182" s="1">
        <v>45998</v>
      </c>
      <c r="C8182">
        <v>21</v>
      </c>
      <c r="D8182">
        <v>0</v>
      </c>
      <c r="E8182" t="s">
        <v>6</v>
      </c>
      <c r="F8182">
        <v>0.14973</v>
      </c>
    </row>
    <row r="8183" spans="1:6" x14ac:dyDescent="0.3">
      <c r="A8183" t="s">
        <v>5</v>
      </c>
      <c r="B8183" s="1">
        <v>45998</v>
      </c>
      <c r="C8183">
        <v>22</v>
      </c>
      <c r="D8183">
        <v>0</v>
      </c>
      <c r="E8183" t="s">
        <v>6</v>
      </c>
      <c r="F8183">
        <v>0.15284999999999999</v>
      </c>
    </row>
    <row r="8184" spans="1:6" x14ac:dyDescent="0.3">
      <c r="A8184" t="s">
        <v>5</v>
      </c>
      <c r="B8184" s="1">
        <v>45998</v>
      </c>
      <c r="C8184">
        <v>23</v>
      </c>
      <c r="D8184">
        <v>0</v>
      </c>
      <c r="E8184" t="s">
        <v>6</v>
      </c>
      <c r="F8184">
        <v>0.14241000000000001</v>
      </c>
    </row>
    <row r="8185" spans="1:6" x14ac:dyDescent="0.3">
      <c r="A8185" t="s">
        <v>5</v>
      </c>
      <c r="B8185" s="1">
        <v>45998</v>
      </c>
      <c r="C8185">
        <v>24</v>
      </c>
      <c r="D8185">
        <v>0</v>
      </c>
      <c r="E8185" t="s">
        <v>6</v>
      </c>
      <c r="F8185">
        <v>0.13556000000000001</v>
      </c>
    </row>
    <row r="8186" spans="1:6" x14ac:dyDescent="0.3">
      <c r="A8186" t="s">
        <v>5</v>
      </c>
      <c r="B8186" s="1">
        <v>45999</v>
      </c>
      <c r="C8186">
        <v>1</v>
      </c>
      <c r="D8186">
        <v>0</v>
      </c>
      <c r="E8186" t="s">
        <v>6</v>
      </c>
      <c r="F8186">
        <v>0.12601000000000001</v>
      </c>
    </row>
    <row r="8187" spans="1:6" x14ac:dyDescent="0.3">
      <c r="A8187" t="s">
        <v>5</v>
      </c>
      <c r="B8187" s="1">
        <v>45999</v>
      </c>
      <c r="C8187">
        <v>2</v>
      </c>
      <c r="D8187">
        <v>0</v>
      </c>
      <c r="E8187" t="s">
        <v>6</v>
      </c>
      <c r="F8187">
        <v>0.12237000000000001</v>
      </c>
    </row>
    <row r="8188" spans="1:6" x14ac:dyDescent="0.3">
      <c r="A8188" t="s">
        <v>5</v>
      </c>
      <c r="B8188" s="1">
        <v>45999</v>
      </c>
      <c r="C8188">
        <v>3</v>
      </c>
      <c r="D8188">
        <v>0</v>
      </c>
      <c r="E8188" t="s">
        <v>6</v>
      </c>
      <c r="F8188">
        <v>0.11039</v>
      </c>
    </row>
    <row r="8189" spans="1:6" x14ac:dyDescent="0.3">
      <c r="A8189" t="s">
        <v>5</v>
      </c>
      <c r="B8189" s="1">
        <v>45999</v>
      </c>
      <c r="C8189">
        <v>4</v>
      </c>
      <c r="D8189">
        <v>0</v>
      </c>
      <c r="E8189" t="s">
        <v>6</v>
      </c>
      <c r="F8189">
        <v>0.1108</v>
      </c>
    </row>
    <row r="8190" spans="1:6" x14ac:dyDescent="0.3">
      <c r="A8190" t="s">
        <v>5</v>
      </c>
      <c r="B8190" s="1">
        <v>45999</v>
      </c>
      <c r="C8190">
        <v>5</v>
      </c>
      <c r="D8190">
        <v>0</v>
      </c>
      <c r="E8190" t="s">
        <v>6</v>
      </c>
      <c r="F8190">
        <v>0.10847</v>
      </c>
    </row>
    <row r="8191" spans="1:6" x14ac:dyDescent="0.3">
      <c r="A8191" t="s">
        <v>5</v>
      </c>
      <c r="B8191" s="1">
        <v>45999</v>
      </c>
      <c r="C8191">
        <v>6</v>
      </c>
      <c r="D8191">
        <v>0</v>
      </c>
      <c r="E8191" t="s">
        <v>6</v>
      </c>
      <c r="F8191">
        <v>0.11092</v>
      </c>
    </row>
    <row r="8192" spans="1:6" x14ac:dyDescent="0.3">
      <c r="A8192" t="s">
        <v>5</v>
      </c>
      <c r="B8192" s="1">
        <v>45999</v>
      </c>
      <c r="C8192">
        <v>7</v>
      </c>
      <c r="D8192">
        <v>0</v>
      </c>
      <c r="E8192" t="s">
        <v>6</v>
      </c>
      <c r="F8192">
        <v>0.10876999999999999</v>
      </c>
    </row>
    <row r="8193" spans="1:6" x14ac:dyDescent="0.3">
      <c r="A8193" t="s">
        <v>5</v>
      </c>
      <c r="B8193" s="1">
        <v>45999</v>
      </c>
      <c r="C8193">
        <v>8</v>
      </c>
      <c r="D8193">
        <v>0</v>
      </c>
      <c r="E8193" t="s">
        <v>6</v>
      </c>
      <c r="F8193">
        <v>0.1222</v>
      </c>
    </row>
    <row r="8194" spans="1:6" x14ac:dyDescent="0.3">
      <c r="A8194" t="s">
        <v>5</v>
      </c>
      <c r="B8194" s="1">
        <v>45999</v>
      </c>
      <c r="C8194">
        <v>9</v>
      </c>
      <c r="D8194">
        <v>0</v>
      </c>
      <c r="E8194" t="s">
        <v>6</v>
      </c>
      <c r="F8194">
        <v>0.12242</v>
      </c>
    </row>
    <row r="8195" spans="1:6" x14ac:dyDescent="0.3">
      <c r="A8195" t="s">
        <v>5</v>
      </c>
      <c r="B8195" s="1">
        <v>45999</v>
      </c>
      <c r="C8195">
        <v>10</v>
      </c>
      <c r="D8195">
        <v>0</v>
      </c>
      <c r="E8195" t="s">
        <v>6</v>
      </c>
      <c r="F8195">
        <v>9.7700000000000009E-2</v>
      </c>
    </row>
    <row r="8196" spans="1:6" x14ac:dyDescent="0.3">
      <c r="A8196" t="s">
        <v>5</v>
      </c>
      <c r="B8196" s="1">
        <v>45999</v>
      </c>
      <c r="C8196">
        <v>11</v>
      </c>
      <c r="D8196">
        <v>0</v>
      </c>
      <c r="E8196" t="s">
        <v>6</v>
      </c>
      <c r="F8196">
        <v>7.4769999999999989E-2</v>
      </c>
    </row>
    <row r="8197" spans="1:6" x14ac:dyDescent="0.3">
      <c r="A8197" t="s">
        <v>5</v>
      </c>
      <c r="B8197" s="1">
        <v>45999</v>
      </c>
      <c r="C8197">
        <v>12</v>
      </c>
      <c r="D8197">
        <v>0</v>
      </c>
      <c r="E8197" t="s">
        <v>6</v>
      </c>
      <c r="F8197">
        <v>7.041E-2</v>
      </c>
    </row>
    <row r="8198" spans="1:6" x14ac:dyDescent="0.3">
      <c r="A8198" t="s">
        <v>5</v>
      </c>
      <c r="B8198" s="1">
        <v>45999</v>
      </c>
      <c r="C8198">
        <v>13</v>
      </c>
      <c r="D8198">
        <v>0</v>
      </c>
      <c r="E8198" t="s">
        <v>6</v>
      </c>
      <c r="F8198">
        <v>6.8390000000000006E-2</v>
      </c>
    </row>
    <row r="8199" spans="1:6" x14ac:dyDescent="0.3">
      <c r="A8199" t="s">
        <v>5</v>
      </c>
      <c r="B8199" s="1">
        <v>45999</v>
      </c>
      <c r="C8199">
        <v>14</v>
      </c>
      <c r="D8199">
        <v>0</v>
      </c>
      <c r="E8199" t="s">
        <v>6</v>
      </c>
      <c r="F8199">
        <v>6.0080000000000001E-2</v>
      </c>
    </row>
    <row r="8200" spans="1:6" x14ac:dyDescent="0.3">
      <c r="A8200" t="s">
        <v>5</v>
      </c>
      <c r="B8200" s="1">
        <v>45999</v>
      </c>
      <c r="C8200">
        <v>15</v>
      </c>
      <c r="D8200">
        <v>0</v>
      </c>
      <c r="E8200" t="s">
        <v>6</v>
      </c>
      <c r="F8200">
        <v>6.1490000000000003E-2</v>
      </c>
    </row>
    <row r="8201" spans="1:6" x14ac:dyDescent="0.3">
      <c r="A8201" t="s">
        <v>5</v>
      </c>
      <c r="B8201" s="1">
        <v>45999</v>
      </c>
      <c r="C8201">
        <v>16</v>
      </c>
      <c r="D8201">
        <v>0</v>
      </c>
      <c r="E8201" t="s">
        <v>6</v>
      </c>
      <c r="F8201">
        <v>7.349E-2</v>
      </c>
    </row>
    <row r="8202" spans="1:6" x14ac:dyDescent="0.3">
      <c r="A8202" t="s">
        <v>5</v>
      </c>
      <c r="B8202" s="1">
        <v>45999</v>
      </c>
      <c r="C8202">
        <v>17</v>
      </c>
      <c r="D8202">
        <v>0</v>
      </c>
      <c r="E8202" t="s">
        <v>6</v>
      </c>
      <c r="F8202">
        <v>8.9200000000000002E-2</v>
      </c>
    </row>
    <row r="8203" spans="1:6" x14ac:dyDescent="0.3">
      <c r="A8203" t="s">
        <v>5</v>
      </c>
      <c r="B8203" s="1">
        <v>45999</v>
      </c>
      <c r="C8203">
        <v>18</v>
      </c>
      <c r="D8203">
        <v>0</v>
      </c>
      <c r="E8203" t="s">
        <v>6</v>
      </c>
      <c r="F8203">
        <v>0.12919999999999998</v>
      </c>
    </row>
    <row r="8204" spans="1:6" x14ac:dyDescent="0.3">
      <c r="A8204" t="s">
        <v>5</v>
      </c>
      <c r="B8204" s="1">
        <v>45999</v>
      </c>
      <c r="C8204">
        <v>19</v>
      </c>
      <c r="D8204">
        <v>0</v>
      </c>
      <c r="E8204" t="s">
        <v>6</v>
      </c>
      <c r="F8204">
        <v>0.13027</v>
      </c>
    </row>
    <row r="8205" spans="1:6" x14ac:dyDescent="0.3">
      <c r="A8205" t="s">
        <v>5</v>
      </c>
      <c r="B8205" s="1">
        <v>45999</v>
      </c>
      <c r="C8205">
        <v>20</v>
      </c>
      <c r="D8205">
        <v>0</v>
      </c>
      <c r="E8205" t="s">
        <v>6</v>
      </c>
      <c r="F8205">
        <v>0.14215</v>
      </c>
    </row>
    <row r="8206" spans="1:6" x14ac:dyDescent="0.3">
      <c r="A8206" t="s">
        <v>5</v>
      </c>
      <c r="B8206" s="1">
        <v>45999</v>
      </c>
      <c r="C8206">
        <v>21</v>
      </c>
      <c r="D8206">
        <v>0.05</v>
      </c>
      <c r="E8206" t="s">
        <v>6</v>
      </c>
      <c r="F8206">
        <v>0.14727999999999999</v>
      </c>
    </row>
    <row r="8207" spans="1:6" x14ac:dyDescent="0.3">
      <c r="A8207" t="s">
        <v>5</v>
      </c>
      <c r="B8207" s="1">
        <v>45999</v>
      </c>
      <c r="C8207">
        <v>22</v>
      </c>
      <c r="D8207">
        <v>0.25900000000000001</v>
      </c>
      <c r="E8207" t="s">
        <v>6</v>
      </c>
      <c r="F8207">
        <v>0.14487</v>
      </c>
    </row>
    <row r="8208" spans="1:6" x14ac:dyDescent="0.3">
      <c r="A8208" t="s">
        <v>5</v>
      </c>
      <c r="B8208" s="1">
        <v>45999</v>
      </c>
      <c r="C8208">
        <v>23</v>
      </c>
      <c r="D8208">
        <v>0.16600000000000001</v>
      </c>
      <c r="E8208" t="s">
        <v>6</v>
      </c>
      <c r="F8208">
        <v>0.12949000000000002</v>
      </c>
    </row>
    <row r="8209" spans="1:6" x14ac:dyDescent="0.3">
      <c r="A8209" t="s">
        <v>5</v>
      </c>
      <c r="B8209" s="1">
        <v>45999</v>
      </c>
      <c r="C8209">
        <v>24</v>
      </c>
      <c r="D8209">
        <v>0.151</v>
      </c>
      <c r="E8209" t="s">
        <v>6</v>
      </c>
      <c r="F8209">
        <v>0.12193000000000001</v>
      </c>
    </row>
    <row r="8210" spans="1:6" x14ac:dyDescent="0.3">
      <c r="A8210" t="s">
        <v>5</v>
      </c>
      <c r="B8210" s="1">
        <v>46000</v>
      </c>
      <c r="C8210">
        <v>1</v>
      </c>
      <c r="D8210">
        <v>0.13800000000000001</v>
      </c>
      <c r="E8210" t="s">
        <v>6</v>
      </c>
      <c r="F8210">
        <v>0.10784999999999999</v>
      </c>
    </row>
    <row r="8211" spans="1:6" x14ac:dyDescent="0.3">
      <c r="A8211" t="s">
        <v>5</v>
      </c>
      <c r="B8211" s="1">
        <v>46000</v>
      </c>
      <c r="C8211">
        <v>2</v>
      </c>
      <c r="D8211">
        <v>0.12</v>
      </c>
      <c r="E8211" t="s">
        <v>6</v>
      </c>
      <c r="F8211">
        <v>0.10123</v>
      </c>
    </row>
    <row r="8212" spans="1:6" x14ac:dyDescent="0.3">
      <c r="A8212" t="s">
        <v>5</v>
      </c>
      <c r="B8212" s="1">
        <v>46000</v>
      </c>
      <c r="C8212">
        <v>3</v>
      </c>
      <c r="D8212">
        <v>0.112</v>
      </c>
      <c r="E8212" t="s">
        <v>6</v>
      </c>
      <c r="F8212">
        <v>9.9890000000000007E-2</v>
      </c>
    </row>
    <row r="8213" spans="1:6" x14ac:dyDescent="0.3">
      <c r="A8213" t="s">
        <v>5</v>
      </c>
      <c r="B8213" s="1">
        <v>46000</v>
      </c>
      <c r="C8213">
        <v>4</v>
      </c>
      <c r="D8213">
        <v>0.10100000000000001</v>
      </c>
      <c r="E8213" t="s">
        <v>6</v>
      </c>
      <c r="F8213">
        <v>9.731999999999999E-2</v>
      </c>
    </row>
    <row r="8214" spans="1:6" x14ac:dyDescent="0.3">
      <c r="A8214" t="s">
        <v>5</v>
      </c>
      <c r="B8214" s="1">
        <v>46000</v>
      </c>
      <c r="C8214">
        <v>5</v>
      </c>
      <c r="D8214">
        <v>0.10299999999999999</v>
      </c>
      <c r="E8214" t="s">
        <v>6</v>
      </c>
      <c r="F8214">
        <v>9.3930000000000013E-2</v>
      </c>
    </row>
    <row r="8215" spans="1:6" x14ac:dyDescent="0.3">
      <c r="A8215" t="s">
        <v>5</v>
      </c>
      <c r="B8215" s="1">
        <v>46000</v>
      </c>
      <c r="C8215">
        <v>6</v>
      </c>
      <c r="D8215">
        <v>6.4000000000000001E-2</v>
      </c>
      <c r="E8215" t="s">
        <v>6</v>
      </c>
      <c r="F8215">
        <v>9.7689999999999999E-2</v>
      </c>
    </row>
    <row r="8216" spans="1:6" x14ac:dyDescent="0.3">
      <c r="A8216" t="s">
        <v>5</v>
      </c>
      <c r="B8216" s="1">
        <v>46000</v>
      </c>
      <c r="C8216">
        <v>7</v>
      </c>
      <c r="D8216">
        <v>0.106</v>
      </c>
      <c r="E8216" t="s">
        <v>6</v>
      </c>
      <c r="F8216">
        <v>0.11095999999999999</v>
      </c>
    </row>
    <row r="8217" spans="1:6" x14ac:dyDescent="0.3">
      <c r="A8217" t="s">
        <v>5</v>
      </c>
      <c r="B8217" s="1">
        <v>46000</v>
      </c>
      <c r="C8217">
        <v>8</v>
      </c>
      <c r="D8217">
        <v>0.13400000000000001</v>
      </c>
      <c r="E8217" t="s">
        <v>6</v>
      </c>
      <c r="F8217">
        <v>0.12462000000000001</v>
      </c>
    </row>
    <row r="8218" spans="1:6" x14ac:dyDescent="0.3">
      <c r="A8218" t="s">
        <v>5</v>
      </c>
      <c r="B8218" s="1">
        <v>46000</v>
      </c>
      <c r="C8218">
        <v>9</v>
      </c>
      <c r="D8218">
        <v>0.10299999999999999</v>
      </c>
      <c r="E8218" t="s">
        <v>6</v>
      </c>
      <c r="F8218">
        <v>0.15806000000000001</v>
      </c>
    </row>
    <row r="8219" spans="1:6" x14ac:dyDescent="0.3">
      <c r="A8219" t="s">
        <v>5</v>
      </c>
      <c r="B8219" s="1">
        <v>46000</v>
      </c>
      <c r="C8219">
        <v>10</v>
      </c>
      <c r="D8219">
        <v>0.114</v>
      </c>
      <c r="E8219" t="s">
        <v>6</v>
      </c>
      <c r="F8219">
        <v>0.13053999999999999</v>
      </c>
    </row>
    <row r="8220" spans="1:6" x14ac:dyDescent="0.3">
      <c r="A8220" t="s">
        <v>5</v>
      </c>
      <c r="B8220" s="1">
        <v>46000</v>
      </c>
      <c r="C8220">
        <v>11</v>
      </c>
      <c r="D8220">
        <v>7.0999999999999994E-2</v>
      </c>
      <c r="E8220" t="s">
        <v>6</v>
      </c>
      <c r="F8220">
        <v>0.16800000000000001</v>
      </c>
    </row>
    <row r="8221" spans="1:6" x14ac:dyDescent="0.3">
      <c r="A8221" t="s">
        <v>5</v>
      </c>
      <c r="B8221" s="1">
        <v>46000</v>
      </c>
      <c r="C8221">
        <v>12</v>
      </c>
      <c r="D8221">
        <v>7.9000000000000001E-2</v>
      </c>
      <c r="E8221" t="s">
        <v>6</v>
      </c>
      <c r="F8221">
        <v>0.14083000000000001</v>
      </c>
    </row>
    <row r="8222" spans="1:6" x14ac:dyDescent="0.3">
      <c r="A8222" t="s">
        <v>5</v>
      </c>
      <c r="B8222" s="1">
        <v>46000</v>
      </c>
      <c r="C8222">
        <v>13</v>
      </c>
      <c r="D8222">
        <v>0.11799999999999999</v>
      </c>
      <c r="E8222" t="s">
        <v>6</v>
      </c>
      <c r="F8222">
        <v>0.14036000000000001</v>
      </c>
    </row>
    <row r="8223" spans="1:6" x14ac:dyDescent="0.3">
      <c r="A8223" t="s">
        <v>5</v>
      </c>
      <c r="B8223" s="1">
        <v>46000</v>
      </c>
      <c r="C8223">
        <v>14</v>
      </c>
      <c r="D8223">
        <v>0.14599999999999999</v>
      </c>
      <c r="E8223" t="s">
        <v>6</v>
      </c>
      <c r="F8223">
        <v>0.13872000000000001</v>
      </c>
    </row>
    <row r="8224" spans="1:6" x14ac:dyDescent="0.3">
      <c r="A8224" t="s">
        <v>5</v>
      </c>
      <c r="B8224" s="1">
        <v>46000</v>
      </c>
      <c r="C8224">
        <v>15</v>
      </c>
      <c r="D8224">
        <v>8.8999999999999996E-2</v>
      </c>
      <c r="E8224" t="s">
        <v>6</v>
      </c>
      <c r="F8224">
        <v>7.9519999999999993E-2</v>
      </c>
    </row>
    <row r="8225" spans="1:6" x14ac:dyDescent="0.3">
      <c r="A8225" t="s">
        <v>5</v>
      </c>
      <c r="B8225" s="1">
        <v>46000</v>
      </c>
      <c r="C8225">
        <v>16</v>
      </c>
      <c r="D8225">
        <v>0.109</v>
      </c>
      <c r="E8225" t="s">
        <v>6</v>
      </c>
      <c r="F8225">
        <v>0.10467</v>
      </c>
    </row>
    <row r="8226" spans="1:6" x14ac:dyDescent="0.3">
      <c r="A8226" t="s">
        <v>5</v>
      </c>
      <c r="B8226" s="1">
        <v>46000</v>
      </c>
      <c r="C8226">
        <v>17</v>
      </c>
      <c r="D8226">
        <v>0.25900000000000001</v>
      </c>
      <c r="E8226" t="s">
        <v>6</v>
      </c>
      <c r="F8226">
        <v>0.13936000000000001</v>
      </c>
    </row>
    <row r="8227" spans="1:6" x14ac:dyDescent="0.3">
      <c r="A8227" t="s">
        <v>5</v>
      </c>
      <c r="B8227" s="1">
        <v>46000</v>
      </c>
      <c r="C8227">
        <v>18</v>
      </c>
      <c r="D8227">
        <v>0.16</v>
      </c>
      <c r="E8227" t="s">
        <v>6</v>
      </c>
      <c r="F8227">
        <v>0.16688</v>
      </c>
    </row>
    <row r="8228" spans="1:6" x14ac:dyDescent="0.3">
      <c r="A8228" t="s">
        <v>5</v>
      </c>
      <c r="B8228" s="1">
        <v>46000</v>
      </c>
      <c r="C8228">
        <v>19</v>
      </c>
      <c r="D8228">
        <v>0.10299999999999999</v>
      </c>
      <c r="E8228" t="s">
        <v>6</v>
      </c>
      <c r="F8228">
        <v>0.25123000000000001</v>
      </c>
    </row>
    <row r="8229" spans="1:6" x14ac:dyDescent="0.3">
      <c r="A8229" t="s">
        <v>5</v>
      </c>
      <c r="B8229" s="1">
        <v>46000</v>
      </c>
      <c r="C8229">
        <v>20</v>
      </c>
      <c r="D8229">
        <v>0.13700000000000001</v>
      </c>
      <c r="E8229" t="s">
        <v>6</v>
      </c>
      <c r="F8229">
        <v>0.26629000000000003</v>
      </c>
    </row>
    <row r="8230" spans="1:6" x14ac:dyDescent="0.3">
      <c r="A8230" t="s">
        <v>5</v>
      </c>
      <c r="B8230" s="1">
        <v>46000</v>
      </c>
      <c r="C8230">
        <v>21</v>
      </c>
      <c r="D8230">
        <v>0.14599999999999999</v>
      </c>
      <c r="E8230" t="s">
        <v>6</v>
      </c>
      <c r="F8230">
        <v>0.27623999999999999</v>
      </c>
    </row>
    <row r="8231" spans="1:6" x14ac:dyDescent="0.3">
      <c r="A8231" t="s">
        <v>5</v>
      </c>
      <c r="B8231" s="1">
        <v>46000</v>
      </c>
      <c r="C8231">
        <v>22</v>
      </c>
      <c r="D8231">
        <v>0.41299999999999998</v>
      </c>
      <c r="E8231" t="s">
        <v>6</v>
      </c>
      <c r="F8231">
        <v>0.28085000000000004</v>
      </c>
    </row>
    <row r="8232" spans="1:6" x14ac:dyDescent="0.3">
      <c r="A8232" t="s">
        <v>5</v>
      </c>
      <c r="B8232" s="1">
        <v>46000</v>
      </c>
      <c r="C8232">
        <v>23</v>
      </c>
      <c r="D8232">
        <v>0.28399999999999997</v>
      </c>
      <c r="E8232" t="s">
        <v>6</v>
      </c>
      <c r="F8232">
        <v>0.18183000000000002</v>
      </c>
    </row>
    <row r="8233" spans="1:6" x14ac:dyDescent="0.3">
      <c r="A8233" t="s">
        <v>5</v>
      </c>
      <c r="B8233" s="1">
        <v>46000</v>
      </c>
      <c r="C8233">
        <v>24</v>
      </c>
      <c r="D8233">
        <v>0.26900000000000002</v>
      </c>
      <c r="E8233" t="s">
        <v>6</v>
      </c>
      <c r="F8233">
        <v>0.16863</v>
      </c>
    </row>
    <row r="8234" spans="1:6" x14ac:dyDescent="0.3">
      <c r="A8234" t="s">
        <v>5</v>
      </c>
      <c r="B8234" s="1">
        <v>46001</v>
      </c>
      <c r="C8234">
        <v>1</v>
      </c>
      <c r="D8234">
        <v>0.17599999999999999</v>
      </c>
      <c r="E8234" t="s">
        <v>6</v>
      </c>
      <c r="F8234">
        <v>0.12896000000000002</v>
      </c>
    </row>
    <row r="8235" spans="1:6" x14ac:dyDescent="0.3">
      <c r="A8235" t="s">
        <v>5</v>
      </c>
      <c r="B8235" s="1">
        <v>46001</v>
      </c>
      <c r="C8235">
        <v>2</v>
      </c>
      <c r="D8235">
        <v>0.16200000000000001</v>
      </c>
      <c r="E8235" t="s">
        <v>6</v>
      </c>
      <c r="F8235">
        <v>0.11932</v>
      </c>
    </row>
    <row r="8236" spans="1:6" x14ac:dyDescent="0.3">
      <c r="A8236" t="s">
        <v>5</v>
      </c>
      <c r="B8236" s="1">
        <v>46001</v>
      </c>
      <c r="C8236">
        <v>3</v>
      </c>
      <c r="D8236">
        <v>0.124</v>
      </c>
      <c r="E8236" t="s">
        <v>6</v>
      </c>
      <c r="F8236">
        <v>0.11835</v>
      </c>
    </row>
    <row r="8237" spans="1:6" x14ac:dyDescent="0.3">
      <c r="A8237" t="s">
        <v>5</v>
      </c>
      <c r="B8237" s="1">
        <v>46001</v>
      </c>
      <c r="C8237">
        <v>4</v>
      </c>
      <c r="D8237">
        <v>7.4999999999999997E-2</v>
      </c>
      <c r="E8237" t="s">
        <v>6</v>
      </c>
      <c r="F8237">
        <v>0.11133</v>
      </c>
    </row>
    <row r="8238" spans="1:6" x14ac:dyDescent="0.3">
      <c r="A8238" t="s">
        <v>5</v>
      </c>
      <c r="B8238" s="1">
        <v>46001</v>
      </c>
      <c r="C8238">
        <v>5</v>
      </c>
      <c r="D8238">
        <v>7.9000000000000001E-2</v>
      </c>
      <c r="E8238" t="s">
        <v>6</v>
      </c>
      <c r="F8238">
        <v>0.11381000000000001</v>
      </c>
    </row>
    <row r="8239" spans="1:6" x14ac:dyDescent="0.3">
      <c r="A8239" t="s">
        <v>5</v>
      </c>
      <c r="B8239" s="1">
        <v>46001</v>
      </c>
      <c r="C8239">
        <v>6</v>
      </c>
      <c r="D8239">
        <v>8.6999999999999994E-2</v>
      </c>
      <c r="E8239" t="s">
        <v>6</v>
      </c>
      <c r="F8239">
        <v>0.11511</v>
      </c>
    </row>
    <row r="8240" spans="1:6" x14ac:dyDescent="0.3">
      <c r="A8240" t="s">
        <v>5</v>
      </c>
      <c r="B8240" s="1">
        <v>46001</v>
      </c>
      <c r="C8240">
        <v>7</v>
      </c>
      <c r="D8240">
        <v>9.8000000000000004E-2</v>
      </c>
      <c r="E8240" t="s">
        <v>6</v>
      </c>
      <c r="F8240">
        <v>0.12579000000000001</v>
      </c>
    </row>
    <row r="8241" spans="1:6" x14ac:dyDescent="0.3">
      <c r="A8241" t="s">
        <v>5</v>
      </c>
      <c r="B8241" s="1">
        <v>46001</v>
      </c>
      <c r="C8241">
        <v>8</v>
      </c>
      <c r="D8241">
        <v>6.9000000000000006E-2</v>
      </c>
      <c r="E8241" t="s">
        <v>6</v>
      </c>
      <c r="F8241">
        <v>0.13833999999999999</v>
      </c>
    </row>
    <row r="8242" spans="1:6" x14ac:dyDescent="0.3">
      <c r="A8242" t="s">
        <v>5</v>
      </c>
      <c r="B8242" s="1">
        <v>46001</v>
      </c>
      <c r="C8242">
        <v>9</v>
      </c>
      <c r="D8242">
        <v>0.11799999999999999</v>
      </c>
      <c r="E8242" t="s">
        <v>6</v>
      </c>
      <c r="F8242">
        <v>0.17208999999999999</v>
      </c>
    </row>
    <row r="8243" spans="1:6" x14ac:dyDescent="0.3">
      <c r="A8243" t="s">
        <v>5</v>
      </c>
      <c r="B8243" s="1">
        <v>46001</v>
      </c>
      <c r="C8243">
        <v>10</v>
      </c>
      <c r="D8243">
        <v>0.05</v>
      </c>
      <c r="E8243" t="s">
        <v>6</v>
      </c>
      <c r="F8243">
        <v>0.16465000000000002</v>
      </c>
    </row>
    <row r="8244" spans="1:6" x14ac:dyDescent="0.3">
      <c r="A8244" t="s">
        <v>5</v>
      </c>
      <c r="B8244" s="1">
        <v>46001</v>
      </c>
      <c r="C8244">
        <v>11</v>
      </c>
      <c r="D8244">
        <v>6.9000000000000006E-2</v>
      </c>
      <c r="E8244" t="s">
        <v>6</v>
      </c>
      <c r="F8244">
        <v>0.22344999999999998</v>
      </c>
    </row>
    <row r="8245" spans="1:6" x14ac:dyDescent="0.3">
      <c r="A8245" t="s">
        <v>5</v>
      </c>
      <c r="B8245" s="1">
        <v>46001</v>
      </c>
      <c r="C8245">
        <v>12</v>
      </c>
      <c r="D8245">
        <v>7.3999999999999996E-2</v>
      </c>
      <c r="E8245" t="s">
        <v>6</v>
      </c>
      <c r="F8245">
        <v>0.21987999999999999</v>
      </c>
    </row>
    <row r="8246" spans="1:6" x14ac:dyDescent="0.3">
      <c r="A8246" t="s">
        <v>5</v>
      </c>
      <c r="B8246" s="1">
        <v>46001</v>
      </c>
      <c r="C8246">
        <v>13</v>
      </c>
      <c r="D8246">
        <v>0.114</v>
      </c>
      <c r="E8246" t="s">
        <v>6</v>
      </c>
      <c r="F8246">
        <v>0.21747999999999998</v>
      </c>
    </row>
    <row r="8247" spans="1:6" x14ac:dyDescent="0.3">
      <c r="A8247" t="s">
        <v>5</v>
      </c>
      <c r="B8247" s="1">
        <v>46001</v>
      </c>
      <c r="C8247">
        <v>14</v>
      </c>
      <c r="D8247">
        <v>0.113</v>
      </c>
      <c r="E8247" t="s">
        <v>6</v>
      </c>
      <c r="F8247">
        <v>0.21399000000000001</v>
      </c>
    </row>
    <row r="8248" spans="1:6" x14ac:dyDescent="0.3">
      <c r="A8248" t="s">
        <v>5</v>
      </c>
      <c r="B8248" s="1">
        <v>46001</v>
      </c>
      <c r="C8248">
        <v>15</v>
      </c>
      <c r="D8248">
        <v>0.13300000000000001</v>
      </c>
      <c r="E8248" t="s">
        <v>6</v>
      </c>
      <c r="F8248">
        <v>0.15003999999999998</v>
      </c>
    </row>
    <row r="8249" spans="1:6" x14ac:dyDescent="0.3">
      <c r="A8249" t="s">
        <v>5</v>
      </c>
      <c r="B8249" s="1">
        <v>46001</v>
      </c>
      <c r="C8249">
        <v>16</v>
      </c>
      <c r="D8249">
        <v>7.2999999999999995E-2</v>
      </c>
      <c r="E8249" t="s">
        <v>6</v>
      </c>
      <c r="F8249">
        <v>0.15556</v>
      </c>
    </row>
    <row r="8250" spans="1:6" x14ac:dyDescent="0.3">
      <c r="A8250" t="s">
        <v>5</v>
      </c>
      <c r="B8250" s="1">
        <v>46001</v>
      </c>
      <c r="C8250">
        <v>17</v>
      </c>
      <c r="D8250">
        <v>6.5000000000000002E-2</v>
      </c>
      <c r="E8250" t="s">
        <v>6</v>
      </c>
      <c r="F8250">
        <v>0.1658</v>
      </c>
    </row>
    <row r="8251" spans="1:6" x14ac:dyDescent="0.3">
      <c r="A8251" t="s">
        <v>5</v>
      </c>
      <c r="B8251" s="1">
        <v>46001</v>
      </c>
      <c r="C8251">
        <v>18</v>
      </c>
      <c r="D8251">
        <v>5.5E-2</v>
      </c>
      <c r="E8251" t="s">
        <v>6</v>
      </c>
      <c r="F8251">
        <v>0.17548</v>
      </c>
    </row>
    <row r="8252" spans="1:6" x14ac:dyDescent="0.3">
      <c r="A8252" t="s">
        <v>5</v>
      </c>
      <c r="B8252" s="1">
        <v>46001</v>
      </c>
      <c r="C8252">
        <v>19</v>
      </c>
      <c r="D8252">
        <v>1.0509999999999999</v>
      </c>
      <c r="E8252" t="s">
        <v>6</v>
      </c>
      <c r="F8252">
        <v>0.24636000000000002</v>
      </c>
    </row>
    <row r="8253" spans="1:6" x14ac:dyDescent="0.3">
      <c r="A8253" t="s">
        <v>5</v>
      </c>
      <c r="B8253" s="1">
        <v>46001</v>
      </c>
      <c r="C8253">
        <v>20</v>
      </c>
      <c r="D8253">
        <v>0.26400000000000001</v>
      </c>
      <c r="E8253" t="s">
        <v>6</v>
      </c>
      <c r="F8253">
        <v>0.24936000000000003</v>
      </c>
    </row>
    <row r="8254" spans="1:6" x14ac:dyDescent="0.3">
      <c r="A8254" t="s">
        <v>5</v>
      </c>
      <c r="B8254" s="1">
        <v>46001</v>
      </c>
      <c r="C8254">
        <v>21</v>
      </c>
      <c r="D8254">
        <v>0.64900000000000002</v>
      </c>
      <c r="E8254" t="s">
        <v>6</v>
      </c>
      <c r="F8254">
        <v>0.25541999999999998</v>
      </c>
    </row>
    <row r="8255" spans="1:6" x14ac:dyDescent="0.3">
      <c r="A8255" t="s">
        <v>5</v>
      </c>
      <c r="B8255" s="1">
        <v>46001</v>
      </c>
      <c r="C8255">
        <v>22</v>
      </c>
      <c r="D8255">
        <v>0.34599999999999997</v>
      </c>
      <c r="E8255" t="s">
        <v>6</v>
      </c>
      <c r="F8255">
        <v>0.24956</v>
      </c>
    </row>
    <row r="8256" spans="1:6" x14ac:dyDescent="0.3">
      <c r="A8256" t="s">
        <v>5</v>
      </c>
      <c r="B8256" s="1">
        <v>46001</v>
      </c>
      <c r="C8256">
        <v>23</v>
      </c>
      <c r="D8256">
        <v>0.17499999999999999</v>
      </c>
      <c r="E8256" t="s">
        <v>6</v>
      </c>
      <c r="F8256">
        <v>0.17224999999999999</v>
      </c>
    </row>
    <row r="8257" spans="1:6" x14ac:dyDescent="0.3">
      <c r="A8257" t="s">
        <v>5</v>
      </c>
      <c r="B8257" s="1">
        <v>46001</v>
      </c>
      <c r="C8257">
        <v>24</v>
      </c>
      <c r="D8257">
        <v>0.185</v>
      </c>
      <c r="E8257" t="s">
        <v>6</v>
      </c>
      <c r="F8257">
        <v>0.15899000000000002</v>
      </c>
    </row>
    <row r="8258" spans="1:6" x14ac:dyDescent="0.3">
      <c r="A8258" t="s">
        <v>5</v>
      </c>
      <c r="B8258" s="1">
        <v>46002</v>
      </c>
      <c r="C8258">
        <v>1</v>
      </c>
      <c r="D8258">
        <v>0.20300000000000001</v>
      </c>
      <c r="E8258" t="s">
        <v>6</v>
      </c>
      <c r="F8258">
        <v>0.13979</v>
      </c>
    </row>
    <row r="8259" spans="1:6" x14ac:dyDescent="0.3">
      <c r="A8259" t="s">
        <v>5</v>
      </c>
      <c r="B8259" s="1">
        <v>46002</v>
      </c>
      <c r="C8259">
        <v>2</v>
      </c>
      <c r="D8259">
        <v>0.113</v>
      </c>
      <c r="E8259" t="s">
        <v>6</v>
      </c>
      <c r="F8259">
        <v>0.13008</v>
      </c>
    </row>
    <row r="8260" spans="1:6" x14ac:dyDescent="0.3">
      <c r="A8260" t="s">
        <v>5</v>
      </c>
      <c r="B8260" s="1">
        <v>46002</v>
      </c>
      <c r="C8260">
        <v>3</v>
      </c>
      <c r="D8260">
        <v>8.4000000000000005E-2</v>
      </c>
      <c r="E8260" t="s">
        <v>6</v>
      </c>
      <c r="F8260">
        <v>0.12987000000000001</v>
      </c>
    </row>
    <row r="8261" spans="1:6" x14ac:dyDescent="0.3">
      <c r="A8261" t="s">
        <v>5</v>
      </c>
      <c r="B8261" s="1">
        <v>46002</v>
      </c>
      <c r="C8261">
        <v>4</v>
      </c>
      <c r="D8261">
        <v>6.5000000000000002E-2</v>
      </c>
      <c r="E8261" t="s">
        <v>6</v>
      </c>
      <c r="F8261">
        <v>0.11647</v>
      </c>
    </row>
    <row r="8262" spans="1:6" x14ac:dyDescent="0.3">
      <c r="A8262" t="s">
        <v>5</v>
      </c>
      <c r="B8262" s="1">
        <v>46002</v>
      </c>
      <c r="C8262">
        <v>5</v>
      </c>
      <c r="D8262">
        <v>6.5000000000000002E-2</v>
      </c>
      <c r="E8262" t="s">
        <v>6</v>
      </c>
      <c r="F8262">
        <v>0.11352</v>
      </c>
    </row>
    <row r="8263" spans="1:6" x14ac:dyDescent="0.3">
      <c r="A8263" t="s">
        <v>5</v>
      </c>
      <c r="B8263" s="1">
        <v>46002</v>
      </c>
      <c r="C8263">
        <v>6</v>
      </c>
      <c r="D8263">
        <v>7.1999999999999995E-2</v>
      </c>
      <c r="E8263" t="s">
        <v>6</v>
      </c>
      <c r="F8263">
        <v>0.11465</v>
      </c>
    </row>
    <row r="8264" spans="1:6" x14ac:dyDescent="0.3">
      <c r="A8264" t="s">
        <v>5</v>
      </c>
      <c r="B8264" s="1">
        <v>46002</v>
      </c>
      <c r="C8264">
        <v>7</v>
      </c>
      <c r="D8264">
        <v>6.2E-2</v>
      </c>
      <c r="E8264" t="s">
        <v>6</v>
      </c>
      <c r="F8264">
        <v>0.12934999999999999</v>
      </c>
    </row>
    <row r="8265" spans="1:6" x14ac:dyDescent="0.3">
      <c r="A8265" t="s">
        <v>5</v>
      </c>
      <c r="B8265" s="1">
        <v>46002</v>
      </c>
      <c r="C8265">
        <v>8</v>
      </c>
      <c r="D8265">
        <v>8.2000000000000003E-2</v>
      </c>
      <c r="E8265" t="s">
        <v>6</v>
      </c>
      <c r="F8265">
        <v>0.15487000000000001</v>
      </c>
    </row>
    <row r="8266" spans="1:6" x14ac:dyDescent="0.3">
      <c r="A8266" t="s">
        <v>5</v>
      </c>
      <c r="B8266" s="1">
        <v>46002</v>
      </c>
      <c r="C8266">
        <v>9</v>
      </c>
      <c r="D8266">
        <v>9.1999999999999998E-2</v>
      </c>
      <c r="E8266" t="s">
        <v>6</v>
      </c>
      <c r="F8266">
        <v>0.18861</v>
      </c>
    </row>
    <row r="8267" spans="1:6" x14ac:dyDescent="0.3">
      <c r="A8267" t="s">
        <v>5</v>
      </c>
      <c r="B8267" s="1">
        <v>46002</v>
      </c>
      <c r="C8267">
        <v>10</v>
      </c>
      <c r="D8267">
        <v>0.14000000000000001</v>
      </c>
      <c r="E8267" t="s">
        <v>6</v>
      </c>
      <c r="F8267">
        <v>0.17373</v>
      </c>
    </row>
    <row r="8268" spans="1:6" x14ac:dyDescent="0.3">
      <c r="A8268" t="s">
        <v>5</v>
      </c>
      <c r="B8268" s="1">
        <v>46002</v>
      </c>
      <c r="C8268">
        <v>11</v>
      </c>
      <c r="D8268">
        <v>0.11</v>
      </c>
      <c r="E8268" t="s">
        <v>6</v>
      </c>
      <c r="F8268">
        <v>0.20877000000000001</v>
      </c>
    </row>
    <row r="8269" spans="1:6" x14ac:dyDescent="0.3">
      <c r="A8269" t="s">
        <v>5</v>
      </c>
      <c r="B8269" s="1">
        <v>46002</v>
      </c>
      <c r="C8269">
        <v>12</v>
      </c>
      <c r="D8269">
        <v>0.109</v>
      </c>
      <c r="E8269" t="s">
        <v>6</v>
      </c>
      <c r="F8269">
        <v>0.2</v>
      </c>
    </row>
    <row r="8270" spans="1:6" x14ac:dyDescent="0.3">
      <c r="A8270" t="s">
        <v>5</v>
      </c>
      <c r="B8270" s="1">
        <v>46002</v>
      </c>
      <c r="C8270">
        <v>13</v>
      </c>
      <c r="D8270">
        <v>0.14099999999999999</v>
      </c>
      <c r="E8270" t="s">
        <v>6</v>
      </c>
      <c r="F8270">
        <v>0.19750000000000001</v>
      </c>
    </row>
    <row r="8271" spans="1:6" x14ac:dyDescent="0.3">
      <c r="A8271" t="s">
        <v>5</v>
      </c>
      <c r="B8271" s="1">
        <v>46002</v>
      </c>
      <c r="C8271">
        <v>14</v>
      </c>
      <c r="D8271">
        <v>0.39500000000000002</v>
      </c>
      <c r="E8271" t="s">
        <v>6</v>
      </c>
      <c r="F8271">
        <v>0.19319999999999998</v>
      </c>
    </row>
    <row r="8272" spans="1:6" x14ac:dyDescent="0.3">
      <c r="A8272" t="s">
        <v>5</v>
      </c>
      <c r="B8272" s="1">
        <v>46002</v>
      </c>
      <c r="C8272">
        <v>15</v>
      </c>
      <c r="D8272">
        <v>0.214</v>
      </c>
      <c r="E8272" t="s">
        <v>6</v>
      </c>
      <c r="F8272">
        <v>0.12834999999999999</v>
      </c>
    </row>
    <row r="8273" spans="1:6" x14ac:dyDescent="0.3">
      <c r="A8273" t="s">
        <v>5</v>
      </c>
      <c r="B8273" s="1">
        <v>46002</v>
      </c>
      <c r="C8273">
        <v>16</v>
      </c>
      <c r="D8273">
        <v>0.2</v>
      </c>
      <c r="E8273" t="s">
        <v>6</v>
      </c>
      <c r="F8273">
        <v>0.13244</v>
      </c>
    </row>
    <row r="8274" spans="1:6" x14ac:dyDescent="0.3">
      <c r="A8274" t="s">
        <v>5</v>
      </c>
      <c r="B8274" s="1">
        <v>46002</v>
      </c>
      <c r="C8274">
        <v>17</v>
      </c>
      <c r="D8274">
        <v>0.23400000000000001</v>
      </c>
      <c r="E8274" t="s">
        <v>6</v>
      </c>
      <c r="F8274">
        <v>0.1517</v>
      </c>
    </row>
    <row r="8275" spans="1:6" x14ac:dyDescent="0.3">
      <c r="A8275" t="s">
        <v>5</v>
      </c>
      <c r="B8275" s="1">
        <v>46002</v>
      </c>
      <c r="C8275">
        <v>18</v>
      </c>
      <c r="D8275">
        <v>0.24</v>
      </c>
      <c r="E8275" t="s">
        <v>6</v>
      </c>
      <c r="F8275">
        <v>0.17918999999999999</v>
      </c>
    </row>
    <row r="8276" spans="1:6" x14ac:dyDescent="0.3">
      <c r="A8276" t="s">
        <v>5</v>
      </c>
      <c r="B8276" s="1">
        <v>46002</v>
      </c>
      <c r="C8276">
        <v>19</v>
      </c>
      <c r="D8276">
        <v>0.22600000000000001</v>
      </c>
      <c r="E8276" t="s">
        <v>6</v>
      </c>
      <c r="F8276">
        <v>0.2424</v>
      </c>
    </row>
    <row r="8277" spans="1:6" x14ac:dyDescent="0.3">
      <c r="A8277" t="s">
        <v>5</v>
      </c>
      <c r="B8277" s="1">
        <v>46002</v>
      </c>
      <c r="C8277">
        <v>20</v>
      </c>
      <c r="D8277">
        <v>0.20200000000000001</v>
      </c>
      <c r="E8277" t="s">
        <v>6</v>
      </c>
      <c r="F8277">
        <v>0.24824000000000002</v>
      </c>
    </row>
    <row r="8278" spans="1:6" x14ac:dyDescent="0.3">
      <c r="A8278" t="s">
        <v>5</v>
      </c>
      <c r="B8278" s="1">
        <v>46002</v>
      </c>
      <c r="C8278">
        <v>21</v>
      </c>
      <c r="D8278">
        <v>0.57999999999999996</v>
      </c>
      <c r="E8278" t="s">
        <v>6</v>
      </c>
      <c r="F8278">
        <v>0.25814999999999999</v>
      </c>
    </row>
    <row r="8279" spans="1:6" x14ac:dyDescent="0.3">
      <c r="A8279" t="s">
        <v>5</v>
      </c>
      <c r="B8279" s="1">
        <v>46002</v>
      </c>
      <c r="C8279">
        <v>22</v>
      </c>
      <c r="D8279">
        <v>0.30499999999999999</v>
      </c>
      <c r="E8279" t="s">
        <v>6</v>
      </c>
      <c r="F8279">
        <v>0.25156000000000001</v>
      </c>
    </row>
    <row r="8280" spans="1:6" x14ac:dyDescent="0.3">
      <c r="A8280" t="s">
        <v>5</v>
      </c>
      <c r="B8280" s="1">
        <v>46002</v>
      </c>
      <c r="C8280">
        <v>23</v>
      </c>
      <c r="D8280">
        <v>0.19500000000000001</v>
      </c>
      <c r="E8280" t="s">
        <v>6</v>
      </c>
      <c r="F8280">
        <v>0.16757</v>
      </c>
    </row>
    <row r="8281" spans="1:6" x14ac:dyDescent="0.3">
      <c r="A8281" t="s">
        <v>5</v>
      </c>
      <c r="B8281" s="1">
        <v>46002</v>
      </c>
      <c r="C8281">
        <v>24</v>
      </c>
      <c r="D8281">
        <v>0.21299999999999999</v>
      </c>
      <c r="E8281" t="s">
        <v>6</v>
      </c>
      <c r="F8281">
        <v>0.15719999999999998</v>
      </c>
    </row>
    <row r="8282" spans="1:6" x14ac:dyDescent="0.3">
      <c r="A8282" t="s">
        <v>5</v>
      </c>
      <c r="B8282" s="1">
        <v>46003</v>
      </c>
      <c r="C8282">
        <v>1</v>
      </c>
      <c r="D8282">
        <v>0.186</v>
      </c>
      <c r="E8282" t="s">
        <v>6</v>
      </c>
      <c r="F8282">
        <v>0.12858</v>
      </c>
    </row>
    <row r="8283" spans="1:6" x14ac:dyDescent="0.3">
      <c r="A8283" t="s">
        <v>5</v>
      </c>
      <c r="B8283" s="1">
        <v>46003</v>
      </c>
      <c r="C8283">
        <v>2</v>
      </c>
      <c r="D8283">
        <v>0.127</v>
      </c>
      <c r="E8283" t="s">
        <v>6</v>
      </c>
      <c r="F8283">
        <v>0.11431999999999999</v>
      </c>
    </row>
    <row r="8284" spans="1:6" x14ac:dyDescent="0.3">
      <c r="A8284" t="s">
        <v>5</v>
      </c>
      <c r="B8284" s="1">
        <v>46003</v>
      </c>
      <c r="C8284">
        <v>3</v>
      </c>
      <c r="D8284">
        <v>0.127</v>
      </c>
      <c r="E8284" t="s">
        <v>6</v>
      </c>
      <c r="F8284">
        <v>0.11372</v>
      </c>
    </row>
    <row r="8285" spans="1:6" x14ac:dyDescent="0.3">
      <c r="A8285" t="s">
        <v>5</v>
      </c>
      <c r="B8285" s="1">
        <v>46003</v>
      </c>
      <c r="C8285">
        <v>4</v>
      </c>
      <c r="D8285">
        <v>0.13600000000000001</v>
      </c>
      <c r="E8285" t="s">
        <v>6</v>
      </c>
      <c r="F8285">
        <v>0.10947</v>
      </c>
    </row>
    <row r="8286" spans="1:6" x14ac:dyDescent="0.3">
      <c r="A8286" t="s">
        <v>5</v>
      </c>
      <c r="B8286" s="1">
        <v>46003</v>
      </c>
      <c r="C8286">
        <v>5</v>
      </c>
      <c r="D8286">
        <v>0.123</v>
      </c>
      <c r="E8286" t="s">
        <v>6</v>
      </c>
      <c r="F8286">
        <v>0.11004000000000001</v>
      </c>
    </row>
    <row r="8287" spans="1:6" x14ac:dyDescent="0.3">
      <c r="A8287" t="s">
        <v>5</v>
      </c>
      <c r="B8287" s="1">
        <v>46003</v>
      </c>
      <c r="C8287">
        <v>6</v>
      </c>
      <c r="D8287">
        <v>0.13100000000000001</v>
      </c>
      <c r="E8287" t="s">
        <v>6</v>
      </c>
      <c r="F8287">
        <v>0.11609999999999999</v>
      </c>
    </row>
    <row r="8288" spans="1:6" x14ac:dyDescent="0.3">
      <c r="A8288" t="s">
        <v>5</v>
      </c>
      <c r="B8288" s="1">
        <v>46003</v>
      </c>
      <c r="C8288">
        <v>7</v>
      </c>
      <c r="D8288">
        <v>0.13200000000000001</v>
      </c>
      <c r="E8288" t="s">
        <v>6</v>
      </c>
      <c r="F8288">
        <v>0.12975</v>
      </c>
    </row>
    <row r="8289" spans="1:6" x14ac:dyDescent="0.3">
      <c r="A8289" t="s">
        <v>5</v>
      </c>
      <c r="B8289" s="1">
        <v>46003</v>
      </c>
      <c r="C8289">
        <v>8</v>
      </c>
      <c r="D8289">
        <v>0.111</v>
      </c>
      <c r="E8289" t="s">
        <v>6</v>
      </c>
      <c r="F8289">
        <v>0.14493</v>
      </c>
    </row>
    <row r="8290" spans="1:6" x14ac:dyDescent="0.3">
      <c r="A8290" t="s">
        <v>5</v>
      </c>
      <c r="B8290" s="1">
        <v>46003</v>
      </c>
      <c r="C8290">
        <v>9</v>
      </c>
      <c r="D8290">
        <v>0.14199999999999999</v>
      </c>
      <c r="E8290" t="s">
        <v>6</v>
      </c>
      <c r="F8290">
        <v>0.18784000000000001</v>
      </c>
    </row>
    <row r="8291" spans="1:6" x14ac:dyDescent="0.3">
      <c r="A8291" t="s">
        <v>5</v>
      </c>
      <c r="B8291" s="1">
        <v>46003</v>
      </c>
      <c r="C8291">
        <v>10</v>
      </c>
      <c r="D8291">
        <v>0.97299999999999998</v>
      </c>
      <c r="E8291" t="s">
        <v>6</v>
      </c>
      <c r="F8291">
        <v>0.17712999999999998</v>
      </c>
    </row>
    <row r="8292" spans="1:6" x14ac:dyDescent="0.3">
      <c r="A8292" t="s">
        <v>5</v>
      </c>
      <c r="B8292" s="1">
        <v>46003</v>
      </c>
      <c r="C8292">
        <v>11</v>
      </c>
      <c r="D8292">
        <v>0.26600000000000001</v>
      </c>
      <c r="E8292" t="s">
        <v>6</v>
      </c>
      <c r="F8292">
        <v>0.23401</v>
      </c>
    </row>
    <row r="8293" spans="1:6" x14ac:dyDescent="0.3">
      <c r="A8293" t="s">
        <v>5</v>
      </c>
      <c r="B8293" s="1">
        <v>46003</v>
      </c>
      <c r="C8293">
        <v>12</v>
      </c>
      <c r="D8293">
        <v>0.7</v>
      </c>
      <c r="E8293" t="s">
        <v>6</v>
      </c>
      <c r="F8293">
        <v>0.22947999999999999</v>
      </c>
    </row>
    <row r="8294" spans="1:6" x14ac:dyDescent="0.3">
      <c r="A8294" t="s">
        <v>5</v>
      </c>
      <c r="B8294" s="1">
        <v>46003</v>
      </c>
      <c r="C8294">
        <v>13</v>
      </c>
      <c r="D8294">
        <v>0.115</v>
      </c>
      <c r="E8294" t="s">
        <v>6</v>
      </c>
      <c r="F8294">
        <v>0.22249000000000002</v>
      </c>
    </row>
    <row r="8295" spans="1:6" x14ac:dyDescent="0.3">
      <c r="A8295" t="s">
        <v>5</v>
      </c>
      <c r="B8295" s="1">
        <v>46003</v>
      </c>
      <c r="C8295">
        <v>14</v>
      </c>
      <c r="D8295">
        <v>0.63300000000000001</v>
      </c>
      <c r="E8295" t="s">
        <v>6</v>
      </c>
      <c r="F8295">
        <v>0.21797</v>
      </c>
    </row>
    <row r="8296" spans="1:6" x14ac:dyDescent="0.3">
      <c r="A8296" t="s">
        <v>5</v>
      </c>
      <c r="B8296" s="1">
        <v>46003</v>
      </c>
      <c r="C8296">
        <v>15</v>
      </c>
      <c r="D8296">
        <v>0.13600000000000001</v>
      </c>
      <c r="E8296" t="s">
        <v>6</v>
      </c>
      <c r="F8296">
        <v>0.15380000000000002</v>
      </c>
    </row>
    <row r="8297" spans="1:6" x14ac:dyDescent="0.3">
      <c r="A8297" t="s">
        <v>5</v>
      </c>
      <c r="B8297" s="1">
        <v>46003</v>
      </c>
      <c r="C8297">
        <v>16</v>
      </c>
      <c r="D8297">
        <v>0.06</v>
      </c>
      <c r="E8297" t="s">
        <v>6</v>
      </c>
      <c r="F8297">
        <v>0.15001</v>
      </c>
    </row>
    <row r="8298" spans="1:6" x14ac:dyDescent="0.3">
      <c r="A8298" t="s">
        <v>5</v>
      </c>
      <c r="B8298" s="1">
        <v>46003</v>
      </c>
      <c r="C8298">
        <v>17</v>
      </c>
      <c r="D8298">
        <v>9.4E-2</v>
      </c>
      <c r="E8298" t="s">
        <v>6</v>
      </c>
      <c r="F8298">
        <v>0.15536000000000003</v>
      </c>
    </row>
    <row r="8299" spans="1:6" x14ac:dyDescent="0.3">
      <c r="A8299" t="s">
        <v>5</v>
      </c>
      <c r="B8299" s="1">
        <v>46003</v>
      </c>
      <c r="C8299">
        <v>18</v>
      </c>
      <c r="D8299">
        <v>7.5999999999999998E-2</v>
      </c>
      <c r="E8299" t="s">
        <v>6</v>
      </c>
      <c r="F8299">
        <v>0.16753000000000001</v>
      </c>
    </row>
    <row r="8300" spans="1:6" x14ac:dyDescent="0.3">
      <c r="A8300" t="s">
        <v>5</v>
      </c>
      <c r="B8300" s="1">
        <v>46003</v>
      </c>
      <c r="C8300">
        <v>19</v>
      </c>
      <c r="D8300">
        <v>0.13100000000000001</v>
      </c>
      <c r="E8300" t="s">
        <v>6</v>
      </c>
      <c r="F8300">
        <v>0.24237999999999998</v>
      </c>
    </row>
    <row r="8301" spans="1:6" x14ac:dyDescent="0.3">
      <c r="A8301" t="s">
        <v>5</v>
      </c>
      <c r="B8301" s="1">
        <v>46003</v>
      </c>
      <c r="C8301">
        <v>20</v>
      </c>
      <c r="D8301">
        <v>0.29599999999999999</v>
      </c>
      <c r="E8301" t="s">
        <v>6</v>
      </c>
      <c r="F8301">
        <v>0.24013999999999999</v>
      </c>
    </row>
    <row r="8302" spans="1:6" x14ac:dyDescent="0.3">
      <c r="A8302" t="s">
        <v>5</v>
      </c>
      <c r="B8302" s="1">
        <v>46003</v>
      </c>
      <c r="C8302">
        <v>21</v>
      </c>
      <c r="D8302">
        <v>1.1879999999999999</v>
      </c>
      <c r="E8302" t="s">
        <v>6</v>
      </c>
      <c r="F8302">
        <v>0.23986000000000002</v>
      </c>
    </row>
    <row r="8303" spans="1:6" x14ac:dyDescent="0.3">
      <c r="A8303" t="s">
        <v>5</v>
      </c>
      <c r="B8303" s="1">
        <v>46003</v>
      </c>
      <c r="C8303">
        <v>22</v>
      </c>
      <c r="D8303">
        <v>0.79700000000000004</v>
      </c>
      <c r="E8303" t="s">
        <v>6</v>
      </c>
      <c r="F8303">
        <v>0.23496</v>
      </c>
    </row>
    <row r="8304" spans="1:6" x14ac:dyDescent="0.3">
      <c r="A8304" t="s">
        <v>5</v>
      </c>
      <c r="B8304" s="1">
        <v>46003</v>
      </c>
      <c r="C8304">
        <v>23</v>
      </c>
      <c r="D8304">
        <v>0.16300000000000001</v>
      </c>
      <c r="E8304" t="s">
        <v>6</v>
      </c>
      <c r="F8304">
        <v>0.15538999999999997</v>
      </c>
    </row>
    <row r="8305" spans="1:6" x14ac:dyDescent="0.3">
      <c r="A8305" t="s">
        <v>5</v>
      </c>
      <c r="B8305" s="1">
        <v>46003</v>
      </c>
      <c r="C8305">
        <v>24</v>
      </c>
      <c r="D8305">
        <v>0.17199999999999999</v>
      </c>
      <c r="E8305" t="s">
        <v>6</v>
      </c>
      <c r="F8305">
        <v>0.14599999999999999</v>
      </c>
    </row>
    <row r="8306" spans="1:6" x14ac:dyDescent="0.3">
      <c r="A8306" t="s">
        <v>5</v>
      </c>
      <c r="B8306" s="1">
        <v>46004</v>
      </c>
      <c r="C8306">
        <v>1</v>
      </c>
      <c r="D8306">
        <v>9.1999999999999998E-2</v>
      </c>
      <c r="E8306" t="s">
        <v>6</v>
      </c>
      <c r="F8306">
        <v>0.13163</v>
      </c>
    </row>
    <row r="8307" spans="1:6" x14ac:dyDescent="0.3">
      <c r="A8307" t="s">
        <v>5</v>
      </c>
      <c r="B8307" s="1">
        <v>46004</v>
      </c>
      <c r="C8307">
        <v>2</v>
      </c>
      <c r="D8307">
        <v>0.13300000000000001</v>
      </c>
      <c r="E8307" t="s">
        <v>6</v>
      </c>
      <c r="F8307">
        <v>0.12331</v>
      </c>
    </row>
    <row r="8308" spans="1:6" x14ac:dyDescent="0.3">
      <c r="A8308" t="s">
        <v>5</v>
      </c>
      <c r="B8308" s="1">
        <v>46004</v>
      </c>
      <c r="C8308">
        <v>3</v>
      </c>
      <c r="D8308">
        <v>0.13</v>
      </c>
      <c r="E8308" t="s">
        <v>6</v>
      </c>
      <c r="F8308">
        <v>0.11828</v>
      </c>
    </row>
    <row r="8309" spans="1:6" x14ac:dyDescent="0.3">
      <c r="A8309" t="s">
        <v>5</v>
      </c>
      <c r="B8309" s="1">
        <v>46004</v>
      </c>
      <c r="C8309">
        <v>4</v>
      </c>
      <c r="D8309">
        <v>0.124</v>
      </c>
      <c r="E8309" t="s">
        <v>6</v>
      </c>
      <c r="F8309">
        <v>0.11023999999999999</v>
      </c>
    </row>
    <row r="8310" spans="1:6" x14ac:dyDescent="0.3">
      <c r="A8310" t="s">
        <v>5</v>
      </c>
      <c r="B8310" s="1">
        <v>46004</v>
      </c>
      <c r="C8310">
        <v>5</v>
      </c>
      <c r="D8310">
        <v>0.13500000000000001</v>
      </c>
      <c r="E8310" t="s">
        <v>6</v>
      </c>
      <c r="F8310">
        <v>0.10704999999999999</v>
      </c>
    </row>
    <row r="8311" spans="1:6" x14ac:dyDescent="0.3">
      <c r="A8311" t="s">
        <v>5</v>
      </c>
      <c r="B8311" s="1">
        <v>46004</v>
      </c>
      <c r="C8311">
        <v>6</v>
      </c>
      <c r="D8311">
        <v>0.126</v>
      </c>
      <c r="E8311" t="s">
        <v>6</v>
      </c>
      <c r="F8311">
        <v>0.11092</v>
      </c>
    </row>
    <row r="8312" spans="1:6" x14ac:dyDescent="0.3">
      <c r="A8312" t="s">
        <v>5</v>
      </c>
      <c r="B8312" s="1">
        <v>46004</v>
      </c>
      <c r="C8312">
        <v>7</v>
      </c>
      <c r="D8312">
        <v>0.122</v>
      </c>
      <c r="E8312" t="s">
        <v>6</v>
      </c>
      <c r="F8312">
        <v>0.11251</v>
      </c>
    </row>
    <row r="8313" spans="1:6" x14ac:dyDescent="0.3">
      <c r="A8313" t="s">
        <v>5</v>
      </c>
      <c r="B8313" s="1">
        <v>46004</v>
      </c>
      <c r="C8313">
        <v>8</v>
      </c>
      <c r="D8313">
        <v>0.13200000000000001</v>
      </c>
      <c r="E8313" t="s">
        <v>6</v>
      </c>
      <c r="F8313">
        <v>0.11909</v>
      </c>
    </row>
    <row r="8314" spans="1:6" x14ac:dyDescent="0.3">
      <c r="A8314" t="s">
        <v>5</v>
      </c>
      <c r="B8314" s="1">
        <v>46004</v>
      </c>
      <c r="C8314">
        <v>9</v>
      </c>
      <c r="D8314">
        <v>0.14399999999999999</v>
      </c>
      <c r="E8314" t="s">
        <v>6</v>
      </c>
      <c r="F8314">
        <v>0.12795999999999999</v>
      </c>
    </row>
    <row r="8315" spans="1:6" x14ac:dyDescent="0.3">
      <c r="A8315" t="s">
        <v>5</v>
      </c>
      <c r="B8315" s="1">
        <v>46004</v>
      </c>
      <c r="C8315">
        <v>10</v>
      </c>
      <c r="D8315">
        <v>0.189</v>
      </c>
      <c r="E8315" t="s">
        <v>6</v>
      </c>
      <c r="F8315">
        <v>0.12351000000000001</v>
      </c>
    </row>
    <row r="8316" spans="1:6" x14ac:dyDescent="0.3">
      <c r="A8316" t="s">
        <v>5</v>
      </c>
      <c r="B8316" s="1">
        <v>46004</v>
      </c>
      <c r="C8316">
        <v>11</v>
      </c>
      <c r="D8316">
        <v>0.28000000000000003</v>
      </c>
      <c r="E8316" t="s">
        <v>6</v>
      </c>
      <c r="F8316">
        <v>0.11205</v>
      </c>
    </row>
    <row r="8317" spans="1:6" x14ac:dyDescent="0.3">
      <c r="A8317" t="s">
        <v>5</v>
      </c>
      <c r="B8317" s="1">
        <v>46004</v>
      </c>
      <c r="C8317">
        <v>12</v>
      </c>
      <c r="D8317">
        <v>0.218</v>
      </c>
      <c r="E8317" t="s">
        <v>6</v>
      </c>
      <c r="F8317">
        <v>0.10521999999999999</v>
      </c>
    </row>
    <row r="8318" spans="1:6" x14ac:dyDescent="0.3">
      <c r="A8318" t="s">
        <v>5</v>
      </c>
      <c r="B8318" s="1">
        <v>46004</v>
      </c>
      <c r="C8318">
        <v>13</v>
      </c>
      <c r="D8318">
        <v>0.41199999999999998</v>
      </c>
      <c r="E8318" t="s">
        <v>6</v>
      </c>
      <c r="F8318">
        <v>0.10295</v>
      </c>
    </row>
    <row r="8319" spans="1:6" x14ac:dyDescent="0.3">
      <c r="A8319" t="s">
        <v>5</v>
      </c>
      <c r="B8319" s="1">
        <v>46004</v>
      </c>
      <c r="C8319">
        <v>14</v>
      </c>
      <c r="D8319">
        <v>0.60099999999999998</v>
      </c>
      <c r="E8319" t="s">
        <v>6</v>
      </c>
      <c r="F8319">
        <v>9.6759999999999999E-2</v>
      </c>
    </row>
    <row r="8320" spans="1:6" x14ac:dyDescent="0.3">
      <c r="A8320" t="s">
        <v>5</v>
      </c>
      <c r="B8320" s="1">
        <v>46004</v>
      </c>
      <c r="C8320">
        <v>15</v>
      </c>
      <c r="D8320">
        <v>0.27900000000000003</v>
      </c>
      <c r="E8320" t="s">
        <v>6</v>
      </c>
      <c r="F8320">
        <v>9.7909999999999997E-2</v>
      </c>
    </row>
    <row r="8321" spans="1:6" x14ac:dyDescent="0.3">
      <c r="A8321" t="s">
        <v>5</v>
      </c>
      <c r="B8321" s="1">
        <v>46004</v>
      </c>
      <c r="C8321">
        <v>16</v>
      </c>
      <c r="D8321">
        <v>0.22700000000000001</v>
      </c>
      <c r="E8321" t="s">
        <v>6</v>
      </c>
      <c r="F8321">
        <v>0.10676999999999999</v>
      </c>
    </row>
    <row r="8322" spans="1:6" x14ac:dyDescent="0.3">
      <c r="A8322" t="s">
        <v>5</v>
      </c>
      <c r="B8322" s="1">
        <v>46004</v>
      </c>
      <c r="C8322">
        <v>17</v>
      </c>
      <c r="D8322">
        <v>0.153</v>
      </c>
      <c r="E8322" t="s">
        <v>6</v>
      </c>
      <c r="F8322">
        <v>0.11964</v>
      </c>
    </row>
    <row r="8323" spans="1:6" x14ac:dyDescent="0.3">
      <c r="A8323" t="s">
        <v>5</v>
      </c>
      <c r="B8323" s="1">
        <v>46004</v>
      </c>
      <c r="C8323">
        <v>18</v>
      </c>
      <c r="D8323">
        <v>0.14799999999999999</v>
      </c>
      <c r="E8323" t="s">
        <v>6</v>
      </c>
      <c r="F8323">
        <v>0.13541</v>
      </c>
    </row>
    <row r="8324" spans="1:6" x14ac:dyDescent="0.3">
      <c r="A8324" t="s">
        <v>5</v>
      </c>
      <c r="B8324" s="1">
        <v>46004</v>
      </c>
      <c r="C8324">
        <v>19</v>
      </c>
      <c r="D8324">
        <v>0.128</v>
      </c>
      <c r="E8324" t="s">
        <v>6</v>
      </c>
      <c r="F8324">
        <v>0.14723</v>
      </c>
    </row>
    <row r="8325" spans="1:6" x14ac:dyDescent="0.3">
      <c r="A8325" t="s">
        <v>5</v>
      </c>
      <c r="B8325" s="1">
        <v>46004</v>
      </c>
      <c r="C8325">
        <v>20</v>
      </c>
      <c r="D8325">
        <v>0.115</v>
      </c>
      <c r="E8325" t="s">
        <v>6</v>
      </c>
      <c r="F8325">
        <v>0.14537</v>
      </c>
    </row>
    <row r="8326" spans="1:6" x14ac:dyDescent="0.3">
      <c r="A8326" t="s">
        <v>5</v>
      </c>
      <c r="B8326" s="1">
        <v>46004</v>
      </c>
      <c r="C8326">
        <v>21</v>
      </c>
      <c r="D8326">
        <v>0.13300000000000001</v>
      </c>
      <c r="E8326" t="s">
        <v>6</v>
      </c>
      <c r="F8326">
        <v>0.14736000000000002</v>
      </c>
    </row>
    <row r="8327" spans="1:6" x14ac:dyDescent="0.3">
      <c r="A8327" t="s">
        <v>5</v>
      </c>
      <c r="B8327" s="1">
        <v>46004</v>
      </c>
      <c r="C8327">
        <v>22</v>
      </c>
      <c r="D8327">
        <v>0.39800000000000002</v>
      </c>
      <c r="E8327" t="s">
        <v>6</v>
      </c>
      <c r="F8327">
        <v>0.14183999999999999</v>
      </c>
    </row>
    <row r="8328" spans="1:6" x14ac:dyDescent="0.3">
      <c r="A8328" t="s">
        <v>5</v>
      </c>
      <c r="B8328" s="1">
        <v>46004</v>
      </c>
      <c r="C8328">
        <v>23</v>
      </c>
      <c r="D8328">
        <v>0.34699999999999998</v>
      </c>
      <c r="E8328" t="s">
        <v>6</v>
      </c>
      <c r="F8328">
        <v>0.13963</v>
      </c>
    </row>
    <row r="8329" spans="1:6" x14ac:dyDescent="0.3">
      <c r="A8329" t="s">
        <v>5</v>
      </c>
      <c r="B8329" s="1">
        <v>46004</v>
      </c>
      <c r="C8329">
        <v>24</v>
      </c>
      <c r="D8329">
        <v>0.19900000000000001</v>
      </c>
      <c r="E8329" t="s">
        <v>6</v>
      </c>
      <c r="F8329">
        <v>0.12748999999999999</v>
      </c>
    </row>
    <row r="8330" spans="1:6" x14ac:dyDescent="0.3">
      <c r="A8330" t="s">
        <v>5</v>
      </c>
      <c r="B8330" s="1">
        <v>46005</v>
      </c>
      <c r="C8330">
        <v>1</v>
      </c>
      <c r="D8330">
        <v>0.193</v>
      </c>
      <c r="E8330" t="s">
        <v>6</v>
      </c>
      <c r="F8330">
        <v>0.12836</v>
      </c>
    </row>
    <row r="8331" spans="1:6" x14ac:dyDescent="0.3">
      <c r="A8331" t="s">
        <v>5</v>
      </c>
      <c r="B8331" s="1">
        <v>46005</v>
      </c>
      <c r="C8331">
        <v>2</v>
      </c>
      <c r="D8331">
        <v>0.17599999999999999</v>
      </c>
      <c r="E8331" t="s">
        <v>6</v>
      </c>
      <c r="F8331">
        <v>0.11810999999999999</v>
      </c>
    </row>
    <row r="8332" spans="1:6" x14ac:dyDescent="0.3">
      <c r="A8332" t="s">
        <v>5</v>
      </c>
      <c r="B8332" s="1">
        <v>46005</v>
      </c>
      <c r="C8332">
        <v>3</v>
      </c>
      <c r="D8332">
        <v>0.125</v>
      </c>
      <c r="E8332" t="s">
        <v>6</v>
      </c>
      <c r="F8332">
        <v>0.11581</v>
      </c>
    </row>
    <row r="8333" spans="1:6" x14ac:dyDescent="0.3">
      <c r="A8333" t="s">
        <v>5</v>
      </c>
      <c r="B8333" s="1">
        <v>46005</v>
      </c>
      <c r="C8333">
        <v>4</v>
      </c>
      <c r="D8333">
        <v>0.13800000000000001</v>
      </c>
      <c r="E8333" t="s">
        <v>6</v>
      </c>
      <c r="F8333">
        <v>0.11531</v>
      </c>
    </row>
    <row r="8334" spans="1:6" x14ac:dyDescent="0.3">
      <c r="A8334" t="s">
        <v>5</v>
      </c>
      <c r="B8334" s="1">
        <v>46005</v>
      </c>
      <c r="C8334">
        <v>5</v>
      </c>
      <c r="D8334">
        <v>0.12</v>
      </c>
      <c r="E8334" t="s">
        <v>6</v>
      </c>
      <c r="F8334">
        <v>0.11252</v>
      </c>
    </row>
    <row r="8335" spans="1:6" x14ac:dyDescent="0.3">
      <c r="A8335" t="s">
        <v>5</v>
      </c>
      <c r="B8335" s="1">
        <v>46005</v>
      </c>
      <c r="C8335">
        <v>6</v>
      </c>
      <c r="D8335">
        <v>0.129</v>
      </c>
      <c r="E8335" t="s">
        <v>6</v>
      </c>
      <c r="F8335">
        <v>0.11133</v>
      </c>
    </row>
    <row r="8336" spans="1:6" x14ac:dyDescent="0.3">
      <c r="A8336" t="s">
        <v>5</v>
      </c>
      <c r="B8336" s="1">
        <v>46005</v>
      </c>
      <c r="C8336">
        <v>7</v>
      </c>
      <c r="D8336">
        <v>0.13</v>
      </c>
      <c r="E8336" t="s">
        <v>6</v>
      </c>
      <c r="F8336">
        <v>0.11445</v>
      </c>
    </row>
    <row r="8337" spans="1:6" x14ac:dyDescent="0.3">
      <c r="A8337" t="s">
        <v>5</v>
      </c>
      <c r="B8337" s="1">
        <v>46005</v>
      </c>
      <c r="C8337">
        <v>8</v>
      </c>
      <c r="D8337">
        <v>0.11700000000000001</v>
      </c>
      <c r="E8337" t="s">
        <v>6</v>
      </c>
      <c r="F8337">
        <v>0.11859</v>
      </c>
    </row>
    <row r="8338" spans="1:6" x14ac:dyDescent="0.3">
      <c r="A8338" t="s">
        <v>5</v>
      </c>
      <c r="B8338" s="1">
        <v>46005</v>
      </c>
      <c r="C8338">
        <v>9</v>
      </c>
      <c r="D8338">
        <v>0.14199999999999999</v>
      </c>
      <c r="E8338" t="s">
        <v>6</v>
      </c>
      <c r="F8338">
        <v>0.12825</v>
      </c>
    </row>
    <row r="8339" spans="1:6" x14ac:dyDescent="0.3">
      <c r="A8339" t="s">
        <v>5</v>
      </c>
      <c r="B8339" s="1">
        <v>46005</v>
      </c>
      <c r="C8339">
        <v>10</v>
      </c>
      <c r="D8339">
        <v>0.21</v>
      </c>
      <c r="E8339" t="s">
        <v>6</v>
      </c>
      <c r="F8339">
        <v>0.12357</v>
      </c>
    </row>
    <row r="8340" spans="1:6" x14ac:dyDescent="0.3">
      <c r="A8340" t="s">
        <v>5</v>
      </c>
      <c r="B8340" s="1">
        <v>46005</v>
      </c>
      <c r="C8340">
        <v>11</v>
      </c>
      <c r="D8340">
        <v>0.16800000000000001</v>
      </c>
      <c r="E8340" t="s">
        <v>6</v>
      </c>
      <c r="F8340">
        <v>0.11015000000000001</v>
      </c>
    </row>
    <row r="8341" spans="1:6" x14ac:dyDescent="0.3">
      <c r="A8341" t="s">
        <v>5</v>
      </c>
      <c r="B8341" s="1">
        <v>46005</v>
      </c>
      <c r="C8341">
        <v>12</v>
      </c>
      <c r="D8341">
        <v>0.159</v>
      </c>
      <c r="E8341" t="s">
        <v>6</v>
      </c>
      <c r="F8341">
        <v>0.10102</v>
      </c>
    </row>
    <row r="8342" spans="1:6" x14ac:dyDescent="0.3">
      <c r="A8342" t="s">
        <v>5</v>
      </c>
      <c r="B8342" s="1">
        <v>46005</v>
      </c>
      <c r="C8342">
        <v>13</v>
      </c>
      <c r="D8342">
        <v>0.24199999999999999</v>
      </c>
      <c r="E8342" t="s">
        <v>6</v>
      </c>
      <c r="F8342">
        <v>0.10183</v>
      </c>
    </row>
    <row r="8343" spans="1:6" x14ac:dyDescent="0.3">
      <c r="A8343" t="s">
        <v>5</v>
      </c>
      <c r="B8343" s="1">
        <v>46005</v>
      </c>
      <c r="C8343">
        <v>14</v>
      </c>
      <c r="D8343">
        <v>0.187</v>
      </c>
      <c r="E8343" t="s">
        <v>6</v>
      </c>
      <c r="F8343">
        <v>9.8060000000000008E-2</v>
      </c>
    </row>
    <row r="8344" spans="1:6" x14ac:dyDescent="0.3">
      <c r="A8344" t="s">
        <v>5</v>
      </c>
      <c r="B8344" s="1">
        <v>46005</v>
      </c>
      <c r="C8344">
        <v>15</v>
      </c>
      <c r="D8344">
        <v>0.2</v>
      </c>
      <c r="E8344" t="s">
        <v>6</v>
      </c>
      <c r="F8344">
        <v>9.7989999999999994E-2</v>
      </c>
    </row>
    <row r="8345" spans="1:6" x14ac:dyDescent="0.3">
      <c r="A8345" t="s">
        <v>5</v>
      </c>
      <c r="B8345" s="1">
        <v>46005</v>
      </c>
      <c r="C8345">
        <v>16</v>
      </c>
      <c r="D8345">
        <v>0.17</v>
      </c>
      <c r="E8345" t="s">
        <v>6</v>
      </c>
      <c r="F8345">
        <v>0.10540000000000001</v>
      </c>
    </row>
    <row r="8346" spans="1:6" x14ac:dyDescent="0.3">
      <c r="A8346" t="s">
        <v>5</v>
      </c>
      <c r="B8346" s="1">
        <v>46005</v>
      </c>
      <c r="C8346">
        <v>17</v>
      </c>
      <c r="D8346">
        <v>0.22600000000000001</v>
      </c>
      <c r="E8346" t="s">
        <v>6</v>
      </c>
      <c r="F8346">
        <v>0.11724</v>
      </c>
    </row>
    <row r="8347" spans="1:6" x14ac:dyDescent="0.3">
      <c r="A8347" t="s">
        <v>5</v>
      </c>
      <c r="B8347" s="1">
        <v>46005</v>
      </c>
      <c r="C8347">
        <v>18</v>
      </c>
      <c r="D8347">
        <v>0.20799999999999999</v>
      </c>
      <c r="E8347" t="s">
        <v>6</v>
      </c>
      <c r="F8347">
        <v>0.13750000000000001</v>
      </c>
    </row>
    <row r="8348" spans="1:6" x14ac:dyDescent="0.3">
      <c r="A8348" t="s">
        <v>5</v>
      </c>
      <c r="B8348" s="1">
        <v>46005</v>
      </c>
      <c r="C8348">
        <v>19</v>
      </c>
      <c r="D8348">
        <v>0.20799999999999999</v>
      </c>
      <c r="E8348" t="s">
        <v>6</v>
      </c>
      <c r="F8348">
        <v>0.14924000000000001</v>
      </c>
    </row>
    <row r="8349" spans="1:6" x14ac:dyDescent="0.3">
      <c r="A8349" t="s">
        <v>5</v>
      </c>
      <c r="B8349" s="1">
        <v>46005</v>
      </c>
      <c r="C8349">
        <v>20</v>
      </c>
      <c r="D8349">
        <v>0.246</v>
      </c>
      <c r="E8349" t="s">
        <v>6</v>
      </c>
      <c r="F8349">
        <v>0.15093999999999999</v>
      </c>
    </row>
    <row r="8350" spans="1:6" x14ac:dyDescent="0.3">
      <c r="A8350" t="s">
        <v>5</v>
      </c>
      <c r="B8350" s="1">
        <v>46005</v>
      </c>
      <c r="C8350">
        <v>21</v>
      </c>
      <c r="D8350">
        <v>0.22500000000000001</v>
      </c>
      <c r="E8350" t="s">
        <v>6</v>
      </c>
      <c r="F8350">
        <v>0.15105000000000002</v>
      </c>
    </row>
    <row r="8351" spans="1:6" x14ac:dyDescent="0.3">
      <c r="A8351" t="s">
        <v>5</v>
      </c>
      <c r="B8351" s="1">
        <v>46005</v>
      </c>
      <c r="C8351">
        <v>22</v>
      </c>
      <c r="D8351">
        <v>0.28999999999999998</v>
      </c>
      <c r="E8351" t="s">
        <v>6</v>
      </c>
      <c r="F8351">
        <v>0.15056</v>
      </c>
    </row>
    <row r="8352" spans="1:6" x14ac:dyDescent="0.3">
      <c r="A8352" t="s">
        <v>5</v>
      </c>
      <c r="B8352" s="1">
        <v>46005</v>
      </c>
      <c r="C8352">
        <v>23</v>
      </c>
      <c r="D8352">
        <v>0.22800000000000001</v>
      </c>
      <c r="E8352" t="s">
        <v>6</v>
      </c>
      <c r="F8352">
        <v>0.14193</v>
      </c>
    </row>
    <row r="8353" spans="1:6" x14ac:dyDescent="0.3">
      <c r="A8353" t="s">
        <v>5</v>
      </c>
      <c r="B8353" s="1">
        <v>46005</v>
      </c>
      <c r="C8353">
        <v>24</v>
      </c>
      <c r="D8353">
        <v>0.26200000000000001</v>
      </c>
      <c r="E8353" t="s">
        <v>6</v>
      </c>
      <c r="F8353">
        <v>0.13458000000000001</v>
      </c>
    </row>
    <row r="8354" spans="1:6" x14ac:dyDescent="0.3">
      <c r="A8354" t="s">
        <v>5</v>
      </c>
      <c r="B8354" s="1">
        <v>46006</v>
      </c>
      <c r="C8354">
        <v>1</v>
      </c>
      <c r="D8354">
        <v>0.18099999999999999</v>
      </c>
      <c r="E8354" t="s">
        <v>6</v>
      </c>
      <c r="F8354">
        <v>0.11907999999999999</v>
      </c>
    </row>
    <row r="8355" spans="1:6" x14ac:dyDescent="0.3">
      <c r="A8355" t="s">
        <v>5</v>
      </c>
      <c r="B8355" s="1">
        <v>46006</v>
      </c>
      <c r="C8355">
        <v>2</v>
      </c>
      <c r="D8355">
        <v>0.13500000000000001</v>
      </c>
      <c r="E8355" t="s">
        <v>6</v>
      </c>
      <c r="F8355">
        <v>0.10843999999999999</v>
      </c>
    </row>
    <row r="8356" spans="1:6" x14ac:dyDescent="0.3">
      <c r="A8356" t="s">
        <v>5</v>
      </c>
      <c r="B8356" s="1">
        <v>46006</v>
      </c>
      <c r="C8356">
        <v>3</v>
      </c>
      <c r="D8356">
        <v>0.13</v>
      </c>
      <c r="E8356" t="s">
        <v>6</v>
      </c>
      <c r="F8356">
        <v>0.10925</v>
      </c>
    </row>
    <row r="8357" spans="1:6" x14ac:dyDescent="0.3">
      <c r="A8357" t="s">
        <v>5</v>
      </c>
      <c r="B8357" s="1">
        <v>46006</v>
      </c>
      <c r="C8357">
        <v>4</v>
      </c>
      <c r="D8357">
        <v>0.13700000000000001</v>
      </c>
      <c r="E8357" t="s">
        <v>6</v>
      </c>
      <c r="F8357">
        <v>0.10862999999999999</v>
      </c>
    </row>
    <row r="8358" spans="1:6" x14ac:dyDescent="0.3">
      <c r="A8358" t="s">
        <v>5</v>
      </c>
      <c r="B8358" s="1">
        <v>46006</v>
      </c>
      <c r="C8358">
        <v>5</v>
      </c>
      <c r="D8358">
        <v>0.121</v>
      </c>
      <c r="E8358" t="s">
        <v>6</v>
      </c>
      <c r="F8358">
        <v>0.10515000000000001</v>
      </c>
    </row>
    <row r="8359" spans="1:6" x14ac:dyDescent="0.3">
      <c r="A8359" t="s">
        <v>5</v>
      </c>
      <c r="B8359" s="1">
        <v>46006</v>
      </c>
      <c r="C8359">
        <v>6</v>
      </c>
      <c r="D8359">
        <v>0.13300000000000001</v>
      </c>
      <c r="E8359" t="s">
        <v>6</v>
      </c>
      <c r="F8359">
        <v>0.10795</v>
      </c>
    </row>
    <row r="8360" spans="1:6" x14ac:dyDescent="0.3">
      <c r="A8360" t="s">
        <v>5</v>
      </c>
      <c r="B8360" s="1">
        <v>46006</v>
      </c>
      <c r="C8360">
        <v>7</v>
      </c>
      <c r="D8360">
        <v>0.13300000000000001</v>
      </c>
      <c r="E8360" t="s">
        <v>6</v>
      </c>
      <c r="F8360">
        <v>0.1211</v>
      </c>
    </row>
    <row r="8361" spans="1:6" x14ac:dyDescent="0.3">
      <c r="A8361" t="s">
        <v>5</v>
      </c>
      <c r="B8361" s="1">
        <v>46006</v>
      </c>
      <c r="C8361">
        <v>8</v>
      </c>
      <c r="D8361">
        <v>0.157</v>
      </c>
      <c r="E8361" t="s">
        <v>6</v>
      </c>
      <c r="F8361">
        <v>0.13453999999999999</v>
      </c>
    </row>
    <row r="8362" spans="1:6" x14ac:dyDescent="0.3">
      <c r="A8362" t="s">
        <v>5</v>
      </c>
      <c r="B8362" s="1">
        <v>46006</v>
      </c>
      <c r="C8362">
        <v>9</v>
      </c>
      <c r="D8362">
        <v>0.14699999999999999</v>
      </c>
      <c r="E8362" t="s">
        <v>6</v>
      </c>
      <c r="F8362">
        <v>0.17102000000000001</v>
      </c>
    </row>
    <row r="8363" spans="1:6" x14ac:dyDescent="0.3">
      <c r="A8363" t="s">
        <v>5</v>
      </c>
      <c r="B8363" s="1">
        <v>46006</v>
      </c>
      <c r="C8363">
        <v>10</v>
      </c>
      <c r="D8363">
        <v>0.13</v>
      </c>
      <c r="E8363" t="s">
        <v>6</v>
      </c>
      <c r="F8363">
        <v>0.16484000000000001</v>
      </c>
    </row>
    <row r="8364" spans="1:6" x14ac:dyDescent="0.3">
      <c r="A8364" t="s">
        <v>5</v>
      </c>
      <c r="B8364" s="1">
        <v>46006</v>
      </c>
      <c r="C8364">
        <v>11</v>
      </c>
      <c r="D8364">
        <v>0.11700000000000001</v>
      </c>
      <c r="E8364" t="s">
        <v>6</v>
      </c>
      <c r="F8364">
        <v>0.22059000000000001</v>
      </c>
    </row>
    <row r="8365" spans="1:6" x14ac:dyDescent="0.3">
      <c r="A8365" t="s">
        <v>5</v>
      </c>
      <c r="B8365" s="1">
        <v>46006</v>
      </c>
      <c r="C8365">
        <v>12</v>
      </c>
      <c r="D8365">
        <v>0.13300000000000001</v>
      </c>
      <c r="E8365" t="s">
        <v>6</v>
      </c>
      <c r="F8365">
        <v>0.21059999999999998</v>
      </c>
    </row>
    <row r="8366" spans="1:6" x14ac:dyDescent="0.3">
      <c r="A8366" t="s">
        <v>5</v>
      </c>
      <c r="B8366" s="1">
        <v>46006</v>
      </c>
      <c r="C8366">
        <v>13</v>
      </c>
      <c r="D8366">
        <v>0.127</v>
      </c>
      <c r="E8366" t="s">
        <v>6</v>
      </c>
      <c r="F8366">
        <v>0.20602999999999999</v>
      </c>
    </row>
    <row r="8367" spans="1:6" x14ac:dyDescent="0.3">
      <c r="A8367" t="s">
        <v>5</v>
      </c>
      <c r="B8367" s="1">
        <v>46006</v>
      </c>
      <c r="C8367">
        <v>14</v>
      </c>
      <c r="D8367">
        <v>0.17</v>
      </c>
      <c r="E8367" t="s">
        <v>6</v>
      </c>
      <c r="F8367">
        <v>0.20441000000000001</v>
      </c>
    </row>
    <row r="8368" spans="1:6" x14ac:dyDescent="0.3">
      <c r="A8368" t="s">
        <v>5</v>
      </c>
      <c r="B8368" s="1">
        <v>46006</v>
      </c>
      <c r="C8368">
        <v>15</v>
      </c>
      <c r="D8368">
        <v>0.2</v>
      </c>
      <c r="E8368" t="s">
        <v>6</v>
      </c>
      <c r="F8368">
        <v>0.14555000000000001</v>
      </c>
    </row>
    <row r="8369" spans="1:6" x14ac:dyDescent="0.3">
      <c r="A8369" t="s">
        <v>5</v>
      </c>
      <c r="B8369" s="1">
        <v>46006</v>
      </c>
      <c r="C8369">
        <v>16</v>
      </c>
      <c r="D8369">
        <v>0.13400000000000001</v>
      </c>
      <c r="E8369" t="s">
        <v>6</v>
      </c>
      <c r="F8369">
        <v>0.15828999999999999</v>
      </c>
    </row>
    <row r="8370" spans="1:6" x14ac:dyDescent="0.3">
      <c r="A8370" t="s">
        <v>5</v>
      </c>
      <c r="B8370" s="1">
        <v>46006</v>
      </c>
      <c r="C8370">
        <v>17</v>
      </c>
      <c r="D8370">
        <v>0.106</v>
      </c>
      <c r="E8370" t="s">
        <v>6</v>
      </c>
      <c r="F8370">
        <v>0.16528999999999999</v>
      </c>
    </row>
    <row r="8371" spans="1:6" x14ac:dyDescent="0.3">
      <c r="A8371" t="s">
        <v>5</v>
      </c>
      <c r="B8371" s="1">
        <v>46006</v>
      </c>
      <c r="C8371">
        <v>18</v>
      </c>
      <c r="D8371">
        <v>7.3999999999999996E-2</v>
      </c>
      <c r="E8371" t="s">
        <v>6</v>
      </c>
      <c r="F8371">
        <v>0.16802</v>
      </c>
    </row>
    <row r="8372" spans="1:6" x14ac:dyDescent="0.3">
      <c r="A8372" t="s">
        <v>5</v>
      </c>
      <c r="B8372" s="1">
        <v>46006</v>
      </c>
      <c r="C8372">
        <v>19</v>
      </c>
      <c r="D8372">
        <v>5.7000000000000002E-2</v>
      </c>
      <c r="E8372" t="s">
        <v>6</v>
      </c>
      <c r="F8372">
        <v>0.23763000000000001</v>
      </c>
    </row>
    <row r="8373" spans="1:6" x14ac:dyDescent="0.3">
      <c r="A8373" t="s">
        <v>5</v>
      </c>
      <c r="B8373" s="1">
        <v>46006</v>
      </c>
      <c r="C8373">
        <v>20</v>
      </c>
      <c r="D8373">
        <v>0.11600000000000001</v>
      </c>
      <c r="E8373" t="s">
        <v>6</v>
      </c>
      <c r="F8373">
        <v>0.24226</v>
      </c>
    </row>
    <row r="8374" spans="1:6" x14ac:dyDescent="0.3">
      <c r="A8374" t="s">
        <v>5</v>
      </c>
      <c r="B8374" s="1">
        <v>46006</v>
      </c>
      <c r="C8374">
        <v>21</v>
      </c>
      <c r="D8374">
        <v>0.69199999999999995</v>
      </c>
      <c r="E8374" t="s">
        <v>6</v>
      </c>
      <c r="F8374">
        <v>0.25284000000000001</v>
      </c>
    </row>
    <row r="8375" spans="1:6" x14ac:dyDescent="0.3">
      <c r="A8375" t="s">
        <v>5</v>
      </c>
      <c r="B8375" s="1">
        <v>46006</v>
      </c>
      <c r="C8375">
        <v>22</v>
      </c>
      <c r="D8375">
        <v>0.33400000000000002</v>
      </c>
      <c r="E8375" t="s">
        <v>6</v>
      </c>
      <c r="F8375">
        <v>0.24834000000000001</v>
      </c>
    </row>
    <row r="8376" spans="1:6" x14ac:dyDescent="0.3">
      <c r="A8376" t="s">
        <v>5</v>
      </c>
      <c r="B8376" s="1">
        <v>46006</v>
      </c>
      <c r="C8376">
        <v>23</v>
      </c>
      <c r="D8376">
        <v>0.113</v>
      </c>
      <c r="E8376" t="s">
        <v>6</v>
      </c>
      <c r="F8376">
        <v>0.17732000000000001</v>
      </c>
    </row>
    <row r="8377" spans="1:6" x14ac:dyDescent="0.3">
      <c r="A8377" t="s">
        <v>5</v>
      </c>
      <c r="B8377" s="1">
        <v>46006</v>
      </c>
      <c r="C8377">
        <v>24</v>
      </c>
      <c r="D8377">
        <v>0.26500000000000001</v>
      </c>
      <c r="E8377" t="s">
        <v>6</v>
      </c>
      <c r="F8377">
        <v>0.16475000000000001</v>
      </c>
    </row>
    <row r="8378" spans="1:6" x14ac:dyDescent="0.3">
      <c r="A8378" t="s">
        <v>5</v>
      </c>
      <c r="B8378" s="1">
        <v>46007</v>
      </c>
      <c r="C8378">
        <v>1</v>
      </c>
      <c r="D8378">
        <v>0.186</v>
      </c>
      <c r="E8378" t="s">
        <v>6</v>
      </c>
      <c r="F8378">
        <v>0.13171000000000002</v>
      </c>
    </row>
    <row r="8379" spans="1:6" x14ac:dyDescent="0.3">
      <c r="A8379" t="s">
        <v>5</v>
      </c>
      <c r="B8379" s="1">
        <v>46007</v>
      </c>
      <c r="C8379">
        <v>2</v>
      </c>
      <c r="D8379">
        <v>0.16400000000000001</v>
      </c>
      <c r="E8379" t="s">
        <v>6</v>
      </c>
      <c r="F8379">
        <v>0.12262999999999999</v>
      </c>
    </row>
    <row r="8380" spans="1:6" x14ac:dyDescent="0.3">
      <c r="A8380" t="s">
        <v>5</v>
      </c>
      <c r="B8380" s="1">
        <v>46007</v>
      </c>
      <c r="C8380">
        <v>3</v>
      </c>
      <c r="D8380">
        <v>0.112</v>
      </c>
      <c r="E8380" t="s">
        <v>6</v>
      </c>
      <c r="F8380">
        <v>0.11944</v>
      </c>
    </row>
    <row r="8381" spans="1:6" x14ac:dyDescent="0.3">
      <c r="A8381" t="s">
        <v>5</v>
      </c>
      <c r="B8381" s="1">
        <v>46007</v>
      </c>
      <c r="C8381">
        <v>4</v>
      </c>
      <c r="D8381">
        <v>0.10199999999999999</v>
      </c>
      <c r="E8381" t="s">
        <v>6</v>
      </c>
      <c r="F8381">
        <v>0.11226</v>
      </c>
    </row>
    <row r="8382" spans="1:6" x14ac:dyDescent="0.3">
      <c r="A8382" t="s">
        <v>5</v>
      </c>
      <c r="B8382" s="1">
        <v>46007</v>
      </c>
      <c r="C8382">
        <v>5</v>
      </c>
      <c r="D8382">
        <v>0.11700000000000001</v>
      </c>
      <c r="E8382" t="s">
        <v>6</v>
      </c>
      <c r="F8382">
        <v>0.11</v>
      </c>
    </row>
    <row r="8383" spans="1:6" x14ac:dyDescent="0.3">
      <c r="A8383" t="s">
        <v>5</v>
      </c>
      <c r="B8383" s="1">
        <v>46007</v>
      </c>
      <c r="C8383">
        <v>6</v>
      </c>
      <c r="D8383">
        <v>0.14599999999999999</v>
      </c>
      <c r="E8383" t="s">
        <v>6</v>
      </c>
      <c r="F8383">
        <v>0.11101999999999999</v>
      </c>
    </row>
    <row r="8384" spans="1:6" x14ac:dyDescent="0.3">
      <c r="A8384" t="s">
        <v>5</v>
      </c>
      <c r="B8384" s="1">
        <v>46007</v>
      </c>
      <c r="C8384">
        <v>7</v>
      </c>
      <c r="D8384">
        <v>0.13500000000000001</v>
      </c>
      <c r="E8384" t="s">
        <v>6</v>
      </c>
      <c r="F8384">
        <v>0.12247</v>
      </c>
    </row>
    <row r="8385" spans="1:6" x14ac:dyDescent="0.3">
      <c r="A8385" t="s">
        <v>5</v>
      </c>
      <c r="B8385" s="1">
        <v>46007</v>
      </c>
      <c r="C8385">
        <v>8</v>
      </c>
      <c r="D8385">
        <v>0.13600000000000001</v>
      </c>
      <c r="E8385" t="s">
        <v>6</v>
      </c>
      <c r="F8385">
        <v>0.12819999999999998</v>
      </c>
    </row>
    <row r="8386" spans="1:6" x14ac:dyDescent="0.3">
      <c r="A8386" t="s">
        <v>5</v>
      </c>
      <c r="B8386" s="1">
        <v>46007</v>
      </c>
      <c r="C8386">
        <v>9</v>
      </c>
      <c r="D8386">
        <v>0.14499999999999999</v>
      </c>
      <c r="E8386" t="s">
        <v>6</v>
      </c>
      <c r="F8386">
        <v>0.16344</v>
      </c>
    </row>
    <row r="8387" spans="1:6" x14ac:dyDescent="0.3">
      <c r="A8387" t="s">
        <v>5</v>
      </c>
      <c r="B8387" s="1">
        <v>46007</v>
      </c>
      <c r="C8387">
        <v>10</v>
      </c>
      <c r="D8387">
        <v>0.16500000000000001</v>
      </c>
      <c r="E8387" t="s">
        <v>6</v>
      </c>
      <c r="F8387">
        <v>0.16102</v>
      </c>
    </row>
    <row r="8388" spans="1:6" x14ac:dyDescent="0.3">
      <c r="A8388" t="s">
        <v>5</v>
      </c>
      <c r="B8388" s="1">
        <v>46007</v>
      </c>
      <c r="C8388">
        <v>11</v>
      </c>
      <c r="D8388">
        <v>0.36199999999999999</v>
      </c>
      <c r="E8388" t="s">
        <v>6</v>
      </c>
      <c r="F8388">
        <v>0.21841999999999998</v>
      </c>
    </row>
    <row r="8389" spans="1:6" x14ac:dyDescent="0.3">
      <c r="A8389" t="s">
        <v>5</v>
      </c>
      <c r="B8389" s="1">
        <v>46007</v>
      </c>
      <c r="C8389">
        <v>12</v>
      </c>
      <c r="D8389">
        <v>0.13200000000000001</v>
      </c>
      <c r="E8389" t="s">
        <v>6</v>
      </c>
      <c r="F8389">
        <v>0.21026</v>
      </c>
    </row>
    <row r="8390" spans="1:6" x14ac:dyDescent="0.3">
      <c r="A8390" t="s">
        <v>5</v>
      </c>
      <c r="B8390" s="1">
        <v>46007</v>
      </c>
      <c r="C8390">
        <v>13</v>
      </c>
      <c r="D8390">
        <v>0.11899999999999999</v>
      </c>
      <c r="E8390" t="s">
        <v>6</v>
      </c>
      <c r="F8390">
        <v>0.20933000000000002</v>
      </c>
    </row>
    <row r="8391" spans="1:6" x14ac:dyDescent="0.3">
      <c r="A8391" t="s">
        <v>5</v>
      </c>
      <c r="B8391" s="1">
        <v>46007</v>
      </c>
      <c r="C8391">
        <v>14</v>
      </c>
      <c r="D8391">
        <v>0.122</v>
      </c>
      <c r="E8391" t="s">
        <v>6</v>
      </c>
      <c r="F8391">
        <v>0.20433000000000001</v>
      </c>
    </row>
    <row r="8392" spans="1:6" x14ac:dyDescent="0.3">
      <c r="A8392" t="s">
        <v>5</v>
      </c>
      <c r="B8392" s="1">
        <v>46007</v>
      </c>
      <c r="C8392">
        <v>15</v>
      </c>
      <c r="D8392">
        <v>0.13100000000000001</v>
      </c>
      <c r="E8392" t="s">
        <v>6</v>
      </c>
      <c r="F8392">
        <v>0.14199999999999999</v>
      </c>
    </row>
    <row r="8393" spans="1:6" x14ac:dyDescent="0.3">
      <c r="A8393" t="s">
        <v>5</v>
      </c>
      <c r="B8393" s="1">
        <v>46007</v>
      </c>
      <c r="C8393">
        <v>16</v>
      </c>
      <c r="D8393">
        <v>0.222</v>
      </c>
      <c r="E8393" t="s">
        <v>6</v>
      </c>
      <c r="F8393">
        <v>0.15224000000000001</v>
      </c>
    </row>
    <row r="8394" spans="1:6" x14ac:dyDescent="0.3">
      <c r="A8394" t="s">
        <v>5</v>
      </c>
      <c r="B8394" s="1">
        <v>46007</v>
      </c>
      <c r="C8394">
        <v>17</v>
      </c>
      <c r="D8394">
        <v>1</v>
      </c>
      <c r="E8394" t="s">
        <v>6</v>
      </c>
      <c r="F8394">
        <v>0.15775</v>
      </c>
    </row>
    <row r="8395" spans="1:6" x14ac:dyDescent="0.3">
      <c r="A8395" t="s">
        <v>5</v>
      </c>
      <c r="B8395" s="1">
        <v>46007</v>
      </c>
      <c r="C8395">
        <v>18</v>
      </c>
      <c r="D8395">
        <v>0.26900000000000002</v>
      </c>
      <c r="E8395" t="s">
        <v>6</v>
      </c>
      <c r="F8395">
        <v>0.17149</v>
      </c>
    </row>
    <row r="8396" spans="1:6" x14ac:dyDescent="0.3">
      <c r="A8396" t="s">
        <v>5</v>
      </c>
      <c r="B8396" s="1">
        <v>46007</v>
      </c>
      <c r="C8396">
        <v>19</v>
      </c>
      <c r="D8396">
        <v>0.82299999999999995</v>
      </c>
      <c r="E8396" t="s">
        <v>6</v>
      </c>
      <c r="F8396">
        <v>0.25705</v>
      </c>
    </row>
    <row r="8397" spans="1:6" x14ac:dyDescent="0.3">
      <c r="A8397" t="s">
        <v>5</v>
      </c>
      <c r="B8397" s="1">
        <v>46007</v>
      </c>
      <c r="C8397">
        <v>20</v>
      </c>
      <c r="D8397">
        <v>0.21299999999999999</v>
      </c>
      <c r="E8397" t="s">
        <v>6</v>
      </c>
      <c r="F8397">
        <v>0.26957999999999999</v>
      </c>
    </row>
    <row r="8398" spans="1:6" x14ac:dyDescent="0.3">
      <c r="A8398" t="s">
        <v>5</v>
      </c>
      <c r="B8398" s="1">
        <v>46007</v>
      </c>
      <c r="C8398">
        <v>21</v>
      </c>
      <c r="D8398">
        <v>0.32600000000000001</v>
      </c>
      <c r="E8398" t="s">
        <v>6</v>
      </c>
      <c r="F8398">
        <v>0.25202000000000002</v>
      </c>
    </row>
    <row r="8399" spans="1:6" x14ac:dyDescent="0.3">
      <c r="A8399" t="s">
        <v>5</v>
      </c>
      <c r="B8399" s="1">
        <v>46007</v>
      </c>
      <c r="C8399">
        <v>22</v>
      </c>
      <c r="D8399">
        <v>0.20899999999999999</v>
      </c>
      <c r="E8399" t="s">
        <v>6</v>
      </c>
      <c r="F8399">
        <v>0.23596</v>
      </c>
    </row>
    <row r="8400" spans="1:6" x14ac:dyDescent="0.3">
      <c r="A8400" t="s">
        <v>5</v>
      </c>
      <c r="B8400" s="1">
        <v>46007</v>
      </c>
      <c r="C8400">
        <v>23</v>
      </c>
      <c r="D8400">
        <v>0.11</v>
      </c>
      <c r="E8400" t="s">
        <v>6</v>
      </c>
      <c r="F8400">
        <v>0.15652000000000002</v>
      </c>
    </row>
    <row r="8401" spans="1:6" x14ac:dyDescent="0.3">
      <c r="A8401" t="s">
        <v>5</v>
      </c>
      <c r="B8401" s="1">
        <v>46007</v>
      </c>
      <c r="C8401">
        <v>24</v>
      </c>
      <c r="D8401">
        <v>0.223</v>
      </c>
      <c r="E8401" t="s">
        <v>6</v>
      </c>
      <c r="F8401">
        <v>0.14333000000000001</v>
      </c>
    </row>
    <row r="8402" spans="1:6" x14ac:dyDescent="0.3">
      <c r="A8402" t="s">
        <v>5</v>
      </c>
      <c r="B8402" s="1">
        <v>46008</v>
      </c>
      <c r="C8402">
        <v>1</v>
      </c>
      <c r="D8402">
        <v>0.19400000000000001</v>
      </c>
      <c r="E8402" t="s">
        <v>6</v>
      </c>
      <c r="F8402">
        <v>0.11306999999999999</v>
      </c>
    </row>
    <row r="8403" spans="1:6" x14ac:dyDescent="0.3">
      <c r="A8403" t="s">
        <v>5</v>
      </c>
      <c r="B8403" s="1">
        <v>46008</v>
      </c>
      <c r="C8403">
        <v>2</v>
      </c>
      <c r="D8403">
        <v>0.155</v>
      </c>
      <c r="E8403" t="s">
        <v>6</v>
      </c>
      <c r="F8403">
        <v>0.11353000000000001</v>
      </c>
    </row>
    <row r="8404" spans="1:6" x14ac:dyDescent="0.3">
      <c r="A8404" t="s">
        <v>5</v>
      </c>
      <c r="B8404" s="1">
        <v>46008</v>
      </c>
      <c r="C8404">
        <v>3</v>
      </c>
      <c r="D8404">
        <v>0.13300000000000001</v>
      </c>
      <c r="E8404" t="s">
        <v>6</v>
      </c>
      <c r="F8404">
        <v>0.11384999999999999</v>
      </c>
    </row>
    <row r="8405" spans="1:6" x14ac:dyDescent="0.3">
      <c r="A8405" t="s">
        <v>5</v>
      </c>
      <c r="B8405" s="1">
        <v>46008</v>
      </c>
      <c r="C8405">
        <v>4</v>
      </c>
      <c r="D8405">
        <v>0.13400000000000001</v>
      </c>
      <c r="E8405" t="s">
        <v>6</v>
      </c>
      <c r="F8405">
        <v>0.10686</v>
      </c>
    </row>
    <row r="8406" spans="1:6" x14ac:dyDescent="0.3">
      <c r="A8406" t="s">
        <v>5</v>
      </c>
      <c r="B8406" s="1">
        <v>46008</v>
      </c>
      <c r="C8406">
        <v>5</v>
      </c>
      <c r="D8406">
        <v>0.13600000000000001</v>
      </c>
      <c r="E8406" t="s">
        <v>6</v>
      </c>
      <c r="F8406">
        <v>0.10575</v>
      </c>
    </row>
    <row r="8407" spans="1:6" x14ac:dyDescent="0.3">
      <c r="A8407" t="s">
        <v>5</v>
      </c>
      <c r="B8407" s="1">
        <v>46008</v>
      </c>
      <c r="C8407">
        <v>6</v>
      </c>
      <c r="D8407">
        <v>0.125</v>
      </c>
      <c r="E8407" t="s">
        <v>6</v>
      </c>
      <c r="F8407">
        <v>0.10732999999999999</v>
      </c>
    </row>
    <row r="8408" spans="1:6" x14ac:dyDescent="0.3">
      <c r="A8408" t="s">
        <v>5</v>
      </c>
      <c r="B8408" s="1">
        <v>46008</v>
      </c>
      <c r="C8408">
        <v>7</v>
      </c>
      <c r="D8408">
        <v>0.13900000000000001</v>
      </c>
      <c r="E8408" t="s">
        <v>6</v>
      </c>
      <c r="F8408">
        <v>0.13038</v>
      </c>
    </row>
    <row r="8409" spans="1:6" x14ac:dyDescent="0.3">
      <c r="A8409" t="s">
        <v>5</v>
      </c>
      <c r="B8409" s="1">
        <v>46008</v>
      </c>
      <c r="C8409">
        <v>8</v>
      </c>
      <c r="D8409">
        <v>0.123</v>
      </c>
      <c r="E8409" t="s">
        <v>6</v>
      </c>
      <c r="F8409">
        <v>0.16188</v>
      </c>
    </row>
    <row r="8410" spans="1:6" x14ac:dyDescent="0.3">
      <c r="A8410" t="s">
        <v>5</v>
      </c>
      <c r="B8410" s="1">
        <v>46008</v>
      </c>
      <c r="C8410">
        <v>9</v>
      </c>
      <c r="D8410">
        <v>0.14299999999999999</v>
      </c>
      <c r="E8410" t="s">
        <v>6</v>
      </c>
      <c r="F8410">
        <v>0.21674000000000002</v>
      </c>
    </row>
    <row r="8411" spans="1:6" x14ac:dyDescent="0.3">
      <c r="A8411" t="s">
        <v>5</v>
      </c>
      <c r="B8411" s="1">
        <v>46008</v>
      </c>
      <c r="C8411">
        <v>10</v>
      </c>
      <c r="D8411">
        <v>0.114</v>
      </c>
      <c r="E8411" t="s">
        <v>6</v>
      </c>
      <c r="F8411">
        <v>0.19100999999999999</v>
      </c>
    </row>
    <row r="8412" spans="1:6" x14ac:dyDescent="0.3">
      <c r="A8412" t="s">
        <v>5</v>
      </c>
      <c r="B8412" s="1">
        <v>46008</v>
      </c>
      <c r="C8412">
        <v>11</v>
      </c>
      <c r="D8412">
        <v>0.156</v>
      </c>
      <c r="E8412" t="s">
        <v>6</v>
      </c>
      <c r="F8412">
        <v>0.21994</v>
      </c>
    </row>
    <row r="8413" spans="1:6" x14ac:dyDescent="0.3">
      <c r="A8413" t="s">
        <v>5</v>
      </c>
      <c r="B8413" s="1">
        <v>46008</v>
      </c>
      <c r="C8413">
        <v>12</v>
      </c>
      <c r="D8413">
        <v>0.123</v>
      </c>
      <c r="E8413" t="s">
        <v>6</v>
      </c>
      <c r="F8413">
        <v>0.20805999999999999</v>
      </c>
    </row>
    <row r="8414" spans="1:6" x14ac:dyDescent="0.3">
      <c r="A8414" t="s">
        <v>5</v>
      </c>
      <c r="B8414" s="1">
        <v>46008</v>
      </c>
      <c r="C8414">
        <v>13</v>
      </c>
      <c r="D8414">
        <v>0.21099999999999999</v>
      </c>
      <c r="E8414" t="s">
        <v>6</v>
      </c>
      <c r="F8414">
        <v>0.20448</v>
      </c>
    </row>
    <row r="8415" spans="1:6" x14ac:dyDescent="0.3">
      <c r="A8415" t="s">
        <v>5</v>
      </c>
      <c r="B8415" s="1">
        <v>46008</v>
      </c>
      <c r="C8415">
        <v>14</v>
      </c>
      <c r="D8415">
        <v>0.27700000000000002</v>
      </c>
      <c r="E8415" t="s">
        <v>6</v>
      </c>
      <c r="F8415">
        <v>0.19878000000000001</v>
      </c>
    </row>
    <row r="8416" spans="1:6" x14ac:dyDescent="0.3">
      <c r="A8416" t="s">
        <v>5</v>
      </c>
      <c r="B8416" s="1">
        <v>46008</v>
      </c>
      <c r="C8416">
        <v>15</v>
      </c>
      <c r="D8416">
        <v>0.14799999999999999</v>
      </c>
      <c r="E8416" t="s">
        <v>6</v>
      </c>
      <c r="F8416">
        <v>0.13555</v>
      </c>
    </row>
    <row r="8417" spans="1:6" x14ac:dyDescent="0.3">
      <c r="A8417" t="s">
        <v>5</v>
      </c>
      <c r="B8417" s="1">
        <v>46008</v>
      </c>
      <c r="C8417">
        <v>16</v>
      </c>
      <c r="D8417">
        <v>0.129</v>
      </c>
      <c r="E8417" t="s">
        <v>6</v>
      </c>
      <c r="F8417">
        <v>0.14530999999999999</v>
      </c>
    </row>
    <row r="8418" spans="1:6" x14ac:dyDescent="0.3">
      <c r="A8418" t="s">
        <v>5</v>
      </c>
      <c r="B8418" s="1">
        <v>46008</v>
      </c>
      <c r="C8418">
        <v>17</v>
      </c>
      <c r="D8418">
        <v>0.156</v>
      </c>
      <c r="E8418" t="s">
        <v>6</v>
      </c>
      <c r="F8418">
        <v>0.16747999999999999</v>
      </c>
    </row>
    <row r="8419" spans="1:6" x14ac:dyDescent="0.3">
      <c r="A8419" t="s">
        <v>5</v>
      </c>
      <c r="B8419" s="1">
        <v>46008</v>
      </c>
      <c r="C8419">
        <v>18</v>
      </c>
      <c r="D8419">
        <v>0.13300000000000001</v>
      </c>
      <c r="E8419" t="s">
        <v>6</v>
      </c>
      <c r="F8419">
        <v>0.18193000000000001</v>
      </c>
    </row>
    <row r="8420" spans="1:6" x14ac:dyDescent="0.3">
      <c r="A8420" t="s">
        <v>5</v>
      </c>
      <c r="B8420" s="1">
        <v>46008</v>
      </c>
      <c r="C8420">
        <v>19</v>
      </c>
      <c r="D8420">
        <v>0.20799999999999999</v>
      </c>
      <c r="E8420" t="s">
        <v>6</v>
      </c>
      <c r="F8420">
        <v>0.26711000000000001</v>
      </c>
    </row>
    <row r="8421" spans="1:6" x14ac:dyDescent="0.3">
      <c r="A8421" t="s">
        <v>5</v>
      </c>
      <c r="B8421" s="1">
        <v>46008</v>
      </c>
      <c r="C8421">
        <v>20</v>
      </c>
      <c r="D8421">
        <v>0.21099999999999999</v>
      </c>
      <c r="E8421" t="s">
        <v>6</v>
      </c>
      <c r="F8421">
        <v>0.26650000000000001</v>
      </c>
    </row>
    <row r="8422" spans="1:6" x14ac:dyDescent="0.3">
      <c r="A8422" t="s">
        <v>5</v>
      </c>
      <c r="B8422" s="1">
        <v>46008</v>
      </c>
      <c r="C8422">
        <v>21</v>
      </c>
      <c r="D8422">
        <v>0.18</v>
      </c>
      <c r="E8422" t="s">
        <v>6</v>
      </c>
      <c r="F8422">
        <v>0.28051999999999999</v>
      </c>
    </row>
    <row r="8423" spans="1:6" x14ac:dyDescent="0.3">
      <c r="A8423" t="s">
        <v>5</v>
      </c>
      <c r="B8423" s="1">
        <v>46008</v>
      </c>
      <c r="C8423">
        <v>22</v>
      </c>
      <c r="D8423">
        <v>0.219</v>
      </c>
      <c r="E8423" t="s">
        <v>6</v>
      </c>
      <c r="F8423">
        <v>0.26800999999999997</v>
      </c>
    </row>
    <row r="8424" spans="1:6" x14ac:dyDescent="0.3">
      <c r="A8424" t="s">
        <v>5</v>
      </c>
      <c r="B8424" s="1">
        <v>46008</v>
      </c>
      <c r="C8424">
        <v>23</v>
      </c>
      <c r="D8424">
        <v>1.018</v>
      </c>
      <c r="E8424" t="s">
        <v>6</v>
      </c>
      <c r="F8424">
        <v>0.18802000000000002</v>
      </c>
    </row>
    <row r="8425" spans="1:6" x14ac:dyDescent="0.3">
      <c r="A8425" t="s">
        <v>5</v>
      </c>
      <c r="B8425" s="1">
        <v>46008</v>
      </c>
      <c r="C8425">
        <v>24</v>
      </c>
      <c r="D8425">
        <v>0.28399999999999997</v>
      </c>
      <c r="E8425" t="s">
        <v>6</v>
      </c>
      <c r="F8425">
        <v>0.17288000000000001</v>
      </c>
    </row>
    <row r="8426" spans="1:6" x14ac:dyDescent="0.3">
      <c r="A8426" t="s">
        <v>5</v>
      </c>
      <c r="B8426" s="1">
        <v>46009</v>
      </c>
      <c r="C8426">
        <v>1</v>
      </c>
      <c r="D8426">
        <v>0.28599999999999998</v>
      </c>
      <c r="E8426" t="s">
        <v>6</v>
      </c>
      <c r="F8426">
        <v>0.15001</v>
      </c>
    </row>
    <row r="8427" spans="1:6" x14ac:dyDescent="0.3">
      <c r="A8427" t="s">
        <v>5</v>
      </c>
      <c r="B8427" s="1">
        <v>46009</v>
      </c>
      <c r="C8427">
        <v>2</v>
      </c>
      <c r="D8427">
        <v>0.159</v>
      </c>
      <c r="E8427" t="s">
        <v>6</v>
      </c>
      <c r="F8427">
        <v>0.14108999999999999</v>
      </c>
    </row>
    <row r="8428" spans="1:6" x14ac:dyDescent="0.3">
      <c r="A8428" t="s">
        <v>5</v>
      </c>
      <c r="B8428" s="1">
        <v>46009</v>
      </c>
      <c r="C8428">
        <v>3</v>
      </c>
      <c r="D8428">
        <v>0.12</v>
      </c>
      <c r="E8428" t="s">
        <v>6</v>
      </c>
      <c r="F8428">
        <v>0.14054</v>
      </c>
    </row>
    <row r="8429" spans="1:6" x14ac:dyDescent="0.3">
      <c r="A8429" t="s">
        <v>5</v>
      </c>
      <c r="B8429" s="1">
        <v>46009</v>
      </c>
      <c r="C8429">
        <v>4</v>
      </c>
      <c r="D8429">
        <v>0.14299999999999999</v>
      </c>
      <c r="E8429" t="s">
        <v>6</v>
      </c>
      <c r="F8429">
        <v>0.12736</v>
      </c>
    </row>
    <row r="8430" spans="1:6" x14ac:dyDescent="0.3">
      <c r="A8430" t="s">
        <v>5</v>
      </c>
      <c r="B8430" s="1">
        <v>46009</v>
      </c>
      <c r="C8430">
        <v>5</v>
      </c>
      <c r="D8430">
        <v>0.127</v>
      </c>
      <c r="E8430" t="s">
        <v>6</v>
      </c>
      <c r="F8430">
        <v>0.12376000000000001</v>
      </c>
    </row>
    <row r="8431" spans="1:6" x14ac:dyDescent="0.3">
      <c r="A8431" t="s">
        <v>5</v>
      </c>
      <c r="B8431" s="1">
        <v>46009</v>
      </c>
      <c r="C8431">
        <v>6</v>
      </c>
      <c r="D8431">
        <v>0.13300000000000001</v>
      </c>
      <c r="E8431" t="s">
        <v>6</v>
      </c>
      <c r="F8431">
        <v>0.12318999999999999</v>
      </c>
    </row>
    <row r="8432" spans="1:6" x14ac:dyDescent="0.3">
      <c r="A8432" t="s">
        <v>5</v>
      </c>
      <c r="B8432" s="1">
        <v>46009</v>
      </c>
      <c r="C8432">
        <v>7</v>
      </c>
      <c r="D8432">
        <v>0.156</v>
      </c>
      <c r="E8432" t="s">
        <v>6</v>
      </c>
      <c r="F8432">
        <v>0.13394999999999999</v>
      </c>
    </row>
    <row r="8433" spans="1:6" x14ac:dyDescent="0.3">
      <c r="A8433" t="s">
        <v>5</v>
      </c>
      <c r="B8433" s="1">
        <v>46009</v>
      </c>
      <c r="C8433">
        <v>8</v>
      </c>
      <c r="D8433">
        <v>0.183</v>
      </c>
      <c r="E8433" t="s">
        <v>6</v>
      </c>
      <c r="F8433">
        <v>0.13733000000000001</v>
      </c>
    </row>
    <row r="8434" spans="1:6" x14ac:dyDescent="0.3">
      <c r="A8434" t="s">
        <v>5</v>
      </c>
      <c r="B8434" s="1">
        <v>46009</v>
      </c>
      <c r="C8434">
        <v>9</v>
      </c>
      <c r="D8434">
        <v>0.14299999999999999</v>
      </c>
      <c r="E8434" t="s">
        <v>6</v>
      </c>
      <c r="F8434">
        <v>0.17052</v>
      </c>
    </row>
    <row r="8435" spans="1:6" x14ac:dyDescent="0.3">
      <c r="A8435" t="s">
        <v>5</v>
      </c>
      <c r="B8435" s="1">
        <v>46009</v>
      </c>
      <c r="C8435">
        <v>10</v>
      </c>
      <c r="D8435">
        <v>0.14499999999999999</v>
      </c>
      <c r="E8435" t="s">
        <v>6</v>
      </c>
      <c r="F8435">
        <v>0.15752000000000002</v>
      </c>
    </row>
    <row r="8436" spans="1:6" x14ac:dyDescent="0.3">
      <c r="A8436" t="s">
        <v>5</v>
      </c>
      <c r="B8436" s="1">
        <v>46009</v>
      </c>
      <c r="C8436">
        <v>11</v>
      </c>
      <c r="D8436">
        <v>0.17899999999999999</v>
      </c>
      <c r="E8436" t="s">
        <v>6</v>
      </c>
      <c r="F8436">
        <v>0.20054</v>
      </c>
    </row>
    <row r="8437" spans="1:6" x14ac:dyDescent="0.3">
      <c r="A8437" t="s">
        <v>5</v>
      </c>
      <c r="B8437" s="1">
        <v>46009</v>
      </c>
      <c r="C8437">
        <v>12</v>
      </c>
      <c r="D8437">
        <v>0.84</v>
      </c>
      <c r="E8437" t="s">
        <v>6</v>
      </c>
      <c r="F8437">
        <v>0.16706000000000001</v>
      </c>
    </row>
    <row r="8438" spans="1:6" x14ac:dyDescent="0.3">
      <c r="A8438" t="s">
        <v>5</v>
      </c>
      <c r="B8438" s="1">
        <v>46009</v>
      </c>
      <c r="C8438">
        <v>13</v>
      </c>
      <c r="D8438">
        <v>0.41099999999999998</v>
      </c>
      <c r="E8438" t="s">
        <v>6</v>
      </c>
      <c r="F8438">
        <v>0.16066999999999998</v>
      </c>
    </row>
    <row r="8439" spans="1:6" x14ac:dyDescent="0.3">
      <c r="A8439" t="s">
        <v>5</v>
      </c>
      <c r="B8439" s="1">
        <v>46009</v>
      </c>
      <c r="C8439">
        <v>14</v>
      </c>
      <c r="D8439">
        <v>0.40799999999999997</v>
      </c>
      <c r="E8439" t="s">
        <v>6</v>
      </c>
      <c r="F8439">
        <v>0.14774000000000001</v>
      </c>
    </row>
    <row r="8440" spans="1:6" x14ac:dyDescent="0.3">
      <c r="A8440" t="s">
        <v>5</v>
      </c>
      <c r="B8440" s="1">
        <v>46009</v>
      </c>
      <c r="C8440">
        <v>15</v>
      </c>
      <c r="D8440">
        <v>0.28599999999999998</v>
      </c>
      <c r="E8440" t="s">
        <v>6</v>
      </c>
      <c r="F8440">
        <v>8.4870000000000001E-2</v>
      </c>
    </row>
    <row r="8441" spans="1:6" x14ac:dyDescent="0.3">
      <c r="A8441" t="s">
        <v>5</v>
      </c>
      <c r="B8441" s="1">
        <v>46009</v>
      </c>
      <c r="C8441">
        <v>16</v>
      </c>
      <c r="D8441">
        <v>0.189</v>
      </c>
      <c r="E8441" t="s">
        <v>6</v>
      </c>
      <c r="F8441">
        <v>0.11781</v>
      </c>
    </row>
    <row r="8442" spans="1:6" x14ac:dyDescent="0.3">
      <c r="A8442" t="s">
        <v>5</v>
      </c>
      <c r="B8442" s="1">
        <v>46009</v>
      </c>
      <c r="C8442">
        <v>17</v>
      </c>
      <c r="D8442">
        <v>0.125</v>
      </c>
      <c r="E8442" t="s">
        <v>6</v>
      </c>
      <c r="F8442">
        <v>0.14219999999999999</v>
      </c>
    </row>
    <row r="8443" spans="1:6" x14ac:dyDescent="0.3">
      <c r="A8443" t="s">
        <v>5</v>
      </c>
      <c r="B8443" s="1">
        <v>46009</v>
      </c>
      <c r="C8443">
        <v>18</v>
      </c>
      <c r="D8443">
        <v>0.11</v>
      </c>
      <c r="E8443" t="s">
        <v>6</v>
      </c>
      <c r="F8443">
        <v>0.16447000000000001</v>
      </c>
    </row>
    <row r="8444" spans="1:6" x14ac:dyDescent="0.3">
      <c r="A8444" t="s">
        <v>5</v>
      </c>
      <c r="B8444" s="1">
        <v>46009</v>
      </c>
      <c r="C8444">
        <v>19</v>
      </c>
      <c r="D8444">
        <v>0.129</v>
      </c>
      <c r="E8444" t="s">
        <v>6</v>
      </c>
      <c r="F8444">
        <v>0.23943</v>
      </c>
    </row>
    <row r="8445" spans="1:6" x14ac:dyDescent="0.3">
      <c r="A8445" t="s">
        <v>5</v>
      </c>
      <c r="B8445" s="1">
        <v>46009</v>
      </c>
      <c r="C8445">
        <v>20</v>
      </c>
      <c r="D8445">
        <v>0.189</v>
      </c>
      <c r="E8445" t="s">
        <v>6</v>
      </c>
      <c r="F8445">
        <v>0.24631</v>
      </c>
    </row>
    <row r="8446" spans="1:6" x14ac:dyDescent="0.3">
      <c r="A8446" t="s">
        <v>5</v>
      </c>
      <c r="B8446" s="1">
        <v>46009</v>
      </c>
      <c r="C8446">
        <v>21</v>
      </c>
      <c r="D8446">
        <v>6.5000000000000002E-2</v>
      </c>
      <c r="E8446" t="s">
        <v>6</v>
      </c>
      <c r="F8446">
        <v>0.24953</v>
      </c>
    </row>
    <row r="8447" spans="1:6" x14ac:dyDescent="0.3">
      <c r="A8447" t="s">
        <v>5</v>
      </c>
      <c r="B8447" s="1">
        <v>46009</v>
      </c>
      <c r="C8447">
        <v>22</v>
      </c>
      <c r="D8447">
        <v>9.2999999999999999E-2</v>
      </c>
      <c r="E8447" t="s">
        <v>6</v>
      </c>
      <c r="F8447">
        <v>0.24777000000000002</v>
      </c>
    </row>
    <row r="8448" spans="1:6" x14ac:dyDescent="0.3">
      <c r="A8448" t="s">
        <v>5</v>
      </c>
      <c r="B8448" s="1">
        <v>46009</v>
      </c>
      <c r="C8448">
        <v>23</v>
      </c>
      <c r="D8448">
        <v>0.19500000000000001</v>
      </c>
      <c r="E8448" t="s">
        <v>6</v>
      </c>
      <c r="F8448">
        <v>0.16599</v>
      </c>
    </row>
    <row r="8449" spans="1:6" x14ac:dyDescent="0.3">
      <c r="A8449" t="s">
        <v>5</v>
      </c>
      <c r="B8449" s="1">
        <v>46009</v>
      </c>
      <c r="C8449">
        <v>24</v>
      </c>
      <c r="D8449">
        <v>0.66200000000000003</v>
      </c>
      <c r="E8449" t="s">
        <v>6</v>
      </c>
      <c r="F8449">
        <v>0.15631</v>
      </c>
    </row>
    <row r="8450" spans="1:6" x14ac:dyDescent="0.3">
      <c r="A8450" t="s">
        <v>5</v>
      </c>
      <c r="B8450" s="1">
        <v>46010</v>
      </c>
      <c r="C8450">
        <v>1</v>
      </c>
      <c r="D8450">
        <v>0.51600000000000001</v>
      </c>
      <c r="E8450" t="s">
        <v>6</v>
      </c>
      <c r="F8450">
        <v>0.11856999999999999</v>
      </c>
    </row>
    <row r="8451" spans="1:6" x14ac:dyDescent="0.3">
      <c r="A8451" t="s">
        <v>5</v>
      </c>
      <c r="B8451" s="1">
        <v>46010</v>
      </c>
      <c r="C8451">
        <v>2</v>
      </c>
      <c r="D8451">
        <v>0.71099999999999997</v>
      </c>
      <c r="E8451" t="s">
        <v>6</v>
      </c>
      <c r="F8451">
        <v>0.11643000000000001</v>
      </c>
    </row>
    <row r="8452" spans="1:6" x14ac:dyDescent="0.3">
      <c r="A8452" t="s">
        <v>5</v>
      </c>
      <c r="B8452" s="1">
        <v>46010</v>
      </c>
      <c r="C8452">
        <v>3</v>
      </c>
      <c r="D8452">
        <v>0.11799999999999999</v>
      </c>
      <c r="E8452" t="s">
        <v>6</v>
      </c>
      <c r="F8452">
        <v>0.11393</v>
      </c>
    </row>
    <row r="8453" spans="1:6" x14ac:dyDescent="0.3">
      <c r="A8453" t="s">
        <v>5</v>
      </c>
      <c r="B8453" s="1">
        <v>46010</v>
      </c>
      <c r="C8453">
        <v>4</v>
      </c>
      <c r="D8453">
        <v>7.5999999999999998E-2</v>
      </c>
      <c r="E8453" t="s">
        <v>6</v>
      </c>
      <c r="F8453">
        <v>0.10898000000000001</v>
      </c>
    </row>
    <row r="8454" spans="1:6" x14ac:dyDescent="0.3">
      <c r="A8454" t="s">
        <v>5</v>
      </c>
      <c r="B8454" s="1">
        <v>46010</v>
      </c>
      <c r="C8454">
        <v>5</v>
      </c>
      <c r="D8454">
        <v>5.6000000000000001E-2</v>
      </c>
      <c r="E8454" t="s">
        <v>6</v>
      </c>
      <c r="F8454">
        <v>0.11092</v>
      </c>
    </row>
    <row r="8455" spans="1:6" x14ac:dyDescent="0.3">
      <c r="A8455" t="s">
        <v>5</v>
      </c>
      <c r="B8455" s="1">
        <v>46010</v>
      </c>
      <c r="C8455">
        <v>6</v>
      </c>
      <c r="D8455">
        <v>7.1999999999999995E-2</v>
      </c>
      <c r="E8455" t="s">
        <v>6</v>
      </c>
      <c r="F8455">
        <v>0.11597</v>
      </c>
    </row>
    <row r="8456" spans="1:6" x14ac:dyDescent="0.3">
      <c r="A8456" t="s">
        <v>5</v>
      </c>
      <c r="B8456" s="1">
        <v>46010</v>
      </c>
      <c r="C8456">
        <v>7</v>
      </c>
      <c r="D8456">
        <v>7.2999999999999995E-2</v>
      </c>
      <c r="E8456" t="s">
        <v>6</v>
      </c>
      <c r="F8456">
        <v>0.13072</v>
      </c>
    </row>
    <row r="8457" spans="1:6" x14ac:dyDescent="0.3">
      <c r="A8457" t="s">
        <v>5</v>
      </c>
      <c r="B8457" s="1">
        <v>46010</v>
      </c>
      <c r="C8457">
        <v>8</v>
      </c>
      <c r="D8457">
        <v>5.8999999999999997E-2</v>
      </c>
      <c r="E8457" t="s">
        <v>6</v>
      </c>
      <c r="F8457">
        <v>0.1477</v>
      </c>
    </row>
    <row r="8458" spans="1:6" x14ac:dyDescent="0.3">
      <c r="A8458" t="s">
        <v>5</v>
      </c>
      <c r="B8458" s="1">
        <v>46010</v>
      </c>
      <c r="C8458">
        <v>9</v>
      </c>
      <c r="D8458">
        <v>8.1000000000000003E-2</v>
      </c>
      <c r="E8458" t="s">
        <v>6</v>
      </c>
      <c r="F8458">
        <v>0.18062999999999999</v>
      </c>
    </row>
    <row r="8459" spans="1:6" x14ac:dyDescent="0.3">
      <c r="A8459" t="s">
        <v>5</v>
      </c>
      <c r="B8459" s="1">
        <v>46010</v>
      </c>
      <c r="C8459">
        <v>10</v>
      </c>
      <c r="D8459">
        <v>0.17699999999999999</v>
      </c>
      <c r="E8459" t="s">
        <v>6</v>
      </c>
      <c r="F8459">
        <v>0.17643999999999999</v>
      </c>
    </row>
    <row r="8460" spans="1:6" x14ac:dyDescent="0.3">
      <c r="A8460" t="s">
        <v>5</v>
      </c>
      <c r="B8460" s="1">
        <v>46010</v>
      </c>
      <c r="C8460">
        <v>11</v>
      </c>
      <c r="D8460">
        <v>0.112</v>
      </c>
      <c r="E8460" t="s">
        <v>6</v>
      </c>
      <c r="F8460">
        <v>0.23583000000000001</v>
      </c>
    </row>
    <row r="8461" spans="1:6" x14ac:dyDescent="0.3">
      <c r="A8461" t="s">
        <v>5</v>
      </c>
      <c r="B8461" s="1">
        <v>46010</v>
      </c>
      <c r="C8461">
        <v>12</v>
      </c>
      <c r="D8461">
        <v>8.6999999999999994E-2</v>
      </c>
      <c r="E8461" t="s">
        <v>6</v>
      </c>
      <c r="F8461">
        <v>0.23299</v>
      </c>
    </row>
    <row r="8462" spans="1:6" x14ac:dyDescent="0.3">
      <c r="A8462" t="s">
        <v>5</v>
      </c>
      <c r="B8462" s="1">
        <v>46010</v>
      </c>
      <c r="C8462">
        <v>13</v>
      </c>
      <c r="D8462">
        <v>0.16600000000000001</v>
      </c>
      <c r="E8462" t="s">
        <v>6</v>
      </c>
      <c r="F8462">
        <v>0.22447</v>
      </c>
    </row>
    <row r="8463" spans="1:6" x14ac:dyDescent="0.3">
      <c r="A8463" t="s">
        <v>5</v>
      </c>
      <c r="B8463" s="1">
        <v>46010</v>
      </c>
      <c r="C8463">
        <v>14</v>
      </c>
      <c r="D8463">
        <v>0.753</v>
      </c>
      <c r="E8463" t="s">
        <v>6</v>
      </c>
      <c r="F8463">
        <v>0.22296000000000002</v>
      </c>
    </row>
    <row r="8464" spans="1:6" x14ac:dyDescent="0.3">
      <c r="A8464" t="s">
        <v>5</v>
      </c>
      <c r="B8464" s="1">
        <v>46010</v>
      </c>
      <c r="C8464">
        <v>15</v>
      </c>
      <c r="D8464">
        <v>0.08</v>
      </c>
      <c r="E8464" t="s">
        <v>6</v>
      </c>
      <c r="F8464">
        <v>0.16211</v>
      </c>
    </row>
    <row r="8465" spans="1:6" x14ac:dyDescent="0.3">
      <c r="A8465" t="s">
        <v>5</v>
      </c>
      <c r="B8465" s="1">
        <v>46010</v>
      </c>
      <c r="C8465">
        <v>16</v>
      </c>
      <c r="D8465">
        <v>7.3999999999999996E-2</v>
      </c>
      <c r="E8465" t="s">
        <v>6</v>
      </c>
      <c r="F8465">
        <v>0.16953000000000001</v>
      </c>
    </row>
    <row r="8466" spans="1:6" x14ac:dyDescent="0.3">
      <c r="A8466" t="s">
        <v>5</v>
      </c>
      <c r="B8466" s="1">
        <v>46010</v>
      </c>
      <c r="C8466">
        <v>17</v>
      </c>
      <c r="D8466">
        <v>7.1999999999999995E-2</v>
      </c>
      <c r="E8466" t="s">
        <v>6</v>
      </c>
      <c r="F8466">
        <v>0.16965</v>
      </c>
    </row>
    <row r="8467" spans="1:6" x14ac:dyDescent="0.3">
      <c r="A8467" t="s">
        <v>5</v>
      </c>
      <c r="B8467" s="1">
        <v>46010</v>
      </c>
      <c r="C8467">
        <v>18</v>
      </c>
      <c r="D8467">
        <v>6.5000000000000002E-2</v>
      </c>
      <c r="E8467" t="s">
        <v>6</v>
      </c>
      <c r="F8467">
        <v>0.17022999999999999</v>
      </c>
    </row>
    <row r="8468" spans="1:6" x14ac:dyDescent="0.3">
      <c r="A8468" t="s">
        <v>5</v>
      </c>
      <c r="B8468" s="1">
        <v>46010</v>
      </c>
      <c r="C8468">
        <v>19</v>
      </c>
      <c r="D8468">
        <v>6.4000000000000001E-2</v>
      </c>
      <c r="E8468" t="s">
        <v>6</v>
      </c>
      <c r="F8468">
        <v>0.24778</v>
      </c>
    </row>
    <row r="8469" spans="1:6" x14ac:dyDescent="0.3">
      <c r="A8469" t="s">
        <v>5</v>
      </c>
      <c r="B8469" s="1">
        <v>46010</v>
      </c>
      <c r="C8469">
        <v>20</v>
      </c>
      <c r="D8469">
        <v>9.2999999999999999E-2</v>
      </c>
      <c r="E8469" t="s">
        <v>6</v>
      </c>
      <c r="F8469">
        <v>0.25179000000000001</v>
      </c>
    </row>
    <row r="8470" spans="1:6" x14ac:dyDescent="0.3">
      <c r="A8470" t="s">
        <v>5</v>
      </c>
      <c r="B8470" s="1">
        <v>46010</v>
      </c>
      <c r="C8470">
        <v>21</v>
      </c>
      <c r="D8470">
        <v>4.8000000000000001E-2</v>
      </c>
      <c r="E8470" t="s">
        <v>6</v>
      </c>
      <c r="F8470">
        <v>0.25470999999999999</v>
      </c>
    </row>
    <row r="8471" spans="1:6" x14ac:dyDescent="0.3">
      <c r="A8471" t="s">
        <v>5</v>
      </c>
      <c r="B8471" s="1">
        <v>46010</v>
      </c>
      <c r="C8471">
        <v>22</v>
      </c>
      <c r="D8471">
        <v>7.0000000000000007E-2</v>
      </c>
      <c r="E8471" t="s">
        <v>6</v>
      </c>
      <c r="F8471">
        <v>0.25292999999999999</v>
      </c>
    </row>
    <row r="8472" spans="1:6" x14ac:dyDescent="0.3">
      <c r="A8472" t="s">
        <v>5</v>
      </c>
      <c r="B8472" s="1">
        <v>46010</v>
      </c>
      <c r="C8472">
        <v>23</v>
      </c>
      <c r="D8472">
        <v>6.9000000000000006E-2</v>
      </c>
      <c r="E8472" t="s">
        <v>6</v>
      </c>
      <c r="F8472">
        <v>0.17933000000000002</v>
      </c>
    </row>
    <row r="8473" spans="1:6" x14ac:dyDescent="0.3">
      <c r="A8473" t="s">
        <v>5</v>
      </c>
      <c r="B8473" s="1">
        <v>46010</v>
      </c>
      <c r="C8473">
        <v>24</v>
      </c>
      <c r="D8473">
        <v>5.8999999999999997E-2</v>
      </c>
      <c r="E8473" t="s">
        <v>6</v>
      </c>
      <c r="F8473">
        <v>0.1691</v>
      </c>
    </row>
    <row r="8474" spans="1:6" x14ac:dyDescent="0.3">
      <c r="A8474" t="s">
        <v>5</v>
      </c>
      <c r="B8474" s="1">
        <v>46011</v>
      </c>
      <c r="C8474">
        <v>1</v>
      </c>
      <c r="D8474">
        <v>7.0999999999999994E-2</v>
      </c>
      <c r="E8474" t="s">
        <v>6</v>
      </c>
      <c r="F8474">
        <v>0.13983999999999999</v>
      </c>
    </row>
    <row r="8475" spans="1:6" x14ac:dyDescent="0.3">
      <c r="A8475" t="s">
        <v>5</v>
      </c>
      <c r="B8475" s="1">
        <v>46011</v>
      </c>
      <c r="C8475">
        <v>2</v>
      </c>
      <c r="D8475">
        <v>5.1999999999999998E-2</v>
      </c>
      <c r="E8475" t="s">
        <v>6</v>
      </c>
      <c r="F8475">
        <v>0.13288</v>
      </c>
    </row>
    <row r="8476" spans="1:6" x14ac:dyDescent="0.3">
      <c r="A8476" t="s">
        <v>5</v>
      </c>
      <c r="B8476" s="1">
        <v>46011</v>
      </c>
      <c r="C8476">
        <v>3</v>
      </c>
      <c r="D8476">
        <v>7.0999999999999994E-2</v>
      </c>
      <c r="E8476" t="s">
        <v>6</v>
      </c>
      <c r="F8476">
        <v>0.12816999999999998</v>
      </c>
    </row>
    <row r="8477" spans="1:6" x14ac:dyDescent="0.3">
      <c r="A8477" t="s">
        <v>5</v>
      </c>
      <c r="B8477" s="1">
        <v>46011</v>
      </c>
      <c r="C8477">
        <v>4</v>
      </c>
      <c r="D8477">
        <v>0.11600000000000001</v>
      </c>
      <c r="E8477" t="s">
        <v>6</v>
      </c>
      <c r="F8477">
        <v>0.11509999999999999</v>
      </c>
    </row>
    <row r="8478" spans="1:6" x14ac:dyDescent="0.3">
      <c r="A8478" t="s">
        <v>5</v>
      </c>
      <c r="B8478" s="1">
        <v>46011</v>
      </c>
      <c r="C8478">
        <v>5</v>
      </c>
      <c r="D8478">
        <v>6.6000000000000003E-2</v>
      </c>
      <c r="E8478" t="s">
        <v>6</v>
      </c>
      <c r="F8478">
        <v>0.11505</v>
      </c>
    </row>
    <row r="8479" spans="1:6" x14ac:dyDescent="0.3">
      <c r="A8479" t="s">
        <v>5</v>
      </c>
      <c r="B8479" s="1">
        <v>46011</v>
      </c>
      <c r="C8479">
        <v>6</v>
      </c>
      <c r="D8479">
        <v>7.1999999999999995E-2</v>
      </c>
      <c r="E8479" t="s">
        <v>6</v>
      </c>
      <c r="F8479">
        <v>0.11448</v>
      </c>
    </row>
    <row r="8480" spans="1:6" x14ac:dyDescent="0.3">
      <c r="A8480" t="s">
        <v>5</v>
      </c>
      <c r="B8480" s="1">
        <v>46011</v>
      </c>
      <c r="C8480">
        <v>7</v>
      </c>
      <c r="D8480">
        <v>5.5E-2</v>
      </c>
      <c r="E8480" t="s">
        <v>6</v>
      </c>
      <c r="F8480">
        <v>0.11946999999999999</v>
      </c>
    </row>
    <row r="8481" spans="1:6" x14ac:dyDescent="0.3">
      <c r="A8481" t="s">
        <v>5</v>
      </c>
      <c r="B8481" s="1">
        <v>46011</v>
      </c>
      <c r="C8481">
        <v>8</v>
      </c>
      <c r="D8481">
        <v>6.2E-2</v>
      </c>
      <c r="E8481" t="s">
        <v>6</v>
      </c>
      <c r="F8481">
        <v>0.1193</v>
      </c>
    </row>
    <row r="8482" spans="1:6" x14ac:dyDescent="0.3">
      <c r="A8482" t="s">
        <v>5</v>
      </c>
      <c r="B8482" s="1">
        <v>46011</v>
      </c>
      <c r="C8482">
        <v>9</v>
      </c>
      <c r="D8482">
        <v>7.0000000000000007E-2</v>
      </c>
      <c r="E8482" t="s">
        <v>6</v>
      </c>
      <c r="F8482">
        <v>0.12113</v>
      </c>
    </row>
    <row r="8483" spans="1:6" x14ac:dyDescent="0.3">
      <c r="A8483" t="s">
        <v>5</v>
      </c>
      <c r="B8483" s="1">
        <v>46011</v>
      </c>
      <c r="C8483">
        <v>10</v>
      </c>
      <c r="D8483">
        <v>5.7000000000000002E-2</v>
      </c>
      <c r="E8483" t="s">
        <v>6</v>
      </c>
      <c r="F8483">
        <v>0.12293000000000001</v>
      </c>
    </row>
    <row r="8484" spans="1:6" x14ac:dyDescent="0.3">
      <c r="A8484" t="s">
        <v>5</v>
      </c>
      <c r="B8484" s="1">
        <v>46011</v>
      </c>
      <c r="C8484">
        <v>11</v>
      </c>
      <c r="D8484">
        <v>7.0000000000000007E-2</v>
      </c>
      <c r="E8484" t="s">
        <v>6</v>
      </c>
      <c r="F8484">
        <v>0.11376</v>
      </c>
    </row>
    <row r="8485" spans="1:6" x14ac:dyDescent="0.3">
      <c r="A8485" t="s">
        <v>5</v>
      </c>
      <c r="B8485" s="1">
        <v>46011</v>
      </c>
      <c r="C8485">
        <v>12</v>
      </c>
      <c r="D8485">
        <v>5.6000000000000001E-2</v>
      </c>
      <c r="E8485" t="s">
        <v>6</v>
      </c>
      <c r="F8485">
        <v>0.10464</v>
      </c>
    </row>
    <row r="8486" spans="1:6" x14ac:dyDescent="0.3">
      <c r="A8486" t="s">
        <v>5</v>
      </c>
      <c r="B8486" s="1">
        <v>46011</v>
      </c>
      <c r="C8486">
        <v>13</v>
      </c>
      <c r="D8486">
        <v>6.4000000000000001E-2</v>
      </c>
      <c r="E8486" t="s">
        <v>6</v>
      </c>
      <c r="F8486">
        <v>0.10081</v>
      </c>
    </row>
    <row r="8487" spans="1:6" x14ac:dyDescent="0.3">
      <c r="A8487" t="s">
        <v>5</v>
      </c>
      <c r="B8487" s="1">
        <v>46011</v>
      </c>
      <c r="C8487">
        <v>14</v>
      </c>
      <c r="D8487">
        <v>0.105</v>
      </c>
      <c r="E8487" t="s">
        <v>6</v>
      </c>
      <c r="F8487">
        <v>9.0719999999999995E-2</v>
      </c>
    </row>
    <row r="8488" spans="1:6" x14ac:dyDescent="0.3">
      <c r="A8488" t="s">
        <v>5</v>
      </c>
      <c r="B8488" s="1">
        <v>46011</v>
      </c>
      <c r="C8488">
        <v>15</v>
      </c>
      <c r="D8488">
        <v>0.188</v>
      </c>
      <c r="E8488" t="s">
        <v>6</v>
      </c>
      <c r="F8488">
        <v>9.3980000000000008E-2</v>
      </c>
    </row>
    <row r="8489" spans="1:6" x14ac:dyDescent="0.3">
      <c r="A8489" t="s">
        <v>5</v>
      </c>
      <c r="B8489" s="1">
        <v>46011</v>
      </c>
      <c r="C8489">
        <v>16</v>
      </c>
      <c r="D8489">
        <v>0.13100000000000001</v>
      </c>
      <c r="E8489" t="s">
        <v>6</v>
      </c>
      <c r="F8489">
        <v>9.7349999999999992E-2</v>
      </c>
    </row>
    <row r="8490" spans="1:6" x14ac:dyDescent="0.3">
      <c r="A8490" t="s">
        <v>5</v>
      </c>
      <c r="B8490" s="1">
        <v>46011</v>
      </c>
      <c r="C8490">
        <v>17</v>
      </c>
      <c r="D8490">
        <v>9.5000000000000001E-2</v>
      </c>
      <c r="E8490" t="s">
        <v>6</v>
      </c>
      <c r="F8490">
        <v>0.10840999999999999</v>
      </c>
    </row>
    <row r="8491" spans="1:6" x14ac:dyDescent="0.3">
      <c r="A8491" t="s">
        <v>5</v>
      </c>
      <c r="B8491" s="1">
        <v>46011</v>
      </c>
      <c r="C8491">
        <v>18</v>
      </c>
      <c r="D8491">
        <v>0.13600000000000001</v>
      </c>
      <c r="E8491" t="s">
        <v>6</v>
      </c>
      <c r="F8491">
        <v>0.11859</v>
      </c>
    </row>
    <row r="8492" spans="1:6" x14ac:dyDescent="0.3">
      <c r="A8492" t="s">
        <v>5</v>
      </c>
      <c r="B8492" s="1">
        <v>46011</v>
      </c>
      <c r="C8492">
        <v>19</v>
      </c>
      <c r="D8492">
        <v>0.16400000000000001</v>
      </c>
      <c r="E8492" t="s">
        <v>6</v>
      </c>
      <c r="F8492">
        <v>0.11778</v>
      </c>
    </row>
    <row r="8493" spans="1:6" x14ac:dyDescent="0.3">
      <c r="A8493" t="s">
        <v>5</v>
      </c>
      <c r="B8493" s="1">
        <v>46011</v>
      </c>
      <c r="C8493">
        <v>20</v>
      </c>
      <c r="D8493">
        <v>0.153</v>
      </c>
      <c r="E8493" t="s">
        <v>6</v>
      </c>
      <c r="F8493">
        <v>0.12226000000000001</v>
      </c>
    </row>
    <row r="8494" spans="1:6" x14ac:dyDescent="0.3">
      <c r="A8494" t="s">
        <v>5</v>
      </c>
      <c r="B8494" s="1">
        <v>46011</v>
      </c>
      <c r="C8494">
        <v>21</v>
      </c>
      <c r="D8494">
        <v>8.8999999999999996E-2</v>
      </c>
      <c r="E8494" t="s">
        <v>6</v>
      </c>
      <c r="F8494">
        <v>0.11684</v>
      </c>
    </row>
    <row r="8495" spans="1:6" x14ac:dyDescent="0.3">
      <c r="A8495" t="s">
        <v>5</v>
      </c>
      <c r="B8495" s="1">
        <v>46011</v>
      </c>
      <c r="C8495">
        <v>22</v>
      </c>
      <c r="D8495">
        <v>6.3E-2</v>
      </c>
      <c r="E8495" t="s">
        <v>6</v>
      </c>
      <c r="F8495">
        <v>0.10821</v>
      </c>
    </row>
    <row r="8496" spans="1:6" x14ac:dyDescent="0.3">
      <c r="A8496" t="s">
        <v>5</v>
      </c>
      <c r="B8496" s="1">
        <v>46011</v>
      </c>
      <c r="C8496">
        <v>23</v>
      </c>
      <c r="D8496">
        <v>6.4000000000000001E-2</v>
      </c>
      <c r="E8496" t="s">
        <v>6</v>
      </c>
      <c r="F8496">
        <v>0.11162999999999999</v>
      </c>
    </row>
    <row r="8497" spans="1:6" x14ac:dyDescent="0.3">
      <c r="A8497" t="s">
        <v>5</v>
      </c>
      <c r="B8497" s="1">
        <v>46011</v>
      </c>
      <c r="C8497">
        <v>24</v>
      </c>
      <c r="D8497">
        <v>7.0999999999999994E-2</v>
      </c>
      <c r="E8497" t="s">
        <v>6</v>
      </c>
      <c r="F8497">
        <v>0.10537000000000001</v>
      </c>
    </row>
    <row r="8498" spans="1:6" x14ac:dyDescent="0.3">
      <c r="A8498" t="s">
        <v>5</v>
      </c>
      <c r="B8498" s="1">
        <v>46012</v>
      </c>
      <c r="C8498">
        <v>1</v>
      </c>
      <c r="D8498">
        <v>5.2999999999999999E-2</v>
      </c>
      <c r="E8498" t="s">
        <v>6</v>
      </c>
      <c r="F8498">
        <v>9.5920000000000005E-2</v>
      </c>
    </row>
    <row r="8499" spans="1:6" x14ac:dyDescent="0.3">
      <c r="A8499" t="s">
        <v>5</v>
      </c>
      <c r="B8499" s="1">
        <v>46012</v>
      </c>
      <c r="C8499">
        <v>2</v>
      </c>
      <c r="D8499">
        <v>6.7000000000000004E-2</v>
      </c>
      <c r="E8499" t="s">
        <v>6</v>
      </c>
      <c r="F8499">
        <v>0.10551000000000001</v>
      </c>
    </row>
    <row r="8500" spans="1:6" x14ac:dyDescent="0.3">
      <c r="A8500" t="s">
        <v>5</v>
      </c>
      <c r="B8500" s="1">
        <v>46012</v>
      </c>
      <c r="C8500">
        <v>3</v>
      </c>
      <c r="D8500">
        <v>6.9000000000000006E-2</v>
      </c>
      <c r="E8500" t="s">
        <v>6</v>
      </c>
      <c r="F8500">
        <v>0.1021</v>
      </c>
    </row>
    <row r="8501" spans="1:6" x14ac:dyDescent="0.3">
      <c r="A8501" t="s">
        <v>5</v>
      </c>
      <c r="B8501" s="1">
        <v>46012</v>
      </c>
      <c r="C8501">
        <v>4</v>
      </c>
      <c r="D8501">
        <v>5.7000000000000002E-2</v>
      </c>
      <c r="E8501" t="s">
        <v>6</v>
      </c>
      <c r="F8501">
        <v>9.7349999999999992E-2</v>
      </c>
    </row>
    <row r="8502" spans="1:6" x14ac:dyDescent="0.3">
      <c r="A8502" t="s">
        <v>5</v>
      </c>
      <c r="B8502" s="1">
        <v>46012</v>
      </c>
      <c r="C8502">
        <v>5</v>
      </c>
      <c r="D8502">
        <v>7.0999999999999994E-2</v>
      </c>
      <c r="E8502" t="s">
        <v>6</v>
      </c>
      <c r="F8502">
        <v>9.3650000000000011E-2</v>
      </c>
    </row>
    <row r="8503" spans="1:6" x14ac:dyDescent="0.3">
      <c r="A8503" t="s">
        <v>5</v>
      </c>
      <c r="B8503" s="1">
        <v>46012</v>
      </c>
      <c r="C8503">
        <v>6</v>
      </c>
      <c r="D8503">
        <v>5.8000000000000003E-2</v>
      </c>
      <c r="E8503" t="s">
        <v>6</v>
      </c>
      <c r="F8503">
        <v>9.2659999999999992E-2</v>
      </c>
    </row>
    <row r="8504" spans="1:6" x14ac:dyDescent="0.3">
      <c r="A8504" t="s">
        <v>5</v>
      </c>
      <c r="B8504" s="1">
        <v>46012</v>
      </c>
      <c r="C8504">
        <v>7</v>
      </c>
      <c r="D8504">
        <v>6.3E-2</v>
      </c>
      <c r="E8504" t="s">
        <v>6</v>
      </c>
      <c r="F8504">
        <v>9.9459999999999993E-2</v>
      </c>
    </row>
    <row r="8505" spans="1:6" x14ac:dyDescent="0.3">
      <c r="A8505" t="s">
        <v>5</v>
      </c>
      <c r="B8505" s="1">
        <v>46012</v>
      </c>
      <c r="C8505">
        <v>8</v>
      </c>
      <c r="D8505">
        <v>6.6000000000000003E-2</v>
      </c>
      <c r="E8505" t="s">
        <v>6</v>
      </c>
      <c r="F8505">
        <v>0.10593999999999999</v>
      </c>
    </row>
    <row r="8506" spans="1:6" x14ac:dyDescent="0.3">
      <c r="A8506" t="s">
        <v>5</v>
      </c>
      <c r="B8506" s="1">
        <v>46012</v>
      </c>
      <c r="C8506">
        <v>9</v>
      </c>
      <c r="D8506">
        <v>5.8000000000000003E-2</v>
      </c>
      <c r="E8506" t="s">
        <v>6</v>
      </c>
      <c r="F8506">
        <v>0.11887</v>
      </c>
    </row>
    <row r="8507" spans="1:6" x14ac:dyDescent="0.3">
      <c r="A8507" t="s">
        <v>5</v>
      </c>
      <c r="B8507" s="1">
        <v>46012</v>
      </c>
      <c r="C8507">
        <v>10</v>
      </c>
      <c r="D8507">
        <v>6.9000000000000006E-2</v>
      </c>
      <c r="E8507" t="s">
        <v>6</v>
      </c>
      <c r="F8507">
        <v>0.11229</v>
      </c>
    </row>
    <row r="8508" spans="1:6" x14ac:dyDescent="0.3">
      <c r="A8508" t="s">
        <v>5</v>
      </c>
      <c r="B8508" s="1">
        <v>46012</v>
      </c>
      <c r="C8508">
        <v>11</v>
      </c>
      <c r="D8508">
        <v>6.0999999999999999E-2</v>
      </c>
      <c r="E8508" t="s">
        <v>6</v>
      </c>
      <c r="F8508">
        <v>0.10732</v>
      </c>
    </row>
    <row r="8509" spans="1:6" x14ac:dyDescent="0.3">
      <c r="A8509" t="s">
        <v>5</v>
      </c>
      <c r="B8509" s="1">
        <v>46012</v>
      </c>
      <c r="C8509">
        <v>12</v>
      </c>
      <c r="D8509">
        <v>5.3999999999999999E-2</v>
      </c>
      <c r="E8509" t="s">
        <v>6</v>
      </c>
      <c r="F8509">
        <v>0.10565000000000001</v>
      </c>
    </row>
    <row r="8510" spans="1:6" x14ac:dyDescent="0.3">
      <c r="A8510" t="s">
        <v>5</v>
      </c>
      <c r="B8510" s="1">
        <v>46012</v>
      </c>
      <c r="C8510">
        <v>13</v>
      </c>
      <c r="D8510">
        <v>6.9000000000000006E-2</v>
      </c>
      <c r="E8510" t="s">
        <v>6</v>
      </c>
      <c r="F8510">
        <v>0.10890000000000001</v>
      </c>
    </row>
    <row r="8511" spans="1:6" x14ac:dyDescent="0.3">
      <c r="A8511" t="s">
        <v>5</v>
      </c>
      <c r="B8511" s="1">
        <v>46012</v>
      </c>
      <c r="C8511">
        <v>14</v>
      </c>
      <c r="D8511">
        <v>6.0999999999999999E-2</v>
      </c>
      <c r="E8511" t="s">
        <v>6</v>
      </c>
      <c r="F8511">
        <v>0.10281999999999999</v>
      </c>
    </row>
    <row r="8512" spans="1:6" x14ac:dyDescent="0.3">
      <c r="A8512" t="s">
        <v>5</v>
      </c>
      <c r="B8512" s="1">
        <v>46012</v>
      </c>
      <c r="C8512">
        <v>15</v>
      </c>
      <c r="D8512">
        <v>6.5000000000000002E-2</v>
      </c>
      <c r="E8512" t="s">
        <v>6</v>
      </c>
      <c r="F8512">
        <v>0.10105</v>
      </c>
    </row>
    <row r="8513" spans="1:6" x14ac:dyDescent="0.3">
      <c r="A8513" t="s">
        <v>5</v>
      </c>
      <c r="B8513" s="1">
        <v>46012</v>
      </c>
      <c r="C8513">
        <v>16</v>
      </c>
      <c r="D8513">
        <v>6.7000000000000004E-2</v>
      </c>
      <c r="E8513" t="s">
        <v>6</v>
      </c>
      <c r="F8513">
        <v>0.10651000000000001</v>
      </c>
    </row>
    <row r="8514" spans="1:6" x14ac:dyDescent="0.3">
      <c r="A8514" t="s">
        <v>5</v>
      </c>
      <c r="B8514" s="1">
        <v>46012</v>
      </c>
      <c r="C8514">
        <v>17</v>
      </c>
      <c r="D8514">
        <v>4.8000000000000001E-2</v>
      </c>
      <c r="E8514" t="s">
        <v>6</v>
      </c>
      <c r="F8514">
        <v>0.11172</v>
      </c>
    </row>
    <row r="8515" spans="1:6" x14ac:dyDescent="0.3">
      <c r="A8515" t="s">
        <v>5</v>
      </c>
      <c r="B8515" s="1">
        <v>46012</v>
      </c>
      <c r="C8515">
        <v>18</v>
      </c>
      <c r="D8515">
        <v>7.0000000000000007E-2</v>
      </c>
      <c r="E8515" t="s">
        <v>6</v>
      </c>
      <c r="F8515">
        <v>0.11679</v>
      </c>
    </row>
    <row r="8516" spans="1:6" x14ac:dyDescent="0.3">
      <c r="A8516" t="s">
        <v>5</v>
      </c>
      <c r="B8516" s="1">
        <v>46012</v>
      </c>
      <c r="C8516">
        <v>19</v>
      </c>
      <c r="D8516">
        <v>6.6000000000000003E-2</v>
      </c>
      <c r="E8516" t="s">
        <v>6</v>
      </c>
      <c r="F8516">
        <v>0.12476000000000001</v>
      </c>
    </row>
    <row r="8517" spans="1:6" x14ac:dyDescent="0.3">
      <c r="A8517" t="s">
        <v>5</v>
      </c>
      <c r="B8517" s="1">
        <v>46012</v>
      </c>
      <c r="C8517">
        <v>20</v>
      </c>
      <c r="D8517">
        <v>8.3000000000000004E-2</v>
      </c>
      <c r="E8517" t="s">
        <v>6</v>
      </c>
      <c r="F8517">
        <v>0.13272999999999999</v>
      </c>
    </row>
    <row r="8518" spans="1:6" x14ac:dyDescent="0.3">
      <c r="A8518" t="s">
        <v>5</v>
      </c>
      <c r="B8518" s="1">
        <v>46012</v>
      </c>
      <c r="C8518">
        <v>21</v>
      </c>
      <c r="D8518">
        <v>0.104</v>
      </c>
      <c r="E8518" t="s">
        <v>6</v>
      </c>
      <c r="F8518">
        <v>0.13125999999999999</v>
      </c>
    </row>
    <row r="8519" spans="1:6" x14ac:dyDescent="0.3">
      <c r="A8519" t="s">
        <v>5</v>
      </c>
      <c r="B8519" s="1">
        <v>46012</v>
      </c>
      <c r="C8519">
        <v>22</v>
      </c>
      <c r="D8519">
        <v>0.189</v>
      </c>
      <c r="E8519" t="s">
        <v>6</v>
      </c>
      <c r="F8519">
        <v>0.11906</v>
      </c>
    </row>
    <row r="8520" spans="1:6" x14ac:dyDescent="0.3">
      <c r="A8520" t="s">
        <v>5</v>
      </c>
      <c r="B8520" s="1">
        <v>46012</v>
      </c>
      <c r="C8520">
        <v>23</v>
      </c>
      <c r="D8520">
        <v>0.12</v>
      </c>
      <c r="E8520" t="s">
        <v>6</v>
      </c>
      <c r="F8520">
        <v>0.11667</v>
      </c>
    </row>
    <row r="8521" spans="1:6" x14ac:dyDescent="0.3">
      <c r="A8521" t="s">
        <v>5</v>
      </c>
      <c r="B8521" s="1">
        <v>46012</v>
      </c>
      <c r="C8521">
        <v>24</v>
      </c>
      <c r="D8521">
        <v>0.125</v>
      </c>
      <c r="E8521" t="s">
        <v>6</v>
      </c>
      <c r="F8521">
        <v>0.11131999999999999</v>
      </c>
    </row>
    <row r="8522" spans="1:6" x14ac:dyDescent="0.3">
      <c r="A8522" t="s">
        <v>5</v>
      </c>
      <c r="B8522" s="1">
        <v>46013</v>
      </c>
      <c r="C8522">
        <v>1</v>
      </c>
      <c r="D8522">
        <v>0.16700000000000001</v>
      </c>
      <c r="E8522" t="s">
        <v>6</v>
      </c>
      <c r="F8522">
        <v>0.10059</v>
      </c>
    </row>
    <row r="8523" spans="1:6" x14ac:dyDescent="0.3">
      <c r="A8523" t="s">
        <v>5</v>
      </c>
      <c r="B8523" s="1">
        <v>46013</v>
      </c>
      <c r="C8523">
        <v>2</v>
      </c>
      <c r="D8523">
        <v>7.0999999999999994E-2</v>
      </c>
      <c r="E8523" t="s">
        <v>6</v>
      </c>
      <c r="F8523">
        <v>9.2030000000000001E-2</v>
      </c>
    </row>
    <row r="8524" spans="1:6" x14ac:dyDescent="0.3">
      <c r="A8524" t="s">
        <v>5</v>
      </c>
      <c r="B8524" s="1">
        <v>46013</v>
      </c>
      <c r="C8524">
        <v>3</v>
      </c>
      <c r="D8524">
        <v>6.9000000000000006E-2</v>
      </c>
      <c r="E8524" t="s">
        <v>6</v>
      </c>
      <c r="F8524">
        <v>9.0499999999999997E-2</v>
      </c>
    </row>
    <row r="8525" spans="1:6" x14ac:dyDescent="0.3">
      <c r="A8525" t="s">
        <v>5</v>
      </c>
      <c r="B8525" s="1">
        <v>46013</v>
      </c>
      <c r="C8525">
        <v>4</v>
      </c>
      <c r="D8525">
        <v>7.0999999999999994E-2</v>
      </c>
      <c r="E8525" t="s">
        <v>6</v>
      </c>
      <c r="F8525">
        <v>8.4169999999999995E-2</v>
      </c>
    </row>
    <row r="8526" spans="1:6" x14ac:dyDescent="0.3">
      <c r="A8526" t="s">
        <v>5</v>
      </c>
      <c r="B8526" s="1">
        <v>46013</v>
      </c>
      <c r="C8526">
        <v>5</v>
      </c>
      <c r="D8526">
        <v>5.5E-2</v>
      </c>
      <c r="E8526" t="s">
        <v>6</v>
      </c>
      <c r="F8526">
        <v>6.9800000000000001E-2</v>
      </c>
    </row>
    <row r="8527" spans="1:6" x14ac:dyDescent="0.3">
      <c r="A8527" t="s">
        <v>5</v>
      </c>
      <c r="B8527" s="1">
        <v>46013</v>
      </c>
      <c r="C8527">
        <v>6</v>
      </c>
      <c r="D8527">
        <v>7.0999999999999994E-2</v>
      </c>
      <c r="E8527" t="s">
        <v>6</v>
      </c>
      <c r="F8527">
        <v>7.9959999999999989E-2</v>
      </c>
    </row>
    <row r="8528" spans="1:6" x14ac:dyDescent="0.3">
      <c r="A8528" t="s">
        <v>5</v>
      </c>
      <c r="B8528" s="1">
        <v>46013</v>
      </c>
      <c r="C8528">
        <v>7</v>
      </c>
      <c r="D8528">
        <v>5.2999999999999999E-2</v>
      </c>
      <c r="E8528" t="s">
        <v>6</v>
      </c>
      <c r="F8528">
        <v>0.10687000000000001</v>
      </c>
    </row>
    <row r="8529" spans="1:6" x14ac:dyDescent="0.3">
      <c r="A8529" t="s">
        <v>5</v>
      </c>
      <c r="B8529" s="1">
        <v>46013</v>
      </c>
      <c r="C8529">
        <v>8</v>
      </c>
      <c r="D8529">
        <v>6.9000000000000006E-2</v>
      </c>
      <c r="E8529" t="s">
        <v>6</v>
      </c>
      <c r="F8529">
        <v>0.12128</v>
      </c>
    </row>
    <row r="8530" spans="1:6" x14ac:dyDescent="0.3">
      <c r="A8530" t="s">
        <v>5</v>
      </c>
      <c r="B8530" s="1">
        <v>46013</v>
      </c>
      <c r="C8530">
        <v>9</v>
      </c>
      <c r="D8530">
        <v>7.0000000000000007E-2</v>
      </c>
      <c r="E8530" t="s">
        <v>6</v>
      </c>
      <c r="F8530">
        <v>0.16483</v>
      </c>
    </row>
    <row r="8531" spans="1:6" x14ac:dyDescent="0.3">
      <c r="A8531" t="s">
        <v>5</v>
      </c>
      <c r="B8531" s="1">
        <v>46013</v>
      </c>
      <c r="C8531">
        <v>10</v>
      </c>
      <c r="D8531">
        <v>5.8000000000000003E-2</v>
      </c>
      <c r="E8531" t="s">
        <v>6</v>
      </c>
      <c r="F8531">
        <v>0.16450999999999999</v>
      </c>
    </row>
    <row r="8532" spans="1:6" x14ac:dyDescent="0.3">
      <c r="A8532" t="s">
        <v>5</v>
      </c>
      <c r="B8532" s="1">
        <v>46013</v>
      </c>
      <c r="C8532">
        <v>11</v>
      </c>
      <c r="D8532">
        <v>6.8000000000000005E-2</v>
      </c>
      <c r="E8532" t="s">
        <v>6</v>
      </c>
      <c r="F8532">
        <v>0.21699000000000002</v>
      </c>
    </row>
    <row r="8533" spans="1:6" x14ac:dyDescent="0.3">
      <c r="A8533" t="s">
        <v>5</v>
      </c>
      <c r="B8533" s="1">
        <v>46013</v>
      </c>
      <c r="C8533">
        <v>12</v>
      </c>
      <c r="D8533">
        <v>5.1999999999999998E-2</v>
      </c>
      <c r="E8533" t="s">
        <v>6</v>
      </c>
      <c r="F8533">
        <v>0.20180000000000001</v>
      </c>
    </row>
    <row r="8534" spans="1:6" x14ac:dyDescent="0.3">
      <c r="A8534" t="s">
        <v>5</v>
      </c>
      <c r="B8534" s="1">
        <v>46013</v>
      </c>
      <c r="C8534">
        <v>13</v>
      </c>
      <c r="D8534">
        <v>6.9000000000000006E-2</v>
      </c>
      <c r="E8534" t="s">
        <v>6</v>
      </c>
      <c r="F8534">
        <v>0.19511000000000001</v>
      </c>
    </row>
    <row r="8535" spans="1:6" x14ac:dyDescent="0.3">
      <c r="A8535" t="s">
        <v>5</v>
      </c>
      <c r="B8535" s="1">
        <v>46013</v>
      </c>
      <c r="C8535">
        <v>14</v>
      </c>
      <c r="D8535">
        <v>0.23300000000000001</v>
      </c>
      <c r="E8535" t="s">
        <v>6</v>
      </c>
      <c r="F8535">
        <v>0.18540999999999999</v>
      </c>
    </row>
    <row r="8536" spans="1:6" x14ac:dyDescent="0.3">
      <c r="A8536" t="s">
        <v>5</v>
      </c>
      <c r="B8536" s="1">
        <v>46013</v>
      </c>
      <c r="C8536">
        <v>15</v>
      </c>
      <c r="D8536">
        <v>7.0999999999999994E-2</v>
      </c>
      <c r="E8536" t="s">
        <v>6</v>
      </c>
      <c r="F8536">
        <v>0.12275</v>
      </c>
    </row>
    <row r="8537" spans="1:6" x14ac:dyDescent="0.3">
      <c r="A8537" t="s">
        <v>5</v>
      </c>
      <c r="B8537" s="1">
        <v>46013</v>
      </c>
      <c r="C8537">
        <v>16</v>
      </c>
      <c r="D8537">
        <v>7.6999999999999999E-2</v>
      </c>
      <c r="E8537" t="s">
        <v>6</v>
      </c>
      <c r="F8537">
        <v>0.13353000000000001</v>
      </c>
    </row>
    <row r="8538" spans="1:6" x14ac:dyDescent="0.3">
      <c r="A8538" t="s">
        <v>5</v>
      </c>
      <c r="B8538" s="1">
        <v>46013</v>
      </c>
      <c r="C8538">
        <v>17</v>
      </c>
      <c r="D8538">
        <v>7.9000000000000001E-2</v>
      </c>
      <c r="E8538" t="s">
        <v>6</v>
      </c>
      <c r="F8538">
        <v>0.15262000000000001</v>
      </c>
    </row>
    <row r="8539" spans="1:6" x14ac:dyDescent="0.3">
      <c r="A8539" t="s">
        <v>5</v>
      </c>
      <c r="B8539" s="1">
        <v>46013</v>
      </c>
      <c r="C8539">
        <v>18</v>
      </c>
      <c r="D8539">
        <v>0.13500000000000001</v>
      </c>
      <c r="E8539" t="s">
        <v>6</v>
      </c>
      <c r="F8539">
        <v>0.17165</v>
      </c>
    </row>
    <row r="8540" spans="1:6" x14ac:dyDescent="0.3">
      <c r="A8540" t="s">
        <v>5</v>
      </c>
      <c r="B8540" s="1">
        <v>46013</v>
      </c>
      <c r="C8540">
        <v>19</v>
      </c>
      <c r="D8540">
        <v>0.215</v>
      </c>
      <c r="E8540" t="s">
        <v>6</v>
      </c>
      <c r="F8540">
        <v>0.24675</v>
      </c>
    </row>
    <row r="8541" spans="1:6" x14ac:dyDescent="0.3">
      <c r="A8541" t="s">
        <v>5</v>
      </c>
      <c r="B8541" s="1">
        <v>46013</v>
      </c>
      <c r="C8541">
        <v>20</v>
      </c>
      <c r="D8541">
        <v>0.19</v>
      </c>
      <c r="E8541" t="s">
        <v>6</v>
      </c>
      <c r="F8541">
        <v>0.24481</v>
      </c>
    </row>
    <row r="8542" spans="1:6" x14ac:dyDescent="0.3">
      <c r="A8542" t="s">
        <v>5</v>
      </c>
      <c r="B8542" s="1">
        <v>46013</v>
      </c>
      <c r="C8542">
        <v>21</v>
      </c>
      <c r="D8542">
        <v>0.129</v>
      </c>
      <c r="E8542" t="s">
        <v>6</v>
      </c>
      <c r="F8542">
        <v>0.23849999999999999</v>
      </c>
    </row>
    <row r="8543" spans="1:6" x14ac:dyDescent="0.3">
      <c r="A8543" t="s">
        <v>5</v>
      </c>
      <c r="B8543" s="1">
        <v>46013</v>
      </c>
      <c r="C8543">
        <v>22</v>
      </c>
      <c r="D8543">
        <v>0.32</v>
      </c>
      <c r="E8543" t="s">
        <v>6</v>
      </c>
      <c r="F8543">
        <v>0.22472</v>
      </c>
    </row>
    <row r="8544" spans="1:6" x14ac:dyDescent="0.3">
      <c r="A8544" t="s">
        <v>5</v>
      </c>
      <c r="B8544" s="1">
        <v>46013</v>
      </c>
      <c r="C8544">
        <v>23</v>
      </c>
      <c r="D8544">
        <v>0.13700000000000001</v>
      </c>
      <c r="E8544" t="s">
        <v>6</v>
      </c>
      <c r="F8544">
        <v>0.15674000000000002</v>
      </c>
    </row>
    <row r="8545" spans="1:6" x14ac:dyDescent="0.3">
      <c r="A8545" t="s">
        <v>5</v>
      </c>
      <c r="B8545" s="1">
        <v>46013</v>
      </c>
      <c r="C8545">
        <v>24</v>
      </c>
      <c r="D8545">
        <v>0.14799999999999999</v>
      </c>
      <c r="E8545" t="s">
        <v>6</v>
      </c>
      <c r="F8545">
        <v>0.14782000000000001</v>
      </c>
    </row>
    <row r="8546" spans="1:6" x14ac:dyDescent="0.3">
      <c r="A8546" t="s">
        <v>5</v>
      </c>
      <c r="B8546" s="1">
        <v>46014</v>
      </c>
      <c r="C8546">
        <v>1</v>
      </c>
      <c r="D8546">
        <v>0.10299999999999999</v>
      </c>
      <c r="E8546" t="s">
        <v>6</v>
      </c>
      <c r="F8546">
        <v>0.11231999999999999</v>
      </c>
    </row>
    <row r="8547" spans="1:6" x14ac:dyDescent="0.3">
      <c r="A8547" t="s">
        <v>5</v>
      </c>
      <c r="B8547" s="1">
        <v>46014</v>
      </c>
      <c r="C8547">
        <v>2</v>
      </c>
      <c r="D8547">
        <v>0.11700000000000001</v>
      </c>
      <c r="E8547" t="s">
        <v>6</v>
      </c>
      <c r="F8547">
        <v>0.1038</v>
      </c>
    </row>
    <row r="8548" spans="1:6" x14ac:dyDescent="0.3">
      <c r="A8548" t="s">
        <v>5</v>
      </c>
      <c r="B8548" s="1">
        <v>46014</v>
      </c>
      <c r="C8548">
        <v>3</v>
      </c>
      <c r="D8548">
        <v>6.9000000000000006E-2</v>
      </c>
      <c r="E8548" t="s">
        <v>6</v>
      </c>
      <c r="F8548">
        <v>0.10468999999999999</v>
      </c>
    </row>
    <row r="8549" spans="1:6" x14ac:dyDescent="0.3">
      <c r="A8549" t="s">
        <v>5</v>
      </c>
      <c r="B8549" s="1">
        <v>46014</v>
      </c>
      <c r="C8549">
        <v>4</v>
      </c>
      <c r="D8549">
        <v>6.2E-2</v>
      </c>
      <c r="E8549" t="s">
        <v>6</v>
      </c>
      <c r="F8549">
        <v>9.9519999999999997E-2</v>
      </c>
    </row>
    <row r="8550" spans="1:6" x14ac:dyDescent="0.3">
      <c r="A8550" t="s">
        <v>5</v>
      </c>
      <c r="B8550" s="1">
        <v>46014</v>
      </c>
      <c r="C8550">
        <v>5</v>
      </c>
      <c r="D8550">
        <v>5.5E-2</v>
      </c>
      <c r="E8550" t="s">
        <v>6</v>
      </c>
      <c r="F8550">
        <v>9.6250000000000002E-2</v>
      </c>
    </row>
    <row r="8551" spans="1:6" x14ac:dyDescent="0.3">
      <c r="A8551" t="s">
        <v>5</v>
      </c>
      <c r="B8551" s="1">
        <v>46014</v>
      </c>
      <c r="C8551">
        <v>6</v>
      </c>
      <c r="D8551">
        <v>6.8000000000000005E-2</v>
      </c>
      <c r="E8551" t="s">
        <v>6</v>
      </c>
      <c r="F8551">
        <v>0.10017</v>
      </c>
    </row>
    <row r="8552" spans="1:6" x14ac:dyDescent="0.3">
      <c r="A8552" t="s">
        <v>5</v>
      </c>
      <c r="B8552" s="1">
        <v>46014</v>
      </c>
      <c r="C8552">
        <v>7</v>
      </c>
      <c r="D8552">
        <v>5.5E-2</v>
      </c>
      <c r="E8552" t="s">
        <v>6</v>
      </c>
      <c r="F8552">
        <v>0.11193</v>
      </c>
    </row>
    <row r="8553" spans="1:6" x14ac:dyDescent="0.3">
      <c r="A8553" t="s">
        <v>5</v>
      </c>
      <c r="B8553" s="1">
        <v>46014</v>
      </c>
      <c r="C8553">
        <v>8</v>
      </c>
      <c r="D8553">
        <v>6.8000000000000005E-2</v>
      </c>
      <c r="E8553" t="s">
        <v>6</v>
      </c>
      <c r="F8553">
        <v>0.11788999999999999</v>
      </c>
    </row>
    <row r="8554" spans="1:6" x14ac:dyDescent="0.3">
      <c r="A8554" t="s">
        <v>5</v>
      </c>
      <c r="B8554" s="1">
        <v>46014</v>
      </c>
      <c r="C8554">
        <v>9</v>
      </c>
      <c r="D8554">
        <v>7.8E-2</v>
      </c>
      <c r="E8554" t="s">
        <v>6</v>
      </c>
      <c r="F8554">
        <v>0.1603</v>
      </c>
    </row>
    <row r="8555" spans="1:6" x14ac:dyDescent="0.3">
      <c r="A8555" t="s">
        <v>5</v>
      </c>
      <c r="B8555" s="1">
        <v>46014</v>
      </c>
      <c r="C8555">
        <v>10</v>
      </c>
      <c r="D8555">
        <v>0.126</v>
      </c>
      <c r="E8555" t="s">
        <v>6</v>
      </c>
      <c r="F8555">
        <v>0.16053000000000001</v>
      </c>
    </row>
    <row r="8556" spans="1:6" x14ac:dyDescent="0.3">
      <c r="A8556" t="s">
        <v>5</v>
      </c>
      <c r="B8556" s="1">
        <v>46014</v>
      </c>
      <c r="C8556">
        <v>11</v>
      </c>
      <c r="D8556">
        <v>0.17399999999999999</v>
      </c>
      <c r="E8556" t="s">
        <v>6</v>
      </c>
      <c r="F8556">
        <v>0.21681999999999998</v>
      </c>
    </row>
    <row r="8557" spans="1:6" x14ac:dyDescent="0.3">
      <c r="A8557" t="s">
        <v>5</v>
      </c>
      <c r="B8557" s="1">
        <v>46014</v>
      </c>
      <c r="C8557">
        <v>12</v>
      </c>
      <c r="D8557">
        <v>0.128</v>
      </c>
      <c r="E8557" t="s">
        <v>6</v>
      </c>
      <c r="F8557">
        <v>0.20908000000000002</v>
      </c>
    </row>
    <row r="8558" spans="1:6" x14ac:dyDescent="0.3">
      <c r="A8558" t="s">
        <v>5</v>
      </c>
      <c r="B8558" s="1">
        <v>46014</v>
      </c>
      <c r="C8558">
        <v>13</v>
      </c>
      <c r="D8558">
        <v>0.21</v>
      </c>
      <c r="E8558" t="s">
        <v>6</v>
      </c>
      <c r="F8558">
        <v>0.21018000000000001</v>
      </c>
    </row>
    <row r="8559" spans="1:6" x14ac:dyDescent="0.3">
      <c r="A8559" t="s">
        <v>5</v>
      </c>
      <c r="B8559" s="1">
        <v>46014</v>
      </c>
      <c r="C8559">
        <v>14</v>
      </c>
      <c r="D8559">
        <v>0.12</v>
      </c>
      <c r="E8559" t="s">
        <v>6</v>
      </c>
      <c r="F8559">
        <v>0.20449999999999999</v>
      </c>
    </row>
    <row r="8560" spans="1:6" x14ac:dyDescent="0.3">
      <c r="A8560" t="s">
        <v>5</v>
      </c>
      <c r="B8560" s="1">
        <v>46014</v>
      </c>
      <c r="C8560">
        <v>15</v>
      </c>
      <c r="D8560">
        <v>9.1999999999999998E-2</v>
      </c>
      <c r="E8560" t="s">
        <v>6</v>
      </c>
      <c r="F8560">
        <v>0.13888999999999999</v>
      </c>
    </row>
    <row r="8561" spans="1:6" x14ac:dyDescent="0.3">
      <c r="A8561" t="s">
        <v>5</v>
      </c>
      <c r="B8561" s="1">
        <v>46014</v>
      </c>
      <c r="C8561">
        <v>16</v>
      </c>
      <c r="D8561">
        <v>0.14899999999999999</v>
      </c>
      <c r="E8561" t="s">
        <v>6</v>
      </c>
      <c r="F8561">
        <v>0.14784999999999998</v>
      </c>
    </row>
    <row r="8562" spans="1:6" x14ac:dyDescent="0.3">
      <c r="A8562" t="s">
        <v>5</v>
      </c>
      <c r="B8562" s="1">
        <v>46014</v>
      </c>
      <c r="C8562">
        <v>17</v>
      </c>
      <c r="D8562">
        <v>0.1</v>
      </c>
      <c r="E8562" t="s">
        <v>6</v>
      </c>
      <c r="F8562">
        <v>0.15081</v>
      </c>
    </row>
    <row r="8563" spans="1:6" x14ac:dyDescent="0.3">
      <c r="A8563" t="s">
        <v>5</v>
      </c>
      <c r="B8563" s="1">
        <v>46014</v>
      </c>
      <c r="C8563">
        <v>18</v>
      </c>
      <c r="D8563">
        <v>5.3999999999999999E-2</v>
      </c>
      <c r="E8563" t="s">
        <v>6</v>
      </c>
      <c r="F8563">
        <v>0.15572</v>
      </c>
    </row>
    <row r="8564" spans="1:6" x14ac:dyDescent="0.3">
      <c r="A8564" t="s">
        <v>5</v>
      </c>
      <c r="B8564" s="1">
        <v>46014</v>
      </c>
      <c r="C8564">
        <v>19</v>
      </c>
      <c r="D8564">
        <v>6.7000000000000004E-2</v>
      </c>
      <c r="E8564" t="s">
        <v>6</v>
      </c>
      <c r="F8564">
        <v>0.22555</v>
      </c>
    </row>
    <row r="8565" spans="1:6" x14ac:dyDescent="0.3">
      <c r="A8565" t="s">
        <v>5</v>
      </c>
      <c r="B8565" s="1">
        <v>46014</v>
      </c>
      <c r="C8565">
        <v>20</v>
      </c>
      <c r="D8565">
        <v>7.6999999999999999E-2</v>
      </c>
      <c r="E8565" t="s">
        <v>6</v>
      </c>
      <c r="F8565">
        <v>0.22481999999999999</v>
      </c>
    </row>
    <row r="8566" spans="1:6" x14ac:dyDescent="0.3">
      <c r="A8566" t="s">
        <v>5</v>
      </c>
      <c r="B8566" s="1">
        <v>46014</v>
      </c>
      <c r="C8566">
        <v>21</v>
      </c>
      <c r="D8566">
        <v>0.111</v>
      </c>
      <c r="E8566" t="s">
        <v>6</v>
      </c>
      <c r="F8566">
        <v>0.22908000000000001</v>
      </c>
    </row>
    <row r="8567" spans="1:6" x14ac:dyDescent="0.3">
      <c r="A8567" t="s">
        <v>5</v>
      </c>
      <c r="B8567" s="1">
        <v>46014</v>
      </c>
      <c r="C8567">
        <v>22</v>
      </c>
      <c r="D8567">
        <v>0.21199999999999999</v>
      </c>
      <c r="E8567" t="s">
        <v>6</v>
      </c>
      <c r="F8567">
        <v>0.22788999999999998</v>
      </c>
    </row>
    <row r="8568" spans="1:6" x14ac:dyDescent="0.3">
      <c r="A8568" t="s">
        <v>5</v>
      </c>
      <c r="B8568" s="1">
        <v>46014</v>
      </c>
      <c r="C8568">
        <v>23</v>
      </c>
      <c r="D8568">
        <v>0.13</v>
      </c>
      <c r="E8568" t="s">
        <v>6</v>
      </c>
      <c r="F8568">
        <v>0.15605000000000002</v>
      </c>
    </row>
    <row r="8569" spans="1:6" x14ac:dyDescent="0.3">
      <c r="A8569" t="s">
        <v>5</v>
      </c>
      <c r="B8569" s="1">
        <v>46014</v>
      </c>
      <c r="C8569">
        <v>24</v>
      </c>
      <c r="D8569">
        <v>0.13200000000000001</v>
      </c>
      <c r="E8569" t="s">
        <v>6</v>
      </c>
      <c r="F8569">
        <v>0.13821</v>
      </c>
    </row>
    <row r="8570" spans="1:6" x14ac:dyDescent="0.3">
      <c r="A8570" t="s">
        <v>5</v>
      </c>
      <c r="B8570" s="1">
        <v>46015</v>
      </c>
      <c r="C8570">
        <v>1</v>
      </c>
      <c r="D8570">
        <v>7.0999999999999994E-2</v>
      </c>
      <c r="E8570" t="s">
        <v>6</v>
      </c>
      <c r="F8570">
        <v>0.12798999999999999</v>
      </c>
    </row>
    <row r="8571" spans="1:6" x14ac:dyDescent="0.3">
      <c r="A8571" t="s">
        <v>5</v>
      </c>
      <c r="B8571" s="1">
        <v>46015</v>
      </c>
      <c r="C8571">
        <v>2</v>
      </c>
      <c r="D8571">
        <v>6.8000000000000005E-2</v>
      </c>
      <c r="E8571" t="s">
        <v>6</v>
      </c>
      <c r="F8571">
        <v>0.10784000000000001</v>
      </c>
    </row>
    <row r="8572" spans="1:6" x14ac:dyDescent="0.3">
      <c r="A8572" t="s">
        <v>5</v>
      </c>
      <c r="B8572" s="1">
        <v>46015</v>
      </c>
      <c r="C8572">
        <v>3</v>
      </c>
      <c r="D8572">
        <v>5.8999999999999997E-2</v>
      </c>
      <c r="E8572" t="s">
        <v>6</v>
      </c>
      <c r="F8572">
        <v>9.1310000000000002E-2</v>
      </c>
    </row>
    <row r="8573" spans="1:6" x14ac:dyDescent="0.3">
      <c r="A8573" t="s">
        <v>5</v>
      </c>
      <c r="B8573" s="1">
        <v>46015</v>
      </c>
      <c r="C8573">
        <v>4</v>
      </c>
      <c r="D8573">
        <v>5.3999999999999999E-2</v>
      </c>
      <c r="E8573" t="s">
        <v>6</v>
      </c>
      <c r="F8573">
        <v>8.8200000000000001E-2</v>
      </c>
    </row>
    <row r="8574" spans="1:6" x14ac:dyDescent="0.3">
      <c r="A8574" t="s">
        <v>5</v>
      </c>
      <c r="B8574" s="1">
        <v>46015</v>
      </c>
      <c r="C8574">
        <v>5</v>
      </c>
      <c r="D8574">
        <v>6.8000000000000005E-2</v>
      </c>
      <c r="E8574" t="s">
        <v>6</v>
      </c>
      <c r="F8574">
        <v>8.3900000000000002E-2</v>
      </c>
    </row>
    <row r="8575" spans="1:6" x14ac:dyDescent="0.3">
      <c r="A8575" t="s">
        <v>5</v>
      </c>
      <c r="B8575" s="1">
        <v>46015</v>
      </c>
      <c r="C8575">
        <v>6</v>
      </c>
      <c r="D8575">
        <v>5.5E-2</v>
      </c>
      <c r="E8575" t="s">
        <v>6</v>
      </c>
      <c r="F8575">
        <v>8.1939999999999999E-2</v>
      </c>
    </row>
    <row r="8576" spans="1:6" x14ac:dyDescent="0.3">
      <c r="A8576" t="s">
        <v>5</v>
      </c>
      <c r="B8576" s="1">
        <v>46015</v>
      </c>
      <c r="C8576">
        <v>7</v>
      </c>
      <c r="D8576">
        <v>6.7000000000000004E-2</v>
      </c>
      <c r="E8576" t="s">
        <v>6</v>
      </c>
      <c r="F8576">
        <v>8.2150000000000001E-2</v>
      </c>
    </row>
    <row r="8577" spans="1:6" x14ac:dyDescent="0.3">
      <c r="A8577" t="s">
        <v>5</v>
      </c>
      <c r="B8577" s="1">
        <v>46015</v>
      </c>
      <c r="C8577">
        <v>8</v>
      </c>
      <c r="D8577">
        <v>5.6000000000000001E-2</v>
      </c>
      <c r="E8577" t="s">
        <v>6</v>
      </c>
      <c r="F8577">
        <v>8.7969999999999993E-2</v>
      </c>
    </row>
    <row r="8578" spans="1:6" x14ac:dyDescent="0.3">
      <c r="A8578" t="s">
        <v>5</v>
      </c>
      <c r="B8578" s="1">
        <v>46015</v>
      </c>
      <c r="C8578">
        <v>9</v>
      </c>
      <c r="D8578">
        <v>9.4E-2</v>
      </c>
      <c r="E8578" t="s">
        <v>6</v>
      </c>
      <c r="F8578">
        <v>0.13869000000000001</v>
      </c>
    </row>
    <row r="8579" spans="1:6" x14ac:dyDescent="0.3">
      <c r="A8579" t="s">
        <v>5</v>
      </c>
      <c r="B8579" s="1">
        <v>46015</v>
      </c>
      <c r="C8579">
        <v>10</v>
      </c>
      <c r="D8579">
        <v>0.108</v>
      </c>
      <c r="E8579" t="s">
        <v>6</v>
      </c>
      <c r="F8579">
        <v>0.13084000000000001</v>
      </c>
    </row>
    <row r="8580" spans="1:6" x14ac:dyDescent="0.3">
      <c r="A8580" t="s">
        <v>5</v>
      </c>
      <c r="B8580" s="1">
        <v>46015</v>
      </c>
      <c r="C8580">
        <v>11</v>
      </c>
      <c r="D8580">
        <v>5.5E-2</v>
      </c>
      <c r="E8580" t="s">
        <v>6</v>
      </c>
      <c r="F8580">
        <v>0.17737999999999998</v>
      </c>
    </row>
    <row r="8581" spans="1:6" x14ac:dyDescent="0.3">
      <c r="A8581" t="s">
        <v>5</v>
      </c>
      <c r="B8581" s="1">
        <v>46015</v>
      </c>
      <c r="C8581">
        <v>12</v>
      </c>
      <c r="D8581">
        <v>6.8000000000000005E-2</v>
      </c>
      <c r="E8581" t="s">
        <v>6</v>
      </c>
      <c r="F8581">
        <v>0.16105</v>
      </c>
    </row>
    <row r="8582" spans="1:6" x14ac:dyDescent="0.3">
      <c r="A8582" t="s">
        <v>5</v>
      </c>
      <c r="B8582" s="1">
        <v>46015</v>
      </c>
      <c r="C8582">
        <v>13</v>
      </c>
      <c r="D8582">
        <v>7.0999999999999994E-2</v>
      </c>
      <c r="E8582" t="s">
        <v>6</v>
      </c>
      <c r="F8582">
        <v>0.15272999999999998</v>
      </c>
    </row>
    <row r="8583" spans="1:6" x14ac:dyDescent="0.3">
      <c r="A8583" t="s">
        <v>5</v>
      </c>
      <c r="B8583" s="1">
        <v>46015</v>
      </c>
      <c r="C8583">
        <v>14</v>
      </c>
      <c r="D8583">
        <v>7.1999999999999995E-2</v>
      </c>
      <c r="E8583" t="s">
        <v>6</v>
      </c>
      <c r="F8583">
        <v>0.14899000000000001</v>
      </c>
    </row>
    <row r="8584" spans="1:6" x14ac:dyDescent="0.3">
      <c r="A8584" t="s">
        <v>5</v>
      </c>
      <c r="B8584" s="1">
        <v>46015</v>
      </c>
      <c r="C8584">
        <v>15</v>
      </c>
      <c r="D8584">
        <v>6.7000000000000004E-2</v>
      </c>
      <c r="E8584" t="s">
        <v>6</v>
      </c>
      <c r="F8584">
        <v>8.4989999999999996E-2</v>
      </c>
    </row>
    <row r="8585" spans="1:6" x14ac:dyDescent="0.3">
      <c r="A8585" t="s">
        <v>5</v>
      </c>
      <c r="B8585" s="1">
        <v>46015</v>
      </c>
      <c r="C8585">
        <v>16</v>
      </c>
      <c r="D8585">
        <v>5.5E-2</v>
      </c>
      <c r="E8585" t="s">
        <v>6</v>
      </c>
      <c r="F8585">
        <v>9.3939999999999996E-2</v>
      </c>
    </row>
    <row r="8586" spans="1:6" x14ac:dyDescent="0.3">
      <c r="A8586" t="s">
        <v>5</v>
      </c>
      <c r="B8586" s="1">
        <v>46015</v>
      </c>
      <c r="C8586">
        <v>17</v>
      </c>
      <c r="D8586">
        <v>6.7000000000000004E-2</v>
      </c>
      <c r="E8586" t="s">
        <v>6</v>
      </c>
      <c r="F8586">
        <v>0.11001999999999999</v>
      </c>
    </row>
    <row r="8587" spans="1:6" x14ac:dyDescent="0.3">
      <c r="A8587" t="s">
        <v>5</v>
      </c>
      <c r="B8587" s="1">
        <v>46015</v>
      </c>
      <c r="C8587">
        <v>18</v>
      </c>
      <c r="D8587">
        <v>4.4999999999999998E-2</v>
      </c>
      <c r="E8587" t="s">
        <v>6</v>
      </c>
      <c r="F8587">
        <v>0.1293</v>
      </c>
    </row>
    <row r="8588" spans="1:6" x14ac:dyDescent="0.3">
      <c r="A8588" t="s">
        <v>5</v>
      </c>
      <c r="B8588" s="1">
        <v>46015</v>
      </c>
      <c r="C8588">
        <v>19</v>
      </c>
      <c r="D8588">
        <v>6.8000000000000005E-2</v>
      </c>
      <c r="E8588" t="s">
        <v>6</v>
      </c>
      <c r="F8588">
        <v>0.21240999999999999</v>
      </c>
    </row>
    <row r="8589" spans="1:6" x14ac:dyDescent="0.3">
      <c r="A8589" t="s">
        <v>5</v>
      </c>
      <c r="B8589" s="1">
        <v>46015</v>
      </c>
      <c r="C8589">
        <v>20</v>
      </c>
      <c r="D8589">
        <v>6.2E-2</v>
      </c>
      <c r="E8589" t="s">
        <v>6</v>
      </c>
      <c r="F8589">
        <v>0.20877000000000001</v>
      </c>
    </row>
    <row r="8590" spans="1:6" x14ac:dyDescent="0.3">
      <c r="A8590" t="s">
        <v>5</v>
      </c>
      <c r="B8590" s="1">
        <v>46015</v>
      </c>
      <c r="C8590">
        <v>21</v>
      </c>
      <c r="D8590">
        <v>5.8999999999999997E-2</v>
      </c>
      <c r="E8590" t="s">
        <v>6</v>
      </c>
      <c r="F8590">
        <v>0.20277999999999999</v>
      </c>
    </row>
    <row r="8591" spans="1:6" x14ac:dyDescent="0.3">
      <c r="A8591" t="s">
        <v>5</v>
      </c>
      <c r="B8591" s="1">
        <v>46015</v>
      </c>
      <c r="C8591">
        <v>22</v>
      </c>
      <c r="D8591">
        <v>6.4000000000000001E-2</v>
      </c>
      <c r="E8591" t="s">
        <v>6</v>
      </c>
      <c r="F8591">
        <v>0.19449</v>
      </c>
    </row>
    <row r="8592" spans="1:6" x14ac:dyDescent="0.3">
      <c r="A8592" t="s">
        <v>5</v>
      </c>
      <c r="B8592" s="1">
        <v>46015</v>
      </c>
      <c r="C8592">
        <v>23</v>
      </c>
      <c r="D8592">
        <v>4.9000000000000002E-2</v>
      </c>
      <c r="E8592" t="s">
        <v>6</v>
      </c>
      <c r="F8592">
        <v>0.11604</v>
      </c>
    </row>
    <row r="8593" spans="1:6" x14ac:dyDescent="0.3">
      <c r="A8593" t="s">
        <v>5</v>
      </c>
      <c r="B8593" s="1">
        <v>46015</v>
      </c>
      <c r="C8593">
        <v>24</v>
      </c>
      <c r="D8593">
        <v>6.7000000000000004E-2</v>
      </c>
      <c r="E8593" t="s">
        <v>6</v>
      </c>
      <c r="F8593">
        <v>0.11006000000000001</v>
      </c>
    </row>
    <row r="8594" spans="1:6" x14ac:dyDescent="0.3">
      <c r="A8594" t="s">
        <v>5</v>
      </c>
      <c r="B8594" s="1">
        <v>46016</v>
      </c>
      <c r="C8594">
        <v>1</v>
      </c>
      <c r="D8594">
        <v>5.5E-2</v>
      </c>
      <c r="E8594" t="s">
        <v>6</v>
      </c>
      <c r="F8594">
        <v>9.2909999999999993E-2</v>
      </c>
    </row>
    <row r="8595" spans="1:6" x14ac:dyDescent="0.3">
      <c r="A8595" t="s">
        <v>5</v>
      </c>
      <c r="B8595" s="1">
        <v>46016</v>
      </c>
      <c r="C8595">
        <v>2</v>
      </c>
      <c r="D8595">
        <v>6.7000000000000004E-2</v>
      </c>
      <c r="E8595" t="s">
        <v>6</v>
      </c>
      <c r="F8595">
        <v>9.1359999999999997E-2</v>
      </c>
    </row>
    <row r="8596" spans="1:6" x14ac:dyDescent="0.3">
      <c r="A8596" t="s">
        <v>5</v>
      </c>
      <c r="B8596" s="1">
        <v>46016</v>
      </c>
      <c r="C8596">
        <v>3</v>
      </c>
      <c r="D8596">
        <v>5.7000000000000002E-2</v>
      </c>
      <c r="E8596" t="s">
        <v>6</v>
      </c>
      <c r="F8596">
        <v>8.7410000000000002E-2</v>
      </c>
    </row>
    <row r="8597" spans="1:6" x14ac:dyDescent="0.3">
      <c r="A8597" t="s">
        <v>5</v>
      </c>
      <c r="B8597" s="1">
        <v>46016</v>
      </c>
      <c r="C8597">
        <v>4</v>
      </c>
      <c r="D8597">
        <v>5.7000000000000002E-2</v>
      </c>
      <c r="E8597" t="s">
        <v>6</v>
      </c>
      <c r="F8597">
        <v>7.7480000000000007E-2</v>
      </c>
    </row>
    <row r="8598" spans="1:6" x14ac:dyDescent="0.3">
      <c r="A8598" t="s">
        <v>5</v>
      </c>
      <c r="B8598" s="1">
        <v>46016</v>
      </c>
      <c r="C8598">
        <v>5</v>
      </c>
      <c r="D8598">
        <v>6.7000000000000004E-2</v>
      </c>
      <c r="E8598" t="s">
        <v>6</v>
      </c>
      <c r="F8598">
        <v>7.3650000000000007E-2</v>
      </c>
    </row>
    <row r="8599" spans="1:6" x14ac:dyDescent="0.3">
      <c r="A8599" t="s">
        <v>5</v>
      </c>
      <c r="B8599" s="1">
        <v>46016</v>
      </c>
      <c r="C8599">
        <v>6</v>
      </c>
      <c r="D8599">
        <v>5.5E-2</v>
      </c>
      <c r="E8599" t="s">
        <v>6</v>
      </c>
      <c r="F8599">
        <v>8.095999999999999E-2</v>
      </c>
    </row>
    <row r="8600" spans="1:6" x14ac:dyDescent="0.3">
      <c r="A8600" t="s">
        <v>5</v>
      </c>
      <c r="B8600" s="1">
        <v>46016</v>
      </c>
      <c r="C8600">
        <v>7</v>
      </c>
      <c r="D8600">
        <v>6.7000000000000004E-2</v>
      </c>
      <c r="E8600" t="s">
        <v>6</v>
      </c>
      <c r="F8600">
        <v>8.7849999999999998E-2</v>
      </c>
    </row>
    <row r="8601" spans="1:6" x14ac:dyDescent="0.3">
      <c r="A8601" t="s">
        <v>5</v>
      </c>
      <c r="B8601" s="1">
        <v>46016</v>
      </c>
      <c r="C8601">
        <v>8</v>
      </c>
      <c r="D8601">
        <v>4.7E-2</v>
      </c>
      <c r="E8601" t="s">
        <v>6</v>
      </c>
      <c r="F8601">
        <v>0.10298</v>
      </c>
    </row>
    <row r="8602" spans="1:6" x14ac:dyDescent="0.3">
      <c r="A8602" t="s">
        <v>5</v>
      </c>
      <c r="B8602" s="1">
        <v>46016</v>
      </c>
      <c r="C8602">
        <v>9</v>
      </c>
      <c r="D8602">
        <v>6.5000000000000002E-2</v>
      </c>
      <c r="E8602" t="s">
        <v>6</v>
      </c>
      <c r="F8602">
        <v>0.11143</v>
      </c>
    </row>
    <row r="8603" spans="1:6" x14ac:dyDescent="0.3">
      <c r="A8603" t="s">
        <v>5</v>
      </c>
      <c r="B8603" s="1">
        <v>46016</v>
      </c>
      <c r="C8603">
        <v>10</v>
      </c>
      <c r="D8603">
        <v>6.0999999999999999E-2</v>
      </c>
      <c r="E8603" t="s">
        <v>6</v>
      </c>
      <c r="F8603">
        <v>0.10273</v>
      </c>
    </row>
    <row r="8604" spans="1:6" x14ac:dyDescent="0.3">
      <c r="A8604" t="s">
        <v>5</v>
      </c>
      <c r="B8604" s="1">
        <v>46016</v>
      </c>
      <c r="C8604">
        <v>11</v>
      </c>
      <c r="D8604">
        <v>5.8999999999999997E-2</v>
      </c>
      <c r="E8604" t="s">
        <v>6</v>
      </c>
      <c r="F8604">
        <v>8.6389999999999995E-2</v>
      </c>
    </row>
    <row r="8605" spans="1:6" x14ac:dyDescent="0.3">
      <c r="A8605" t="s">
        <v>5</v>
      </c>
      <c r="B8605" s="1">
        <v>46016</v>
      </c>
      <c r="C8605">
        <v>12</v>
      </c>
      <c r="D8605">
        <v>6.2E-2</v>
      </c>
      <c r="E8605" t="s">
        <v>6</v>
      </c>
      <c r="F8605">
        <v>7.4980000000000005E-2</v>
      </c>
    </row>
    <row r="8606" spans="1:6" x14ac:dyDescent="0.3">
      <c r="A8606" t="s">
        <v>5</v>
      </c>
      <c r="B8606" s="1">
        <v>46016</v>
      </c>
      <c r="C8606">
        <v>13</v>
      </c>
      <c r="D8606">
        <v>4.9000000000000002E-2</v>
      </c>
      <c r="E8606" t="s">
        <v>6</v>
      </c>
      <c r="F8606">
        <v>8.1890000000000004E-2</v>
      </c>
    </row>
    <row r="8607" spans="1:6" x14ac:dyDescent="0.3">
      <c r="A8607" t="s">
        <v>5</v>
      </c>
      <c r="B8607" s="1">
        <v>46016</v>
      </c>
      <c r="C8607">
        <v>14</v>
      </c>
      <c r="D8607">
        <v>6.6000000000000003E-2</v>
      </c>
      <c r="E8607" t="s">
        <v>6</v>
      </c>
      <c r="F8607">
        <v>8.0909999999999996E-2</v>
      </c>
    </row>
    <row r="8608" spans="1:6" x14ac:dyDescent="0.3">
      <c r="A8608" t="s">
        <v>5</v>
      </c>
      <c r="B8608" s="1">
        <v>46016</v>
      </c>
      <c r="C8608">
        <v>15</v>
      </c>
      <c r="D8608">
        <v>5.3999999999999999E-2</v>
      </c>
      <c r="E8608" t="s">
        <v>6</v>
      </c>
      <c r="F8608">
        <v>7.3790000000000008E-2</v>
      </c>
    </row>
    <row r="8609" spans="1:6" x14ac:dyDescent="0.3">
      <c r="A8609" t="s">
        <v>5</v>
      </c>
      <c r="B8609" s="1">
        <v>46016</v>
      </c>
      <c r="C8609">
        <v>16</v>
      </c>
      <c r="D8609">
        <v>6.7000000000000004E-2</v>
      </c>
      <c r="E8609" t="s">
        <v>6</v>
      </c>
      <c r="F8609">
        <v>9.0659999999999991E-2</v>
      </c>
    </row>
    <row r="8610" spans="1:6" x14ac:dyDescent="0.3">
      <c r="A8610" t="s">
        <v>5</v>
      </c>
      <c r="B8610" s="1">
        <v>46016</v>
      </c>
      <c r="C8610">
        <v>17</v>
      </c>
      <c r="D8610">
        <v>5.0999999999999997E-2</v>
      </c>
      <c r="E8610" t="s">
        <v>6</v>
      </c>
      <c r="F8610">
        <v>0.12178</v>
      </c>
    </row>
    <row r="8611" spans="1:6" x14ac:dyDescent="0.3">
      <c r="A8611" t="s">
        <v>5</v>
      </c>
      <c r="B8611" s="1">
        <v>46016</v>
      </c>
      <c r="C8611">
        <v>18</v>
      </c>
      <c r="D8611">
        <v>6.0999999999999999E-2</v>
      </c>
      <c r="E8611" t="s">
        <v>6</v>
      </c>
      <c r="F8611">
        <v>0.15249000000000001</v>
      </c>
    </row>
    <row r="8612" spans="1:6" x14ac:dyDescent="0.3">
      <c r="A8612" t="s">
        <v>5</v>
      </c>
      <c r="B8612" s="1">
        <v>46016</v>
      </c>
      <c r="C8612">
        <v>19</v>
      </c>
      <c r="D8612">
        <v>6.5000000000000002E-2</v>
      </c>
      <c r="E8612" t="s">
        <v>6</v>
      </c>
      <c r="F8612">
        <v>0.15556999999999999</v>
      </c>
    </row>
    <row r="8613" spans="1:6" x14ac:dyDescent="0.3">
      <c r="A8613" t="s">
        <v>5</v>
      </c>
      <c r="B8613" s="1">
        <v>46016</v>
      </c>
      <c r="C8613">
        <v>20</v>
      </c>
      <c r="D8613">
        <v>5.6000000000000001E-2</v>
      </c>
      <c r="E8613" t="s">
        <v>6</v>
      </c>
      <c r="F8613">
        <v>0.15777000000000002</v>
      </c>
    </row>
    <row r="8614" spans="1:6" x14ac:dyDescent="0.3">
      <c r="A8614" t="s">
        <v>5</v>
      </c>
      <c r="B8614" s="1">
        <v>46016</v>
      </c>
      <c r="C8614">
        <v>21</v>
      </c>
      <c r="D8614">
        <v>6.5000000000000002E-2</v>
      </c>
      <c r="E8614" t="s">
        <v>6</v>
      </c>
      <c r="F8614">
        <v>0.16159999999999999</v>
      </c>
    </row>
    <row r="8615" spans="1:6" x14ac:dyDescent="0.3">
      <c r="A8615" t="s">
        <v>5</v>
      </c>
      <c r="B8615" s="1">
        <v>46016</v>
      </c>
      <c r="C8615">
        <v>22</v>
      </c>
      <c r="D8615">
        <v>4.5999999999999999E-2</v>
      </c>
      <c r="E8615" t="s">
        <v>6</v>
      </c>
      <c r="F8615">
        <v>0.16256999999999999</v>
      </c>
    </row>
    <row r="8616" spans="1:6" x14ac:dyDescent="0.3">
      <c r="A8616" t="s">
        <v>5</v>
      </c>
      <c r="B8616" s="1">
        <v>46016</v>
      </c>
      <c r="C8616">
        <v>23</v>
      </c>
      <c r="D8616">
        <v>6.7000000000000004E-2</v>
      </c>
      <c r="E8616" t="s">
        <v>6</v>
      </c>
      <c r="F8616">
        <v>0.15240999999999999</v>
      </c>
    </row>
    <row r="8617" spans="1:6" x14ac:dyDescent="0.3">
      <c r="A8617" t="s">
        <v>5</v>
      </c>
      <c r="B8617" s="1">
        <v>46016</v>
      </c>
      <c r="C8617">
        <v>24</v>
      </c>
      <c r="D8617">
        <v>5.5E-2</v>
      </c>
      <c r="E8617" t="s">
        <v>6</v>
      </c>
      <c r="F8617">
        <v>0.15089</v>
      </c>
    </row>
    <row r="8618" spans="1:6" x14ac:dyDescent="0.3">
      <c r="A8618" t="s">
        <v>5</v>
      </c>
      <c r="B8618" s="1">
        <v>46017</v>
      </c>
      <c r="C8618">
        <v>1</v>
      </c>
      <c r="D8618">
        <v>6.7000000000000004E-2</v>
      </c>
      <c r="E8618" t="s">
        <v>6</v>
      </c>
      <c r="F8618">
        <v>0.1409</v>
      </c>
    </row>
    <row r="8619" spans="1:6" x14ac:dyDescent="0.3">
      <c r="A8619" t="s">
        <v>5</v>
      </c>
      <c r="B8619" s="1">
        <v>46017</v>
      </c>
      <c r="C8619">
        <v>2</v>
      </c>
      <c r="D8619">
        <v>5.1999999999999998E-2</v>
      </c>
      <c r="E8619" t="s">
        <v>6</v>
      </c>
      <c r="F8619">
        <v>0.1368</v>
      </c>
    </row>
    <row r="8620" spans="1:6" x14ac:dyDescent="0.3">
      <c r="A8620" t="s">
        <v>5</v>
      </c>
      <c r="B8620" s="1">
        <v>46017</v>
      </c>
      <c r="C8620">
        <v>3</v>
      </c>
      <c r="D8620">
        <v>0.06</v>
      </c>
      <c r="E8620" t="s">
        <v>6</v>
      </c>
      <c r="F8620">
        <v>0.13269999999999998</v>
      </c>
    </row>
    <row r="8621" spans="1:6" x14ac:dyDescent="0.3">
      <c r="A8621" t="s">
        <v>5</v>
      </c>
      <c r="B8621" s="1">
        <v>46017</v>
      </c>
      <c r="C8621">
        <v>4</v>
      </c>
      <c r="D8621">
        <v>6.6000000000000003E-2</v>
      </c>
      <c r="E8621" t="s">
        <v>6</v>
      </c>
      <c r="F8621">
        <v>0.12913999999999998</v>
      </c>
    </row>
    <row r="8622" spans="1:6" x14ac:dyDescent="0.3">
      <c r="A8622" t="s">
        <v>5</v>
      </c>
      <c r="B8622" s="1">
        <v>46017</v>
      </c>
      <c r="C8622">
        <v>5</v>
      </c>
      <c r="D8622">
        <v>5.5E-2</v>
      </c>
      <c r="E8622" t="s">
        <v>6</v>
      </c>
      <c r="F8622">
        <v>0.12492</v>
      </c>
    </row>
    <row r="8623" spans="1:6" x14ac:dyDescent="0.3">
      <c r="A8623" t="s">
        <v>5</v>
      </c>
      <c r="B8623" s="1">
        <v>46017</v>
      </c>
      <c r="C8623">
        <v>6</v>
      </c>
      <c r="D8623">
        <v>6.5000000000000002E-2</v>
      </c>
      <c r="E8623" t="s">
        <v>6</v>
      </c>
      <c r="F8623">
        <v>0.12371</v>
      </c>
    </row>
    <row r="8624" spans="1:6" x14ac:dyDescent="0.3">
      <c r="A8624" t="s">
        <v>5</v>
      </c>
      <c r="B8624" s="1">
        <v>46017</v>
      </c>
      <c r="C8624">
        <v>7</v>
      </c>
      <c r="D8624">
        <v>4.5999999999999999E-2</v>
      </c>
      <c r="E8624" t="s">
        <v>6</v>
      </c>
      <c r="F8624">
        <v>0.13181000000000001</v>
      </c>
    </row>
    <row r="8625" spans="1:6" x14ac:dyDescent="0.3">
      <c r="A8625" t="s">
        <v>5</v>
      </c>
      <c r="B8625" s="1">
        <v>46017</v>
      </c>
      <c r="C8625">
        <v>8</v>
      </c>
      <c r="D8625">
        <v>6.7000000000000004E-2</v>
      </c>
      <c r="E8625" t="s">
        <v>6</v>
      </c>
      <c r="F8625">
        <v>0.13452</v>
      </c>
    </row>
    <row r="8626" spans="1:6" x14ac:dyDescent="0.3">
      <c r="A8626" t="s">
        <v>5</v>
      </c>
      <c r="B8626" s="1">
        <v>46017</v>
      </c>
      <c r="C8626">
        <v>9</v>
      </c>
      <c r="D8626">
        <v>5.3999999999999999E-2</v>
      </c>
      <c r="E8626" t="s">
        <v>6</v>
      </c>
      <c r="F8626">
        <v>0.16315000000000002</v>
      </c>
    </row>
    <row r="8627" spans="1:6" x14ac:dyDescent="0.3">
      <c r="A8627" t="s">
        <v>5</v>
      </c>
      <c r="B8627" s="1">
        <v>46017</v>
      </c>
      <c r="C8627">
        <v>10</v>
      </c>
      <c r="D8627">
        <v>6.6000000000000003E-2</v>
      </c>
      <c r="E8627" t="s">
        <v>6</v>
      </c>
      <c r="F8627">
        <v>0.16087000000000001</v>
      </c>
    </row>
    <row r="8628" spans="1:6" x14ac:dyDescent="0.3">
      <c r="A8628" t="s">
        <v>5</v>
      </c>
      <c r="B8628" s="1">
        <v>46017</v>
      </c>
      <c r="C8628">
        <v>11</v>
      </c>
      <c r="D8628">
        <v>0.05</v>
      </c>
      <c r="E8628" t="s">
        <v>6</v>
      </c>
      <c r="F8628">
        <v>0.21375999999999998</v>
      </c>
    </row>
    <row r="8629" spans="1:6" x14ac:dyDescent="0.3">
      <c r="A8629" t="s">
        <v>5</v>
      </c>
      <c r="B8629" s="1">
        <v>46017</v>
      </c>
      <c r="C8629">
        <v>12</v>
      </c>
      <c r="D8629">
        <v>6.2E-2</v>
      </c>
      <c r="E8629" t="s">
        <v>6</v>
      </c>
      <c r="F8629">
        <v>0.20812999999999998</v>
      </c>
    </row>
    <row r="8630" spans="1:6" x14ac:dyDescent="0.3">
      <c r="A8630" t="s">
        <v>5</v>
      </c>
      <c r="B8630" s="1">
        <v>46017</v>
      </c>
      <c r="C8630">
        <v>13</v>
      </c>
      <c r="D8630">
        <v>6.2E-2</v>
      </c>
      <c r="E8630" t="s">
        <v>6</v>
      </c>
      <c r="F8630">
        <v>0.20558000000000001</v>
      </c>
    </row>
    <row r="8631" spans="1:6" x14ac:dyDescent="0.3">
      <c r="A8631" t="s">
        <v>5</v>
      </c>
      <c r="B8631" s="1">
        <v>46017</v>
      </c>
      <c r="C8631">
        <v>14</v>
      </c>
      <c r="D8631">
        <v>5.8000000000000003E-2</v>
      </c>
      <c r="E8631" t="s">
        <v>6</v>
      </c>
      <c r="F8631">
        <v>0.20093</v>
      </c>
    </row>
    <row r="8632" spans="1:6" x14ac:dyDescent="0.3">
      <c r="A8632" t="s">
        <v>5</v>
      </c>
      <c r="B8632" s="1">
        <v>46017</v>
      </c>
      <c r="C8632">
        <v>15</v>
      </c>
      <c r="D8632">
        <v>6.3E-2</v>
      </c>
      <c r="E8632" t="s">
        <v>6</v>
      </c>
      <c r="F8632">
        <v>0.1328</v>
      </c>
    </row>
    <row r="8633" spans="1:6" x14ac:dyDescent="0.3">
      <c r="A8633" t="s">
        <v>5</v>
      </c>
      <c r="B8633" s="1">
        <v>46017</v>
      </c>
      <c r="C8633">
        <v>16</v>
      </c>
      <c r="D8633">
        <v>4.9000000000000002E-2</v>
      </c>
      <c r="E8633" t="s">
        <v>6</v>
      </c>
      <c r="F8633">
        <v>0.13597000000000001</v>
      </c>
    </row>
    <row r="8634" spans="1:6" x14ac:dyDescent="0.3">
      <c r="A8634" t="s">
        <v>5</v>
      </c>
      <c r="B8634" s="1">
        <v>46017</v>
      </c>
      <c r="C8634">
        <v>17</v>
      </c>
      <c r="D8634">
        <v>6.8000000000000005E-2</v>
      </c>
      <c r="E8634" t="s">
        <v>6</v>
      </c>
      <c r="F8634">
        <v>0.14683000000000002</v>
      </c>
    </row>
    <row r="8635" spans="1:6" x14ac:dyDescent="0.3">
      <c r="A8635" t="s">
        <v>5</v>
      </c>
      <c r="B8635" s="1">
        <v>46017</v>
      </c>
      <c r="C8635">
        <v>18</v>
      </c>
      <c r="D8635">
        <v>5.3999999999999999E-2</v>
      </c>
      <c r="E8635" t="s">
        <v>6</v>
      </c>
      <c r="F8635">
        <v>0.16284000000000001</v>
      </c>
    </row>
    <row r="8636" spans="1:6" x14ac:dyDescent="0.3">
      <c r="A8636" t="s">
        <v>5</v>
      </c>
      <c r="B8636" s="1">
        <v>46017</v>
      </c>
      <c r="C8636">
        <v>19</v>
      </c>
      <c r="D8636">
        <v>6.7000000000000004E-2</v>
      </c>
      <c r="E8636" t="s">
        <v>6</v>
      </c>
      <c r="F8636">
        <v>0.23707</v>
      </c>
    </row>
    <row r="8637" spans="1:6" x14ac:dyDescent="0.3">
      <c r="A8637" t="s">
        <v>5</v>
      </c>
      <c r="B8637" s="1">
        <v>46017</v>
      </c>
      <c r="C8637">
        <v>20</v>
      </c>
      <c r="D8637">
        <v>4.7E-2</v>
      </c>
      <c r="E8637" t="s">
        <v>6</v>
      </c>
      <c r="F8637">
        <v>0.23936000000000002</v>
      </c>
    </row>
    <row r="8638" spans="1:6" x14ac:dyDescent="0.3">
      <c r="A8638" t="s">
        <v>5</v>
      </c>
      <c r="B8638" s="1">
        <v>46017</v>
      </c>
      <c r="C8638">
        <v>21</v>
      </c>
      <c r="D8638">
        <v>6.5000000000000002E-2</v>
      </c>
      <c r="E8638" t="s">
        <v>6</v>
      </c>
      <c r="F8638">
        <v>0.25136999999999998</v>
      </c>
    </row>
    <row r="8639" spans="1:6" x14ac:dyDescent="0.3">
      <c r="A8639" t="s">
        <v>5</v>
      </c>
      <c r="B8639" s="1">
        <v>46017</v>
      </c>
      <c r="C8639">
        <v>22</v>
      </c>
      <c r="D8639">
        <v>0.06</v>
      </c>
      <c r="E8639" t="s">
        <v>6</v>
      </c>
      <c r="F8639">
        <v>0.24934000000000001</v>
      </c>
    </row>
    <row r="8640" spans="1:6" x14ac:dyDescent="0.3">
      <c r="A8640" t="s">
        <v>5</v>
      </c>
      <c r="B8640" s="1">
        <v>46017</v>
      </c>
      <c r="C8640">
        <v>23</v>
      </c>
      <c r="D8640">
        <v>6.0999999999999999E-2</v>
      </c>
      <c r="E8640" t="s">
        <v>6</v>
      </c>
      <c r="F8640">
        <v>0.17530000000000001</v>
      </c>
    </row>
    <row r="8641" spans="1:6" x14ac:dyDescent="0.3">
      <c r="A8641" t="s">
        <v>5</v>
      </c>
      <c r="B8641" s="1">
        <v>46017</v>
      </c>
      <c r="C8641">
        <v>24</v>
      </c>
      <c r="D8641">
        <v>0.06</v>
      </c>
      <c r="E8641" t="s">
        <v>6</v>
      </c>
      <c r="F8641">
        <v>0.15934000000000001</v>
      </c>
    </row>
    <row r="8642" spans="1:6" x14ac:dyDescent="0.3">
      <c r="A8642" t="s">
        <v>5</v>
      </c>
      <c r="B8642" s="1">
        <v>46018</v>
      </c>
      <c r="C8642">
        <v>1</v>
      </c>
      <c r="D8642">
        <v>5.3999999999999999E-2</v>
      </c>
      <c r="E8642" t="s">
        <v>6</v>
      </c>
      <c r="F8642">
        <v>0.14311000000000001</v>
      </c>
    </row>
    <row r="8643" spans="1:6" x14ac:dyDescent="0.3">
      <c r="A8643" t="s">
        <v>5</v>
      </c>
      <c r="B8643" s="1">
        <v>46018</v>
      </c>
      <c r="C8643">
        <v>2</v>
      </c>
      <c r="D8643">
        <v>6.7000000000000004E-2</v>
      </c>
      <c r="E8643" t="s">
        <v>6</v>
      </c>
      <c r="F8643">
        <v>0.14158999999999999</v>
      </c>
    </row>
    <row r="8644" spans="1:6" x14ac:dyDescent="0.3">
      <c r="A8644" t="s">
        <v>5</v>
      </c>
      <c r="B8644" s="1">
        <v>46018</v>
      </c>
      <c r="C8644">
        <v>3</v>
      </c>
      <c r="D8644">
        <v>5.5E-2</v>
      </c>
      <c r="E8644" t="s">
        <v>6</v>
      </c>
      <c r="F8644">
        <v>0.1371</v>
      </c>
    </row>
    <row r="8645" spans="1:6" x14ac:dyDescent="0.3">
      <c r="A8645" t="s">
        <v>5</v>
      </c>
      <c r="B8645" s="1">
        <v>46018</v>
      </c>
      <c r="C8645">
        <v>4</v>
      </c>
      <c r="D8645">
        <v>6.8000000000000005E-2</v>
      </c>
      <c r="E8645" t="s">
        <v>6</v>
      </c>
      <c r="F8645">
        <v>0.12484000000000001</v>
      </c>
    </row>
    <row r="8646" spans="1:6" x14ac:dyDescent="0.3">
      <c r="A8646" t="s">
        <v>5</v>
      </c>
      <c r="B8646" s="1">
        <v>46018</v>
      </c>
      <c r="C8646">
        <v>5</v>
      </c>
      <c r="D8646">
        <v>4.4999999999999998E-2</v>
      </c>
      <c r="E8646" t="s">
        <v>6</v>
      </c>
      <c r="F8646">
        <v>0.12398999999999999</v>
      </c>
    </row>
    <row r="8647" spans="1:6" x14ac:dyDescent="0.3">
      <c r="A8647" t="s">
        <v>5</v>
      </c>
      <c r="B8647" s="1">
        <v>46018</v>
      </c>
      <c r="C8647">
        <v>6</v>
      </c>
      <c r="D8647">
        <v>6.8000000000000005E-2</v>
      </c>
      <c r="E8647" t="s">
        <v>6</v>
      </c>
      <c r="F8647">
        <v>0.12312999999999999</v>
      </c>
    </row>
    <row r="8648" spans="1:6" x14ac:dyDescent="0.3">
      <c r="A8648" t="s">
        <v>5</v>
      </c>
      <c r="B8648" s="1">
        <v>46018</v>
      </c>
      <c r="C8648">
        <v>7</v>
      </c>
      <c r="D8648">
        <v>5.7000000000000002E-2</v>
      </c>
      <c r="E8648" t="s">
        <v>6</v>
      </c>
      <c r="F8648">
        <v>0.1205</v>
      </c>
    </row>
    <row r="8649" spans="1:6" x14ac:dyDescent="0.3">
      <c r="A8649" t="s">
        <v>5</v>
      </c>
      <c r="B8649" s="1">
        <v>46018</v>
      </c>
      <c r="C8649">
        <v>8</v>
      </c>
      <c r="D8649">
        <v>6.5000000000000002E-2</v>
      </c>
      <c r="E8649" t="s">
        <v>6</v>
      </c>
      <c r="F8649">
        <v>0.12132999999999999</v>
      </c>
    </row>
    <row r="8650" spans="1:6" x14ac:dyDescent="0.3">
      <c r="A8650" t="s">
        <v>5</v>
      </c>
      <c r="B8650" s="1">
        <v>46018</v>
      </c>
      <c r="C8650">
        <v>9</v>
      </c>
      <c r="D8650">
        <v>5.5E-2</v>
      </c>
      <c r="E8650" t="s">
        <v>6</v>
      </c>
      <c r="F8650">
        <v>0.12605</v>
      </c>
    </row>
    <row r="8651" spans="1:6" x14ac:dyDescent="0.3">
      <c r="A8651" t="s">
        <v>5</v>
      </c>
      <c r="B8651" s="1">
        <v>46018</v>
      </c>
      <c r="C8651">
        <v>10</v>
      </c>
      <c r="D8651">
        <v>5.7000000000000002E-2</v>
      </c>
      <c r="E8651" t="s">
        <v>6</v>
      </c>
      <c r="F8651">
        <v>0.12824000000000002</v>
      </c>
    </row>
    <row r="8652" spans="1:6" x14ac:dyDescent="0.3">
      <c r="A8652" t="s">
        <v>5</v>
      </c>
      <c r="B8652" s="1">
        <v>46018</v>
      </c>
      <c r="C8652">
        <v>11</v>
      </c>
      <c r="D8652">
        <v>6.8000000000000005E-2</v>
      </c>
      <c r="E8652" t="s">
        <v>6</v>
      </c>
      <c r="F8652">
        <v>0.11001000000000001</v>
      </c>
    </row>
    <row r="8653" spans="1:6" x14ac:dyDescent="0.3">
      <c r="A8653" t="s">
        <v>5</v>
      </c>
      <c r="B8653" s="1">
        <v>46018</v>
      </c>
      <c r="C8653">
        <v>12</v>
      </c>
      <c r="D8653">
        <v>5.5E-2</v>
      </c>
      <c r="E8653" t="s">
        <v>6</v>
      </c>
      <c r="F8653">
        <v>0.10321999999999999</v>
      </c>
    </row>
    <row r="8654" spans="1:6" x14ac:dyDescent="0.3">
      <c r="A8654" t="s">
        <v>5</v>
      </c>
      <c r="B8654" s="1">
        <v>46018</v>
      </c>
      <c r="C8654">
        <v>13</v>
      </c>
      <c r="D8654">
        <v>6.5000000000000002E-2</v>
      </c>
      <c r="E8654" t="s">
        <v>6</v>
      </c>
      <c r="F8654">
        <v>0.10290000000000001</v>
      </c>
    </row>
    <row r="8655" spans="1:6" x14ac:dyDescent="0.3">
      <c r="A8655" t="s">
        <v>5</v>
      </c>
      <c r="B8655" s="1">
        <v>46018</v>
      </c>
      <c r="C8655">
        <v>14</v>
      </c>
      <c r="D8655">
        <v>4.7E-2</v>
      </c>
      <c r="E8655" t="s">
        <v>6</v>
      </c>
      <c r="F8655">
        <v>0.10302</v>
      </c>
    </row>
    <row r="8656" spans="1:6" x14ac:dyDescent="0.3">
      <c r="A8656" t="s">
        <v>5</v>
      </c>
      <c r="B8656" s="1">
        <v>46018</v>
      </c>
      <c r="C8656">
        <v>15</v>
      </c>
      <c r="D8656">
        <v>6.7000000000000004E-2</v>
      </c>
      <c r="E8656" t="s">
        <v>6</v>
      </c>
      <c r="F8656">
        <v>0.10324</v>
      </c>
    </row>
    <row r="8657" spans="1:6" x14ac:dyDescent="0.3">
      <c r="A8657" t="s">
        <v>5</v>
      </c>
      <c r="B8657" s="1">
        <v>46018</v>
      </c>
      <c r="C8657">
        <v>16</v>
      </c>
      <c r="D8657">
        <v>5.5E-2</v>
      </c>
      <c r="E8657" t="s">
        <v>6</v>
      </c>
      <c r="F8657">
        <v>0.10613</v>
      </c>
    </row>
    <row r="8658" spans="1:6" x14ac:dyDescent="0.3">
      <c r="A8658" t="s">
        <v>5</v>
      </c>
      <c r="B8658" s="1">
        <v>46018</v>
      </c>
      <c r="C8658">
        <v>17</v>
      </c>
      <c r="D8658">
        <v>6.8000000000000005E-2</v>
      </c>
      <c r="E8658" t="s">
        <v>6</v>
      </c>
      <c r="F8658">
        <v>0.12087000000000001</v>
      </c>
    </row>
    <row r="8659" spans="1:6" x14ac:dyDescent="0.3">
      <c r="A8659" t="s">
        <v>5</v>
      </c>
      <c r="B8659" s="1">
        <v>46018</v>
      </c>
      <c r="C8659">
        <v>18</v>
      </c>
      <c r="D8659">
        <v>4.8000000000000001E-2</v>
      </c>
      <c r="E8659" t="s">
        <v>6</v>
      </c>
      <c r="F8659">
        <v>0.13212000000000002</v>
      </c>
    </row>
    <row r="8660" spans="1:6" x14ac:dyDescent="0.3">
      <c r="A8660" t="s">
        <v>5</v>
      </c>
      <c r="B8660" s="1">
        <v>46018</v>
      </c>
      <c r="C8660">
        <v>19</v>
      </c>
      <c r="D8660">
        <v>6.5000000000000002E-2</v>
      </c>
      <c r="E8660" t="s">
        <v>6</v>
      </c>
      <c r="F8660">
        <v>0.14277000000000001</v>
      </c>
    </row>
    <row r="8661" spans="1:6" x14ac:dyDescent="0.3">
      <c r="A8661" t="s">
        <v>5</v>
      </c>
      <c r="B8661" s="1">
        <v>46018</v>
      </c>
      <c r="C8661">
        <v>20</v>
      </c>
      <c r="D8661">
        <v>0.06</v>
      </c>
      <c r="E8661" t="s">
        <v>6</v>
      </c>
      <c r="F8661">
        <v>0.14673</v>
      </c>
    </row>
    <row r="8662" spans="1:6" x14ac:dyDescent="0.3">
      <c r="A8662" t="s">
        <v>5</v>
      </c>
      <c r="B8662" s="1">
        <v>46018</v>
      </c>
      <c r="C8662">
        <v>21</v>
      </c>
      <c r="D8662">
        <v>6.2E-2</v>
      </c>
      <c r="E8662" t="s">
        <v>6</v>
      </c>
      <c r="F8662">
        <v>0.13941999999999999</v>
      </c>
    </row>
    <row r="8663" spans="1:6" x14ac:dyDescent="0.3">
      <c r="A8663" t="s">
        <v>5</v>
      </c>
      <c r="B8663" s="1">
        <v>46018</v>
      </c>
      <c r="C8663">
        <v>22</v>
      </c>
      <c r="D8663">
        <v>5.8000000000000003E-2</v>
      </c>
      <c r="E8663" t="s">
        <v>6</v>
      </c>
      <c r="F8663">
        <v>0.13097</v>
      </c>
    </row>
    <row r="8664" spans="1:6" x14ac:dyDescent="0.3">
      <c r="A8664" t="s">
        <v>5</v>
      </c>
      <c r="B8664" s="1">
        <v>46018</v>
      </c>
      <c r="C8664">
        <v>23</v>
      </c>
      <c r="D8664">
        <v>5.5E-2</v>
      </c>
      <c r="E8664" t="s">
        <v>6</v>
      </c>
      <c r="F8664">
        <v>0.12617</v>
      </c>
    </row>
    <row r="8665" spans="1:6" x14ac:dyDescent="0.3">
      <c r="A8665" t="s">
        <v>5</v>
      </c>
      <c r="B8665" s="1">
        <v>46018</v>
      </c>
      <c r="C8665">
        <v>24</v>
      </c>
      <c r="D8665">
        <v>6.8000000000000005E-2</v>
      </c>
      <c r="E8665" t="s">
        <v>6</v>
      </c>
      <c r="F8665">
        <v>0.11907999999999999</v>
      </c>
    </row>
    <row r="8666" spans="1:6" x14ac:dyDescent="0.3">
      <c r="A8666" t="s">
        <v>5</v>
      </c>
      <c r="B8666" s="1">
        <v>46019</v>
      </c>
      <c r="C8666">
        <v>1</v>
      </c>
      <c r="D8666">
        <v>7.0999999999999994E-2</v>
      </c>
      <c r="E8666" t="s">
        <v>6</v>
      </c>
      <c r="F8666">
        <v>0.10836</v>
      </c>
    </row>
    <row r="8667" spans="1:6" x14ac:dyDescent="0.3">
      <c r="A8667" t="s">
        <v>5</v>
      </c>
      <c r="B8667" s="1">
        <v>46019</v>
      </c>
      <c r="C8667">
        <v>2</v>
      </c>
      <c r="D8667">
        <v>0.128</v>
      </c>
      <c r="E8667" t="s">
        <v>6</v>
      </c>
      <c r="F8667">
        <v>0.11264</v>
      </c>
    </row>
    <row r="8668" spans="1:6" x14ac:dyDescent="0.3">
      <c r="A8668" t="s">
        <v>5</v>
      </c>
      <c r="B8668" s="1">
        <v>46019</v>
      </c>
      <c r="C8668">
        <v>3</v>
      </c>
      <c r="D8668">
        <v>8.5999999999999993E-2</v>
      </c>
      <c r="E8668" t="s">
        <v>6</v>
      </c>
      <c r="F8668">
        <v>0.10496</v>
      </c>
    </row>
    <row r="8669" spans="1:6" x14ac:dyDescent="0.3">
      <c r="A8669" t="s">
        <v>5</v>
      </c>
      <c r="B8669" s="1">
        <v>46019</v>
      </c>
      <c r="C8669">
        <v>4</v>
      </c>
      <c r="D8669">
        <v>6.2E-2</v>
      </c>
      <c r="E8669" t="s">
        <v>6</v>
      </c>
      <c r="F8669">
        <v>9.9709999999999993E-2</v>
      </c>
    </row>
    <row r="8670" spans="1:6" x14ac:dyDescent="0.3">
      <c r="A8670" t="s">
        <v>5</v>
      </c>
      <c r="B8670" s="1">
        <v>46019</v>
      </c>
      <c r="C8670">
        <v>5</v>
      </c>
      <c r="D8670">
        <v>6.2E-2</v>
      </c>
      <c r="E8670" t="s">
        <v>6</v>
      </c>
      <c r="F8670">
        <v>0.10405</v>
      </c>
    </row>
    <row r="8671" spans="1:6" x14ac:dyDescent="0.3">
      <c r="A8671" t="s">
        <v>5</v>
      </c>
      <c r="B8671" s="1">
        <v>46019</v>
      </c>
      <c r="C8671">
        <v>6</v>
      </c>
      <c r="D8671">
        <v>6.6000000000000003E-2</v>
      </c>
      <c r="E8671" t="s">
        <v>6</v>
      </c>
      <c r="F8671">
        <v>0.10787999999999999</v>
      </c>
    </row>
    <row r="8672" spans="1:6" x14ac:dyDescent="0.3">
      <c r="A8672" t="s">
        <v>5</v>
      </c>
      <c r="B8672" s="1">
        <v>46019</v>
      </c>
      <c r="C8672">
        <v>7</v>
      </c>
      <c r="D8672">
        <v>4.8000000000000001E-2</v>
      </c>
      <c r="E8672" t="s">
        <v>6</v>
      </c>
      <c r="F8672">
        <v>0.11856999999999999</v>
      </c>
    </row>
    <row r="8673" spans="1:6" x14ac:dyDescent="0.3">
      <c r="A8673" t="s">
        <v>5</v>
      </c>
      <c r="B8673" s="1">
        <v>46019</v>
      </c>
      <c r="C8673">
        <v>8</v>
      </c>
      <c r="D8673">
        <v>6.4000000000000001E-2</v>
      </c>
      <c r="E8673" t="s">
        <v>6</v>
      </c>
      <c r="F8673">
        <v>0.12156</v>
      </c>
    </row>
    <row r="8674" spans="1:6" x14ac:dyDescent="0.3">
      <c r="A8674" t="s">
        <v>5</v>
      </c>
      <c r="B8674" s="1">
        <v>46019</v>
      </c>
      <c r="C8674">
        <v>9</v>
      </c>
      <c r="D8674">
        <v>6.6000000000000003E-2</v>
      </c>
      <c r="E8674" t="s">
        <v>6</v>
      </c>
      <c r="F8674">
        <v>0.13342999999999999</v>
      </c>
    </row>
    <row r="8675" spans="1:6" x14ac:dyDescent="0.3">
      <c r="A8675" t="s">
        <v>5</v>
      </c>
      <c r="B8675" s="1">
        <v>46019</v>
      </c>
      <c r="C8675">
        <v>10</v>
      </c>
      <c r="D8675">
        <v>5.2999999999999999E-2</v>
      </c>
      <c r="E8675" t="s">
        <v>6</v>
      </c>
      <c r="F8675">
        <v>0.13158</v>
      </c>
    </row>
    <row r="8676" spans="1:6" x14ac:dyDescent="0.3">
      <c r="A8676" t="s">
        <v>5</v>
      </c>
      <c r="B8676" s="1">
        <v>46019</v>
      </c>
      <c r="C8676">
        <v>11</v>
      </c>
      <c r="D8676">
        <v>6.6000000000000003E-2</v>
      </c>
      <c r="E8676" t="s">
        <v>6</v>
      </c>
      <c r="F8676">
        <v>0.11944</v>
      </c>
    </row>
    <row r="8677" spans="1:6" x14ac:dyDescent="0.3">
      <c r="A8677" t="s">
        <v>5</v>
      </c>
      <c r="B8677" s="1">
        <v>46019</v>
      </c>
      <c r="C8677">
        <v>12</v>
      </c>
      <c r="D8677">
        <v>5.0999999999999997E-2</v>
      </c>
      <c r="E8677" t="s">
        <v>6</v>
      </c>
      <c r="F8677">
        <v>0.11126000000000001</v>
      </c>
    </row>
    <row r="8678" spans="1:6" x14ac:dyDescent="0.3">
      <c r="A8678" t="s">
        <v>5</v>
      </c>
      <c r="B8678" s="1">
        <v>46019</v>
      </c>
      <c r="C8678">
        <v>13</v>
      </c>
      <c r="D8678">
        <v>5.8999999999999997E-2</v>
      </c>
      <c r="E8678" t="s">
        <v>6</v>
      </c>
      <c r="F8678">
        <v>0.11754000000000001</v>
      </c>
    </row>
    <row r="8679" spans="1:6" x14ac:dyDescent="0.3">
      <c r="A8679" t="s">
        <v>5</v>
      </c>
      <c r="B8679" s="1">
        <v>46019</v>
      </c>
      <c r="C8679">
        <v>14</v>
      </c>
      <c r="D8679">
        <v>6.6000000000000003E-2</v>
      </c>
      <c r="E8679" t="s">
        <v>6</v>
      </c>
      <c r="F8679">
        <v>0.11373999999999999</v>
      </c>
    </row>
    <row r="8680" spans="1:6" x14ac:dyDescent="0.3">
      <c r="A8680" t="s">
        <v>5</v>
      </c>
      <c r="B8680" s="1">
        <v>46019</v>
      </c>
      <c r="C8680">
        <v>15</v>
      </c>
      <c r="D8680">
        <v>5.5E-2</v>
      </c>
      <c r="E8680" t="s">
        <v>6</v>
      </c>
      <c r="F8680">
        <v>0.11522</v>
      </c>
    </row>
    <row r="8681" spans="1:6" x14ac:dyDescent="0.3">
      <c r="A8681" t="s">
        <v>5</v>
      </c>
      <c r="B8681" s="1">
        <v>46019</v>
      </c>
      <c r="C8681">
        <v>16</v>
      </c>
      <c r="D8681">
        <v>6.6000000000000003E-2</v>
      </c>
      <c r="E8681" t="s">
        <v>6</v>
      </c>
      <c r="F8681">
        <v>0.12203</v>
      </c>
    </row>
    <row r="8682" spans="1:6" x14ac:dyDescent="0.3">
      <c r="A8682" t="s">
        <v>5</v>
      </c>
      <c r="B8682" s="1">
        <v>46019</v>
      </c>
      <c r="C8682">
        <v>17</v>
      </c>
      <c r="D8682">
        <v>5.6000000000000001E-2</v>
      </c>
      <c r="E8682" t="s">
        <v>6</v>
      </c>
      <c r="F8682">
        <v>0.13350000000000001</v>
      </c>
    </row>
    <row r="8683" spans="1:6" x14ac:dyDescent="0.3">
      <c r="A8683" t="s">
        <v>5</v>
      </c>
      <c r="B8683" s="1">
        <v>46019</v>
      </c>
      <c r="C8683">
        <v>18</v>
      </c>
      <c r="D8683">
        <v>5.5E-2</v>
      </c>
      <c r="E8683" t="s">
        <v>6</v>
      </c>
      <c r="F8683">
        <v>0.14507</v>
      </c>
    </row>
    <row r="8684" spans="1:6" x14ac:dyDescent="0.3">
      <c r="A8684" t="s">
        <v>5</v>
      </c>
      <c r="B8684" s="1">
        <v>46019</v>
      </c>
      <c r="C8684">
        <v>19</v>
      </c>
      <c r="D8684">
        <v>6.7000000000000004E-2</v>
      </c>
      <c r="E8684" t="s">
        <v>6</v>
      </c>
      <c r="F8684">
        <v>0.15289</v>
      </c>
    </row>
    <row r="8685" spans="1:6" x14ac:dyDescent="0.3">
      <c r="A8685" t="s">
        <v>5</v>
      </c>
      <c r="B8685" s="1">
        <v>46019</v>
      </c>
      <c r="C8685">
        <v>20</v>
      </c>
      <c r="D8685">
        <v>5.3999999999999999E-2</v>
      </c>
      <c r="E8685" t="s">
        <v>6</v>
      </c>
      <c r="F8685">
        <v>0.15711000000000003</v>
      </c>
    </row>
    <row r="8686" spans="1:6" x14ac:dyDescent="0.3">
      <c r="A8686" t="s">
        <v>5</v>
      </c>
      <c r="B8686" s="1">
        <v>46019</v>
      </c>
      <c r="C8686">
        <v>21</v>
      </c>
      <c r="D8686">
        <v>6.7000000000000004E-2</v>
      </c>
      <c r="E8686" t="s">
        <v>6</v>
      </c>
      <c r="F8686">
        <v>0.15702000000000002</v>
      </c>
    </row>
    <row r="8687" spans="1:6" x14ac:dyDescent="0.3">
      <c r="A8687" t="s">
        <v>5</v>
      </c>
      <c r="B8687" s="1">
        <v>46019</v>
      </c>
      <c r="C8687">
        <v>22</v>
      </c>
      <c r="D8687">
        <v>5.8999999999999997E-2</v>
      </c>
      <c r="E8687" t="s">
        <v>6</v>
      </c>
      <c r="F8687">
        <v>0.15049000000000001</v>
      </c>
    </row>
    <row r="8688" spans="1:6" x14ac:dyDescent="0.3">
      <c r="A8688" t="s">
        <v>5</v>
      </c>
      <c r="B8688" s="1">
        <v>46019</v>
      </c>
      <c r="C8688">
        <v>23</v>
      </c>
      <c r="D8688">
        <v>5.2999999999999999E-2</v>
      </c>
      <c r="E8688" t="s">
        <v>6</v>
      </c>
      <c r="F8688">
        <v>0.14396999999999999</v>
      </c>
    </row>
    <row r="8689" spans="1:6" x14ac:dyDescent="0.3">
      <c r="A8689" t="s">
        <v>5</v>
      </c>
      <c r="B8689" s="1">
        <v>46019</v>
      </c>
      <c r="C8689">
        <v>24</v>
      </c>
      <c r="D8689">
        <v>6.8000000000000005E-2</v>
      </c>
      <c r="E8689" t="s">
        <v>6</v>
      </c>
      <c r="F8689">
        <v>0.13383</v>
      </c>
    </row>
    <row r="8690" spans="1:6" x14ac:dyDescent="0.3">
      <c r="A8690" t="s">
        <v>5</v>
      </c>
      <c r="B8690" s="1">
        <v>46020</v>
      </c>
      <c r="C8690">
        <v>1</v>
      </c>
      <c r="D8690">
        <v>5.6000000000000001E-2</v>
      </c>
      <c r="E8690" t="s">
        <v>6</v>
      </c>
      <c r="F8690">
        <v>0.14119999999999999</v>
      </c>
    </row>
    <row r="8691" spans="1:6" x14ac:dyDescent="0.3">
      <c r="A8691" t="s">
        <v>5</v>
      </c>
      <c r="B8691" s="1">
        <v>46020</v>
      </c>
      <c r="C8691">
        <v>2</v>
      </c>
      <c r="D8691">
        <v>6.6000000000000003E-2</v>
      </c>
      <c r="E8691" t="s">
        <v>6</v>
      </c>
      <c r="F8691">
        <v>0.13525000000000001</v>
      </c>
    </row>
    <row r="8692" spans="1:6" x14ac:dyDescent="0.3">
      <c r="A8692" t="s">
        <v>5</v>
      </c>
      <c r="B8692" s="1">
        <v>46020</v>
      </c>
      <c r="C8692">
        <v>3</v>
      </c>
      <c r="D8692">
        <v>6.2E-2</v>
      </c>
      <c r="E8692" t="s">
        <v>6</v>
      </c>
      <c r="F8692">
        <v>0.13416</v>
      </c>
    </row>
    <row r="8693" spans="1:6" x14ac:dyDescent="0.3">
      <c r="A8693" t="s">
        <v>5</v>
      </c>
      <c r="B8693" s="1">
        <v>46020</v>
      </c>
      <c r="C8693">
        <v>4</v>
      </c>
      <c r="D8693">
        <v>5.0999999999999997E-2</v>
      </c>
      <c r="E8693" t="s">
        <v>6</v>
      </c>
      <c r="F8693">
        <v>0.13327</v>
      </c>
    </row>
    <row r="8694" spans="1:6" x14ac:dyDescent="0.3">
      <c r="A8694" t="s">
        <v>5</v>
      </c>
      <c r="B8694" s="1">
        <v>46020</v>
      </c>
      <c r="C8694">
        <v>5</v>
      </c>
      <c r="D8694">
        <v>6.7000000000000004E-2</v>
      </c>
      <c r="E8694" t="s">
        <v>6</v>
      </c>
      <c r="F8694">
        <v>0.13483000000000001</v>
      </c>
    </row>
    <row r="8695" spans="1:6" x14ac:dyDescent="0.3">
      <c r="A8695" t="s">
        <v>5</v>
      </c>
      <c r="B8695" s="1">
        <v>46020</v>
      </c>
      <c r="C8695">
        <v>6</v>
      </c>
      <c r="D8695">
        <v>5.8000000000000003E-2</v>
      </c>
      <c r="E8695" t="s">
        <v>6</v>
      </c>
      <c r="F8695">
        <v>0.13624</v>
      </c>
    </row>
    <row r="8696" spans="1:6" x14ac:dyDescent="0.3">
      <c r="A8696" t="s">
        <v>5</v>
      </c>
      <c r="B8696" s="1">
        <v>46020</v>
      </c>
      <c r="C8696">
        <v>7</v>
      </c>
      <c r="D8696">
        <v>6.4000000000000001E-2</v>
      </c>
      <c r="E8696" t="s">
        <v>6</v>
      </c>
      <c r="F8696">
        <v>0.14583000000000002</v>
      </c>
    </row>
    <row r="8697" spans="1:6" x14ac:dyDescent="0.3">
      <c r="A8697" t="s">
        <v>5</v>
      </c>
      <c r="B8697" s="1">
        <v>46020</v>
      </c>
      <c r="C8697">
        <v>8</v>
      </c>
      <c r="D8697">
        <v>6.2E-2</v>
      </c>
      <c r="E8697" t="s">
        <v>6</v>
      </c>
      <c r="F8697">
        <v>0.15828</v>
      </c>
    </row>
    <row r="8698" spans="1:6" x14ac:dyDescent="0.3">
      <c r="A8698" t="s">
        <v>5</v>
      </c>
      <c r="B8698" s="1">
        <v>46020</v>
      </c>
      <c r="C8698">
        <v>9</v>
      </c>
      <c r="D8698">
        <v>0.05</v>
      </c>
      <c r="E8698" t="s">
        <v>6</v>
      </c>
      <c r="F8698">
        <v>0.19628000000000001</v>
      </c>
    </row>
    <row r="8699" spans="1:6" x14ac:dyDescent="0.3">
      <c r="A8699" t="s">
        <v>5</v>
      </c>
      <c r="B8699" s="1">
        <v>46020</v>
      </c>
      <c r="C8699">
        <v>10</v>
      </c>
      <c r="D8699">
        <v>6.7000000000000004E-2</v>
      </c>
      <c r="E8699" t="s">
        <v>6</v>
      </c>
      <c r="F8699">
        <v>0.18049000000000001</v>
      </c>
    </row>
    <row r="8700" spans="1:6" x14ac:dyDescent="0.3">
      <c r="A8700" t="s">
        <v>5</v>
      </c>
      <c r="B8700" s="1">
        <v>46020</v>
      </c>
      <c r="C8700">
        <v>11</v>
      </c>
      <c r="D8700">
        <v>5.8000000000000003E-2</v>
      </c>
      <c r="E8700" t="s">
        <v>6</v>
      </c>
      <c r="F8700">
        <v>0.22446000000000002</v>
      </c>
    </row>
    <row r="8701" spans="1:6" x14ac:dyDescent="0.3">
      <c r="A8701" t="s">
        <v>5</v>
      </c>
      <c r="B8701" s="1">
        <v>46020</v>
      </c>
      <c r="C8701">
        <v>12</v>
      </c>
      <c r="D8701">
        <v>6.3E-2</v>
      </c>
      <c r="E8701" t="s">
        <v>6</v>
      </c>
      <c r="F8701">
        <v>0.20862999999999998</v>
      </c>
    </row>
    <row r="8702" spans="1:6" x14ac:dyDescent="0.3">
      <c r="A8702" t="s">
        <v>5</v>
      </c>
      <c r="B8702" s="1">
        <v>46020</v>
      </c>
      <c r="C8702">
        <v>13</v>
      </c>
      <c r="D8702">
        <v>6.2E-2</v>
      </c>
      <c r="E8702" t="s">
        <v>6</v>
      </c>
      <c r="F8702">
        <v>0.20449999999999999</v>
      </c>
    </row>
    <row r="8703" spans="1:6" x14ac:dyDescent="0.3">
      <c r="A8703" t="s">
        <v>5</v>
      </c>
      <c r="B8703" s="1">
        <v>46020</v>
      </c>
      <c r="C8703">
        <v>14</v>
      </c>
      <c r="D8703">
        <v>0.05</v>
      </c>
      <c r="E8703" t="s">
        <v>6</v>
      </c>
      <c r="F8703">
        <v>0.20169000000000001</v>
      </c>
    </row>
    <row r="8704" spans="1:6" x14ac:dyDescent="0.3">
      <c r="A8704" t="s">
        <v>5</v>
      </c>
      <c r="B8704" s="1">
        <v>46020</v>
      </c>
      <c r="C8704">
        <v>15</v>
      </c>
      <c r="D8704">
        <v>6.7000000000000004E-2</v>
      </c>
      <c r="E8704" t="s">
        <v>6</v>
      </c>
      <c r="F8704">
        <v>0.14298</v>
      </c>
    </row>
    <row r="8705" spans="1:6" x14ac:dyDescent="0.3">
      <c r="A8705" t="s">
        <v>5</v>
      </c>
      <c r="B8705" s="1">
        <v>46020</v>
      </c>
      <c r="C8705">
        <v>16</v>
      </c>
      <c r="D8705">
        <v>5.7000000000000002E-2</v>
      </c>
      <c r="E8705" t="s">
        <v>6</v>
      </c>
      <c r="F8705">
        <v>0.15546000000000001</v>
      </c>
    </row>
    <row r="8706" spans="1:6" x14ac:dyDescent="0.3">
      <c r="A8706" t="s">
        <v>5</v>
      </c>
      <c r="B8706" s="1">
        <v>46020</v>
      </c>
      <c r="C8706">
        <v>17</v>
      </c>
      <c r="D8706">
        <v>6.4000000000000001E-2</v>
      </c>
      <c r="E8706" t="s">
        <v>6</v>
      </c>
      <c r="F8706">
        <v>0.16203999999999999</v>
      </c>
    </row>
    <row r="8707" spans="1:6" x14ac:dyDescent="0.3">
      <c r="A8707" t="s">
        <v>5</v>
      </c>
      <c r="B8707" s="1">
        <v>46020</v>
      </c>
      <c r="C8707">
        <v>18</v>
      </c>
      <c r="D8707">
        <v>6.2E-2</v>
      </c>
      <c r="E8707" t="s">
        <v>6</v>
      </c>
      <c r="F8707">
        <v>0.17758000000000002</v>
      </c>
    </row>
    <row r="8708" spans="1:6" x14ac:dyDescent="0.3">
      <c r="A8708" t="s">
        <v>5</v>
      </c>
      <c r="B8708" s="1">
        <v>46020</v>
      </c>
      <c r="C8708">
        <v>19</v>
      </c>
      <c r="D8708">
        <v>5.0999999999999997E-2</v>
      </c>
      <c r="E8708" t="s">
        <v>6</v>
      </c>
      <c r="F8708">
        <v>0.26550000000000001</v>
      </c>
    </row>
    <row r="8709" spans="1:6" x14ac:dyDescent="0.3">
      <c r="A8709" t="s">
        <v>5</v>
      </c>
      <c r="B8709" s="1">
        <v>46020</v>
      </c>
      <c r="C8709">
        <v>20</v>
      </c>
      <c r="D8709">
        <v>6.8000000000000005E-2</v>
      </c>
      <c r="E8709" t="s">
        <v>6</v>
      </c>
      <c r="F8709">
        <v>0.26891000000000004</v>
      </c>
    </row>
    <row r="8710" spans="1:6" x14ac:dyDescent="0.3">
      <c r="A8710" t="s">
        <v>5</v>
      </c>
      <c r="B8710" s="1">
        <v>46020</v>
      </c>
      <c r="C8710">
        <v>21</v>
      </c>
      <c r="D8710">
        <v>5.6000000000000001E-2</v>
      </c>
      <c r="E8710" t="s">
        <v>6</v>
      </c>
      <c r="F8710">
        <v>0.29847000000000001</v>
      </c>
    </row>
    <row r="8711" spans="1:6" x14ac:dyDescent="0.3">
      <c r="A8711" t="s">
        <v>5</v>
      </c>
      <c r="B8711" s="1">
        <v>46020</v>
      </c>
      <c r="C8711">
        <v>22</v>
      </c>
      <c r="D8711">
        <v>6.7000000000000004E-2</v>
      </c>
      <c r="E8711" t="s">
        <v>6</v>
      </c>
      <c r="F8711">
        <v>0.28558</v>
      </c>
    </row>
    <row r="8712" spans="1:6" x14ac:dyDescent="0.3">
      <c r="A8712" t="s">
        <v>5</v>
      </c>
      <c r="B8712" s="1">
        <v>46020</v>
      </c>
      <c r="C8712">
        <v>23</v>
      </c>
      <c r="D8712">
        <v>0.06</v>
      </c>
      <c r="E8712" t="s">
        <v>6</v>
      </c>
      <c r="F8712">
        <v>0.18975999999999998</v>
      </c>
    </row>
    <row r="8713" spans="1:6" x14ac:dyDescent="0.3">
      <c r="A8713" t="s">
        <v>5</v>
      </c>
      <c r="B8713" s="1">
        <v>46020</v>
      </c>
      <c r="C8713">
        <v>24</v>
      </c>
      <c r="D8713">
        <v>5.2999999999999999E-2</v>
      </c>
      <c r="E8713" t="s">
        <v>6</v>
      </c>
      <c r="F8713">
        <v>0.16950999999999999</v>
      </c>
    </row>
    <row r="8714" spans="1:6" x14ac:dyDescent="0.3">
      <c r="A8714" t="s">
        <v>5</v>
      </c>
      <c r="B8714" s="1">
        <v>46021</v>
      </c>
      <c r="C8714">
        <v>1</v>
      </c>
      <c r="D8714">
        <v>6.9000000000000006E-2</v>
      </c>
      <c r="E8714" t="s">
        <v>6</v>
      </c>
      <c r="F8714">
        <v>0.14762999999999998</v>
      </c>
    </row>
    <row r="8715" spans="1:6" x14ac:dyDescent="0.3">
      <c r="A8715" t="s">
        <v>5</v>
      </c>
      <c r="B8715" s="1">
        <v>46021</v>
      </c>
      <c r="C8715">
        <v>2</v>
      </c>
      <c r="D8715">
        <v>5.5E-2</v>
      </c>
      <c r="E8715" t="s">
        <v>6</v>
      </c>
      <c r="F8715">
        <v>0.14332</v>
      </c>
    </row>
    <row r="8716" spans="1:6" x14ac:dyDescent="0.3">
      <c r="A8716" t="s">
        <v>5</v>
      </c>
      <c r="B8716" s="1">
        <v>46021</v>
      </c>
      <c r="C8716">
        <v>3</v>
      </c>
      <c r="D8716">
        <v>6.9000000000000006E-2</v>
      </c>
      <c r="E8716" t="s">
        <v>6</v>
      </c>
      <c r="F8716">
        <v>0.13472000000000001</v>
      </c>
    </row>
    <row r="8717" spans="1:6" x14ac:dyDescent="0.3">
      <c r="A8717" t="s">
        <v>5</v>
      </c>
      <c r="B8717" s="1">
        <v>46021</v>
      </c>
      <c r="C8717">
        <v>4</v>
      </c>
      <c r="D8717">
        <v>5.6000000000000001E-2</v>
      </c>
      <c r="E8717" t="s">
        <v>6</v>
      </c>
      <c r="F8717">
        <v>0.13108</v>
      </c>
    </row>
    <row r="8718" spans="1:6" x14ac:dyDescent="0.3">
      <c r="A8718" t="s">
        <v>5</v>
      </c>
      <c r="B8718" s="1">
        <v>46021</v>
      </c>
      <c r="C8718">
        <v>5</v>
      </c>
      <c r="D8718">
        <v>5.7000000000000002E-2</v>
      </c>
      <c r="E8718" t="s">
        <v>6</v>
      </c>
      <c r="F8718">
        <v>0.12797</v>
      </c>
    </row>
    <row r="8719" spans="1:6" x14ac:dyDescent="0.3">
      <c r="A8719" t="s">
        <v>5</v>
      </c>
      <c r="B8719" s="1">
        <v>46021</v>
      </c>
      <c r="C8719">
        <v>6</v>
      </c>
      <c r="D8719">
        <v>6.8000000000000005E-2</v>
      </c>
      <c r="E8719" t="s">
        <v>6</v>
      </c>
      <c r="F8719">
        <v>0.12693000000000002</v>
      </c>
    </row>
    <row r="8720" spans="1:6" x14ac:dyDescent="0.3">
      <c r="A8720" t="s">
        <v>5</v>
      </c>
      <c r="B8720" s="1">
        <v>46021</v>
      </c>
      <c r="C8720">
        <v>7</v>
      </c>
      <c r="D8720">
        <v>5.5E-2</v>
      </c>
      <c r="E8720" t="s">
        <v>6</v>
      </c>
      <c r="F8720">
        <v>0.12809000000000001</v>
      </c>
    </row>
    <row r="8721" spans="1:6" x14ac:dyDescent="0.3">
      <c r="A8721" t="s">
        <v>5</v>
      </c>
      <c r="B8721" s="1">
        <v>46021</v>
      </c>
      <c r="C8721">
        <v>8</v>
      </c>
      <c r="D8721">
        <v>6.8000000000000005E-2</v>
      </c>
      <c r="E8721" t="s">
        <v>6</v>
      </c>
      <c r="F8721">
        <v>0.12812000000000001</v>
      </c>
    </row>
    <row r="8722" spans="1:6" x14ac:dyDescent="0.3">
      <c r="A8722" t="s">
        <v>5</v>
      </c>
      <c r="B8722" s="1">
        <v>46021</v>
      </c>
      <c r="C8722">
        <v>9</v>
      </c>
      <c r="D8722">
        <v>5.0999999999999997E-2</v>
      </c>
      <c r="E8722" t="s">
        <v>6</v>
      </c>
      <c r="F8722">
        <v>0.1661</v>
      </c>
    </row>
    <row r="8723" spans="1:6" x14ac:dyDescent="0.3">
      <c r="A8723" t="s">
        <v>5</v>
      </c>
      <c r="B8723" s="1">
        <v>46021</v>
      </c>
      <c r="C8723">
        <v>10</v>
      </c>
      <c r="D8723">
        <v>6.0999999999999999E-2</v>
      </c>
      <c r="E8723" t="s">
        <v>6</v>
      </c>
      <c r="F8723">
        <v>0.158</v>
      </c>
    </row>
    <row r="8724" spans="1:6" x14ac:dyDescent="0.3">
      <c r="A8724" t="s">
        <v>5</v>
      </c>
      <c r="B8724" s="1">
        <v>46021</v>
      </c>
      <c r="C8724">
        <v>11</v>
      </c>
      <c r="D8724">
        <v>6.7000000000000004E-2</v>
      </c>
      <c r="E8724" t="s">
        <v>6</v>
      </c>
      <c r="F8724">
        <v>0.20674000000000001</v>
      </c>
    </row>
    <row r="8725" spans="1:6" x14ac:dyDescent="0.3">
      <c r="A8725" t="s">
        <v>5</v>
      </c>
      <c r="B8725" s="1">
        <v>46021</v>
      </c>
      <c r="C8725">
        <v>12</v>
      </c>
      <c r="D8725">
        <v>5.3999999999999999E-2</v>
      </c>
      <c r="E8725" t="s">
        <v>6</v>
      </c>
      <c r="F8725">
        <v>0.19922999999999999</v>
      </c>
    </row>
    <row r="8726" spans="1:6" x14ac:dyDescent="0.3">
      <c r="A8726" t="s">
        <v>5</v>
      </c>
      <c r="B8726" s="1">
        <v>46021</v>
      </c>
      <c r="C8726">
        <v>13</v>
      </c>
      <c r="D8726">
        <v>6.7000000000000004E-2</v>
      </c>
      <c r="E8726" t="s">
        <v>6</v>
      </c>
      <c r="F8726">
        <v>0.19587000000000002</v>
      </c>
    </row>
    <row r="8727" spans="1:6" x14ac:dyDescent="0.3">
      <c r="A8727" t="s">
        <v>5</v>
      </c>
      <c r="B8727" s="1">
        <v>46021</v>
      </c>
      <c r="C8727">
        <v>14</v>
      </c>
      <c r="D8727">
        <v>4.5999999999999999E-2</v>
      </c>
      <c r="E8727" t="s">
        <v>6</v>
      </c>
      <c r="F8727">
        <v>0.19002000000000002</v>
      </c>
    </row>
    <row r="8728" spans="1:6" x14ac:dyDescent="0.3">
      <c r="A8728" t="s">
        <v>5</v>
      </c>
      <c r="B8728" s="1">
        <v>46021</v>
      </c>
      <c r="C8728">
        <v>15</v>
      </c>
      <c r="D8728">
        <v>6.7000000000000004E-2</v>
      </c>
      <c r="E8728" t="s">
        <v>6</v>
      </c>
      <c r="F8728">
        <v>0.12490999999999999</v>
      </c>
    </row>
    <row r="8729" spans="1:6" x14ac:dyDescent="0.3">
      <c r="A8729" t="s">
        <v>5</v>
      </c>
      <c r="B8729" s="1">
        <v>46021</v>
      </c>
      <c r="C8729">
        <v>16</v>
      </c>
      <c r="D8729">
        <v>6.2E-2</v>
      </c>
      <c r="E8729" t="s">
        <v>6</v>
      </c>
      <c r="F8729">
        <v>0.12878999999999999</v>
      </c>
    </row>
    <row r="8730" spans="1:6" x14ac:dyDescent="0.3">
      <c r="A8730" t="s">
        <v>5</v>
      </c>
      <c r="B8730" s="1">
        <v>46021</v>
      </c>
      <c r="C8730">
        <v>17</v>
      </c>
      <c r="D8730">
        <v>0.06</v>
      </c>
      <c r="E8730" t="s">
        <v>6</v>
      </c>
      <c r="F8730">
        <v>0.14238000000000001</v>
      </c>
    </row>
    <row r="8731" spans="1:6" x14ac:dyDescent="0.3">
      <c r="A8731" t="s">
        <v>5</v>
      </c>
      <c r="B8731" s="1">
        <v>46021</v>
      </c>
      <c r="C8731">
        <v>18</v>
      </c>
      <c r="D8731">
        <v>6.3E-2</v>
      </c>
      <c r="E8731" t="s">
        <v>6</v>
      </c>
      <c r="F8731">
        <v>0.15941</v>
      </c>
    </row>
    <row r="8732" spans="1:6" x14ac:dyDescent="0.3">
      <c r="A8732" t="s">
        <v>5</v>
      </c>
      <c r="B8732" s="1">
        <v>46021</v>
      </c>
      <c r="C8732">
        <v>19</v>
      </c>
      <c r="D8732">
        <v>4.9000000000000002E-2</v>
      </c>
      <c r="E8732" t="s">
        <v>6</v>
      </c>
      <c r="F8732">
        <v>0.23707</v>
      </c>
    </row>
    <row r="8733" spans="1:6" x14ac:dyDescent="0.3">
      <c r="A8733" t="s">
        <v>5</v>
      </c>
      <c r="B8733" s="1">
        <v>46021</v>
      </c>
      <c r="C8733">
        <v>20</v>
      </c>
      <c r="D8733">
        <v>6.7000000000000004E-2</v>
      </c>
      <c r="E8733" t="s">
        <v>6</v>
      </c>
      <c r="F8733">
        <v>0.23830000000000001</v>
      </c>
    </row>
    <row r="8734" spans="1:6" x14ac:dyDescent="0.3">
      <c r="A8734" t="s">
        <v>5</v>
      </c>
      <c r="B8734" s="1">
        <v>46021</v>
      </c>
      <c r="C8734">
        <v>21</v>
      </c>
      <c r="D8734">
        <v>5.5E-2</v>
      </c>
      <c r="E8734" t="s">
        <v>6</v>
      </c>
      <c r="F8734">
        <v>0.23749000000000001</v>
      </c>
    </row>
    <row r="8735" spans="1:6" x14ac:dyDescent="0.3">
      <c r="A8735" t="s">
        <v>5</v>
      </c>
      <c r="B8735" s="1">
        <v>46021</v>
      </c>
      <c r="C8735">
        <v>22</v>
      </c>
      <c r="D8735">
        <v>6.7000000000000004E-2</v>
      </c>
      <c r="E8735" t="s">
        <v>6</v>
      </c>
      <c r="F8735">
        <v>0.23865999999999998</v>
      </c>
    </row>
    <row r="8736" spans="1:6" x14ac:dyDescent="0.3">
      <c r="A8736" t="s">
        <v>5</v>
      </c>
      <c r="B8736" s="1">
        <v>46021</v>
      </c>
      <c r="C8736">
        <v>23</v>
      </c>
      <c r="D8736">
        <v>5.6000000000000001E-2</v>
      </c>
      <c r="E8736" t="s">
        <v>6</v>
      </c>
      <c r="F8736">
        <v>0.16922000000000001</v>
      </c>
    </row>
    <row r="8737" spans="1:6" x14ac:dyDescent="0.3">
      <c r="A8737" t="s">
        <v>5</v>
      </c>
      <c r="B8737" s="1">
        <v>46021</v>
      </c>
      <c r="C8737">
        <v>24</v>
      </c>
      <c r="D8737">
        <v>5.7000000000000002E-2</v>
      </c>
      <c r="E8737" t="s">
        <v>6</v>
      </c>
      <c r="F8737">
        <v>0.17002</v>
      </c>
    </row>
    <row r="8738" spans="1:6" x14ac:dyDescent="0.3">
      <c r="A8738" t="s">
        <v>5</v>
      </c>
      <c r="B8738" s="1">
        <v>46022</v>
      </c>
      <c r="C8738">
        <v>1</v>
      </c>
      <c r="D8738">
        <v>6.8000000000000005E-2</v>
      </c>
      <c r="E8738" t="s">
        <v>6</v>
      </c>
      <c r="F8738">
        <v>0.14077000000000001</v>
      </c>
    </row>
    <row r="8739" spans="1:6" x14ac:dyDescent="0.3">
      <c r="A8739" t="s">
        <v>5</v>
      </c>
      <c r="B8739" s="1">
        <v>46022</v>
      </c>
      <c r="C8739">
        <v>2</v>
      </c>
      <c r="D8739">
        <v>5.6000000000000001E-2</v>
      </c>
      <c r="E8739" t="s">
        <v>6</v>
      </c>
      <c r="F8739">
        <v>0.12751999999999999</v>
      </c>
    </row>
    <row r="8740" spans="1:6" x14ac:dyDescent="0.3">
      <c r="A8740" t="s">
        <v>5</v>
      </c>
      <c r="B8740" s="1">
        <v>46022</v>
      </c>
      <c r="C8740">
        <v>3</v>
      </c>
      <c r="D8740">
        <v>6.7000000000000004E-2</v>
      </c>
      <c r="E8740" t="s">
        <v>6</v>
      </c>
      <c r="F8740">
        <v>0.12523000000000001</v>
      </c>
    </row>
    <row r="8741" spans="1:6" x14ac:dyDescent="0.3">
      <c r="A8741" t="s">
        <v>5</v>
      </c>
      <c r="B8741" s="1">
        <v>46022</v>
      </c>
      <c r="C8741">
        <v>4</v>
      </c>
      <c r="D8741">
        <v>4.7E-2</v>
      </c>
      <c r="E8741" t="s">
        <v>6</v>
      </c>
      <c r="F8741">
        <v>0.11756</v>
      </c>
    </row>
    <row r="8742" spans="1:6" x14ac:dyDescent="0.3">
      <c r="A8742" t="s">
        <v>5</v>
      </c>
      <c r="B8742" s="1">
        <v>46022</v>
      </c>
      <c r="C8742">
        <v>5</v>
      </c>
      <c r="D8742">
        <v>6.6000000000000003E-2</v>
      </c>
      <c r="E8742" t="s">
        <v>6</v>
      </c>
      <c r="F8742">
        <v>0.11647</v>
      </c>
    </row>
    <row r="8743" spans="1:6" x14ac:dyDescent="0.3">
      <c r="A8743" t="s">
        <v>5</v>
      </c>
      <c r="B8743" s="1">
        <v>46022</v>
      </c>
      <c r="C8743">
        <v>6</v>
      </c>
      <c r="D8743">
        <v>6.2E-2</v>
      </c>
      <c r="E8743" t="s">
        <v>6</v>
      </c>
      <c r="F8743">
        <v>0.11816</v>
      </c>
    </row>
    <row r="8744" spans="1:6" x14ac:dyDescent="0.3">
      <c r="A8744" t="s">
        <v>5</v>
      </c>
      <c r="B8744" s="1">
        <v>46022</v>
      </c>
      <c r="C8744">
        <v>7</v>
      </c>
      <c r="D8744">
        <v>6.0999999999999999E-2</v>
      </c>
      <c r="E8744" t="s">
        <v>6</v>
      </c>
      <c r="F8744">
        <v>0.12623000000000001</v>
      </c>
    </row>
    <row r="8745" spans="1:6" x14ac:dyDescent="0.3">
      <c r="A8745" t="s">
        <v>5</v>
      </c>
      <c r="B8745" s="1">
        <v>46022</v>
      </c>
      <c r="C8745">
        <v>8</v>
      </c>
      <c r="D8745">
        <v>6.2E-2</v>
      </c>
      <c r="E8745" t="s">
        <v>6</v>
      </c>
      <c r="F8745">
        <v>0.13093000000000002</v>
      </c>
    </row>
    <row r="8746" spans="1:6" x14ac:dyDescent="0.3">
      <c r="A8746" t="s">
        <v>5</v>
      </c>
      <c r="B8746" s="1">
        <v>46022</v>
      </c>
      <c r="C8746">
        <v>9</v>
      </c>
      <c r="D8746">
        <v>4.9000000000000002E-2</v>
      </c>
      <c r="E8746" t="s">
        <v>6</v>
      </c>
      <c r="F8746">
        <v>0.17044000000000001</v>
      </c>
    </row>
    <row r="8747" spans="1:6" x14ac:dyDescent="0.3">
      <c r="A8747" t="s">
        <v>5</v>
      </c>
      <c r="B8747" s="1">
        <v>46022</v>
      </c>
      <c r="C8747">
        <v>10</v>
      </c>
      <c r="D8747">
        <v>6.7000000000000004E-2</v>
      </c>
      <c r="E8747" t="s">
        <v>6</v>
      </c>
      <c r="F8747">
        <v>0.16911000000000001</v>
      </c>
    </row>
    <row r="8748" spans="1:6" x14ac:dyDescent="0.3">
      <c r="A8748" t="s">
        <v>5</v>
      </c>
      <c r="B8748" s="1">
        <v>46022</v>
      </c>
      <c r="C8748">
        <v>11</v>
      </c>
      <c r="D8748">
        <v>5.3999999999999999E-2</v>
      </c>
      <c r="E8748" t="s">
        <v>6</v>
      </c>
      <c r="F8748">
        <v>0.22233</v>
      </c>
    </row>
    <row r="8749" spans="1:6" x14ac:dyDescent="0.3">
      <c r="A8749" t="s">
        <v>5</v>
      </c>
      <c r="B8749" s="1">
        <v>46022</v>
      </c>
      <c r="C8749">
        <v>12</v>
      </c>
      <c r="D8749">
        <v>6.7000000000000004E-2</v>
      </c>
      <c r="E8749" t="s">
        <v>6</v>
      </c>
      <c r="F8749">
        <v>0.20746999999999999</v>
      </c>
    </row>
    <row r="8750" spans="1:6" x14ac:dyDescent="0.3">
      <c r="A8750" t="s">
        <v>5</v>
      </c>
      <c r="B8750" s="1">
        <v>46022</v>
      </c>
      <c r="C8750">
        <v>13</v>
      </c>
      <c r="D8750">
        <v>5.0999999999999997E-2</v>
      </c>
      <c r="E8750" t="s">
        <v>6</v>
      </c>
      <c r="F8750">
        <v>0.20327999999999999</v>
      </c>
    </row>
    <row r="8751" spans="1:6" x14ac:dyDescent="0.3">
      <c r="A8751" t="s">
        <v>5</v>
      </c>
      <c r="B8751" s="1">
        <v>46022</v>
      </c>
      <c r="C8751">
        <v>14</v>
      </c>
      <c r="D8751">
        <v>6.2E-2</v>
      </c>
      <c r="E8751" t="s">
        <v>6</v>
      </c>
      <c r="F8751">
        <v>0.20313000000000001</v>
      </c>
    </row>
    <row r="8752" spans="1:6" x14ac:dyDescent="0.3">
      <c r="A8752" t="s">
        <v>5</v>
      </c>
      <c r="B8752" s="1">
        <v>46022</v>
      </c>
      <c r="C8752">
        <v>15</v>
      </c>
      <c r="D8752">
        <v>6.5000000000000002E-2</v>
      </c>
      <c r="E8752" t="s">
        <v>6</v>
      </c>
      <c r="F8752">
        <v>0.14119999999999999</v>
      </c>
    </row>
    <row r="8753" spans="1:6" x14ac:dyDescent="0.3">
      <c r="A8753" t="s">
        <v>5</v>
      </c>
      <c r="B8753" s="1">
        <v>46022</v>
      </c>
      <c r="C8753">
        <v>16</v>
      </c>
      <c r="D8753">
        <v>5.7000000000000002E-2</v>
      </c>
      <c r="E8753" t="s">
        <v>6</v>
      </c>
      <c r="F8753">
        <v>0.15209999999999999</v>
      </c>
    </row>
    <row r="8754" spans="1:6" x14ac:dyDescent="0.3">
      <c r="A8754" t="s">
        <v>5</v>
      </c>
      <c r="B8754" s="1">
        <v>46022</v>
      </c>
      <c r="C8754">
        <v>17</v>
      </c>
      <c r="D8754">
        <v>6.5000000000000002E-2</v>
      </c>
      <c r="E8754" t="s">
        <v>6</v>
      </c>
      <c r="F8754">
        <v>0.16465000000000002</v>
      </c>
    </row>
    <row r="8755" spans="1:6" x14ac:dyDescent="0.3">
      <c r="A8755" t="s">
        <v>5</v>
      </c>
      <c r="B8755" s="1">
        <v>46022</v>
      </c>
      <c r="C8755">
        <v>18</v>
      </c>
      <c r="D8755">
        <v>4.8000000000000001E-2</v>
      </c>
      <c r="E8755" t="s">
        <v>6</v>
      </c>
      <c r="F8755">
        <v>0.17138999999999999</v>
      </c>
    </row>
    <row r="8756" spans="1:6" x14ac:dyDescent="0.3">
      <c r="A8756" t="s">
        <v>5</v>
      </c>
      <c r="B8756" s="1">
        <v>46022</v>
      </c>
      <c r="C8756">
        <v>19</v>
      </c>
      <c r="D8756">
        <v>6.7000000000000004E-2</v>
      </c>
      <c r="E8756" t="s">
        <v>6</v>
      </c>
      <c r="F8756">
        <v>0.25802999999999998</v>
      </c>
    </row>
    <row r="8757" spans="1:6" x14ac:dyDescent="0.3">
      <c r="A8757" t="s">
        <v>5</v>
      </c>
      <c r="B8757" s="1">
        <v>46022</v>
      </c>
      <c r="C8757">
        <v>20</v>
      </c>
      <c r="D8757">
        <v>5.5E-2</v>
      </c>
      <c r="E8757" t="s">
        <v>6</v>
      </c>
      <c r="F8757">
        <v>0.26657999999999998</v>
      </c>
    </row>
    <row r="8758" spans="1:6" x14ac:dyDescent="0.3">
      <c r="A8758" t="s">
        <v>5</v>
      </c>
      <c r="B8758" s="1">
        <v>46022</v>
      </c>
      <c r="C8758">
        <v>21</v>
      </c>
      <c r="D8758">
        <v>6.7000000000000004E-2</v>
      </c>
      <c r="E8758" t="s">
        <v>6</v>
      </c>
      <c r="F8758">
        <v>0.26371</v>
      </c>
    </row>
    <row r="8759" spans="1:6" x14ac:dyDescent="0.3">
      <c r="A8759" t="s">
        <v>5</v>
      </c>
      <c r="B8759" s="1">
        <v>46022</v>
      </c>
      <c r="C8759">
        <v>22</v>
      </c>
      <c r="D8759">
        <v>5.2999999999999999E-2</v>
      </c>
      <c r="E8759" t="s">
        <v>6</v>
      </c>
      <c r="F8759">
        <v>0.24521000000000001</v>
      </c>
    </row>
    <row r="8760" spans="1:6" x14ac:dyDescent="0.3">
      <c r="A8760" t="s">
        <v>5</v>
      </c>
      <c r="B8760" s="1">
        <v>46022</v>
      </c>
      <c r="C8760">
        <v>23</v>
      </c>
      <c r="D8760">
        <v>0.06</v>
      </c>
      <c r="E8760" t="s">
        <v>6</v>
      </c>
      <c r="F8760">
        <v>0.16722000000000001</v>
      </c>
    </row>
    <row r="8761" spans="1:6" x14ac:dyDescent="0.3">
      <c r="A8761" t="s">
        <v>5</v>
      </c>
      <c r="B8761" s="1">
        <v>46022</v>
      </c>
      <c r="C8761">
        <v>24</v>
      </c>
      <c r="D8761">
        <v>6.6000000000000003E-2</v>
      </c>
      <c r="E8761" t="s">
        <v>6</v>
      </c>
      <c r="F8761">
        <v>0.16059000000000001</v>
      </c>
    </row>
  </sheetData>
  <conditionalFormatting sqref="L2:W2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8CBFB-C2AC-4B64-8B5F-DA2AD0E0C9F8}">
  <dimension ref="A1:AQ8761"/>
  <sheetViews>
    <sheetView topLeftCell="A28" zoomScale="50" zoomScaleNormal="70" workbookViewId="0">
      <selection activeCell="L40" sqref="L40"/>
    </sheetView>
  </sheetViews>
  <sheetFormatPr defaultRowHeight="14.4" x14ac:dyDescent="0.3"/>
  <cols>
    <col min="2" max="2" width="12.109375" customWidth="1"/>
    <col min="3" max="3" width="11.77734375" customWidth="1"/>
    <col min="9" max="9" width="17.6640625" customWidth="1"/>
  </cols>
  <sheetData>
    <row r="1" spans="1:43" ht="73.8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39</v>
      </c>
      <c r="G1" s="2" t="s">
        <v>7</v>
      </c>
      <c r="H1" s="2" t="s">
        <v>8</v>
      </c>
      <c r="I1" s="6" t="s">
        <v>42</v>
      </c>
      <c r="K1" s="2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AO1" s="2" t="s">
        <v>7</v>
      </c>
      <c r="AP1" s="2" t="s">
        <v>37</v>
      </c>
      <c r="AQ1" s="2" t="s">
        <v>38</v>
      </c>
    </row>
    <row r="2" spans="1:43" x14ac:dyDescent="0.3">
      <c r="A2" t="s">
        <v>22</v>
      </c>
      <c r="B2" s="1">
        <v>45658</v>
      </c>
      <c r="C2">
        <v>1</v>
      </c>
      <c r="D2">
        <v>4.1070000000000002</v>
      </c>
      <c r="E2" t="s">
        <v>6</v>
      </c>
      <c r="F2">
        <v>0.18278999999999998</v>
      </c>
      <c r="G2">
        <v>1</v>
      </c>
      <c r="H2">
        <f>AVERAGEIF($C$2:$C$8761,1,$D$2:$D$8761)</f>
        <v>1.0615917808219175</v>
      </c>
      <c r="K2">
        <v>1</v>
      </c>
      <c r="L2" s="4">
        <f t="shared" ref="L2:L25" si="0">AVERAGEIFS($D$2:$D$8761,$C$2:$C$8761,$K2,$B$2:$B$8761,"&gt;="&amp;DATE(2025,1,1),$B$2:$B$8761,"&lt;"&amp;DATE(2025,2,1))</f>
        <v>1.6720322580645162</v>
      </c>
      <c r="M2" s="4">
        <f t="shared" ref="M2:M25" si="1">AVERAGEIFS($D$2:$D$8761,$C$2:$C$8761,$K2,$B$2:$B$8761,"&gt;="&amp;DATE(2025,2,1),$B$2:$B$8761,"&lt;"&amp;DATE(2025,3,1))</f>
        <v>1.4760714285714289</v>
      </c>
      <c r="N2" s="4">
        <f t="shared" ref="N2:N25" si="2">AVERAGEIFS($D$2:$D$8761,$C$2:$C$8761,$K2,$B$2:$B$8761,"&gt;="&amp;DATE(2025,3,1),$B$2:$B$8761,"&lt;"&amp;DATE(2025,4,1))</f>
        <v>1.3380645161290323</v>
      </c>
      <c r="O2" s="4">
        <f t="shared" ref="O2:O25" si="3">AVERAGEIFS($D$2:$D$8761,$C$2:$C$8761,$K2,$B$2:$B$8761,"&gt;="&amp;DATE(2025,4,1),$B$2:$B$8761,"&lt;"&amp;DATE(2025,5,1))</f>
        <v>1.1547666666666665</v>
      </c>
      <c r="P2" s="4">
        <f t="shared" ref="P2:P25" si="4">AVERAGEIFS($D$2:$D$8761,$C$2:$C$8761,$K2,$B$2:$B$8761,"&gt;="&amp;DATE(2025,5,1),$B$2:$B$8761,"&lt;"&amp;DATE(2025,6,1))</f>
        <v>0.71041935483870999</v>
      </c>
      <c r="Q2" s="4">
        <f t="shared" ref="Q2:Q25" si="5">AVERAGEIFS($D$2:$D$8761,$C$2:$C$8761,$K2,$B$2:$B$8761,"&gt;="&amp;DATE(2025,6,1),$B$2:$B$8761,"&lt;"&amp;DATE(2025,7,1))</f>
        <v>0.46129999999999993</v>
      </c>
      <c r="R2" s="4">
        <f t="shared" ref="R2:R25" si="6">AVERAGEIFS($D$2:$D$8761,$C$2:$C$8761,$K2,$B$2:$B$8761,"&gt;="&amp;DATE(2025,7,1),$B$2:$B$8761,"&lt;"&amp;DATE(2025,8,1))</f>
        <v>0.6569354838709679</v>
      </c>
      <c r="S2" s="4">
        <f t="shared" ref="S2:S25" si="7">AVERAGEIFS($D$2:$D$8761,$C$2:$C$8761,$K2,$B$2:$B$8761,"&gt;="&amp;DATE(2025,8,1),$B$2:$B$8761,"&lt;"&amp;DATE(2025,9,1))</f>
        <v>0.69851612903225824</v>
      </c>
      <c r="T2" s="4">
        <f t="shared" ref="T2:T25" si="8">AVERAGEIFS($D$2:$D$8761,$C$2:$C$8761,$K2,$B$2:$B$8761,"&gt;="&amp;DATE(2025,9,1),$B$2:$B$8761,"&lt;"&amp;DATE(2025,10,1))</f>
        <v>0.40190000000000009</v>
      </c>
      <c r="U2" s="4">
        <f t="shared" ref="U2:U25" si="9">AVERAGEIFS($D$2:$D$8761,$C$2:$C$8761,$K2,$B$2:$B$8761,"&gt;="&amp;DATE(2025,10,1),$B$2:$B$8761,"&lt;"&amp;DATE(2025,11,1))</f>
        <v>0.58703225806451598</v>
      </c>
      <c r="V2" s="4">
        <f t="shared" ref="V2:V25" si="10">AVERAGEIFS($D$2:$D$8761,$C$2:$C$8761,$K2,$B$2:$B$8761,"&gt;="&amp;DATE(2025,11,1),$B$2:$B$8761,"&lt;"&amp;DATE(2025,12,1))</f>
        <v>1.6746666666666667</v>
      </c>
      <c r="W2" s="4">
        <f t="shared" ref="W2:W25" si="11">AVERAGEIFS($D$2:$D$8761,$C$2:$C$8761,$K2,$B$2:$B$8761,"&gt;="&amp;DATE(2025,12,1),$B$2:$B$8761,"&lt;"&amp;DATE(2025,13,1))</f>
        <v>1.9296451612903223</v>
      </c>
      <c r="AO2">
        <v>1</v>
      </c>
      <c r="AP2" s="4">
        <f>(SUMIFS($D$2:$D$8761,$C$2:$C$8761,1,$B$2:$B$8761,"&gt;="&amp;DATE(2025,1,1),$B$2:$B$8761,"&lt;"&amp;DATE(2025,3,1))+SUMIFS($D$2:$D$8761,$C$2:$C$8761,1,$B$2:$B$8761,"&gt;="&amp;DATE(2025,12,1),$B$2:$B$8761,"&lt;"&amp;DATE(2026,1,1)))/(COUNTIFS($C$2:$C$8761,1,$B$2:$B$8761,"&gt;="&amp;DATE(2025,1,1),$B$2:$B$8761,"&lt;"&amp;DATE(2025,3,1))+COUNTIFS($C$2:$C$8761,1,$B$2:$B$8761,"&gt;="&amp;DATE(2025,12,1),$B$2:$B$8761,"&lt;"&amp;DATE(2026,1,1)))</f>
        <v>1.6997999999999993</v>
      </c>
      <c r="AQ2" s="4">
        <f>AVERAGEIFS($D$2:$D$8761,$C$2:$C$8761,1,$B$2:$B$8761,"&gt;="&amp;DATE(2025,6,1),$B$2:$B$8761,"&lt;"&amp;DATE(2025,9,1))</f>
        <v>0.60715217391304377</v>
      </c>
    </row>
    <row r="3" spans="1:43" x14ac:dyDescent="0.3">
      <c r="A3" t="s">
        <v>22</v>
      </c>
      <c r="B3" s="1">
        <v>45658</v>
      </c>
      <c r="C3">
        <v>2</v>
      </c>
      <c r="D3">
        <v>3.9329999999999998</v>
      </c>
      <c r="E3" t="s">
        <v>6</v>
      </c>
      <c r="F3">
        <v>0.18318999999999999</v>
      </c>
      <c r="G3">
        <v>2</v>
      </c>
      <c r="H3">
        <f>AVERAGEIF($C$2:$C$8761,2,$D$2:$D$8761)</f>
        <v>1.0892356164383561</v>
      </c>
      <c r="K3">
        <v>2</v>
      </c>
      <c r="L3" s="4">
        <f t="shared" si="0"/>
        <v>1.7916129032258059</v>
      </c>
      <c r="M3" s="4">
        <f t="shared" si="1"/>
        <v>1.5120714285714283</v>
      </c>
      <c r="N3" s="4">
        <f t="shared" si="2"/>
        <v>1.4227419354838711</v>
      </c>
      <c r="O3" s="4">
        <f t="shared" si="3"/>
        <v>1.4546666666666661</v>
      </c>
      <c r="P3" s="4">
        <f t="shared" si="4"/>
        <v>0.67393548387096769</v>
      </c>
      <c r="Q3" s="4">
        <f t="shared" si="5"/>
        <v>0.42323333333333335</v>
      </c>
      <c r="R3" s="4">
        <f t="shared" si="6"/>
        <v>0.57522580645161281</v>
      </c>
      <c r="S3" s="4">
        <f t="shared" si="7"/>
        <v>0.61474193548387102</v>
      </c>
      <c r="T3" s="4">
        <f t="shared" si="8"/>
        <v>0.31613333333333332</v>
      </c>
      <c r="U3" s="4">
        <f t="shared" si="9"/>
        <v>0.58587096774193548</v>
      </c>
      <c r="V3" s="4">
        <f t="shared" si="10"/>
        <v>1.8568333333333338</v>
      </c>
      <c r="W3" s="4">
        <f t="shared" si="11"/>
        <v>1.8748064516129037</v>
      </c>
      <c r="AO3">
        <v>2</v>
      </c>
      <c r="AP3" s="4">
        <f>(SUMIFS($D$2:$D$8761,$C$2:$C$8761,2,$B$2:$B$8761,"&gt;="&amp;DATE(2025,1,1),$B$2:$B$8761,"&lt;"&amp;DATE(2025,3,1))+SUMIFS($D$2:$D$8761,$C$2:$C$8761,2,$B$2:$B$8761,"&gt;="&amp;DATE(2025,12,1),$B$2:$B$8761,"&lt;"&amp;DATE(2026,1,1)))/(COUNTIFS($C$2:$C$8761,2,$B$2:$B$8761,"&gt;="&amp;DATE(2025,1,1),$B$2:$B$8761,"&lt;"&amp;DATE(2025,3,1))+COUNTIFS($C$2:$C$8761,2,$B$2:$B$8761,"&gt;="&amp;DATE(2025,12,1),$B$2:$B$8761,"&lt;"&amp;DATE(2026,1,1)))</f>
        <v>1.7333000000000001</v>
      </c>
      <c r="AQ3" s="4">
        <f>AVERAGEIFS($D$2:$D$8761,$C$2:$C$8761,2,$B$2:$B$8761,"&gt;="&amp;DATE(2025,6,1),$B$2:$B$8761,"&lt;"&amp;DATE(2025,9,1))</f>
        <v>0.53897826086956535</v>
      </c>
    </row>
    <row r="4" spans="1:43" x14ac:dyDescent="0.3">
      <c r="A4" t="s">
        <v>22</v>
      </c>
      <c r="B4" s="1">
        <v>45658</v>
      </c>
      <c r="C4">
        <v>3</v>
      </c>
      <c r="D4">
        <v>4.5039999999999996</v>
      </c>
      <c r="E4" t="s">
        <v>6</v>
      </c>
      <c r="F4">
        <v>0.18874000000000002</v>
      </c>
      <c r="G4">
        <v>3</v>
      </c>
      <c r="H4">
        <f>AVERAGEIF($C$2:$C$8761,3,$D$2:$D$8761)</f>
        <v>1.1037643835616444</v>
      </c>
      <c r="K4">
        <v>3</v>
      </c>
      <c r="L4" s="4">
        <f t="shared" si="0"/>
        <v>1.9750645161290319</v>
      </c>
      <c r="M4" s="4">
        <f t="shared" si="1"/>
        <v>1.545071428571428</v>
      </c>
      <c r="N4" s="4">
        <f t="shared" si="2"/>
        <v>1.451774193548387</v>
      </c>
      <c r="O4" s="4">
        <f t="shared" si="3"/>
        <v>1.4584333333333332</v>
      </c>
      <c r="P4" s="4">
        <f t="shared" si="4"/>
        <v>0.70922580645161293</v>
      </c>
      <c r="Q4" s="4">
        <f t="shared" si="5"/>
        <v>0.47070000000000006</v>
      </c>
      <c r="R4" s="4">
        <f t="shared" si="6"/>
        <v>0.55248387096774176</v>
      </c>
      <c r="S4" s="4">
        <f t="shared" si="7"/>
        <v>0.55883870967741933</v>
      </c>
      <c r="T4" s="4">
        <f t="shared" si="8"/>
        <v>0.28856666666666669</v>
      </c>
      <c r="U4" s="4">
        <f t="shared" si="9"/>
        <v>0.62380645161290316</v>
      </c>
      <c r="V4" s="4">
        <f t="shared" si="10"/>
        <v>1.802</v>
      </c>
      <c r="W4" s="4">
        <f t="shared" si="11"/>
        <v>1.8391612903225802</v>
      </c>
      <c r="AO4">
        <v>3</v>
      </c>
      <c r="AP4" s="4">
        <f>(SUMIFS($D$2:$D$8761,$C$2:$C$8761,3,$B$2:$B$8761,"&gt;="&amp;DATE(2025,1,1),$B$2:$B$8761,"&lt;"&amp;DATE(2025,3,1))+SUMIFS($D$2:$D$8761,$C$2:$C$8761,3,$B$2:$B$8761,"&gt;="&amp;DATE(2025,12,1),$B$2:$B$8761,"&lt;"&amp;DATE(2026,1,1)))/(COUNTIFS($C$2:$C$8761,3,$B$2:$B$8761,"&gt;="&amp;DATE(2025,1,1),$B$2:$B$8761,"&lt;"&amp;DATE(2025,3,1))+COUNTIFS($C$2:$C$8761,3,$B$2:$B$8761,"&gt;="&amp;DATE(2025,12,1),$B$2:$B$8761,"&lt;"&amp;DATE(2026,1,1)))</f>
        <v>1.7944777777777776</v>
      </c>
      <c r="AQ4" s="4">
        <f>AVERAGEIFS($D$2:$D$8761,$C$2:$C$8761,3,$B$2:$B$8761,"&gt;="&amp;DATE(2025,6,1),$B$2:$B$8761,"&lt;"&amp;DATE(2025,9,1))</f>
        <v>0.52795652173913044</v>
      </c>
    </row>
    <row r="5" spans="1:43" x14ac:dyDescent="0.3">
      <c r="A5" t="s">
        <v>22</v>
      </c>
      <c r="B5" s="1">
        <v>45658</v>
      </c>
      <c r="C5">
        <v>4</v>
      </c>
      <c r="D5">
        <v>4.048</v>
      </c>
      <c r="E5" t="s">
        <v>6</v>
      </c>
      <c r="F5">
        <v>0.18777000000000002</v>
      </c>
      <c r="G5">
        <v>4</v>
      </c>
      <c r="H5">
        <f>AVERAGEIF($C$2:$C$8761,4,$D$2:$D$8761)</f>
        <v>1.157775342465752</v>
      </c>
      <c r="K5">
        <v>4</v>
      </c>
      <c r="L5" s="4">
        <f t="shared" si="0"/>
        <v>2.2236451612903227</v>
      </c>
      <c r="M5" s="4">
        <f t="shared" si="1"/>
        <v>1.4413214285714286</v>
      </c>
      <c r="N5" s="4">
        <f t="shared" si="2"/>
        <v>1.5988709677419357</v>
      </c>
      <c r="O5" s="4">
        <f t="shared" si="3"/>
        <v>1.5202000000000002</v>
      </c>
      <c r="P5" s="4">
        <f t="shared" si="4"/>
        <v>0.77167741935483869</v>
      </c>
      <c r="Q5" s="4">
        <f t="shared" si="5"/>
        <v>0.37883333333333336</v>
      </c>
      <c r="R5" s="4">
        <f t="shared" si="6"/>
        <v>0.53425806451612901</v>
      </c>
      <c r="S5" s="4">
        <f t="shared" si="7"/>
        <v>0.58264516129032251</v>
      </c>
      <c r="T5" s="4">
        <f t="shared" si="8"/>
        <v>0.35160000000000002</v>
      </c>
      <c r="U5" s="4">
        <f t="shared" si="9"/>
        <v>0.64864516129032257</v>
      </c>
      <c r="V5" s="4">
        <f t="shared" si="10"/>
        <v>1.8720333333333337</v>
      </c>
      <c r="W5" s="4">
        <f t="shared" si="11"/>
        <v>1.9806129032258066</v>
      </c>
      <c r="AO5">
        <v>4</v>
      </c>
      <c r="AP5" s="4">
        <f>(SUMIFS($D$2:$D$8761,$C$2:$C$8761,4,$B$2:$B$8761,"&gt;="&amp;DATE(2025,1,1),$B$2:$B$8761,"&lt;"&amp;DATE(2025,3,1))+SUMIFS($D$2:$D$8761,$C$2:$C$8761,4,$B$2:$B$8761,"&gt;="&amp;DATE(2025,12,1),$B$2:$B$8761,"&lt;"&amp;DATE(2026,1,1)))/(COUNTIFS($C$2:$C$8761,4,$B$2:$B$8761,"&gt;="&amp;DATE(2025,1,1),$B$2:$B$8761,"&lt;"&amp;DATE(2025,3,1))+COUNTIFS($C$2:$C$8761,4,$B$2:$B$8761,"&gt;="&amp;DATE(2025,12,1),$B$2:$B$8761,"&lt;"&amp;DATE(2026,1,1)))</f>
        <v>1.8965444444444444</v>
      </c>
      <c r="AQ5" s="4">
        <f>AVERAGEIFS($D$2:$D$8761,$C$2:$C$8761,4,$B$2:$B$8761,"&gt;="&amp;DATE(2025,6,1),$B$2:$B$8761,"&lt;"&amp;DATE(2025,9,1))</f>
        <v>0.49988043478260857</v>
      </c>
    </row>
    <row r="6" spans="1:43" x14ac:dyDescent="0.3">
      <c r="A6" t="s">
        <v>22</v>
      </c>
      <c r="B6" s="1">
        <v>45658</v>
      </c>
      <c r="C6">
        <v>5</v>
      </c>
      <c r="D6">
        <v>3.944</v>
      </c>
      <c r="E6" t="s">
        <v>6</v>
      </c>
      <c r="F6">
        <v>0.18018999999999999</v>
      </c>
      <c r="G6">
        <v>5</v>
      </c>
      <c r="H6">
        <f>AVERAGEIF($C$2:$C$8761,5,$D$2:$D$8761)</f>
        <v>1.2767260273972598</v>
      </c>
      <c r="K6">
        <v>5</v>
      </c>
      <c r="L6" s="4">
        <f t="shared" si="0"/>
        <v>2.9224516129032261</v>
      </c>
      <c r="M6" s="4">
        <f t="shared" si="1"/>
        <v>1.7642500000000001</v>
      </c>
      <c r="N6" s="4">
        <f t="shared" si="2"/>
        <v>1.8441612903225804</v>
      </c>
      <c r="O6" s="4">
        <f t="shared" si="3"/>
        <v>1.4528333333333336</v>
      </c>
      <c r="P6" s="4">
        <f t="shared" si="4"/>
        <v>0.81993548387096782</v>
      </c>
      <c r="Q6" s="4">
        <f t="shared" si="5"/>
        <v>0.41623333333333329</v>
      </c>
      <c r="R6" s="4">
        <f t="shared" si="6"/>
        <v>0.58841935483870977</v>
      </c>
      <c r="S6" s="4">
        <f t="shared" si="7"/>
        <v>0.58109677419354844</v>
      </c>
      <c r="T6" s="4">
        <f t="shared" si="8"/>
        <v>0.36776666666666669</v>
      </c>
      <c r="U6" s="4">
        <f t="shared" si="9"/>
        <v>0.69961290322580649</v>
      </c>
      <c r="V6" s="4">
        <f t="shared" si="10"/>
        <v>1.9492666666666665</v>
      </c>
      <c r="W6" s="4">
        <f t="shared" si="11"/>
        <v>1.9321612903225807</v>
      </c>
      <c r="AO6">
        <v>5</v>
      </c>
      <c r="AP6" s="4">
        <f>(SUMIFS($D$2:$D$8761,$C$2:$C$8761,5,$B$2:$B$8761,"&gt;="&amp;DATE(2025,1,1),$B$2:$B$8761,"&lt;"&amp;DATE(2025,3,1))+SUMIFS($D$2:$D$8761,$C$2:$C$8761,5,$B$2:$B$8761,"&gt;="&amp;DATE(2025,12,1),$B$2:$B$8761,"&lt;"&amp;DATE(2026,1,1)))/(COUNTIFS($C$2:$C$8761,5,$B$2:$B$8761,"&gt;="&amp;DATE(2025,1,1),$B$2:$B$8761,"&lt;"&amp;DATE(2025,3,1))+COUNTIFS($C$2:$C$8761,5,$B$2:$B$8761,"&gt;="&amp;DATE(2025,12,1),$B$2:$B$8761,"&lt;"&amp;DATE(2026,1,1)))</f>
        <v>2.221022222222222</v>
      </c>
      <c r="AQ6" s="4">
        <f>AVERAGEIFS($D$2:$D$8761,$C$2:$C$8761,5,$B$2:$B$8761,"&gt;="&amp;DATE(2025,6,1),$B$2:$B$8761,"&lt;"&amp;DATE(2025,9,1))</f>
        <v>0.5298043478260871</v>
      </c>
    </row>
    <row r="7" spans="1:43" x14ac:dyDescent="0.3">
      <c r="A7" t="s">
        <v>22</v>
      </c>
      <c r="B7" s="1">
        <v>45658</v>
      </c>
      <c r="C7">
        <v>6</v>
      </c>
      <c r="D7">
        <v>3.89</v>
      </c>
      <c r="E7" t="s">
        <v>6</v>
      </c>
      <c r="F7">
        <v>0.17230000000000001</v>
      </c>
      <c r="G7">
        <v>6</v>
      </c>
      <c r="H7">
        <f>AVERAGEIF($C$2:$C$8761,6,$D$2:$D$8761)</f>
        <v>1.4044712328767137</v>
      </c>
      <c r="K7">
        <v>6</v>
      </c>
      <c r="L7" s="4">
        <f t="shared" si="0"/>
        <v>3.2110967741935492</v>
      </c>
      <c r="M7" s="4">
        <f t="shared" si="1"/>
        <v>2.3072142857142852</v>
      </c>
      <c r="N7" s="4">
        <f t="shared" si="2"/>
        <v>2.1794516129032258</v>
      </c>
      <c r="O7" s="4">
        <f t="shared" si="3"/>
        <v>1.4648333333333337</v>
      </c>
      <c r="P7" s="4">
        <f t="shared" si="4"/>
        <v>0.86964516129032265</v>
      </c>
      <c r="Q7" s="4">
        <f t="shared" si="5"/>
        <v>0.48209999999999997</v>
      </c>
      <c r="R7" s="4">
        <f t="shared" si="6"/>
        <v>0.52335483870967736</v>
      </c>
      <c r="S7" s="4">
        <f t="shared" si="7"/>
        <v>0.55074193548387107</v>
      </c>
      <c r="T7" s="4">
        <f t="shared" si="8"/>
        <v>0.33066666666666666</v>
      </c>
      <c r="U7" s="4">
        <f t="shared" si="9"/>
        <v>0.69151612903225801</v>
      </c>
      <c r="V7" s="4">
        <f t="shared" si="10"/>
        <v>2.2280000000000002</v>
      </c>
      <c r="W7" s="4">
        <f t="shared" si="11"/>
        <v>2.0665161290322582</v>
      </c>
      <c r="AO7">
        <v>6</v>
      </c>
      <c r="AP7" s="4">
        <f>(SUMIFS($D$2:$D$8761,$C$2:$C$8761,6,$B$2:$B$8761,"&gt;="&amp;DATE(2025,1,1),$B$2:$B$8761,"&lt;"&amp;DATE(2025,3,1))+SUMIFS($D$2:$D$8761,$C$2:$C$8761,6,$B$2:$B$8761,"&gt;="&amp;DATE(2025,12,1),$B$2:$B$8761,"&lt;"&amp;DATE(2026,1,1)))/(COUNTIFS($C$2:$C$8761,6,$B$2:$B$8761,"&gt;="&amp;DATE(2025,1,1),$B$2:$B$8761,"&lt;"&amp;DATE(2025,3,1))+COUNTIFS($C$2:$C$8761,6,$B$2:$B$8761,"&gt;="&amp;DATE(2025,12,1),$B$2:$B$8761,"&lt;"&amp;DATE(2026,1,1)))</f>
        <v>2.5356444444444453</v>
      </c>
      <c r="AQ7" s="4">
        <f>AVERAGEIFS($D$2:$D$8761,$C$2:$C$8761,6,$B$2:$B$8761,"&gt;="&amp;DATE(2025,6,1),$B$2:$B$8761,"&lt;"&amp;DATE(2025,9,1))</f>
        <v>0.51913043478260856</v>
      </c>
    </row>
    <row r="8" spans="1:43" x14ac:dyDescent="0.3">
      <c r="A8" t="s">
        <v>22</v>
      </c>
      <c r="B8" s="1">
        <v>45658</v>
      </c>
      <c r="C8">
        <v>7</v>
      </c>
      <c r="D8">
        <v>3.4649999999999999</v>
      </c>
      <c r="E8" t="s">
        <v>6</v>
      </c>
      <c r="F8">
        <v>0.17127999999999999</v>
      </c>
      <c r="G8">
        <v>7</v>
      </c>
      <c r="H8">
        <f>AVERAGEIF($C$2:$C$8761,7,$D$2:$D$8761)</f>
        <v>1.4620712328767116</v>
      </c>
      <c r="K8">
        <v>7</v>
      </c>
      <c r="L8" s="4">
        <f t="shared" si="0"/>
        <v>3.339064516129032</v>
      </c>
      <c r="M8" s="4">
        <f t="shared" si="1"/>
        <v>2.5742857142857143</v>
      </c>
      <c r="N8" s="4">
        <f t="shared" si="2"/>
        <v>2.2945161290322575</v>
      </c>
      <c r="O8" s="4">
        <f t="shared" si="3"/>
        <v>1.5995999999999999</v>
      </c>
      <c r="P8" s="4">
        <f t="shared" si="4"/>
        <v>0.83083870967741957</v>
      </c>
      <c r="Q8" s="4">
        <f t="shared" si="5"/>
        <v>0.35283333333333322</v>
      </c>
      <c r="R8" s="4">
        <f t="shared" si="6"/>
        <v>0.52829032258064512</v>
      </c>
      <c r="S8" s="4">
        <f t="shared" si="7"/>
        <v>0.51196774193548367</v>
      </c>
      <c r="T8" s="4">
        <f t="shared" si="8"/>
        <v>0.34133333333333332</v>
      </c>
      <c r="U8" s="4">
        <f t="shared" si="9"/>
        <v>0.7131935483870967</v>
      </c>
      <c r="V8" s="4">
        <f t="shared" si="10"/>
        <v>2.1670666666666665</v>
      </c>
      <c r="W8" s="4">
        <f t="shared" si="11"/>
        <v>2.3547419354838706</v>
      </c>
      <c r="AO8">
        <v>7</v>
      </c>
      <c r="AP8" s="4">
        <f>(SUMIFS($D$2:$D$8761,$C$2:$C$8761,7,$B$2:$B$8761,"&gt;="&amp;DATE(2025,1,1),$B$2:$B$8761,"&lt;"&amp;DATE(2025,3,1))+SUMIFS($D$2:$D$8761,$C$2:$C$8761,7,$B$2:$B$8761,"&gt;="&amp;DATE(2025,12,1),$B$2:$B$8761,"&lt;"&amp;DATE(2026,1,1)))/(COUNTIFS($C$2:$C$8761,7,$B$2:$B$8761,"&gt;="&amp;DATE(2025,1,1),$B$2:$B$8761,"&lt;"&amp;DATE(2025,3,1))+COUNTIFS($C$2:$C$8761,7,$B$2:$B$8761,"&gt;="&amp;DATE(2025,12,1),$B$2:$B$8761,"&lt;"&amp;DATE(2026,1,1)))</f>
        <v>2.7620888888888886</v>
      </c>
      <c r="AQ8" s="4">
        <f>AVERAGEIFS($D$2:$D$8761,$C$2:$C$8761,7,$B$2:$B$8761,"&gt;="&amp;DATE(2025,6,1),$B$2:$B$8761,"&lt;"&amp;DATE(2025,9,1))</f>
        <v>0.4655760869565217</v>
      </c>
    </row>
    <row r="9" spans="1:43" x14ac:dyDescent="0.3">
      <c r="A9" t="s">
        <v>22</v>
      </c>
      <c r="B9" s="1">
        <v>45658</v>
      </c>
      <c r="C9">
        <v>8</v>
      </c>
      <c r="D9">
        <v>0.104</v>
      </c>
      <c r="E9" t="s">
        <v>6</v>
      </c>
      <c r="F9">
        <v>0.16789999999999999</v>
      </c>
      <c r="G9">
        <v>8</v>
      </c>
      <c r="H9">
        <f>AVERAGEIF($C$2:$C$8761,8,$D$2:$D$8761)</f>
        <v>1.6382904109589047</v>
      </c>
      <c r="K9">
        <v>8</v>
      </c>
      <c r="L9" s="4">
        <f t="shared" si="0"/>
        <v>3.4891290322580639</v>
      </c>
      <c r="M9" s="4">
        <f t="shared" si="1"/>
        <v>3.1903571428571427</v>
      </c>
      <c r="N9" s="4">
        <f t="shared" si="2"/>
        <v>2.2984516129032255</v>
      </c>
      <c r="O9" s="4">
        <f t="shared" si="3"/>
        <v>1.7533666666666661</v>
      </c>
      <c r="P9" s="4">
        <f t="shared" si="4"/>
        <v>1.0836129032258064</v>
      </c>
      <c r="Q9" s="4">
        <f t="shared" si="5"/>
        <v>0.41843333333333343</v>
      </c>
      <c r="R9" s="4">
        <f t="shared" si="6"/>
        <v>0.38077419354838721</v>
      </c>
      <c r="S9" s="4">
        <f t="shared" si="7"/>
        <v>0.46790322580645172</v>
      </c>
      <c r="T9" s="4">
        <f t="shared" si="8"/>
        <v>0.6329999999999999</v>
      </c>
      <c r="U9" s="4">
        <f t="shared" si="9"/>
        <v>1.0496451612903226</v>
      </c>
      <c r="V9" s="4">
        <f t="shared" si="10"/>
        <v>2.3566000000000003</v>
      </c>
      <c r="W9" s="4">
        <f t="shared" si="11"/>
        <v>2.6435161290322582</v>
      </c>
      <c r="AO9">
        <v>8</v>
      </c>
      <c r="AP9" s="4">
        <f>(SUMIFS($D$2:$D$8761,$C$2:$C$8761,8,$B$2:$B$8761,"&gt;="&amp;DATE(2025,1,1),$B$2:$B$8761,"&lt;"&amp;DATE(2025,3,1))+SUMIFS($D$2:$D$8761,$C$2:$C$8761,8,$B$2:$B$8761,"&gt;="&amp;DATE(2025,12,1),$B$2:$B$8761,"&lt;"&amp;DATE(2026,1,1)))/(COUNTIFS($C$2:$C$8761,8,$B$2:$B$8761,"&gt;="&amp;DATE(2025,1,1),$B$2:$B$8761,"&lt;"&amp;DATE(2025,3,1))+COUNTIFS($C$2:$C$8761,8,$B$2:$B$8761,"&gt;="&amp;DATE(2025,12,1),$B$2:$B$8761,"&lt;"&amp;DATE(2026,1,1)))</f>
        <v>3.1049111111111114</v>
      </c>
      <c r="AQ9" s="4">
        <f>AVERAGEIFS($D$2:$D$8761,$C$2:$C$8761,8,$B$2:$B$8761,"&gt;="&amp;DATE(2025,6,1),$B$2:$B$8761,"&lt;"&amp;DATE(2025,9,1))</f>
        <v>0.42241304347826086</v>
      </c>
    </row>
    <row r="10" spans="1:43" x14ac:dyDescent="0.3">
      <c r="A10" t="s">
        <v>22</v>
      </c>
      <c r="B10" s="1">
        <v>45658</v>
      </c>
      <c r="C10">
        <v>9</v>
      </c>
      <c r="D10">
        <v>7.2999999999999995E-2</v>
      </c>
      <c r="E10" t="s">
        <v>6</v>
      </c>
      <c r="F10">
        <v>0.16597999999999999</v>
      </c>
      <c r="G10">
        <v>9</v>
      </c>
      <c r="H10">
        <f>AVERAGEIF($C$2:$C$8761,9,$D$2:$D$8761)</f>
        <v>1.3460109589041096</v>
      </c>
      <c r="K10">
        <v>9</v>
      </c>
      <c r="L10" s="4">
        <f t="shared" si="0"/>
        <v>3.1723225806451616</v>
      </c>
      <c r="M10" s="4">
        <f t="shared" si="1"/>
        <v>2.8760357142857145</v>
      </c>
      <c r="N10" s="4">
        <f t="shared" si="2"/>
        <v>1.8102903225806448</v>
      </c>
      <c r="O10" s="4">
        <f t="shared" si="3"/>
        <v>1.2525000000000004</v>
      </c>
      <c r="P10" s="4">
        <f t="shared" si="4"/>
        <v>0.49858064516129025</v>
      </c>
      <c r="Q10" s="4">
        <f t="shared" si="5"/>
        <v>0.67270000000000008</v>
      </c>
      <c r="R10" s="4">
        <f t="shared" si="6"/>
        <v>0.39790322580645165</v>
      </c>
      <c r="S10" s="4">
        <f t="shared" si="7"/>
        <v>0.19393548387096773</v>
      </c>
      <c r="T10" s="4">
        <f t="shared" si="8"/>
        <v>0.33066666666666661</v>
      </c>
      <c r="U10" s="4">
        <f t="shared" si="9"/>
        <v>0.95412903225806445</v>
      </c>
      <c r="V10" s="4">
        <f t="shared" si="10"/>
        <v>1.6685333333333332</v>
      </c>
      <c r="W10" s="4">
        <f t="shared" si="11"/>
        <v>2.4255161290322569</v>
      </c>
      <c r="AO10">
        <v>9</v>
      </c>
      <c r="AP10" s="4">
        <f>(SUMIFS($D$2:$D$8761,$C$2:$C$8761,9,$B$2:$B$8761,"&gt;="&amp;DATE(2025,1,1),$B$2:$B$8761,"&lt;"&amp;DATE(2025,3,1))+SUMIFS($D$2:$D$8761,$C$2:$C$8761,9,$B$2:$B$8761,"&gt;="&amp;DATE(2025,12,1),$B$2:$B$8761,"&lt;"&amp;DATE(2026,1,1)))/(COUNTIFS($C$2:$C$8761,9,$B$2:$B$8761,"&gt;="&amp;DATE(2025,1,1),$B$2:$B$8761,"&lt;"&amp;DATE(2025,3,1))+COUNTIFS($C$2:$C$8761,9,$B$2:$B$8761,"&gt;="&amp;DATE(2025,12,1),$B$2:$B$8761,"&lt;"&amp;DATE(2026,1,1)))</f>
        <v>2.8229111111111114</v>
      </c>
      <c r="AQ10" s="4">
        <f>AVERAGEIFS($D$2:$D$8761,$C$2:$C$8761,9,$B$2:$B$8761,"&gt;="&amp;DATE(2025,6,1),$B$2:$B$8761,"&lt;"&amp;DATE(2025,9,1))</f>
        <v>0.41878260869565231</v>
      </c>
    </row>
    <row r="11" spans="1:43" x14ac:dyDescent="0.3">
      <c r="A11" t="s">
        <v>22</v>
      </c>
      <c r="B11" s="1">
        <v>45658</v>
      </c>
      <c r="C11">
        <v>10</v>
      </c>
      <c r="D11">
        <v>8.4000000000000005E-2</v>
      </c>
      <c r="E11" t="s">
        <v>6</v>
      </c>
      <c r="F11">
        <v>0.42314999999999997</v>
      </c>
      <c r="G11">
        <v>10</v>
      </c>
      <c r="H11">
        <f>AVERAGEIF($C$2:$C$8761,10,$D$2:$D$8761)</f>
        <v>1.0853260273972609</v>
      </c>
      <c r="K11">
        <v>10</v>
      </c>
      <c r="L11" s="4">
        <f t="shared" si="0"/>
        <v>1.9807741935483869</v>
      </c>
      <c r="M11" s="4">
        <f t="shared" si="1"/>
        <v>1.9572857142857145</v>
      </c>
      <c r="N11" s="4">
        <f t="shared" si="2"/>
        <v>1.3611935483870967</v>
      </c>
      <c r="O11" s="4">
        <f t="shared" si="3"/>
        <v>0.75790000000000002</v>
      </c>
      <c r="P11" s="4">
        <f t="shared" si="4"/>
        <v>0.5248387096774193</v>
      </c>
      <c r="Q11" s="4">
        <f t="shared" si="5"/>
        <v>0.8112666666666668</v>
      </c>
      <c r="R11" s="4">
        <f t="shared" si="6"/>
        <v>0.32538709677419358</v>
      </c>
      <c r="S11" s="4">
        <f t="shared" si="7"/>
        <v>0.5169999999999999</v>
      </c>
      <c r="T11" s="4">
        <f t="shared" si="8"/>
        <v>0.87839999999999985</v>
      </c>
      <c r="U11" s="4">
        <f t="shared" si="9"/>
        <v>1.0772580645161294</v>
      </c>
      <c r="V11" s="4">
        <f t="shared" si="10"/>
        <v>1.1032666666666666</v>
      </c>
      <c r="W11" s="4">
        <f t="shared" si="11"/>
        <v>1.788225806451613</v>
      </c>
      <c r="AO11">
        <v>10</v>
      </c>
      <c r="AP11" s="4">
        <f>(SUMIFS($D$2:$D$8761,$C$2:$C$8761,10,$B$2:$B$8761,"&gt;="&amp;DATE(2025,1,1),$B$2:$B$8761,"&lt;"&amp;DATE(2025,3,1))+SUMIFS($D$2:$D$8761,$C$2:$C$8761,10,$B$2:$B$8761,"&gt;="&amp;DATE(2025,12,1),$B$2:$B$8761,"&lt;"&amp;DATE(2026,1,1)))/(COUNTIFS($C$2:$C$8761,10,$B$2:$B$8761,"&gt;="&amp;DATE(2025,1,1),$B$2:$B$8761,"&lt;"&amp;DATE(2025,3,1))+COUNTIFS($C$2:$C$8761,10,$B$2:$B$8761,"&gt;="&amp;DATE(2025,12,1),$B$2:$B$8761,"&lt;"&amp;DATE(2026,1,1)))</f>
        <v>1.9071444444444441</v>
      </c>
      <c r="AQ11" s="4">
        <f>AVERAGEIFS($D$2:$D$8761,$C$2:$C$8761,10,$B$2:$B$8761,"&gt;="&amp;DATE(2025,6,1),$B$2:$B$8761,"&lt;"&amp;DATE(2025,9,1))</f>
        <v>0.54839130434782601</v>
      </c>
    </row>
    <row r="12" spans="1:43" x14ac:dyDescent="0.3">
      <c r="A12" t="s">
        <v>22</v>
      </c>
      <c r="B12" s="1">
        <v>45658</v>
      </c>
      <c r="C12">
        <v>11</v>
      </c>
      <c r="D12">
        <v>1.0920000000000001</v>
      </c>
      <c r="E12" t="s">
        <v>6</v>
      </c>
      <c r="F12">
        <v>7.4950000000000003E-2</v>
      </c>
      <c r="G12">
        <v>11</v>
      </c>
      <c r="H12">
        <f>AVERAGEIF($C$2:$C$8761,11,$D$2:$D$8761)</f>
        <v>0.80486575342465783</v>
      </c>
      <c r="K12">
        <v>11</v>
      </c>
      <c r="L12" s="4">
        <f t="shared" si="0"/>
        <v>1.0828387096774192</v>
      </c>
      <c r="M12" s="4">
        <f t="shared" si="1"/>
        <v>0.98732142857142868</v>
      </c>
      <c r="N12" s="4">
        <f t="shared" si="2"/>
        <v>1.3095806451612904</v>
      </c>
      <c r="O12" s="4">
        <f t="shared" si="3"/>
        <v>0.53306666666666658</v>
      </c>
      <c r="P12" s="4">
        <f t="shared" si="4"/>
        <v>0.46512903225806451</v>
      </c>
      <c r="Q12" s="4">
        <f t="shared" si="5"/>
        <v>0.70176666666666665</v>
      </c>
      <c r="R12" s="4">
        <f t="shared" si="6"/>
        <v>0.22832258064516128</v>
      </c>
      <c r="S12" s="4">
        <f t="shared" si="7"/>
        <v>0.50325806451612909</v>
      </c>
      <c r="T12" s="4">
        <f t="shared" si="8"/>
        <v>0.82139999999999991</v>
      </c>
      <c r="U12" s="4">
        <f t="shared" si="9"/>
        <v>0.94890322580645159</v>
      </c>
      <c r="V12" s="4">
        <f t="shared" si="10"/>
        <v>0.66663333333333341</v>
      </c>
      <c r="W12" s="4">
        <f t="shared" si="11"/>
        <v>1.4118064516129032</v>
      </c>
      <c r="AO12">
        <v>11</v>
      </c>
      <c r="AP12" s="4">
        <f>(SUMIFS($D$2:$D$8761,$C$2:$C$8761,11,$B$2:$B$8761,"&gt;="&amp;DATE(2025,1,1),$B$2:$B$8761,"&lt;"&amp;DATE(2025,3,1))+SUMIFS($D$2:$D$8761,$C$2:$C$8761,11,$B$2:$B$8761,"&gt;="&amp;DATE(2025,12,1),$B$2:$B$8761,"&lt;"&amp;DATE(2026,1,1)))/(COUNTIFS($C$2:$C$8761,11,$B$2:$B$8761,"&gt;="&amp;DATE(2025,1,1),$B$2:$B$8761,"&lt;"&amp;DATE(2025,3,1))+COUNTIFS($C$2:$C$8761,11,$B$2:$B$8761,"&gt;="&amp;DATE(2025,12,1),$B$2:$B$8761,"&lt;"&amp;DATE(2026,1,1)))</f>
        <v>1.1664333333333332</v>
      </c>
      <c r="AQ12" s="4">
        <f>AVERAGEIFS($D$2:$D$8761,$C$2:$C$8761,11,$B$2:$B$8761,"&gt;="&amp;DATE(2025,6,1),$B$2:$B$8761,"&lt;"&amp;DATE(2025,9,1))</f>
        <v>0.47534782608695642</v>
      </c>
    </row>
    <row r="13" spans="1:43" x14ac:dyDescent="0.3">
      <c r="A13" t="s">
        <v>22</v>
      </c>
      <c r="B13" s="1">
        <v>45658</v>
      </c>
      <c r="C13">
        <v>12</v>
      </c>
      <c r="D13">
        <v>2.7909999999999999</v>
      </c>
      <c r="E13" t="s">
        <v>6</v>
      </c>
      <c r="F13">
        <v>4.9750000000000003E-2</v>
      </c>
      <c r="G13">
        <v>12</v>
      </c>
      <c r="H13">
        <f>AVERAGEIF($C$2:$C$8761,12,$D$2:$D$8761)</f>
        <v>0.58647945205479479</v>
      </c>
      <c r="K13">
        <v>12</v>
      </c>
      <c r="L13" s="4">
        <f t="shared" si="0"/>
        <v>0.56409677419354842</v>
      </c>
      <c r="M13" s="4">
        <f t="shared" si="1"/>
        <v>0.75935714285714284</v>
      </c>
      <c r="N13" s="4">
        <f t="shared" si="2"/>
        <v>1.2709354838709681</v>
      </c>
      <c r="O13" s="4">
        <f t="shared" si="3"/>
        <v>0.29743333333333333</v>
      </c>
      <c r="P13" s="4">
        <f t="shared" si="4"/>
        <v>0.3936129032258065</v>
      </c>
      <c r="Q13" s="4">
        <f t="shared" si="5"/>
        <v>0.60773333333333324</v>
      </c>
      <c r="R13" s="4">
        <f t="shared" si="6"/>
        <v>0.17087096774193547</v>
      </c>
      <c r="S13" s="4">
        <f t="shared" si="7"/>
        <v>0.48680645161290326</v>
      </c>
      <c r="T13" s="4">
        <f t="shared" si="8"/>
        <v>0.60576666666666656</v>
      </c>
      <c r="U13" s="4">
        <f t="shared" si="9"/>
        <v>0.48964516129032265</v>
      </c>
      <c r="V13" s="4">
        <f t="shared" si="10"/>
        <v>0.41289999999999988</v>
      </c>
      <c r="W13" s="4">
        <f t="shared" si="11"/>
        <v>0.981709677419355</v>
      </c>
      <c r="AO13">
        <v>12</v>
      </c>
      <c r="AP13" s="4">
        <f>(SUMIFS($D$2:$D$8761,$C$2:$C$8761,12,$B$2:$B$8761,"&gt;="&amp;DATE(2025,1,1),$B$2:$B$8761,"&lt;"&amp;DATE(2025,3,1))+SUMIFS($D$2:$D$8761,$C$2:$C$8761,12,$B$2:$B$8761,"&gt;="&amp;DATE(2025,12,1),$B$2:$B$8761,"&lt;"&amp;DATE(2026,1,1)))/(COUNTIFS($C$2:$C$8761,12,$B$2:$B$8761,"&gt;="&amp;DATE(2025,1,1),$B$2:$B$8761,"&lt;"&amp;DATE(2025,3,1))+COUNTIFS($C$2:$C$8761,12,$B$2:$B$8761,"&gt;="&amp;DATE(2025,12,1),$B$2:$B$8761,"&lt;"&amp;DATE(2026,1,1)))</f>
        <v>0.76868888888888887</v>
      </c>
      <c r="AQ13" s="4">
        <f>AVERAGEIFS($D$2:$D$8761,$C$2:$C$8761,12,$B$2:$B$8761,"&gt;="&amp;DATE(2025,6,1),$B$2:$B$8761,"&lt;"&amp;DATE(2025,9,1))</f>
        <v>0.41978260869565215</v>
      </c>
    </row>
    <row r="14" spans="1:43" x14ac:dyDescent="0.3">
      <c r="A14" t="s">
        <v>22</v>
      </c>
      <c r="B14" s="1">
        <v>45658</v>
      </c>
      <c r="C14">
        <v>13</v>
      </c>
      <c r="D14">
        <v>2.7839999999999998</v>
      </c>
      <c r="E14" t="s">
        <v>6</v>
      </c>
      <c r="F14">
        <v>4.5810000000000003E-2</v>
      </c>
      <c r="G14">
        <v>13</v>
      </c>
      <c r="H14">
        <f>AVERAGEIF($C$2:$C$8761,13,$D$2:$D$8761)</f>
        <v>0.6869753424657532</v>
      </c>
      <c r="K14">
        <v>13</v>
      </c>
      <c r="L14" s="4">
        <f t="shared" si="0"/>
        <v>1.0708064516129032</v>
      </c>
      <c r="M14" s="4">
        <f t="shared" si="1"/>
        <v>0.99310714285714297</v>
      </c>
      <c r="N14" s="4">
        <f t="shared" si="2"/>
        <v>1.5651290322580644</v>
      </c>
      <c r="O14" s="4">
        <f t="shared" si="3"/>
        <v>0.21216666666666664</v>
      </c>
      <c r="P14" s="4">
        <f t="shared" si="4"/>
        <v>0.67787096774193534</v>
      </c>
      <c r="Q14" s="4">
        <f t="shared" si="5"/>
        <v>0.72609999999999997</v>
      </c>
      <c r="R14" s="4">
        <f t="shared" si="6"/>
        <v>0.17003225806451613</v>
      </c>
      <c r="S14" s="4">
        <f t="shared" si="7"/>
        <v>0.60477419354838713</v>
      </c>
      <c r="T14" s="4">
        <f t="shared" si="8"/>
        <v>0.53336666666666654</v>
      </c>
      <c r="U14" s="4">
        <f t="shared" si="9"/>
        <v>0.19125806451612906</v>
      </c>
      <c r="V14" s="4">
        <f t="shared" si="10"/>
        <v>0.16530000000000003</v>
      </c>
      <c r="W14" s="4">
        <f t="shared" si="11"/>
        <v>1.3275806451612904</v>
      </c>
      <c r="AO14">
        <v>13</v>
      </c>
      <c r="AP14" s="4">
        <f>(SUMIFS($D$2:$D$8761,$C$2:$C$8761,13,$B$2:$B$8761,"&gt;="&amp;DATE(2025,1,1),$B$2:$B$8761,"&lt;"&amp;DATE(2025,3,1))+SUMIFS($D$2:$D$8761,$C$2:$C$8761,13,$B$2:$B$8761,"&gt;="&amp;DATE(2025,12,1),$B$2:$B$8761,"&lt;"&amp;DATE(2026,1,1)))/(COUNTIFS($C$2:$C$8761,13,$B$2:$B$8761,"&gt;="&amp;DATE(2025,1,1),$B$2:$B$8761,"&lt;"&amp;DATE(2025,3,1))+COUNTIFS($C$2:$C$8761,13,$B$2:$B$8761,"&gt;="&amp;DATE(2025,12,1),$B$2:$B$8761,"&lt;"&amp;DATE(2026,1,1)))</f>
        <v>1.1350777777777779</v>
      </c>
      <c r="AQ14" s="4">
        <f>AVERAGEIFS($D$2:$D$8761,$C$2:$C$8761,13,$B$2:$B$8761,"&gt;="&amp;DATE(2025,6,1),$B$2:$B$8761,"&lt;"&amp;DATE(2025,9,1))</f>
        <v>0.4978478260869566</v>
      </c>
    </row>
    <row r="15" spans="1:43" x14ac:dyDescent="0.3">
      <c r="A15" t="s">
        <v>22</v>
      </c>
      <c r="B15" s="1">
        <v>45658</v>
      </c>
      <c r="C15">
        <v>14</v>
      </c>
      <c r="D15">
        <v>1.7729999999999999</v>
      </c>
      <c r="E15" t="s">
        <v>6</v>
      </c>
      <c r="F15">
        <v>5.1569999999999998E-2</v>
      </c>
      <c r="G15">
        <v>14</v>
      </c>
      <c r="H15">
        <f>AVERAGEIF($C$2:$C$8761,14,$D$2:$D$8761)</f>
        <v>0.8043616438356167</v>
      </c>
      <c r="K15">
        <v>14</v>
      </c>
      <c r="L15" s="4">
        <f t="shared" si="0"/>
        <v>1.0703225806451611</v>
      </c>
      <c r="M15" s="4">
        <f t="shared" si="1"/>
        <v>0.9011785714285715</v>
      </c>
      <c r="N15" s="4">
        <f t="shared" si="2"/>
        <v>1.4256129032258067</v>
      </c>
      <c r="O15" s="4">
        <f t="shared" si="3"/>
        <v>0.61086666666666678</v>
      </c>
      <c r="P15" s="4">
        <f t="shared" si="4"/>
        <v>0.79345161290322574</v>
      </c>
      <c r="Q15" s="4">
        <f t="shared" si="5"/>
        <v>1.1977666666666669</v>
      </c>
      <c r="R15" s="4">
        <f t="shared" si="6"/>
        <v>0.39787096774193553</v>
      </c>
      <c r="S15" s="4">
        <f t="shared" si="7"/>
        <v>0.6917741935483871</v>
      </c>
      <c r="T15" s="4">
        <f t="shared" si="8"/>
        <v>0.81863333333333321</v>
      </c>
      <c r="U15" s="4">
        <f t="shared" si="9"/>
        <v>0.28783870967741937</v>
      </c>
      <c r="V15" s="4">
        <f t="shared" si="10"/>
        <v>0.13999999999999999</v>
      </c>
      <c r="W15" s="4">
        <f t="shared" si="11"/>
        <v>1.3118709677419356</v>
      </c>
      <c r="AO15">
        <v>14</v>
      </c>
      <c r="AP15" s="4">
        <f>(SUMIFS($D$2:$D$8761,$C$2:$C$8761,14,$B$2:$B$8761,"&gt;="&amp;DATE(2025,1,1),$B$2:$B$8761,"&lt;"&amp;DATE(2025,3,1))+SUMIFS($D$2:$D$8761,$C$2:$C$8761,14,$B$2:$B$8761,"&gt;="&amp;DATE(2025,12,1),$B$2:$B$8761,"&lt;"&amp;DATE(2026,1,1)))/(COUNTIFS($C$2:$C$8761,14,$B$2:$B$8761,"&gt;="&amp;DATE(2025,1,1),$B$2:$B$8761,"&lt;"&amp;DATE(2025,3,1))+COUNTIFS($C$2:$C$8761,14,$B$2:$B$8761,"&gt;="&amp;DATE(2025,12,1),$B$2:$B$8761,"&lt;"&amp;DATE(2026,1,1)))</f>
        <v>1.1009</v>
      </c>
      <c r="AQ15" s="4">
        <f>AVERAGEIFS($D$2:$D$8761,$C$2:$C$8761,14,$B$2:$B$8761,"&gt;="&amp;DATE(2025,6,1),$B$2:$B$8761,"&lt;"&amp;DATE(2025,9,1))</f>
        <v>0.75773913043478269</v>
      </c>
    </row>
    <row r="16" spans="1:43" x14ac:dyDescent="0.3">
      <c r="A16" t="s">
        <v>22</v>
      </c>
      <c r="B16" s="1">
        <v>45658</v>
      </c>
      <c r="C16">
        <v>15</v>
      </c>
      <c r="D16">
        <v>0</v>
      </c>
      <c r="E16" t="s">
        <v>6</v>
      </c>
      <c r="F16">
        <v>4.1729999999999996E-2</v>
      </c>
      <c r="G16">
        <v>15</v>
      </c>
      <c r="H16">
        <f>AVERAGEIF($C$2:$C$8761,15,$D$2:$D$8761)</f>
        <v>0.82104657534246561</v>
      </c>
      <c r="K16">
        <v>15</v>
      </c>
      <c r="L16" s="4">
        <f t="shared" si="0"/>
        <v>0.90512903225806451</v>
      </c>
      <c r="M16" s="4">
        <f t="shared" si="1"/>
        <v>0.86810714285714297</v>
      </c>
      <c r="N16" s="4">
        <f t="shared" si="2"/>
        <v>1.2261935483870967</v>
      </c>
      <c r="O16" s="4">
        <f t="shared" si="3"/>
        <v>0.53636666666666666</v>
      </c>
      <c r="P16" s="4">
        <f t="shared" si="4"/>
        <v>0.75070967741935479</v>
      </c>
      <c r="Q16" s="4">
        <f t="shared" si="5"/>
        <v>1.4024666666666668</v>
      </c>
      <c r="R16" s="4">
        <f t="shared" si="6"/>
        <v>0.43748387096774194</v>
      </c>
      <c r="S16" s="4">
        <f t="shared" si="7"/>
        <v>0.88729032258064533</v>
      </c>
      <c r="T16" s="4">
        <f t="shared" si="8"/>
        <v>0.97286666666666655</v>
      </c>
      <c r="U16" s="4">
        <f t="shared" si="9"/>
        <v>0.42816129032258066</v>
      </c>
      <c r="V16" s="4">
        <f t="shared" si="10"/>
        <v>0.30710000000000004</v>
      </c>
      <c r="W16" s="4">
        <f t="shared" si="11"/>
        <v>1.1331290322580643</v>
      </c>
      <c r="AO16">
        <v>15</v>
      </c>
      <c r="AP16" s="4">
        <f>(SUMIFS($D$2:$D$8761,$C$2:$C$8761,15,$B$2:$B$8761,"&gt;="&amp;DATE(2025,1,1),$B$2:$B$8761,"&lt;"&amp;DATE(2025,3,1))+SUMIFS($D$2:$D$8761,$C$2:$C$8761,15,$B$2:$B$8761,"&gt;="&amp;DATE(2025,12,1),$B$2:$B$8761,"&lt;"&amp;DATE(2026,1,1)))/(COUNTIFS($C$2:$C$8761,15,$B$2:$B$8761,"&gt;="&amp;DATE(2025,1,1),$B$2:$B$8761,"&lt;"&amp;DATE(2025,3,1))+COUNTIFS($C$2:$C$8761,15,$B$2:$B$8761,"&gt;="&amp;DATE(2025,12,1),$B$2:$B$8761,"&lt;"&amp;DATE(2026,1,1)))</f>
        <v>0.97214444444444426</v>
      </c>
      <c r="AQ16" s="4">
        <f>AVERAGEIFS($D$2:$D$8761,$C$2:$C$8761,15,$B$2:$B$8761,"&gt;="&amp;DATE(2025,6,1),$B$2:$B$8761,"&lt;"&amp;DATE(2025,9,1))</f>
        <v>0.90371739130434781</v>
      </c>
    </row>
    <row r="17" spans="1:43" x14ac:dyDescent="0.3">
      <c r="A17" t="s">
        <v>22</v>
      </c>
      <c r="B17" s="1">
        <v>45658</v>
      </c>
      <c r="C17">
        <v>16</v>
      </c>
      <c r="D17">
        <v>0</v>
      </c>
      <c r="E17" t="s">
        <v>6</v>
      </c>
      <c r="F17">
        <v>2.912E-2</v>
      </c>
      <c r="G17">
        <v>16</v>
      </c>
      <c r="H17">
        <f>AVERAGEIF($C$2:$C$8761,16,$D$2:$D$8761)</f>
        <v>0.76754246575342455</v>
      </c>
      <c r="K17">
        <v>16</v>
      </c>
      <c r="L17" s="4">
        <f t="shared" si="0"/>
        <v>0.64725806451612899</v>
      </c>
      <c r="M17" s="4">
        <f t="shared" si="1"/>
        <v>1.2147142857142856</v>
      </c>
      <c r="N17" s="4">
        <f t="shared" si="2"/>
        <v>1.1079677419354836</v>
      </c>
      <c r="O17" s="4">
        <f t="shared" si="3"/>
        <v>0.26283333333333336</v>
      </c>
      <c r="P17" s="4">
        <f t="shared" si="4"/>
        <v>0.66716129032258076</v>
      </c>
      <c r="Q17" s="4">
        <f t="shared" si="5"/>
        <v>0.89113333333333322</v>
      </c>
      <c r="R17" s="4">
        <f t="shared" si="6"/>
        <v>0.41458064516129034</v>
      </c>
      <c r="S17" s="4">
        <f t="shared" si="7"/>
        <v>0.64519354838709686</v>
      </c>
      <c r="T17" s="4">
        <f t="shared" si="8"/>
        <v>1.1129999999999998</v>
      </c>
      <c r="U17" s="4">
        <f t="shared" si="9"/>
        <v>0.73764516129032265</v>
      </c>
      <c r="V17" s="4">
        <f t="shared" si="10"/>
        <v>0.47573333333333334</v>
      </c>
      <c r="W17" s="4">
        <f t="shared" si="11"/>
        <v>1.0660000000000001</v>
      </c>
      <c r="AO17">
        <v>16</v>
      </c>
      <c r="AP17" s="4">
        <f>(SUMIFS($D$2:$D$8761,$C$2:$C$8761,16,$B$2:$B$8761,"&gt;="&amp;DATE(2025,1,1),$B$2:$B$8761,"&lt;"&amp;DATE(2025,3,1))+SUMIFS($D$2:$D$8761,$C$2:$C$8761,16,$B$2:$B$8761,"&gt;="&amp;DATE(2025,12,1),$B$2:$B$8761,"&lt;"&amp;DATE(2026,1,1)))/(COUNTIFS($C$2:$C$8761,16,$B$2:$B$8761,"&gt;="&amp;DATE(2025,1,1),$B$2:$B$8761,"&lt;"&amp;DATE(2025,3,1))+COUNTIFS($C$2:$C$8761,16,$B$2:$B$8761,"&gt;="&amp;DATE(2025,12,1),$B$2:$B$8761,"&lt;"&amp;DATE(2026,1,1)))</f>
        <v>0.96803333333333319</v>
      </c>
      <c r="AQ17" s="4">
        <f>AVERAGEIFS($D$2:$D$8761,$C$2:$C$8761,16,$B$2:$B$8761,"&gt;="&amp;DATE(2025,6,1),$B$2:$B$8761,"&lt;"&amp;DATE(2025,9,1))</f>
        <v>0.64768478260869566</v>
      </c>
    </row>
    <row r="18" spans="1:43" x14ac:dyDescent="0.3">
      <c r="A18" t="s">
        <v>22</v>
      </c>
      <c r="B18" s="1">
        <v>45658</v>
      </c>
      <c r="C18">
        <v>17</v>
      </c>
      <c r="D18">
        <v>0.186</v>
      </c>
      <c r="E18" t="s">
        <v>6</v>
      </c>
      <c r="F18">
        <v>0.14906</v>
      </c>
      <c r="G18">
        <v>17</v>
      </c>
      <c r="H18">
        <f>AVERAGEIF($C$2:$C$8761,17,$D$2:$D$8761)</f>
        <v>0.98063835616438344</v>
      </c>
      <c r="K18">
        <v>17</v>
      </c>
      <c r="L18" s="4">
        <f t="shared" si="0"/>
        <v>0.9066774193548387</v>
      </c>
      <c r="M18" s="4">
        <f t="shared" si="1"/>
        <v>1.2952499999999998</v>
      </c>
      <c r="N18" s="4">
        <f t="shared" si="2"/>
        <v>1.3380967741935481</v>
      </c>
      <c r="O18" s="4">
        <f t="shared" si="3"/>
        <v>0.32269999999999999</v>
      </c>
      <c r="P18" s="4">
        <f t="shared" si="4"/>
        <v>0.44306451612903225</v>
      </c>
      <c r="Q18" s="4">
        <f t="shared" si="5"/>
        <v>0.49099999999999999</v>
      </c>
      <c r="R18" s="4">
        <f t="shared" si="6"/>
        <v>0.34458064516129028</v>
      </c>
      <c r="S18" s="4">
        <f t="shared" si="7"/>
        <v>0.5974838709677418</v>
      </c>
      <c r="T18" s="4">
        <f t="shared" si="8"/>
        <v>0.53216666666666668</v>
      </c>
      <c r="U18" s="4">
        <f t="shared" si="9"/>
        <v>0.78870967741935483</v>
      </c>
      <c r="V18" s="4">
        <f t="shared" si="10"/>
        <v>1.9695666666666667</v>
      </c>
      <c r="W18" s="4">
        <f t="shared" si="11"/>
        <v>2.7492258064516131</v>
      </c>
      <c r="AO18">
        <v>17</v>
      </c>
      <c r="AP18" s="4">
        <f>(SUMIFS($D$2:$D$8761,$C$2:$C$8761,17,$B$2:$B$8761,"&gt;="&amp;DATE(2025,1,1),$B$2:$B$8761,"&lt;"&amp;DATE(2025,3,1))+SUMIFS($D$2:$D$8761,$C$2:$C$8761,17,$B$2:$B$8761,"&gt;="&amp;DATE(2025,12,1),$B$2:$B$8761,"&lt;"&amp;DATE(2026,1,1)))/(COUNTIFS($C$2:$C$8761,17,$B$2:$B$8761,"&gt;="&amp;DATE(2025,1,1),$B$2:$B$8761,"&lt;"&amp;DATE(2025,3,1))+COUNTIFS($C$2:$C$8761,17,$B$2:$B$8761,"&gt;="&amp;DATE(2025,12,1),$B$2:$B$8761,"&lt;"&amp;DATE(2026,1,1)))</f>
        <v>1.6622222222222223</v>
      </c>
      <c r="AQ18" s="4">
        <f>AVERAGEIFS($D$2:$D$8761,$C$2:$C$8761,17,$B$2:$B$8761,"&gt;="&amp;DATE(2025,6,1),$B$2:$B$8761,"&lt;"&amp;DATE(2025,9,1))</f>
        <v>0.47754347826086951</v>
      </c>
    </row>
    <row r="19" spans="1:43" x14ac:dyDescent="0.3">
      <c r="A19" t="s">
        <v>22</v>
      </c>
      <c r="B19" s="1">
        <v>45658</v>
      </c>
      <c r="C19">
        <v>18</v>
      </c>
      <c r="D19">
        <v>0.45500000000000002</v>
      </c>
      <c r="E19" t="s">
        <v>6</v>
      </c>
      <c r="F19">
        <v>0.27285999999999999</v>
      </c>
      <c r="G19">
        <v>18</v>
      </c>
      <c r="H19">
        <f>AVERAGEIF($C$2:$C$8761,18,$D$2:$D$8761)</f>
        <v>0.84277260273972643</v>
      </c>
      <c r="K19">
        <v>18</v>
      </c>
      <c r="L19" s="4">
        <f t="shared" si="0"/>
        <v>0.82038709677419364</v>
      </c>
      <c r="M19" s="4">
        <f t="shared" si="1"/>
        <v>1.3648571428571423</v>
      </c>
      <c r="N19" s="4">
        <f t="shared" si="2"/>
        <v>1.3207741935483872</v>
      </c>
      <c r="O19" s="4">
        <f t="shared" si="3"/>
        <v>0.22820000000000001</v>
      </c>
      <c r="P19" s="4">
        <f t="shared" si="4"/>
        <v>0.39629032258064517</v>
      </c>
      <c r="Q19" s="4">
        <f t="shared" si="5"/>
        <v>0.39369999999999999</v>
      </c>
      <c r="R19" s="4">
        <f t="shared" si="6"/>
        <v>0.28554838709677421</v>
      </c>
      <c r="S19" s="4">
        <f t="shared" si="7"/>
        <v>0.3881935483870968</v>
      </c>
      <c r="T19" s="4">
        <f t="shared" si="8"/>
        <v>0.58086666666666675</v>
      </c>
      <c r="U19" s="4">
        <f t="shared" si="9"/>
        <v>0.64490322580645165</v>
      </c>
      <c r="V19" s="4">
        <f t="shared" si="10"/>
        <v>1.6569666666666667</v>
      </c>
      <c r="W19" s="4">
        <f t="shared" si="11"/>
        <v>2.0666129032258067</v>
      </c>
      <c r="AO19">
        <v>18</v>
      </c>
      <c r="AP19" s="4">
        <f>(SUMIFS($D$2:$D$8761,$C$2:$C$8761,18,$B$2:$B$8761,"&gt;="&amp;DATE(2025,1,1),$B$2:$B$8761,"&lt;"&amp;DATE(2025,3,1))+SUMIFS($D$2:$D$8761,$C$2:$C$8761,18,$B$2:$B$8761,"&gt;="&amp;DATE(2025,12,1),$B$2:$B$8761,"&lt;"&amp;DATE(2026,1,1)))/(COUNTIFS($C$2:$C$8761,18,$B$2:$B$8761,"&gt;="&amp;DATE(2025,1,1),$B$2:$B$8761,"&lt;"&amp;DATE(2025,3,1))+COUNTIFS($C$2:$C$8761,18,$B$2:$B$8761,"&gt;="&amp;DATE(2025,12,1),$B$2:$B$8761,"&lt;"&amp;DATE(2026,1,1)))</f>
        <v>1.4190333333333336</v>
      </c>
      <c r="AQ19" s="4">
        <f>AVERAGEIFS($D$2:$D$8761,$C$2:$C$8761,18,$B$2:$B$8761,"&gt;="&amp;DATE(2025,6,1),$B$2:$B$8761,"&lt;"&amp;DATE(2025,9,1))</f>
        <v>0.35540217391304352</v>
      </c>
    </row>
    <row r="20" spans="1:43" x14ac:dyDescent="0.3">
      <c r="A20" t="s">
        <v>22</v>
      </c>
      <c r="B20" s="1">
        <v>45658</v>
      </c>
      <c r="C20">
        <v>19</v>
      </c>
      <c r="D20">
        <v>0.63100000000000001</v>
      </c>
      <c r="E20" t="s">
        <v>6</v>
      </c>
      <c r="F20">
        <v>0.19118000000000002</v>
      </c>
      <c r="G20">
        <v>19</v>
      </c>
      <c r="H20">
        <f>AVERAGEIF($C$2:$C$8761,19,$D$2:$D$8761)</f>
        <v>0.98496438356164373</v>
      </c>
      <c r="K20">
        <v>19</v>
      </c>
      <c r="L20" s="4">
        <f t="shared" si="0"/>
        <v>0.98599999999999999</v>
      </c>
      <c r="M20" s="4">
        <f t="shared" si="1"/>
        <v>1.5049285714285714</v>
      </c>
      <c r="N20" s="4">
        <f t="shared" si="2"/>
        <v>1.5842903225806448</v>
      </c>
      <c r="O20" s="4">
        <f t="shared" si="3"/>
        <v>0.30990000000000001</v>
      </c>
      <c r="P20" s="4">
        <f t="shared" si="4"/>
        <v>0.40470967741935482</v>
      </c>
      <c r="Q20" s="4">
        <f t="shared" si="5"/>
        <v>0.55506666666666671</v>
      </c>
      <c r="R20" s="4">
        <f t="shared" si="6"/>
        <v>0.53964516129032269</v>
      </c>
      <c r="S20" s="4">
        <f t="shared" si="7"/>
        <v>0.42241935483870968</v>
      </c>
      <c r="T20" s="4">
        <f t="shared" si="8"/>
        <v>0.69846666666666657</v>
      </c>
      <c r="U20" s="4">
        <f t="shared" si="9"/>
        <v>0.62161290322580642</v>
      </c>
      <c r="V20" s="4">
        <f t="shared" si="10"/>
        <v>2.0535999999999999</v>
      </c>
      <c r="W20" s="4">
        <f t="shared" si="11"/>
        <v>2.1788387096774189</v>
      </c>
      <c r="AO20">
        <v>19</v>
      </c>
      <c r="AP20" s="4">
        <f>(SUMIFS($D$2:$D$8761,$C$2:$C$8761,19,$B$2:$B$8761,"&gt;="&amp;DATE(2025,1,1),$B$2:$B$8761,"&lt;"&amp;DATE(2025,3,1))+SUMIFS($D$2:$D$8761,$C$2:$C$8761,19,$B$2:$B$8761,"&gt;="&amp;DATE(2025,12,1),$B$2:$B$8761,"&lt;"&amp;DATE(2026,1,1)))/(COUNTIFS($C$2:$C$8761,19,$B$2:$B$8761,"&gt;="&amp;DATE(2025,1,1),$B$2:$B$8761,"&lt;"&amp;DATE(2025,3,1))+COUNTIFS($C$2:$C$8761,19,$B$2:$B$8761,"&gt;="&amp;DATE(2025,12,1),$B$2:$B$8761,"&lt;"&amp;DATE(2026,1,1)))</f>
        <v>1.558311111111111</v>
      </c>
      <c r="AQ20" s="4">
        <f>AVERAGEIFS($D$2:$D$8761,$C$2:$C$8761,19,$B$2:$B$8761,"&gt;="&amp;DATE(2025,6,1),$B$2:$B$8761,"&lt;"&amp;DATE(2025,9,1))</f>
        <v>0.50517391304347825</v>
      </c>
    </row>
    <row r="21" spans="1:43" x14ac:dyDescent="0.3">
      <c r="A21" t="s">
        <v>22</v>
      </c>
      <c r="B21" s="1">
        <v>45658</v>
      </c>
      <c r="C21">
        <v>20</v>
      </c>
      <c r="D21">
        <v>4.7789999999999999</v>
      </c>
      <c r="E21" t="s">
        <v>6</v>
      </c>
      <c r="F21">
        <v>0.19156999999999999</v>
      </c>
      <c r="G21">
        <v>20</v>
      </c>
      <c r="H21">
        <f>AVERAGEIF($C$2:$C$8761,20,$D$2:$D$8761)</f>
        <v>1.1673506849315076</v>
      </c>
      <c r="K21">
        <v>20</v>
      </c>
      <c r="L21" s="4">
        <f t="shared" si="0"/>
        <v>1.8425483870967747</v>
      </c>
      <c r="M21" s="4">
        <f t="shared" si="1"/>
        <v>1.6366071428571425</v>
      </c>
      <c r="N21" s="4">
        <f t="shared" si="2"/>
        <v>1.7543548387096777</v>
      </c>
      <c r="O21" s="4">
        <f t="shared" si="3"/>
        <v>0.35830000000000006</v>
      </c>
      <c r="P21" s="4">
        <f t="shared" si="4"/>
        <v>0.57045161290322588</v>
      </c>
      <c r="Q21" s="4">
        <f t="shared" si="5"/>
        <v>0.77180000000000004</v>
      </c>
      <c r="R21" s="4">
        <f t="shared" si="6"/>
        <v>0.89370967741935503</v>
      </c>
      <c r="S21" s="4">
        <f t="shared" si="7"/>
        <v>0.67303225806451616</v>
      </c>
      <c r="T21" s="4">
        <f t="shared" si="8"/>
        <v>0.78736666666666644</v>
      </c>
      <c r="U21" s="4">
        <f t="shared" si="9"/>
        <v>0.77651612903225808</v>
      </c>
      <c r="V21" s="4">
        <f t="shared" si="10"/>
        <v>1.8233333333333335</v>
      </c>
      <c r="W21" s="4">
        <f t="shared" si="11"/>
        <v>2.1356451612903227</v>
      </c>
      <c r="AO21">
        <v>20</v>
      </c>
      <c r="AP21" s="4">
        <f>(SUMIFS($D$2:$D$8761,$C$2:$C$8761,20,$B$2:$B$8761,"&gt;="&amp;DATE(2025,1,1),$B$2:$B$8761,"&lt;"&amp;DATE(2025,3,1))+SUMIFS($D$2:$D$8761,$C$2:$C$8761,20,$B$2:$B$8761,"&gt;="&amp;DATE(2025,12,1),$B$2:$B$8761,"&lt;"&amp;DATE(2026,1,1)))/(COUNTIFS($C$2:$C$8761,20,$B$2:$B$8761,"&gt;="&amp;DATE(2025,1,1),$B$2:$B$8761,"&lt;"&amp;DATE(2025,3,1))+COUNTIFS($C$2:$C$8761,20,$B$2:$B$8761,"&gt;="&amp;DATE(2025,12,1),$B$2:$B$8761,"&lt;"&amp;DATE(2026,1,1)))</f>
        <v>1.8794333333333333</v>
      </c>
      <c r="AQ21" s="4">
        <f>AVERAGEIFS($D$2:$D$8761,$C$2:$C$8761,20,$B$2:$B$8761,"&gt;="&amp;DATE(2025,6,1),$B$2:$B$8761,"&lt;"&amp;DATE(2025,9,1))</f>
        <v>0.77959782608695638</v>
      </c>
    </row>
    <row r="22" spans="1:43" x14ac:dyDescent="0.3">
      <c r="A22" t="s">
        <v>22</v>
      </c>
      <c r="B22" s="1">
        <v>45658</v>
      </c>
      <c r="C22">
        <v>21</v>
      </c>
      <c r="D22">
        <v>4.6980000000000004</v>
      </c>
      <c r="E22" t="s">
        <v>6</v>
      </c>
      <c r="F22">
        <v>0.19405</v>
      </c>
      <c r="G22">
        <v>21</v>
      </c>
      <c r="H22">
        <f>AVERAGEIF($C$2:$C$8761,21,$D$2:$D$8761)</f>
        <v>1.4227479452054803</v>
      </c>
      <c r="K22">
        <v>21</v>
      </c>
      <c r="L22" s="4">
        <f t="shared" si="0"/>
        <v>2.406677419354839</v>
      </c>
      <c r="M22" s="4">
        <f t="shared" si="1"/>
        <v>2.0792857142857142</v>
      </c>
      <c r="N22" s="4">
        <f t="shared" si="2"/>
        <v>2.229483870967742</v>
      </c>
      <c r="O22" s="4">
        <f t="shared" si="3"/>
        <v>0.89039999999999997</v>
      </c>
      <c r="P22" s="4">
        <f t="shared" si="4"/>
        <v>0.83025806451612905</v>
      </c>
      <c r="Q22" s="4">
        <f t="shared" si="5"/>
        <v>0.86333333333333351</v>
      </c>
      <c r="R22" s="4">
        <f t="shared" si="6"/>
        <v>0.93351612903225833</v>
      </c>
      <c r="S22" s="4">
        <f t="shared" si="7"/>
        <v>0.7338709677419355</v>
      </c>
      <c r="T22" s="4">
        <f t="shared" si="8"/>
        <v>0.80876666666666663</v>
      </c>
      <c r="U22" s="4">
        <f t="shared" si="9"/>
        <v>0.90474193548387083</v>
      </c>
      <c r="V22" s="4">
        <f t="shared" si="10"/>
        <v>2.057633333333333</v>
      </c>
      <c r="W22" s="4">
        <f t="shared" si="11"/>
        <v>2.3640000000000003</v>
      </c>
      <c r="AO22">
        <v>21</v>
      </c>
      <c r="AP22" s="4">
        <f>(SUMIFS($D$2:$D$8761,$C$2:$C$8761,21,$B$2:$B$8761,"&gt;="&amp;DATE(2025,1,1),$B$2:$B$8761,"&lt;"&amp;DATE(2025,3,1))+SUMIFS($D$2:$D$8761,$C$2:$C$8761,21,$B$2:$B$8761,"&gt;="&amp;DATE(2025,12,1),$B$2:$B$8761,"&lt;"&amp;DATE(2026,1,1)))/(COUNTIFS($C$2:$C$8761,21,$B$2:$B$8761,"&gt;="&amp;DATE(2025,1,1),$B$2:$B$8761,"&lt;"&amp;DATE(2025,3,1))+COUNTIFS($C$2:$C$8761,21,$B$2:$B$8761,"&gt;="&amp;DATE(2025,12,1),$B$2:$B$8761,"&lt;"&amp;DATE(2026,1,1)))</f>
        <v>2.2901222222222222</v>
      </c>
      <c r="AQ22" s="4">
        <f>AVERAGEIFS($D$2:$D$8761,$C$2:$C$8761,21,$B$2:$B$8761,"&gt;="&amp;DATE(2025,6,1),$B$2:$B$8761,"&lt;"&amp;DATE(2025,9,1))</f>
        <v>0.8433586956521737</v>
      </c>
    </row>
    <row r="23" spans="1:43" x14ac:dyDescent="0.3">
      <c r="A23" t="s">
        <v>22</v>
      </c>
      <c r="B23" s="1">
        <v>45658</v>
      </c>
      <c r="C23">
        <v>22</v>
      </c>
      <c r="D23">
        <v>4.1360000000000001</v>
      </c>
      <c r="E23" t="s">
        <v>6</v>
      </c>
      <c r="F23">
        <v>0.19587000000000002</v>
      </c>
      <c r="G23">
        <v>22</v>
      </c>
      <c r="H23">
        <f>AVERAGEIF($C$2:$C$8761,22,$D$2:$D$8761)</f>
        <v>1.4431917808219181</v>
      </c>
      <c r="K23">
        <v>22</v>
      </c>
      <c r="L23" s="4">
        <f t="shared" si="0"/>
        <v>1.853258064516129</v>
      </c>
      <c r="M23" s="4">
        <f t="shared" si="1"/>
        <v>2.0136428571428566</v>
      </c>
      <c r="N23" s="4">
        <f t="shared" si="2"/>
        <v>2.008516129032258</v>
      </c>
      <c r="O23" s="4">
        <f t="shared" si="3"/>
        <v>1.2142999999999999</v>
      </c>
      <c r="P23" s="4">
        <f t="shared" si="4"/>
        <v>1.0737419354838711</v>
      </c>
      <c r="Q23" s="4">
        <f t="shared" si="5"/>
        <v>1.0927333333333331</v>
      </c>
      <c r="R23" s="4">
        <f t="shared" si="6"/>
        <v>0.99441935483870958</v>
      </c>
      <c r="S23" s="4">
        <f t="shared" si="7"/>
        <v>0.7889354838709679</v>
      </c>
      <c r="T23" s="4">
        <f t="shared" si="8"/>
        <v>0.8132666666666668</v>
      </c>
      <c r="U23" s="4">
        <f t="shared" si="9"/>
        <v>1.1074516129032259</v>
      </c>
      <c r="V23" s="4">
        <f t="shared" si="10"/>
        <v>2.0166333333333335</v>
      </c>
      <c r="W23" s="4">
        <f t="shared" si="11"/>
        <v>2.3760967741935484</v>
      </c>
      <c r="AO23">
        <v>22</v>
      </c>
      <c r="AP23" s="4">
        <f>(SUMIFS($D$2:$D$8761,$C$2:$C$8761,22,$B$2:$B$8761,"&gt;="&amp;DATE(2025,1,1),$B$2:$B$8761,"&lt;"&amp;DATE(2025,3,1))+SUMIFS($D$2:$D$8761,$C$2:$C$8761,22,$B$2:$B$8761,"&gt;="&amp;DATE(2025,12,1),$B$2:$B$8761,"&lt;"&amp;DATE(2026,1,1)))/(COUNTIFS($C$2:$C$8761,22,$B$2:$B$8761,"&gt;="&amp;DATE(2025,1,1),$B$2:$B$8761,"&lt;"&amp;DATE(2025,3,1))+COUNTIFS($C$2:$C$8761,22,$B$2:$B$8761,"&gt;="&amp;DATE(2025,12,1),$B$2:$B$8761,"&lt;"&amp;DATE(2026,1,1)))</f>
        <v>2.0832444444444445</v>
      </c>
      <c r="AQ23" s="4">
        <f>AVERAGEIFS($D$2:$D$8761,$C$2:$C$8761,22,$B$2:$B$8761,"&gt;="&amp;DATE(2025,6,1),$B$2:$B$8761,"&lt;"&amp;DATE(2025,9,1))</f>
        <v>0.95723913043478237</v>
      </c>
    </row>
    <row r="24" spans="1:43" x14ac:dyDescent="0.3">
      <c r="A24" t="s">
        <v>22</v>
      </c>
      <c r="B24" s="1">
        <v>45658</v>
      </c>
      <c r="C24">
        <v>23</v>
      </c>
      <c r="D24">
        <v>4.1440000000000001</v>
      </c>
      <c r="E24" t="s">
        <v>6</v>
      </c>
      <c r="F24">
        <v>0.19300999999999999</v>
      </c>
      <c r="G24">
        <v>23</v>
      </c>
      <c r="H24">
        <f>AVERAGEIF($C$2:$C$8761,23,$D$2:$D$8761)</f>
        <v>1.2354301369863021</v>
      </c>
      <c r="K24">
        <v>23</v>
      </c>
      <c r="L24" s="4">
        <f t="shared" si="0"/>
        <v>1.6763225806451612</v>
      </c>
      <c r="M24" s="4">
        <f t="shared" si="1"/>
        <v>1.6638214285714283</v>
      </c>
      <c r="N24" s="4">
        <f t="shared" si="2"/>
        <v>1.5020967741935485</v>
      </c>
      <c r="O24" s="4">
        <f t="shared" si="3"/>
        <v>1.0758999999999999</v>
      </c>
      <c r="P24" s="4">
        <f t="shared" si="4"/>
        <v>1.0450322580645162</v>
      </c>
      <c r="Q24" s="4">
        <f t="shared" si="5"/>
        <v>0.93743333333333345</v>
      </c>
      <c r="R24" s="4">
        <f t="shared" si="6"/>
        <v>0.83645161290322589</v>
      </c>
      <c r="S24" s="4">
        <f t="shared" si="7"/>
        <v>0.76109677419354838</v>
      </c>
      <c r="T24" s="4">
        <f t="shared" si="8"/>
        <v>0.57563333333333355</v>
      </c>
      <c r="U24" s="4">
        <f t="shared" si="9"/>
        <v>0.82229032258064516</v>
      </c>
      <c r="V24" s="4">
        <f t="shared" si="10"/>
        <v>1.8004000000000004</v>
      </c>
      <c r="W24" s="4">
        <f t="shared" si="11"/>
        <v>2.1523225806451616</v>
      </c>
      <c r="AO24">
        <v>23</v>
      </c>
      <c r="AP24" s="4">
        <f>(SUMIFS($D$2:$D$8761,$C$2:$C$8761,23,$B$2:$B$8761,"&gt;="&amp;DATE(2025,1,1),$B$2:$B$8761,"&lt;"&amp;DATE(2025,3,1))+SUMIFS($D$2:$D$8761,$C$2:$C$8761,23,$B$2:$B$8761,"&gt;="&amp;DATE(2025,12,1),$B$2:$B$8761,"&lt;"&amp;DATE(2026,1,1)))/(COUNTIFS($C$2:$C$8761,23,$B$2:$B$8761,"&gt;="&amp;DATE(2025,1,1),$B$2:$B$8761,"&lt;"&amp;DATE(2025,3,1))+COUNTIFS($C$2:$C$8761,23,$B$2:$B$8761,"&gt;="&amp;DATE(2025,12,1),$B$2:$B$8761,"&lt;"&amp;DATE(2026,1,1)))</f>
        <v>1.8363888888888886</v>
      </c>
      <c r="AQ24" s="4">
        <f>AVERAGEIFS($D$2:$D$8761,$C$2:$C$8761,23,$B$2:$B$8761,"&gt;="&amp;DATE(2025,6,1),$B$2:$B$8761,"&lt;"&amp;DATE(2025,9,1))</f>
        <v>0.84398913043478252</v>
      </c>
    </row>
    <row r="25" spans="1:43" x14ac:dyDescent="0.3">
      <c r="A25" t="s">
        <v>22</v>
      </c>
      <c r="B25" s="1">
        <v>45658</v>
      </c>
      <c r="C25">
        <v>24</v>
      </c>
      <c r="D25">
        <v>4.1369999999999996</v>
      </c>
      <c r="E25" t="s">
        <v>6</v>
      </c>
      <c r="F25">
        <v>0.18124999999999999</v>
      </c>
      <c r="G25">
        <v>24</v>
      </c>
      <c r="H25">
        <f>AVERAGEIF($C$2:$C$8761,24,$D$2:$D$8761)</f>
        <v>1.1402884615384632</v>
      </c>
      <c r="K25">
        <v>24</v>
      </c>
      <c r="L25" s="4">
        <f t="shared" si="0"/>
        <v>1.7835161290322576</v>
      </c>
      <c r="M25" s="4">
        <f t="shared" si="1"/>
        <v>1.4457857142857142</v>
      </c>
      <c r="N25" s="4">
        <f t="shared" si="2"/>
        <v>1.4309333333333332</v>
      </c>
      <c r="O25" s="4">
        <f t="shared" si="3"/>
        <v>1.0647</v>
      </c>
      <c r="P25" s="4">
        <f t="shared" si="4"/>
        <v>0.75235483870967768</v>
      </c>
      <c r="Q25" s="4">
        <f t="shared" si="5"/>
        <v>0.77603333333333346</v>
      </c>
      <c r="R25" s="4">
        <f t="shared" si="6"/>
        <v>0.735709677419355</v>
      </c>
      <c r="S25" s="4">
        <f t="shared" si="7"/>
        <v>0.73445161290322569</v>
      </c>
      <c r="T25" s="4">
        <f t="shared" si="8"/>
        <v>0.46330000000000005</v>
      </c>
      <c r="U25" s="4">
        <f t="shared" si="9"/>
        <v>0.70116129032258045</v>
      </c>
      <c r="V25" s="4">
        <f t="shared" si="10"/>
        <v>1.7833333333333334</v>
      </c>
      <c r="W25" s="4">
        <f t="shared" si="11"/>
        <v>2.03583870967742</v>
      </c>
      <c r="AO25">
        <v>24</v>
      </c>
      <c r="AP25" s="4">
        <f>(SUMIFS($D$2:$D$8761,$C$2:$C$8761,24,$B$2:$B$8761,"&gt;="&amp;DATE(2025,1,1),$B$2:$B$8761,"&lt;"&amp;DATE(2025,3,1))+SUMIFS($D$2:$D$8761,$C$2:$C$8761,24,$B$2:$B$8761,"&gt;="&amp;DATE(2025,12,1),$B$2:$B$8761,"&lt;"&amp;DATE(2026,1,1)))/(COUNTIFS($C$2:$C$8761,24,$B$2:$B$8761,"&gt;="&amp;DATE(2025,1,1),$B$2:$B$8761,"&lt;"&amp;DATE(2025,3,1))+COUNTIFS($C$2:$C$8761,24,$B$2:$B$8761,"&gt;="&amp;DATE(2025,12,1),$B$2:$B$8761,"&lt;"&amp;DATE(2026,1,1)))</f>
        <v>1.7653555555555556</v>
      </c>
      <c r="AQ25" s="4">
        <f>AVERAGEIFS($D$2:$D$8761,$C$2:$C$8761,24,$B$2:$B$8761,"&gt;="&amp;DATE(2025,6,1),$B$2:$B$8761,"&lt;"&amp;DATE(2025,9,1))</f>
        <v>0.74843478260869556</v>
      </c>
    </row>
    <row r="26" spans="1:43" x14ac:dyDescent="0.3">
      <c r="A26" t="s">
        <v>22</v>
      </c>
      <c r="B26" s="1">
        <v>45659</v>
      </c>
      <c r="C26">
        <v>1</v>
      </c>
      <c r="D26">
        <v>4.2750000000000004</v>
      </c>
      <c r="E26" t="s">
        <v>6</v>
      </c>
      <c r="F26">
        <v>0.16849</v>
      </c>
    </row>
    <row r="27" spans="1:43" x14ac:dyDescent="0.3">
      <c r="A27" t="s">
        <v>22</v>
      </c>
      <c r="B27" s="1">
        <v>45659</v>
      </c>
      <c r="C27">
        <v>2</v>
      </c>
      <c r="D27">
        <v>3.7080000000000002</v>
      </c>
      <c r="E27" t="s">
        <v>6</v>
      </c>
      <c r="F27">
        <v>0.15603</v>
      </c>
    </row>
    <row r="28" spans="1:43" x14ac:dyDescent="0.3">
      <c r="A28" t="s">
        <v>22</v>
      </c>
      <c r="B28" s="1">
        <v>45659</v>
      </c>
      <c r="C28">
        <v>3</v>
      </c>
      <c r="D28">
        <v>3.92</v>
      </c>
      <c r="E28" t="s">
        <v>6</v>
      </c>
      <c r="F28">
        <v>0.14168</v>
      </c>
      <c r="AA28" s="2" t="s">
        <v>40</v>
      </c>
      <c r="AB28" s="5">
        <f>SUMIFS($D$2:$D$8761,$B$2:$B$8761,"&gt;="&amp;DATE(2025,4,1),$B$2:$B$8761,"&lt;"&amp;DATE(2025,5,1))</f>
        <v>653.58699999999942</v>
      </c>
    </row>
    <row r="29" spans="1:43" x14ac:dyDescent="0.3">
      <c r="A29" t="s">
        <v>22</v>
      </c>
      <c r="B29" s="1">
        <v>45659</v>
      </c>
      <c r="C29">
        <v>4</v>
      </c>
      <c r="D29">
        <v>4.7640000000000002</v>
      </c>
      <c r="E29" t="s">
        <v>6</v>
      </c>
      <c r="F29">
        <v>0.14258000000000001</v>
      </c>
    </row>
    <row r="30" spans="1:43" x14ac:dyDescent="0.3">
      <c r="A30" t="s">
        <v>22</v>
      </c>
      <c r="B30" s="1">
        <v>45659</v>
      </c>
      <c r="C30">
        <v>5</v>
      </c>
      <c r="D30">
        <v>4.1820000000000004</v>
      </c>
      <c r="E30" t="s">
        <v>6</v>
      </c>
      <c r="F30">
        <v>0.14257</v>
      </c>
    </row>
    <row r="31" spans="1:43" x14ac:dyDescent="0.3">
      <c r="A31" t="s">
        <v>22</v>
      </c>
      <c r="B31" s="1">
        <v>45659</v>
      </c>
      <c r="C31">
        <v>6</v>
      </c>
      <c r="D31">
        <v>4.1779999999999999</v>
      </c>
      <c r="E31" t="s">
        <v>6</v>
      </c>
      <c r="F31">
        <v>0.14071</v>
      </c>
    </row>
    <row r="32" spans="1:43" x14ac:dyDescent="0.3">
      <c r="A32" t="s">
        <v>22</v>
      </c>
      <c r="B32" s="1">
        <v>45659</v>
      </c>
      <c r="C32">
        <v>7</v>
      </c>
      <c r="D32">
        <v>4.0460000000000003</v>
      </c>
      <c r="E32" t="s">
        <v>6</v>
      </c>
      <c r="F32">
        <v>0.16172999999999998</v>
      </c>
    </row>
    <row r="33" spans="1:27" x14ac:dyDescent="0.3">
      <c r="A33" t="s">
        <v>22</v>
      </c>
      <c r="B33" s="1">
        <v>45659</v>
      </c>
      <c r="C33">
        <v>8</v>
      </c>
      <c r="D33">
        <v>4.266</v>
      </c>
      <c r="E33" t="s">
        <v>6</v>
      </c>
      <c r="F33">
        <v>0.16818</v>
      </c>
    </row>
    <row r="34" spans="1:27" x14ac:dyDescent="0.3">
      <c r="A34" t="s">
        <v>22</v>
      </c>
      <c r="B34" s="1">
        <v>45659</v>
      </c>
      <c r="C34">
        <v>9</v>
      </c>
      <c r="D34">
        <v>4.3710000000000004</v>
      </c>
      <c r="E34" t="s">
        <v>6</v>
      </c>
      <c r="F34">
        <v>0.20194000000000001</v>
      </c>
    </row>
    <row r="35" spans="1:27" x14ac:dyDescent="0.3">
      <c r="A35" t="s">
        <v>22</v>
      </c>
      <c r="B35" s="1">
        <v>45659</v>
      </c>
      <c r="C35">
        <v>10</v>
      </c>
      <c r="D35">
        <v>1.5960000000000001</v>
      </c>
      <c r="E35" t="s">
        <v>6</v>
      </c>
      <c r="F35">
        <v>0.20046</v>
      </c>
    </row>
    <row r="36" spans="1:27" x14ac:dyDescent="0.3">
      <c r="A36" t="s">
        <v>22</v>
      </c>
      <c r="B36" s="1">
        <v>45659</v>
      </c>
      <c r="C36">
        <v>11</v>
      </c>
      <c r="D36">
        <v>1.3360000000000001</v>
      </c>
      <c r="E36" t="s">
        <v>6</v>
      </c>
      <c r="F36">
        <v>0.24115999999999999</v>
      </c>
    </row>
    <row r="37" spans="1:27" x14ac:dyDescent="0.3">
      <c r="A37" t="s">
        <v>22</v>
      </c>
      <c r="B37" s="1">
        <v>45659</v>
      </c>
      <c r="C37">
        <v>12</v>
      </c>
      <c r="D37">
        <v>0</v>
      </c>
      <c r="E37" t="s">
        <v>6</v>
      </c>
      <c r="F37">
        <v>0.23854</v>
      </c>
    </row>
    <row r="38" spans="1:27" x14ac:dyDescent="0.3">
      <c r="A38" t="s">
        <v>22</v>
      </c>
      <c r="B38" s="1">
        <v>45659</v>
      </c>
      <c r="C38">
        <v>13</v>
      </c>
      <c r="D38">
        <v>2.2109999999999999</v>
      </c>
      <c r="E38" t="s">
        <v>6</v>
      </c>
      <c r="F38">
        <v>0.23588000000000001</v>
      </c>
    </row>
    <row r="39" spans="1:27" x14ac:dyDescent="0.3">
      <c r="A39" t="s">
        <v>22</v>
      </c>
      <c r="B39" s="1">
        <v>45659</v>
      </c>
      <c r="C39">
        <v>14</v>
      </c>
      <c r="D39">
        <v>0</v>
      </c>
      <c r="E39" t="s">
        <v>6</v>
      </c>
      <c r="F39">
        <v>0.22645999999999999</v>
      </c>
    </row>
    <row r="40" spans="1:27" x14ac:dyDescent="0.3">
      <c r="A40" t="s">
        <v>22</v>
      </c>
      <c r="B40" s="1">
        <v>45659</v>
      </c>
      <c r="C40">
        <v>15</v>
      </c>
      <c r="D40">
        <v>0</v>
      </c>
      <c r="E40" t="s">
        <v>6</v>
      </c>
      <c r="F40">
        <v>0.16744999999999999</v>
      </c>
    </row>
    <row r="41" spans="1:27" x14ac:dyDescent="0.3">
      <c r="A41" t="s">
        <v>22</v>
      </c>
      <c r="B41" s="1">
        <v>45659</v>
      </c>
      <c r="C41">
        <v>16</v>
      </c>
      <c r="D41">
        <v>0.11799999999999999</v>
      </c>
      <c r="E41" t="s">
        <v>6</v>
      </c>
      <c r="F41">
        <v>0.17530000000000001</v>
      </c>
    </row>
    <row r="42" spans="1:27" x14ac:dyDescent="0.3">
      <c r="A42" t="s">
        <v>22</v>
      </c>
      <c r="B42" s="1">
        <v>45659</v>
      </c>
      <c r="C42">
        <v>17</v>
      </c>
      <c r="D42">
        <v>0.19700000000000001</v>
      </c>
      <c r="E42" t="s">
        <v>6</v>
      </c>
      <c r="F42">
        <v>0.18656999999999999</v>
      </c>
    </row>
    <row r="43" spans="1:27" x14ac:dyDescent="0.3">
      <c r="A43" t="s">
        <v>22</v>
      </c>
      <c r="B43" s="1">
        <v>45659</v>
      </c>
      <c r="C43">
        <v>18</v>
      </c>
      <c r="D43">
        <v>0.375</v>
      </c>
      <c r="E43" t="s">
        <v>6</v>
      </c>
      <c r="F43">
        <v>0.19969999999999999</v>
      </c>
    </row>
    <row r="44" spans="1:27" x14ac:dyDescent="0.3">
      <c r="A44" t="s">
        <v>22</v>
      </c>
      <c r="B44" s="1">
        <v>45659</v>
      </c>
      <c r="C44">
        <v>19</v>
      </c>
      <c r="D44">
        <v>0.33900000000000002</v>
      </c>
      <c r="E44" t="s">
        <v>6</v>
      </c>
      <c r="F44">
        <v>0.27439999999999998</v>
      </c>
      <c r="X44" s="2" t="s">
        <v>24</v>
      </c>
      <c r="Y44" s="2" t="s">
        <v>25</v>
      </c>
      <c r="Z44" s="2" t="s">
        <v>26</v>
      </c>
      <c r="AA44" s="2" t="s">
        <v>27</v>
      </c>
    </row>
    <row r="45" spans="1:27" x14ac:dyDescent="0.3">
      <c r="A45" t="s">
        <v>22</v>
      </c>
      <c r="B45" s="1">
        <v>45659</v>
      </c>
      <c r="C45">
        <v>20</v>
      </c>
      <c r="D45">
        <v>3.8359999999999999</v>
      </c>
      <c r="E45" t="s">
        <v>6</v>
      </c>
      <c r="F45">
        <v>0.27723999999999999</v>
      </c>
      <c r="X45" t="s">
        <v>28</v>
      </c>
      <c r="Y45" s="5">
        <f>(SUMIFS($D$2:$D$8761,$C$2:$C$8761,"&lt;=7",$B$2:$B$8761,"&gt;="&amp;DATE(2025,1,1),$B$2:$B$8761,"&lt;"&amp;DATE(2025,3,1))+SUMIFS($D$2:$D$8761,$C$2:$C$8761,"&lt;=7",$B$2:$B$8761,"&gt;="&amp;DATE(2025,12,1),$B$2:$B$8761,"&lt;"&amp;DATE(2026,1,1)))/(COUNTIFS($C$2:$C$8761,"&lt;=7",$B$2:$B$8761,"&gt;="&amp;DATE(2025,1,1),$B$2:$B$8761,"&lt;"&amp;DATE(2025,3,1))+COUNTIFS($C$2:$C$8761,"&lt;=7",$B$2:$B$8761,"&gt;="&amp;DATE(2025,12,1),$B$2:$B$8761,"&lt;"&amp;DATE(2026,1,1)))</f>
        <v>2.0918396825396819</v>
      </c>
      <c r="Z45" s="5">
        <f>Y45*7</f>
        <v>14.642877777777773</v>
      </c>
      <c r="AA45" t="s">
        <v>29</v>
      </c>
    </row>
    <row r="46" spans="1:27" x14ac:dyDescent="0.3">
      <c r="A46" t="s">
        <v>22</v>
      </c>
      <c r="B46" s="1">
        <v>45659</v>
      </c>
      <c r="C46">
        <v>21</v>
      </c>
      <c r="D46">
        <v>4.4859999999999998</v>
      </c>
      <c r="E46" t="s">
        <v>6</v>
      </c>
      <c r="F46">
        <v>0.27806000000000003</v>
      </c>
      <c r="X46" t="s">
        <v>30</v>
      </c>
      <c r="Y46" s="5">
        <f>AVERAGEIFS($D$2:$D$8761,$C$2:$C$8761,"&lt;=7",$B$2:$B$8761,"&gt;="&amp;DATE(2025,6,1),$B$2:$B$8761,"&lt;"&amp;DATE(2025,9,1))</f>
        <v>0.52692546583850886</v>
      </c>
      <c r="Z46" s="5">
        <f>Y46*7</f>
        <v>3.6884782608695619</v>
      </c>
      <c r="AA46" t="s">
        <v>31</v>
      </c>
    </row>
    <row r="47" spans="1:27" x14ac:dyDescent="0.3">
      <c r="A47" t="s">
        <v>22</v>
      </c>
      <c r="B47" s="1">
        <v>45659</v>
      </c>
      <c r="C47">
        <v>22</v>
      </c>
      <c r="D47">
        <v>3.8969999999999998</v>
      </c>
      <c r="E47" t="s">
        <v>6</v>
      </c>
      <c r="F47">
        <v>0.27491000000000004</v>
      </c>
      <c r="X47" t="s">
        <v>32</v>
      </c>
      <c r="Y47" s="5">
        <f>(SUMIFS($D$2:$D$8761,$C$2:$C$8761,"&lt;=7",$B$2:$B$8761,"&gt;="&amp;DATE(2025,3,1),$B$2:$B$8761,"&lt;"&amp;DATE(2025,6,1))+SUMIFS($D$2:$D$8761,$C$2:$C$8761,"&lt;=7",$B$2:$B$8761,"&gt;="&amp;DATE(2025,9,1),$B$2:$B$8761,"&lt;"&amp;DATE(2025,12,1)))/(COUNTIFS($C$2:$C$8761,"&lt;=7",$B$2:$B$8761,"&gt;="&amp;DATE(2025,3,1),$B$2:$B$8761,"&lt;"&amp;DATE(2025,6,1))+COUNTIFS($C$2:$C$8761,"&lt;=7",$B$2:$B$8761,"&gt;="&amp;DATE(2025,9,1),$B$2:$B$8761,"&lt;"&amp;DATE(2025,12,1)))</f>
        <v>1.144112412177986</v>
      </c>
      <c r="Z47" s="5">
        <f>Y47*7</f>
        <v>8.0087868852459021</v>
      </c>
      <c r="AA47" t="s">
        <v>33</v>
      </c>
    </row>
    <row r="48" spans="1:27" x14ac:dyDescent="0.3">
      <c r="A48" t="s">
        <v>22</v>
      </c>
      <c r="B48" s="1">
        <v>45659</v>
      </c>
      <c r="C48">
        <v>23</v>
      </c>
      <c r="D48">
        <v>3.56</v>
      </c>
      <c r="E48" t="s">
        <v>6</v>
      </c>
      <c r="F48">
        <v>0.20380000000000001</v>
      </c>
    </row>
    <row r="49" spans="1:29" x14ac:dyDescent="0.3">
      <c r="A49" t="s">
        <v>22</v>
      </c>
      <c r="B49" s="1">
        <v>45659</v>
      </c>
      <c r="C49">
        <v>24</v>
      </c>
      <c r="D49">
        <v>3.8490000000000002</v>
      </c>
      <c r="E49" t="s">
        <v>6</v>
      </c>
      <c r="F49">
        <v>0.19099000000000002</v>
      </c>
      <c r="X49" s="2" t="s">
        <v>34</v>
      </c>
      <c r="Y49" s="5">
        <f>Y45-Y46</f>
        <v>1.5649142167011729</v>
      </c>
    </row>
    <row r="50" spans="1:29" x14ac:dyDescent="0.3">
      <c r="A50" t="s">
        <v>22</v>
      </c>
      <c r="B50" s="1">
        <v>45660</v>
      </c>
      <c r="C50">
        <v>1</v>
      </c>
      <c r="D50">
        <v>3.1970000000000001</v>
      </c>
      <c r="E50" t="s">
        <v>6</v>
      </c>
      <c r="F50">
        <v>0.15455000000000002</v>
      </c>
      <c r="X50" t="s">
        <v>35</v>
      </c>
      <c r="Y50" s="5">
        <f>Y46</f>
        <v>0.52692546583850886</v>
      </c>
    </row>
    <row r="51" spans="1:29" x14ac:dyDescent="0.3">
      <c r="A51" t="s">
        <v>22</v>
      </c>
      <c r="B51" s="1">
        <v>45660</v>
      </c>
      <c r="C51">
        <v>2</v>
      </c>
      <c r="D51">
        <v>3.423</v>
      </c>
      <c r="E51" t="s">
        <v>6</v>
      </c>
      <c r="F51">
        <v>0.14133999999999999</v>
      </c>
    </row>
    <row r="52" spans="1:29" x14ac:dyDescent="0.3">
      <c r="A52" t="s">
        <v>22</v>
      </c>
      <c r="B52" s="1">
        <v>45660</v>
      </c>
      <c r="C52">
        <v>3</v>
      </c>
      <c r="D52">
        <v>3.5249999999999999</v>
      </c>
      <c r="E52" t="s">
        <v>6</v>
      </c>
      <c r="F52">
        <v>0.13485</v>
      </c>
      <c r="X52" s="2" t="s">
        <v>7</v>
      </c>
      <c r="Y52" s="2" t="s">
        <v>14</v>
      </c>
      <c r="Z52" s="2" t="s">
        <v>15</v>
      </c>
      <c r="AA52" s="2" t="s">
        <v>16</v>
      </c>
      <c r="AB52" s="2" t="s">
        <v>17</v>
      </c>
      <c r="AC52" s="2" t="s">
        <v>18</v>
      </c>
    </row>
    <row r="53" spans="1:29" x14ac:dyDescent="0.3">
      <c r="A53" t="s">
        <v>22</v>
      </c>
      <c r="B53" s="1">
        <v>45660</v>
      </c>
      <c r="C53">
        <v>4</v>
      </c>
      <c r="D53">
        <v>3.6970000000000001</v>
      </c>
      <c r="E53" t="s">
        <v>6</v>
      </c>
      <c r="F53">
        <v>0.13153999999999999</v>
      </c>
      <c r="X53">
        <v>1</v>
      </c>
      <c r="Y53" s="4">
        <f>AVERAGEIFS($D$2:$D$8761,$C$2:$C$8761,1,$B$2:$B$8761,"&gt;="&amp;DATE(2025,5,1),$B$2:$B$8761,"&lt;"&amp;DATE(2025,6,1))</f>
        <v>0.71041935483870999</v>
      </c>
      <c r="Z53" s="4">
        <f>AVERAGEIFS($D$2:$D$8761,$C$2:$C$8761,1,$B$2:$B$8761,"&gt;="&amp;DATE(2025,6,1),$B$2:$B$8761,"&lt;"&amp;DATE(2025,7,1))</f>
        <v>0.46129999999999993</v>
      </c>
      <c r="AA53" s="4">
        <f>AVERAGEIFS($D$2:$D$8761,$C$2:$C$8761,1,$B$2:$B$8761,"&gt;="&amp;DATE(2025,7,1),$B$2:$B$8761,"&lt;"&amp;DATE(2025,8,1))</f>
        <v>0.6569354838709679</v>
      </c>
      <c r="AB53" s="4">
        <f>AVERAGEIFS($D$2:$D$8761,$C$2:$C$8761,1,$B$2:$B$8761,"&gt;="&amp;DATE(2025,8,1),$B$2:$B$8761,"&lt;"&amp;DATE(2025,9,1))</f>
        <v>0.69851612903225824</v>
      </c>
      <c r="AC53" s="4">
        <f>AVERAGEIFS($D$2:$D$8761,$C$2:$C$8761,1,$B$2:$B$8761,"&gt;="&amp;DATE(2025,9,1),$B$2:$B$8761,"&lt;"&amp;DATE(2025,10,1))</f>
        <v>0.40190000000000009</v>
      </c>
    </row>
    <row r="54" spans="1:29" x14ac:dyDescent="0.3">
      <c r="A54" t="s">
        <v>22</v>
      </c>
      <c r="B54" s="1">
        <v>45660</v>
      </c>
      <c r="C54">
        <v>5</v>
      </c>
      <c r="D54">
        <v>2.327</v>
      </c>
      <c r="E54" t="s">
        <v>6</v>
      </c>
      <c r="F54">
        <v>0.12683</v>
      </c>
      <c r="X54">
        <v>2</v>
      </c>
      <c r="Y54" s="4">
        <f>AVERAGEIFS($D$2:$D$8761,$C$2:$C$8761,2,$B$2:$B$8761,"&gt;="&amp;DATE(2025,5,1),$B$2:$B$8761,"&lt;"&amp;DATE(2025,6,1))</f>
        <v>0.67393548387096769</v>
      </c>
      <c r="Z54" s="4">
        <f>AVERAGEIFS($D$2:$D$8761,$C$2:$C$8761,2,$B$2:$B$8761,"&gt;="&amp;DATE(2025,6,1),$B$2:$B$8761,"&lt;"&amp;DATE(2025,7,1))</f>
        <v>0.42323333333333335</v>
      </c>
      <c r="AA54" s="4">
        <f>AVERAGEIFS($D$2:$D$8761,$C$2:$C$8761,2,$B$2:$B$8761,"&gt;="&amp;DATE(2025,7,1),$B$2:$B$8761,"&lt;"&amp;DATE(2025,8,1))</f>
        <v>0.57522580645161281</v>
      </c>
      <c r="AB54" s="4">
        <f>AVERAGEIFS($D$2:$D$8761,$C$2:$C$8761,2,$B$2:$B$8761,"&gt;="&amp;DATE(2025,8,1),$B$2:$B$8761,"&lt;"&amp;DATE(2025,9,1))</f>
        <v>0.61474193548387102</v>
      </c>
      <c r="AC54" s="4">
        <f>AVERAGEIFS($D$2:$D$8761,$C$2:$C$8761,2,$B$2:$B$8761,"&gt;="&amp;DATE(2025,9,1),$B$2:$B$8761,"&lt;"&amp;DATE(2025,10,1))</f>
        <v>0.31613333333333332</v>
      </c>
    </row>
    <row r="55" spans="1:29" x14ac:dyDescent="0.3">
      <c r="A55" t="s">
        <v>22</v>
      </c>
      <c r="B55" s="1">
        <v>45660</v>
      </c>
      <c r="C55">
        <v>6</v>
      </c>
      <c r="D55">
        <v>0.13200000000000001</v>
      </c>
      <c r="E55" t="s">
        <v>6</v>
      </c>
      <c r="F55">
        <v>0.12922</v>
      </c>
      <c r="X55">
        <v>3</v>
      </c>
      <c r="Y55" s="4">
        <f>AVERAGEIFS($D$2:$D$8761,$C$2:$C$8761,3,$B$2:$B$8761,"&gt;="&amp;DATE(2025,5,1),$B$2:$B$8761,"&lt;"&amp;DATE(2025,6,1))</f>
        <v>0.70922580645161293</v>
      </c>
      <c r="Z55" s="4">
        <f>AVERAGEIFS($D$2:$D$8761,$C$2:$C$8761,3,$B$2:$B$8761,"&gt;="&amp;DATE(2025,6,1),$B$2:$B$8761,"&lt;"&amp;DATE(2025,7,1))</f>
        <v>0.47070000000000006</v>
      </c>
      <c r="AA55" s="4">
        <f>AVERAGEIFS($D$2:$D$8761,$C$2:$C$8761,3,$B$2:$B$8761,"&gt;="&amp;DATE(2025,7,1),$B$2:$B$8761,"&lt;"&amp;DATE(2025,8,1))</f>
        <v>0.55248387096774176</v>
      </c>
      <c r="AB55" s="4">
        <f>AVERAGEIFS($D$2:$D$8761,$C$2:$C$8761,3,$B$2:$B$8761,"&gt;="&amp;DATE(2025,8,1),$B$2:$B$8761,"&lt;"&amp;DATE(2025,9,1))</f>
        <v>0.55883870967741933</v>
      </c>
      <c r="AC55" s="4">
        <f>AVERAGEIFS($D$2:$D$8761,$C$2:$C$8761,3,$B$2:$B$8761,"&gt;="&amp;DATE(2025,9,1),$B$2:$B$8761,"&lt;"&amp;DATE(2025,10,1))</f>
        <v>0.28856666666666669</v>
      </c>
    </row>
    <row r="56" spans="1:29" x14ac:dyDescent="0.3">
      <c r="A56" t="s">
        <v>22</v>
      </c>
      <c r="B56" s="1">
        <v>45660</v>
      </c>
      <c r="C56">
        <v>7</v>
      </c>
      <c r="D56">
        <v>0.157</v>
      </c>
      <c r="E56" t="s">
        <v>6</v>
      </c>
      <c r="F56">
        <v>0.13741</v>
      </c>
      <c r="X56">
        <v>4</v>
      </c>
      <c r="Y56" s="4">
        <f>AVERAGEIFS($D$2:$D$8761,$C$2:$C$8761,4,$B$2:$B$8761,"&gt;="&amp;DATE(2025,5,1),$B$2:$B$8761,"&lt;"&amp;DATE(2025,6,1))</f>
        <v>0.77167741935483869</v>
      </c>
      <c r="Z56" s="4">
        <f>AVERAGEIFS($D$2:$D$8761,$C$2:$C$8761,4,$B$2:$B$8761,"&gt;="&amp;DATE(2025,6,1),$B$2:$B$8761,"&lt;"&amp;DATE(2025,7,1))</f>
        <v>0.37883333333333336</v>
      </c>
      <c r="AA56" s="4">
        <f>AVERAGEIFS($D$2:$D$8761,$C$2:$C$8761,4,$B$2:$B$8761,"&gt;="&amp;DATE(2025,7,1),$B$2:$B$8761,"&lt;"&amp;DATE(2025,8,1))</f>
        <v>0.53425806451612901</v>
      </c>
      <c r="AB56" s="4">
        <f>AVERAGEIFS($D$2:$D$8761,$C$2:$C$8761,4,$B$2:$B$8761,"&gt;="&amp;DATE(2025,8,1),$B$2:$B$8761,"&lt;"&amp;DATE(2025,9,1))</f>
        <v>0.58264516129032251</v>
      </c>
      <c r="AC56" s="4">
        <f>AVERAGEIFS($D$2:$D$8761,$C$2:$C$8761,4,$B$2:$B$8761,"&gt;="&amp;DATE(2025,9,1),$B$2:$B$8761,"&lt;"&amp;DATE(2025,10,1))</f>
        <v>0.35160000000000002</v>
      </c>
    </row>
    <row r="57" spans="1:29" x14ac:dyDescent="0.3">
      <c r="A57" t="s">
        <v>22</v>
      </c>
      <c r="B57" s="1">
        <v>45660</v>
      </c>
      <c r="C57">
        <v>8</v>
      </c>
      <c r="D57">
        <v>0.11</v>
      </c>
      <c r="E57" t="s">
        <v>6</v>
      </c>
      <c r="F57">
        <v>0.15662999999999999</v>
      </c>
      <c r="X57">
        <v>5</v>
      </c>
      <c r="Y57" s="4">
        <f>AVERAGEIFS($D$2:$D$8761,$C$2:$C$8761,5,$B$2:$B$8761,"&gt;="&amp;DATE(2025,5,1),$B$2:$B$8761,"&lt;"&amp;DATE(2025,6,1))</f>
        <v>0.81993548387096782</v>
      </c>
      <c r="Z57" s="4">
        <f>AVERAGEIFS($D$2:$D$8761,$C$2:$C$8761,5,$B$2:$B$8761,"&gt;="&amp;DATE(2025,6,1),$B$2:$B$8761,"&lt;"&amp;DATE(2025,7,1))</f>
        <v>0.41623333333333329</v>
      </c>
      <c r="AA57" s="4">
        <f>AVERAGEIFS($D$2:$D$8761,$C$2:$C$8761,5,$B$2:$B$8761,"&gt;="&amp;DATE(2025,7,1),$B$2:$B$8761,"&lt;"&amp;DATE(2025,8,1))</f>
        <v>0.58841935483870977</v>
      </c>
      <c r="AB57" s="4">
        <f>AVERAGEIFS($D$2:$D$8761,$C$2:$C$8761,5,$B$2:$B$8761,"&gt;="&amp;DATE(2025,8,1),$B$2:$B$8761,"&lt;"&amp;DATE(2025,9,1))</f>
        <v>0.58109677419354844</v>
      </c>
      <c r="AC57" s="4">
        <f>AVERAGEIFS($D$2:$D$8761,$C$2:$C$8761,5,$B$2:$B$8761,"&gt;="&amp;DATE(2025,9,1),$B$2:$B$8761,"&lt;"&amp;DATE(2025,10,1))</f>
        <v>0.36776666666666669</v>
      </c>
    </row>
    <row r="58" spans="1:29" x14ac:dyDescent="0.3">
      <c r="A58" t="s">
        <v>22</v>
      </c>
      <c r="B58" s="1">
        <v>45660</v>
      </c>
      <c r="C58">
        <v>9</v>
      </c>
      <c r="D58">
        <v>3.1669999999999998</v>
      </c>
      <c r="E58" t="s">
        <v>6</v>
      </c>
      <c r="F58">
        <v>0.19359999999999999</v>
      </c>
      <c r="X58">
        <v>6</v>
      </c>
      <c r="Y58" s="4">
        <f>AVERAGEIFS($D$2:$D$8761,$C$2:$C$8761,6,$B$2:$B$8761,"&gt;="&amp;DATE(2025,5,1),$B$2:$B$8761,"&lt;"&amp;DATE(2025,6,1))</f>
        <v>0.86964516129032265</v>
      </c>
      <c r="Z58" s="4">
        <f>AVERAGEIFS($D$2:$D$8761,$C$2:$C$8761,6,$B$2:$B$8761,"&gt;="&amp;DATE(2025,6,1),$B$2:$B$8761,"&lt;"&amp;DATE(2025,7,1))</f>
        <v>0.48209999999999997</v>
      </c>
      <c r="AA58" s="4">
        <f>AVERAGEIFS($D$2:$D$8761,$C$2:$C$8761,6,$B$2:$B$8761,"&gt;="&amp;DATE(2025,7,1),$B$2:$B$8761,"&lt;"&amp;DATE(2025,8,1))</f>
        <v>0.52335483870967736</v>
      </c>
      <c r="AB58" s="4">
        <f>AVERAGEIFS($D$2:$D$8761,$C$2:$C$8761,6,$B$2:$B$8761,"&gt;="&amp;DATE(2025,8,1),$B$2:$B$8761,"&lt;"&amp;DATE(2025,9,1))</f>
        <v>0.55074193548387107</v>
      </c>
      <c r="AC58" s="4">
        <f>AVERAGEIFS($D$2:$D$8761,$C$2:$C$8761,6,$B$2:$B$8761,"&gt;="&amp;DATE(2025,9,1),$B$2:$B$8761,"&lt;"&amp;DATE(2025,10,1))</f>
        <v>0.33066666666666666</v>
      </c>
    </row>
    <row r="59" spans="1:29" x14ac:dyDescent="0.3">
      <c r="A59" t="s">
        <v>22</v>
      </c>
      <c r="B59" s="1">
        <v>45660</v>
      </c>
      <c r="C59">
        <v>10</v>
      </c>
      <c r="D59">
        <v>4.8109999999999999</v>
      </c>
      <c r="E59" t="s">
        <v>6</v>
      </c>
      <c r="F59">
        <v>0.19066</v>
      </c>
      <c r="X59">
        <v>7</v>
      </c>
      <c r="Y59" s="4">
        <f>AVERAGEIFS($D$2:$D$8761,$C$2:$C$8761,7,$B$2:$B$8761,"&gt;="&amp;DATE(2025,5,1),$B$2:$B$8761,"&lt;"&amp;DATE(2025,6,1))</f>
        <v>0.83083870967741957</v>
      </c>
      <c r="Z59" s="4">
        <f>AVERAGEIFS($D$2:$D$8761,$C$2:$C$8761,7,$B$2:$B$8761,"&gt;="&amp;DATE(2025,6,1),$B$2:$B$8761,"&lt;"&amp;DATE(2025,7,1))</f>
        <v>0.35283333333333322</v>
      </c>
      <c r="AA59" s="4">
        <f>AVERAGEIFS($D$2:$D$8761,$C$2:$C$8761,7,$B$2:$B$8761,"&gt;="&amp;DATE(2025,7,1),$B$2:$B$8761,"&lt;"&amp;DATE(2025,8,1))</f>
        <v>0.52829032258064512</v>
      </c>
      <c r="AB59" s="4">
        <f>AVERAGEIFS($D$2:$D$8761,$C$2:$C$8761,7,$B$2:$B$8761,"&gt;="&amp;DATE(2025,8,1),$B$2:$B$8761,"&lt;"&amp;DATE(2025,9,1))</f>
        <v>0.51196774193548367</v>
      </c>
      <c r="AC59" s="4">
        <f>AVERAGEIFS($D$2:$D$8761,$C$2:$C$8761,7,$B$2:$B$8761,"&gt;="&amp;DATE(2025,9,1),$B$2:$B$8761,"&lt;"&amp;DATE(2025,10,1))</f>
        <v>0.34133333333333332</v>
      </c>
    </row>
    <row r="60" spans="1:29" x14ac:dyDescent="0.3">
      <c r="A60" t="s">
        <v>22</v>
      </c>
      <c r="B60" s="1">
        <v>45660</v>
      </c>
      <c r="C60">
        <v>11</v>
      </c>
      <c r="D60">
        <v>3.6360000000000001</v>
      </c>
      <c r="E60" t="s">
        <v>6</v>
      </c>
      <c r="F60">
        <v>0.25137999999999999</v>
      </c>
      <c r="X60">
        <v>8</v>
      </c>
      <c r="Y60" s="4">
        <f>AVERAGEIFS($D$2:$D$8761,$C$2:$C$8761,8,$B$2:$B$8761,"&gt;="&amp;DATE(2025,5,1),$B$2:$B$8761,"&lt;"&amp;DATE(2025,6,1))</f>
        <v>1.0836129032258064</v>
      </c>
      <c r="Z60" s="4">
        <f>AVERAGEIFS($D$2:$D$8761,$C$2:$C$8761,8,$B$2:$B$8761,"&gt;="&amp;DATE(2025,6,1),$B$2:$B$8761,"&lt;"&amp;DATE(2025,7,1))</f>
        <v>0.41843333333333343</v>
      </c>
      <c r="AA60" s="4">
        <f>AVERAGEIFS($D$2:$D$8761,$C$2:$C$8761,8,$B$2:$B$8761,"&gt;="&amp;DATE(2025,7,1),$B$2:$B$8761,"&lt;"&amp;DATE(2025,8,1))</f>
        <v>0.38077419354838721</v>
      </c>
      <c r="AB60" s="4">
        <f>AVERAGEIFS($D$2:$D$8761,$C$2:$C$8761,8,$B$2:$B$8761,"&gt;="&amp;DATE(2025,8,1),$B$2:$B$8761,"&lt;"&amp;DATE(2025,9,1))</f>
        <v>0.46790322580645172</v>
      </c>
      <c r="AC60" s="4">
        <f>AVERAGEIFS($D$2:$D$8761,$C$2:$C$8761,8,$B$2:$B$8761,"&gt;="&amp;DATE(2025,9,1),$B$2:$B$8761,"&lt;"&amp;DATE(2025,10,1))</f>
        <v>0.6329999999999999</v>
      </c>
    </row>
    <row r="61" spans="1:29" x14ac:dyDescent="0.3">
      <c r="A61" t="s">
        <v>22</v>
      </c>
      <c r="B61" s="1">
        <v>45660</v>
      </c>
      <c r="C61">
        <v>12</v>
      </c>
      <c r="D61">
        <v>3.4329999999999998</v>
      </c>
      <c r="E61" t="s">
        <v>6</v>
      </c>
      <c r="F61">
        <v>0.24031</v>
      </c>
      <c r="X61">
        <v>9</v>
      </c>
      <c r="Y61" s="4">
        <f>AVERAGEIFS($D$2:$D$8761,$C$2:$C$8761,9,$B$2:$B$8761,"&gt;="&amp;DATE(2025,5,1),$B$2:$B$8761,"&lt;"&amp;DATE(2025,6,1))</f>
        <v>0.49858064516129025</v>
      </c>
      <c r="Z61" s="4">
        <f>AVERAGEIFS($D$2:$D$8761,$C$2:$C$8761,9,$B$2:$B$8761,"&gt;="&amp;DATE(2025,6,1),$B$2:$B$8761,"&lt;"&amp;DATE(2025,7,1))</f>
        <v>0.67270000000000008</v>
      </c>
      <c r="AA61" s="4">
        <f>AVERAGEIFS($D$2:$D$8761,$C$2:$C$8761,9,$B$2:$B$8761,"&gt;="&amp;DATE(2025,7,1),$B$2:$B$8761,"&lt;"&amp;DATE(2025,8,1))</f>
        <v>0.39790322580645165</v>
      </c>
      <c r="AB61" s="4">
        <f>AVERAGEIFS($D$2:$D$8761,$C$2:$C$8761,9,$B$2:$B$8761,"&gt;="&amp;DATE(2025,8,1),$B$2:$B$8761,"&lt;"&amp;DATE(2025,9,1))</f>
        <v>0.19393548387096773</v>
      </c>
      <c r="AC61" s="4">
        <f>AVERAGEIFS($D$2:$D$8761,$C$2:$C$8761,9,$B$2:$B$8761,"&gt;="&amp;DATE(2025,9,1),$B$2:$B$8761,"&lt;"&amp;DATE(2025,10,1))</f>
        <v>0.33066666666666661</v>
      </c>
    </row>
    <row r="62" spans="1:29" x14ac:dyDescent="0.3">
      <c r="A62" t="s">
        <v>22</v>
      </c>
      <c r="B62" s="1">
        <v>45660</v>
      </c>
      <c r="C62">
        <v>13</v>
      </c>
      <c r="D62">
        <v>2.3639999999999999</v>
      </c>
      <c r="E62" t="s">
        <v>6</v>
      </c>
      <c r="F62">
        <v>0.22716</v>
      </c>
      <c r="X62">
        <v>10</v>
      </c>
      <c r="Y62" s="4">
        <f>AVERAGEIFS($D$2:$D$8761,$C$2:$C$8761,10,$B$2:$B$8761,"&gt;="&amp;DATE(2025,5,1),$B$2:$B$8761,"&lt;"&amp;DATE(2025,6,1))</f>
        <v>0.5248387096774193</v>
      </c>
      <c r="Z62" s="4">
        <f>AVERAGEIFS($D$2:$D$8761,$C$2:$C$8761,10,$B$2:$B$8761,"&gt;="&amp;DATE(2025,6,1),$B$2:$B$8761,"&lt;"&amp;DATE(2025,7,1))</f>
        <v>0.8112666666666668</v>
      </c>
      <c r="AA62" s="4">
        <f>AVERAGEIFS($D$2:$D$8761,$C$2:$C$8761,10,$B$2:$B$8761,"&gt;="&amp;DATE(2025,7,1),$B$2:$B$8761,"&lt;"&amp;DATE(2025,8,1))</f>
        <v>0.32538709677419358</v>
      </c>
      <c r="AB62" s="4">
        <f>AVERAGEIFS($D$2:$D$8761,$C$2:$C$8761,10,$B$2:$B$8761,"&gt;="&amp;DATE(2025,8,1),$B$2:$B$8761,"&lt;"&amp;DATE(2025,9,1))</f>
        <v>0.5169999999999999</v>
      </c>
      <c r="AC62" s="4">
        <f>AVERAGEIFS($D$2:$D$8761,$C$2:$C$8761,10,$B$2:$B$8761,"&gt;="&amp;DATE(2025,9,1),$B$2:$B$8761,"&lt;"&amp;DATE(2025,10,1))</f>
        <v>0.87839999999999985</v>
      </c>
    </row>
    <row r="63" spans="1:29" x14ac:dyDescent="0.3">
      <c r="A63" t="s">
        <v>22</v>
      </c>
      <c r="B63" s="1">
        <v>45660</v>
      </c>
      <c r="C63">
        <v>14</v>
      </c>
      <c r="D63">
        <v>3.4670000000000001</v>
      </c>
      <c r="E63" t="s">
        <v>6</v>
      </c>
      <c r="F63">
        <v>0.21850999999999998</v>
      </c>
      <c r="X63">
        <v>11</v>
      </c>
      <c r="Y63" s="4">
        <f>AVERAGEIFS($D$2:$D$8761,$C$2:$C$8761,11,$B$2:$B$8761,"&gt;="&amp;DATE(2025,5,1),$B$2:$B$8761,"&lt;"&amp;DATE(2025,6,1))</f>
        <v>0.46512903225806451</v>
      </c>
      <c r="Z63" s="4">
        <f>AVERAGEIFS($D$2:$D$8761,$C$2:$C$8761,11,$B$2:$B$8761,"&gt;="&amp;DATE(2025,6,1),$B$2:$B$8761,"&lt;"&amp;DATE(2025,7,1))</f>
        <v>0.70176666666666665</v>
      </c>
      <c r="AA63" s="4">
        <f>AVERAGEIFS($D$2:$D$8761,$C$2:$C$8761,11,$B$2:$B$8761,"&gt;="&amp;DATE(2025,7,1),$B$2:$B$8761,"&lt;"&amp;DATE(2025,8,1))</f>
        <v>0.22832258064516128</v>
      </c>
      <c r="AB63" s="4">
        <f>AVERAGEIFS($D$2:$D$8761,$C$2:$C$8761,11,$B$2:$B$8761,"&gt;="&amp;DATE(2025,8,1),$B$2:$B$8761,"&lt;"&amp;DATE(2025,9,1))</f>
        <v>0.50325806451612909</v>
      </c>
      <c r="AC63" s="4">
        <f>AVERAGEIFS($D$2:$D$8761,$C$2:$C$8761,11,$B$2:$B$8761,"&gt;="&amp;DATE(2025,9,1),$B$2:$B$8761,"&lt;"&amp;DATE(2025,10,1))</f>
        <v>0.82139999999999991</v>
      </c>
    </row>
    <row r="64" spans="1:29" x14ac:dyDescent="0.3">
      <c r="A64" t="s">
        <v>22</v>
      </c>
      <c r="B64" s="1">
        <v>45660</v>
      </c>
      <c r="C64">
        <v>15</v>
      </c>
      <c r="D64">
        <v>4.0039999999999996</v>
      </c>
      <c r="E64" t="s">
        <v>6</v>
      </c>
      <c r="F64">
        <v>0.15250999999999998</v>
      </c>
      <c r="X64">
        <v>12</v>
      </c>
      <c r="Y64" s="4">
        <f>AVERAGEIFS($D$2:$D$8761,$C$2:$C$8761,12,$B$2:$B$8761,"&gt;="&amp;DATE(2025,5,1),$B$2:$B$8761,"&lt;"&amp;DATE(2025,6,1))</f>
        <v>0.3936129032258065</v>
      </c>
      <c r="Z64" s="4">
        <f>AVERAGEIFS($D$2:$D$8761,$C$2:$C$8761,12,$B$2:$B$8761,"&gt;="&amp;DATE(2025,6,1),$B$2:$B$8761,"&lt;"&amp;DATE(2025,7,1))</f>
        <v>0.60773333333333324</v>
      </c>
      <c r="AA64" s="4">
        <f>AVERAGEIFS($D$2:$D$8761,$C$2:$C$8761,12,$B$2:$B$8761,"&gt;="&amp;DATE(2025,7,1),$B$2:$B$8761,"&lt;"&amp;DATE(2025,8,1))</f>
        <v>0.17087096774193547</v>
      </c>
      <c r="AB64" s="4">
        <f>AVERAGEIFS($D$2:$D$8761,$C$2:$C$8761,12,$B$2:$B$8761,"&gt;="&amp;DATE(2025,8,1),$B$2:$B$8761,"&lt;"&amp;DATE(2025,9,1))</f>
        <v>0.48680645161290326</v>
      </c>
      <c r="AC64" s="4">
        <f>AVERAGEIFS($D$2:$D$8761,$C$2:$C$8761,12,$B$2:$B$8761,"&gt;="&amp;DATE(2025,9,1),$B$2:$B$8761,"&lt;"&amp;DATE(2025,10,1))</f>
        <v>0.60576666666666656</v>
      </c>
    </row>
    <row r="65" spans="1:29" x14ac:dyDescent="0.3">
      <c r="A65" t="s">
        <v>22</v>
      </c>
      <c r="B65" s="1">
        <v>45660</v>
      </c>
      <c r="C65">
        <v>16</v>
      </c>
      <c r="D65">
        <v>2.3759999999999999</v>
      </c>
      <c r="E65" t="s">
        <v>6</v>
      </c>
      <c r="F65">
        <v>0.15828999999999999</v>
      </c>
      <c r="X65">
        <v>13</v>
      </c>
      <c r="Y65" s="4">
        <f>AVERAGEIFS($D$2:$D$8761,$C$2:$C$8761,13,$B$2:$B$8761,"&gt;="&amp;DATE(2025,5,1),$B$2:$B$8761,"&lt;"&amp;DATE(2025,6,1))</f>
        <v>0.67787096774193534</v>
      </c>
      <c r="Z65" s="4">
        <f>AVERAGEIFS($D$2:$D$8761,$C$2:$C$8761,13,$B$2:$B$8761,"&gt;="&amp;DATE(2025,6,1),$B$2:$B$8761,"&lt;"&amp;DATE(2025,7,1))</f>
        <v>0.72609999999999997</v>
      </c>
      <c r="AA65" s="4">
        <f>AVERAGEIFS($D$2:$D$8761,$C$2:$C$8761,13,$B$2:$B$8761,"&gt;="&amp;DATE(2025,7,1),$B$2:$B$8761,"&lt;"&amp;DATE(2025,8,1))</f>
        <v>0.17003225806451613</v>
      </c>
      <c r="AB65" s="4">
        <f>AVERAGEIFS($D$2:$D$8761,$C$2:$C$8761,13,$B$2:$B$8761,"&gt;="&amp;DATE(2025,8,1),$B$2:$B$8761,"&lt;"&amp;DATE(2025,9,1))</f>
        <v>0.60477419354838713</v>
      </c>
      <c r="AC65" s="4">
        <f>AVERAGEIFS($D$2:$D$8761,$C$2:$C$8761,13,$B$2:$B$8761,"&gt;="&amp;DATE(2025,9,1),$B$2:$B$8761,"&lt;"&amp;DATE(2025,10,1))</f>
        <v>0.53336666666666654</v>
      </c>
    </row>
    <row r="66" spans="1:29" x14ac:dyDescent="0.3">
      <c r="A66" t="s">
        <v>22</v>
      </c>
      <c r="B66" s="1">
        <v>45660</v>
      </c>
      <c r="C66">
        <v>17</v>
      </c>
      <c r="D66">
        <v>0.67100000000000004</v>
      </c>
      <c r="E66" t="s">
        <v>6</v>
      </c>
      <c r="F66">
        <v>0.17630000000000001</v>
      </c>
      <c r="X66">
        <v>14</v>
      </c>
      <c r="Y66" s="4">
        <f>AVERAGEIFS($D$2:$D$8761,$C$2:$C$8761,14,$B$2:$B$8761,"&gt;="&amp;DATE(2025,5,1),$B$2:$B$8761,"&lt;"&amp;DATE(2025,6,1))</f>
        <v>0.79345161290322574</v>
      </c>
      <c r="Z66" s="4">
        <f>AVERAGEIFS($D$2:$D$8761,$C$2:$C$8761,14,$B$2:$B$8761,"&gt;="&amp;DATE(2025,6,1),$B$2:$B$8761,"&lt;"&amp;DATE(2025,7,1))</f>
        <v>1.1977666666666669</v>
      </c>
      <c r="AA66" s="4">
        <f>AVERAGEIFS($D$2:$D$8761,$C$2:$C$8761,14,$B$2:$B$8761,"&gt;="&amp;DATE(2025,7,1),$B$2:$B$8761,"&lt;"&amp;DATE(2025,8,1))</f>
        <v>0.39787096774193553</v>
      </c>
      <c r="AB66" s="4">
        <f>AVERAGEIFS($D$2:$D$8761,$C$2:$C$8761,14,$B$2:$B$8761,"&gt;="&amp;DATE(2025,8,1),$B$2:$B$8761,"&lt;"&amp;DATE(2025,9,1))</f>
        <v>0.6917741935483871</v>
      </c>
      <c r="AC66" s="4">
        <f>AVERAGEIFS($D$2:$D$8761,$C$2:$C$8761,14,$B$2:$B$8761,"&gt;="&amp;DATE(2025,9,1),$B$2:$B$8761,"&lt;"&amp;DATE(2025,10,1))</f>
        <v>0.81863333333333321</v>
      </c>
    </row>
    <row r="67" spans="1:29" x14ac:dyDescent="0.3">
      <c r="A67" t="s">
        <v>22</v>
      </c>
      <c r="B67" s="1">
        <v>45660</v>
      </c>
      <c r="C67">
        <v>18</v>
      </c>
      <c r="D67">
        <v>0.628</v>
      </c>
      <c r="E67" t="s">
        <v>6</v>
      </c>
      <c r="F67">
        <v>0.19841999999999999</v>
      </c>
      <c r="X67">
        <v>15</v>
      </c>
      <c r="Y67" s="4">
        <f>AVERAGEIFS($D$2:$D$8761,$C$2:$C$8761,15,$B$2:$B$8761,"&gt;="&amp;DATE(2025,5,1),$B$2:$B$8761,"&lt;"&amp;DATE(2025,6,1))</f>
        <v>0.75070967741935479</v>
      </c>
      <c r="Z67" s="4">
        <f>AVERAGEIFS($D$2:$D$8761,$C$2:$C$8761,15,$B$2:$B$8761,"&gt;="&amp;DATE(2025,6,1),$B$2:$B$8761,"&lt;"&amp;DATE(2025,7,1))</f>
        <v>1.4024666666666668</v>
      </c>
      <c r="AA67" s="4">
        <f>AVERAGEIFS($D$2:$D$8761,$C$2:$C$8761,15,$B$2:$B$8761,"&gt;="&amp;DATE(2025,7,1),$B$2:$B$8761,"&lt;"&amp;DATE(2025,8,1))</f>
        <v>0.43748387096774194</v>
      </c>
      <c r="AB67" s="4">
        <f>AVERAGEIFS($D$2:$D$8761,$C$2:$C$8761,15,$B$2:$B$8761,"&gt;="&amp;DATE(2025,8,1),$B$2:$B$8761,"&lt;"&amp;DATE(2025,9,1))</f>
        <v>0.88729032258064533</v>
      </c>
      <c r="AC67" s="4">
        <f>AVERAGEIFS($D$2:$D$8761,$C$2:$C$8761,15,$B$2:$B$8761,"&gt;="&amp;DATE(2025,9,1),$B$2:$B$8761,"&lt;"&amp;DATE(2025,10,1))</f>
        <v>0.97286666666666655</v>
      </c>
    </row>
    <row r="68" spans="1:29" x14ac:dyDescent="0.3">
      <c r="A68" t="s">
        <v>22</v>
      </c>
      <c r="B68" s="1">
        <v>45660</v>
      </c>
      <c r="C68">
        <v>19</v>
      </c>
      <c r="D68">
        <v>0.443</v>
      </c>
      <c r="E68" t="s">
        <v>6</v>
      </c>
      <c r="F68">
        <v>0.26973000000000003</v>
      </c>
      <c r="X68">
        <v>16</v>
      </c>
      <c r="Y68" s="4">
        <f>AVERAGEIFS($D$2:$D$8761,$C$2:$C$8761,16,$B$2:$B$8761,"&gt;="&amp;DATE(2025,5,1),$B$2:$B$8761,"&lt;"&amp;DATE(2025,6,1))</f>
        <v>0.66716129032258076</v>
      </c>
      <c r="Z68" s="4">
        <f>AVERAGEIFS($D$2:$D$8761,$C$2:$C$8761,16,$B$2:$B$8761,"&gt;="&amp;DATE(2025,6,1),$B$2:$B$8761,"&lt;"&amp;DATE(2025,7,1))</f>
        <v>0.89113333333333322</v>
      </c>
      <c r="AA68" s="4">
        <f>AVERAGEIFS($D$2:$D$8761,$C$2:$C$8761,16,$B$2:$B$8761,"&gt;="&amp;DATE(2025,7,1),$B$2:$B$8761,"&lt;"&amp;DATE(2025,8,1))</f>
        <v>0.41458064516129034</v>
      </c>
      <c r="AB68" s="4">
        <f>AVERAGEIFS($D$2:$D$8761,$C$2:$C$8761,16,$B$2:$B$8761,"&gt;="&amp;DATE(2025,8,1),$B$2:$B$8761,"&lt;"&amp;DATE(2025,9,1))</f>
        <v>0.64519354838709686</v>
      </c>
      <c r="AC68" s="4">
        <f>AVERAGEIFS($D$2:$D$8761,$C$2:$C$8761,16,$B$2:$B$8761,"&gt;="&amp;DATE(2025,9,1),$B$2:$B$8761,"&lt;"&amp;DATE(2025,10,1))</f>
        <v>1.1129999999999998</v>
      </c>
    </row>
    <row r="69" spans="1:29" x14ac:dyDescent="0.3">
      <c r="A69" t="s">
        <v>22</v>
      </c>
      <c r="B69" s="1">
        <v>45660</v>
      </c>
      <c r="C69">
        <v>20</v>
      </c>
      <c r="D69">
        <v>0.55700000000000005</v>
      </c>
      <c r="E69" t="s">
        <v>6</v>
      </c>
      <c r="F69">
        <v>0.27138999999999996</v>
      </c>
      <c r="X69">
        <v>17</v>
      </c>
      <c r="Y69" s="4">
        <f>AVERAGEIFS($D$2:$D$8761,$C$2:$C$8761,17,$B$2:$B$8761,"&gt;="&amp;DATE(2025,5,1),$B$2:$B$8761,"&lt;"&amp;DATE(2025,6,1))</f>
        <v>0.44306451612903225</v>
      </c>
      <c r="Z69" s="4">
        <f>AVERAGEIFS($D$2:$D$8761,$C$2:$C$8761,17,$B$2:$B$8761,"&gt;="&amp;DATE(2025,6,1),$B$2:$B$8761,"&lt;"&amp;DATE(2025,7,1))</f>
        <v>0.49099999999999999</v>
      </c>
      <c r="AA69" s="4">
        <f>AVERAGEIFS($D$2:$D$8761,$C$2:$C$8761,17,$B$2:$B$8761,"&gt;="&amp;DATE(2025,7,1),$B$2:$B$8761,"&lt;"&amp;DATE(2025,8,1))</f>
        <v>0.34458064516129028</v>
      </c>
      <c r="AB69" s="4">
        <f>AVERAGEIFS($D$2:$D$8761,$C$2:$C$8761,17,$B$2:$B$8761,"&gt;="&amp;DATE(2025,8,1),$B$2:$B$8761,"&lt;"&amp;DATE(2025,9,1))</f>
        <v>0.5974838709677418</v>
      </c>
      <c r="AC69" s="4">
        <f>AVERAGEIFS($D$2:$D$8761,$C$2:$C$8761,17,$B$2:$B$8761,"&gt;="&amp;DATE(2025,9,1),$B$2:$B$8761,"&lt;"&amp;DATE(2025,10,1))</f>
        <v>0.53216666666666668</v>
      </c>
    </row>
    <row r="70" spans="1:29" x14ac:dyDescent="0.3">
      <c r="A70" t="s">
        <v>22</v>
      </c>
      <c r="B70" s="1">
        <v>45660</v>
      </c>
      <c r="C70">
        <v>21</v>
      </c>
      <c r="D70">
        <v>3.81</v>
      </c>
      <c r="E70" t="s">
        <v>6</v>
      </c>
      <c r="F70">
        <v>0.27165</v>
      </c>
      <c r="X70">
        <v>18</v>
      </c>
      <c r="Y70" s="4">
        <f>AVERAGEIFS($D$2:$D$8761,$C$2:$C$8761,18,$B$2:$B$8761,"&gt;="&amp;DATE(2025,5,1),$B$2:$B$8761,"&lt;"&amp;DATE(2025,6,1))</f>
        <v>0.39629032258064517</v>
      </c>
      <c r="Z70" s="4">
        <f>AVERAGEIFS($D$2:$D$8761,$C$2:$C$8761,18,$B$2:$B$8761,"&gt;="&amp;DATE(2025,6,1),$B$2:$B$8761,"&lt;"&amp;DATE(2025,7,1))</f>
        <v>0.39369999999999999</v>
      </c>
      <c r="AA70" s="4">
        <f>AVERAGEIFS($D$2:$D$8761,$C$2:$C$8761,18,$B$2:$B$8761,"&gt;="&amp;DATE(2025,7,1),$B$2:$B$8761,"&lt;"&amp;DATE(2025,8,1))</f>
        <v>0.28554838709677421</v>
      </c>
      <c r="AB70" s="4">
        <f>AVERAGEIFS($D$2:$D$8761,$C$2:$C$8761,18,$B$2:$B$8761,"&gt;="&amp;DATE(2025,8,1),$B$2:$B$8761,"&lt;"&amp;DATE(2025,9,1))</f>
        <v>0.3881935483870968</v>
      </c>
      <c r="AC70" s="4">
        <f>AVERAGEIFS($D$2:$D$8761,$C$2:$C$8761,18,$B$2:$B$8761,"&gt;="&amp;DATE(2025,9,1),$B$2:$B$8761,"&lt;"&amp;DATE(2025,10,1))</f>
        <v>0.58086666666666675</v>
      </c>
    </row>
    <row r="71" spans="1:29" x14ac:dyDescent="0.3">
      <c r="A71" t="s">
        <v>22</v>
      </c>
      <c r="B71" s="1">
        <v>45660</v>
      </c>
      <c r="C71">
        <v>22</v>
      </c>
      <c r="D71">
        <v>4.1680000000000001</v>
      </c>
      <c r="E71" t="s">
        <v>6</v>
      </c>
      <c r="F71">
        <v>0.27022000000000002</v>
      </c>
      <c r="X71">
        <v>19</v>
      </c>
      <c r="Y71" s="4">
        <f>AVERAGEIFS($D$2:$D$8761,$C$2:$C$8761,19,$B$2:$B$8761,"&gt;="&amp;DATE(2025,5,1),$B$2:$B$8761,"&lt;"&amp;DATE(2025,6,1))</f>
        <v>0.40470967741935482</v>
      </c>
      <c r="Z71" s="4">
        <f>AVERAGEIFS($D$2:$D$8761,$C$2:$C$8761,19,$B$2:$B$8761,"&gt;="&amp;DATE(2025,6,1),$B$2:$B$8761,"&lt;"&amp;DATE(2025,7,1))</f>
        <v>0.55506666666666671</v>
      </c>
      <c r="AA71" s="4">
        <f>AVERAGEIFS($D$2:$D$8761,$C$2:$C$8761,19,$B$2:$B$8761,"&gt;="&amp;DATE(2025,7,1),$B$2:$B$8761,"&lt;"&amp;DATE(2025,8,1))</f>
        <v>0.53964516129032269</v>
      </c>
      <c r="AB71" s="4">
        <f>AVERAGEIFS($D$2:$D$8761,$C$2:$C$8761,19,$B$2:$B$8761,"&gt;="&amp;DATE(2025,8,1),$B$2:$B$8761,"&lt;"&amp;DATE(2025,9,1))</f>
        <v>0.42241935483870968</v>
      </c>
      <c r="AC71" s="4">
        <f>AVERAGEIFS($D$2:$D$8761,$C$2:$C$8761,19,$B$2:$B$8761,"&gt;="&amp;DATE(2025,9,1),$B$2:$B$8761,"&lt;"&amp;DATE(2025,10,1))</f>
        <v>0.69846666666666657</v>
      </c>
    </row>
    <row r="72" spans="1:29" x14ac:dyDescent="0.3">
      <c r="A72" t="s">
        <v>22</v>
      </c>
      <c r="B72" s="1">
        <v>45660</v>
      </c>
      <c r="C72">
        <v>23</v>
      </c>
      <c r="D72">
        <v>3.0680000000000001</v>
      </c>
      <c r="E72" t="s">
        <v>6</v>
      </c>
      <c r="F72">
        <v>0.20113999999999999</v>
      </c>
      <c r="X72">
        <v>20</v>
      </c>
      <c r="Y72" s="4">
        <f>AVERAGEIFS($D$2:$D$8761,$C$2:$C$8761,20,$B$2:$B$8761,"&gt;="&amp;DATE(2025,5,1),$B$2:$B$8761,"&lt;"&amp;DATE(2025,6,1))</f>
        <v>0.57045161290322588</v>
      </c>
      <c r="Z72" s="4">
        <f>AVERAGEIFS($D$2:$D$8761,$C$2:$C$8761,20,$B$2:$B$8761,"&gt;="&amp;DATE(2025,6,1),$B$2:$B$8761,"&lt;"&amp;DATE(2025,7,1))</f>
        <v>0.77180000000000004</v>
      </c>
      <c r="AA72" s="4">
        <f>AVERAGEIFS($D$2:$D$8761,$C$2:$C$8761,20,$B$2:$B$8761,"&gt;="&amp;DATE(2025,7,1),$B$2:$B$8761,"&lt;"&amp;DATE(2025,8,1))</f>
        <v>0.89370967741935503</v>
      </c>
      <c r="AB72" s="4">
        <f>AVERAGEIFS($D$2:$D$8761,$C$2:$C$8761,20,$B$2:$B$8761,"&gt;="&amp;DATE(2025,8,1),$B$2:$B$8761,"&lt;"&amp;DATE(2025,9,1))</f>
        <v>0.67303225806451616</v>
      </c>
      <c r="AC72" s="4">
        <f>AVERAGEIFS($D$2:$D$8761,$C$2:$C$8761,20,$B$2:$B$8761,"&gt;="&amp;DATE(2025,9,1),$B$2:$B$8761,"&lt;"&amp;DATE(2025,10,1))</f>
        <v>0.78736666666666644</v>
      </c>
    </row>
    <row r="73" spans="1:29" x14ac:dyDescent="0.3">
      <c r="A73" t="s">
        <v>22</v>
      </c>
      <c r="B73" s="1">
        <v>45660</v>
      </c>
      <c r="C73">
        <v>24</v>
      </c>
      <c r="D73">
        <v>2.8039999999999998</v>
      </c>
      <c r="E73" t="s">
        <v>6</v>
      </c>
      <c r="F73">
        <v>0.19338</v>
      </c>
      <c r="X73">
        <v>21</v>
      </c>
      <c r="Y73" s="4">
        <f>AVERAGEIFS($D$2:$D$8761,$C$2:$C$8761,21,$B$2:$B$8761,"&gt;="&amp;DATE(2025,5,1),$B$2:$B$8761,"&lt;"&amp;DATE(2025,6,1))</f>
        <v>0.83025806451612905</v>
      </c>
      <c r="Z73" s="4">
        <f>AVERAGEIFS($D$2:$D$8761,$C$2:$C$8761,21,$B$2:$B$8761,"&gt;="&amp;DATE(2025,6,1),$B$2:$B$8761,"&lt;"&amp;DATE(2025,7,1))</f>
        <v>0.86333333333333351</v>
      </c>
      <c r="AA73" s="4">
        <f>AVERAGEIFS($D$2:$D$8761,$C$2:$C$8761,21,$B$2:$B$8761,"&gt;="&amp;DATE(2025,7,1),$B$2:$B$8761,"&lt;"&amp;DATE(2025,8,1))</f>
        <v>0.93351612903225833</v>
      </c>
      <c r="AB73" s="4">
        <f>AVERAGEIFS($D$2:$D$8761,$C$2:$C$8761,21,$B$2:$B$8761,"&gt;="&amp;DATE(2025,8,1),$B$2:$B$8761,"&lt;"&amp;DATE(2025,9,1))</f>
        <v>0.7338709677419355</v>
      </c>
      <c r="AC73" s="4">
        <f>AVERAGEIFS($D$2:$D$8761,$C$2:$C$8761,21,$B$2:$B$8761,"&gt;="&amp;DATE(2025,9,1),$B$2:$B$8761,"&lt;"&amp;DATE(2025,10,1))</f>
        <v>0.80876666666666663</v>
      </c>
    </row>
    <row r="74" spans="1:29" x14ac:dyDescent="0.3">
      <c r="A74" t="s">
        <v>22</v>
      </c>
      <c r="B74" s="1">
        <v>45661</v>
      </c>
      <c r="C74">
        <v>1</v>
      </c>
      <c r="D74">
        <v>2.7280000000000002</v>
      </c>
      <c r="E74" t="s">
        <v>6</v>
      </c>
      <c r="F74">
        <v>0.14627000000000001</v>
      </c>
      <c r="X74">
        <v>22</v>
      </c>
      <c r="Y74" s="4">
        <f>AVERAGEIFS($D$2:$D$8761,$C$2:$C$8761,22,$B$2:$B$8761,"&gt;="&amp;DATE(2025,5,1),$B$2:$B$8761,"&lt;"&amp;DATE(2025,6,1))</f>
        <v>1.0737419354838711</v>
      </c>
      <c r="Z74" s="4">
        <f>AVERAGEIFS($D$2:$D$8761,$C$2:$C$8761,22,$B$2:$B$8761,"&gt;="&amp;DATE(2025,6,1),$B$2:$B$8761,"&lt;"&amp;DATE(2025,7,1))</f>
        <v>1.0927333333333331</v>
      </c>
      <c r="AA74" s="4">
        <f>AVERAGEIFS($D$2:$D$8761,$C$2:$C$8761,22,$B$2:$B$8761,"&gt;="&amp;DATE(2025,7,1),$B$2:$B$8761,"&lt;"&amp;DATE(2025,8,1))</f>
        <v>0.99441935483870958</v>
      </c>
      <c r="AB74" s="4">
        <f>AVERAGEIFS($D$2:$D$8761,$C$2:$C$8761,22,$B$2:$B$8761,"&gt;="&amp;DATE(2025,8,1),$B$2:$B$8761,"&lt;"&amp;DATE(2025,9,1))</f>
        <v>0.7889354838709679</v>
      </c>
      <c r="AC74" s="4">
        <f>AVERAGEIFS($D$2:$D$8761,$C$2:$C$8761,22,$B$2:$B$8761,"&gt;="&amp;DATE(2025,9,1),$B$2:$B$8761,"&lt;"&amp;DATE(2025,10,1))</f>
        <v>0.8132666666666668</v>
      </c>
    </row>
    <row r="75" spans="1:29" x14ac:dyDescent="0.3">
      <c r="A75" t="s">
        <v>22</v>
      </c>
      <c r="B75" s="1">
        <v>45661</v>
      </c>
      <c r="C75">
        <v>2</v>
      </c>
      <c r="D75">
        <v>3.05</v>
      </c>
      <c r="E75" t="s">
        <v>6</v>
      </c>
      <c r="F75">
        <v>0.14041000000000001</v>
      </c>
      <c r="X75">
        <v>23</v>
      </c>
      <c r="Y75" s="4">
        <f>AVERAGEIFS($D$2:$D$8761,$C$2:$C$8761,23,$B$2:$B$8761,"&gt;="&amp;DATE(2025,5,1),$B$2:$B$8761,"&lt;"&amp;DATE(2025,6,1))</f>
        <v>1.0450322580645162</v>
      </c>
      <c r="Z75" s="4">
        <f>AVERAGEIFS($D$2:$D$8761,$C$2:$C$8761,23,$B$2:$B$8761,"&gt;="&amp;DATE(2025,6,1),$B$2:$B$8761,"&lt;"&amp;DATE(2025,7,1))</f>
        <v>0.93743333333333345</v>
      </c>
      <c r="AA75" s="4">
        <f>AVERAGEIFS($D$2:$D$8761,$C$2:$C$8761,23,$B$2:$B$8761,"&gt;="&amp;DATE(2025,7,1),$B$2:$B$8761,"&lt;"&amp;DATE(2025,8,1))</f>
        <v>0.83645161290322589</v>
      </c>
      <c r="AB75" s="4">
        <f>AVERAGEIFS($D$2:$D$8761,$C$2:$C$8761,23,$B$2:$B$8761,"&gt;="&amp;DATE(2025,8,1),$B$2:$B$8761,"&lt;"&amp;DATE(2025,9,1))</f>
        <v>0.76109677419354838</v>
      </c>
      <c r="AC75" s="4">
        <f>AVERAGEIFS($D$2:$D$8761,$C$2:$C$8761,23,$B$2:$B$8761,"&gt;="&amp;DATE(2025,9,1),$B$2:$B$8761,"&lt;"&amp;DATE(2025,10,1))</f>
        <v>0.57563333333333355</v>
      </c>
    </row>
    <row r="76" spans="1:29" x14ac:dyDescent="0.3">
      <c r="A76" t="s">
        <v>22</v>
      </c>
      <c r="B76" s="1">
        <v>45661</v>
      </c>
      <c r="C76">
        <v>3</v>
      </c>
      <c r="D76">
        <v>3.246</v>
      </c>
      <c r="E76" t="s">
        <v>6</v>
      </c>
      <c r="F76">
        <v>0.13808999999999999</v>
      </c>
      <c r="X76">
        <v>24</v>
      </c>
      <c r="Y76" s="4">
        <f>AVERAGEIFS($D$2:$D$8761,$C$2:$C$8761,24,$B$2:$B$8761,"&gt;="&amp;DATE(2025,5,1),$B$2:$B$8761,"&lt;"&amp;DATE(2025,6,1))</f>
        <v>0.75235483870967768</v>
      </c>
      <c r="Z76" s="4">
        <f>AVERAGEIFS($D$2:$D$8761,$C$2:$C$8761,24,$B$2:$B$8761,"&gt;="&amp;DATE(2025,6,1),$B$2:$B$8761,"&lt;"&amp;DATE(2025,7,1))</f>
        <v>0.77603333333333346</v>
      </c>
      <c r="AA76" s="4">
        <f>AVERAGEIFS($D$2:$D$8761,$C$2:$C$8761,24,$B$2:$B$8761,"&gt;="&amp;DATE(2025,7,1),$B$2:$B$8761,"&lt;"&amp;DATE(2025,8,1))</f>
        <v>0.735709677419355</v>
      </c>
      <c r="AB76" s="4">
        <f>AVERAGEIFS($D$2:$D$8761,$C$2:$C$8761,24,$B$2:$B$8761,"&gt;="&amp;DATE(2025,8,1),$B$2:$B$8761,"&lt;"&amp;DATE(2025,9,1))</f>
        <v>0.73445161290322569</v>
      </c>
      <c r="AC76" s="4">
        <f>AVERAGEIFS($D$2:$D$8761,$C$2:$C$8761,24,$B$2:$B$8761,"&gt;="&amp;DATE(2025,9,1),$B$2:$B$8761,"&lt;"&amp;DATE(2025,10,1))</f>
        <v>0.46330000000000005</v>
      </c>
    </row>
    <row r="77" spans="1:29" x14ac:dyDescent="0.3">
      <c r="A77" t="s">
        <v>22</v>
      </c>
      <c r="B77" s="1">
        <v>45661</v>
      </c>
      <c r="C77">
        <v>4</v>
      </c>
      <c r="D77">
        <v>3.5329999999999999</v>
      </c>
      <c r="E77" t="s">
        <v>6</v>
      </c>
      <c r="F77">
        <v>0.13371</v>
      </c>
    </row>
    <row r="78" spans="1:29" x14ac:dyDescent="0.3">
      <c r="A78" t="s">
        <v>22</v>
      </c>
      <c r="B78" s="1">
        <v>45661</v>
      </c>
      <c r="C78">
        <v>5</v>
      </c>
      <c r="D78">
        <v>3.2370000000000001</v>
      </c>
      <c r="E78" t="s">
        <v>6</v>
      </c>
      <c r="F78">
        <v>0.13716</v>
      </c>
      <c r="X78" s="2" t="s">
        <v>36</v>
      </c>
      <c r="Y78" s="2" t="s">
        <v>14</v>
      </c>
      <c r="Z78" s="2" t="s">
        <v>15</v>
      </c>
      <c r="AA78" s="2" t="s">
        <v>16</v>
      </c>
      <c r="AB78" s="2" t="s">
        <v>17</v>
      </c>
      <c r="AC78" s="2" t="s">
        <v>18</v>
      </c>
    </row>
    <row r="79" spans="1:29" x14ac:dyDescent="0.3">
      <c r="A79" t="s">
        <v>22</v>
      </c>
      <c r="B79" s="1">
        <v>45661</v>
      </c>
      <c r="C79">
        <v>6</v>
      </c>
      <c r="D79">
        <v>3.7629999999999999</v>
      </c>
      <c r="E79" t="s">
        <v>6</v>
      </c>
      <c r="F79">
        <v>0.14493</v>
      </c>
      <c r="Y79" s="4">
        <f>MIN(Y53:Y76)</f>
        <v>0.3936129032258065</v>
      </c>
      <c r="Z79" s="4">
        <f>MIN(Z53:Z76)</f>
        <v>0.35283333333333322</v>
      </c>
      <c r="AA79" s="4">
        <f>MIN(AA53:AA76)</f>
        <v>0.17003225806451613</v>
      </c>
      <c r="AB79" s="4">
        <f>MIN(AB53:AB76)</f>
        <v>0.19393548387096773</v>
      </c>
      <c r="AC79" s="4">
        <f>MIN(AC53:AC76)</f>
        <v>0.28856666666666669</v>
      </c>
    </row>
    <row r="80" spans="1:29" x14ac:dyDescent="0.3">
      <c r="A80" t="s">
        <v>22</v>
      </c>
      <c r="B80" s="1">
        <v>45661</v>
      </c>
      <c r="C80">
        <v>7</v>
      </c>
      <c r="D80">
        <v>3.5329999999999999</v>
      </c>
      <c r="E80" t="s">
        <v>6</v>
      </c>
      <c r="F80">
        <v>0.15130000000000002</v>
      </c>
    </row>
    <row r="81" spans="1:6" x14ac:dyDescent="0.3">
      <c r="A81" t="s">
        <v>22</v>
      </c>
      <c r="B81" s="1">
        <v>45661</v>
      </c>
      <c r="C81">
        <v>8</v>
      </c>
      <c r="D81">
        <v>3.5249999999999999</v>
      </c>
      <c r="E81" t="s">
        <v>6</v>
      </c>
      <c r="F81">
        <v>0.15436000000000002</v>
      </c>
    </row>
    <row r="82" spans="1:6" x14ac:dyDescent="0.3">
      <c r="A82" t="s">
        <v>22</v>
      </c>
      <c r="B82" s="1">
        <v>45661</v>
      </c>
      <c r="C82">
        <v>9</v>
      </c>
      <c r="D82">
        <v>3.0150000000000001</v>
      </c>
      <c r="E82" t="s">
        <v>6</v>
      </c>
      <c r="F82">
        <v>0.16136</v>
      </c>
    </row>
    <row r="83" spans="1:6" x14ac:dyDescent="0.3">
      <c r="A83" t="s">
        <v>22</v>
      </c>
      <c r="B83" s="1">
        <v>45661</v>
      </c>
      <c r="C83">
        <v>10</v>
      </c>
      <c r="D83">
        <v>3.8919999999999999</v>
      </c>
      <c r="E83" t="s">
        <v>6</v>
      </c>
      <c r="F83">
        <v>0.16727</v>
      </c>
    </row>
    <row r="84" spans="1:6" x14ac:dyDescent="0.3">
      <c r="A84" t="s">
        <v>22</v>
      </c>
      <c r="B84" s="1">
        <v>45661</v>
      </c>
      <c r="C84">
        <v>11</v>
      </c>
      <c r="D84">
        <v>4.5890000000000004</v>
      </c>
      <c r="E84" t="s">
        <v>6</v>
      </c>
      <c r="F84">
        <v>0.15093000000000001</v>
      </c>
    </row>
    <row r="85" spans="1:6" x14ac:dyDescent="0.3">
      <c r="A85" t="s">
        <v>22</v>
      </c>
      <c r="B85" s="1">
        <v>45661</v>
      </c>
      <c r="C85">
        <v>12</v>
      </c>
      <c r="D85">
        <v>3.7639999999999998</v>
      </c>
      <c r="E85" t="s">
        <v>6</v>
      </c>
      <c r="F85">
        <v>0.12806999999999999</v>
      </c>
    </row>
    <row r="86" spans="1:6" x14ac:dyDescent="0.3">
      <c r="A86" t="s">
        <v>22</v>
      </c>
      <c r="B86" s="1">
        <v>45661</v>
      </c>
      <c r="C86">
        <v>13</v>
      </c>
      <c r="D86">
        <v>2.4870000000000001</v>
      </c>
      <c r="E86" t="s">
        <v>6</v>
      </c>
      <c r="F86">
        <v>0.10762000000000001</v>
      </c>
    </row>
    <row r="87" spans="1:6" x14ac:dyDescent="0.3">
      <c r="A87" t="s">
        <v>22</v>
      </c>
      <c r="B87" s="1">
        <v>45661</v>
      </c>
      <c r="C87">
        <v>14</v>
      </c>
      <c r="D87">
        <v>0</v>
      </c>
      <c r="E87" t="s">
        <v>6</v>
      </c>
      <c r="F87">
        <v>0.10712999999999999</v>
      </c>
    </row>
    <row r="88" spans="1:6" x14ac:dyDescent="0.3">
      <c r="A88" t="s">
        <v>22</v>
      </c>
      <c r="B88" s="1">
        <v>45661</v>
      </c>
      <c r="C88">
        <v>15</v>
      </c>
      <c r="D88">
        <v>0</v>
      </c>
      <c r="E88" t="s">
        <v>6</v>
      </c>
      <c r="F88">
        <v>0.11503000000000001</v>
      </c>
    </row>
    <row r="89" spans="1:6" x14ac:dyDescent="0.3">
      <c r="A89" t="s">
        <v>22</v>
      </c>
      <c r="B89" s="1">
        <v>45661</v>
      </c>
      <c r="C89">
        <v>16</v>
      </c>
      <c r="D89">
        <v>0</v>
      </c>
      <c r="E89" t="s">
        <v>6</v>
      </c>
      <c r="F89">
        <v>0.12784999999999999</v>
      </c>
    </row>
    <row r="90" spans="1:6" x14ac:dyDescent="0.3">
      <c r="A90" t="s">
        <v>22</v>
      </c>
      <c r="B90" s="1">
        <v>45661</v>
      </c>
      <c r="C90">
        <v>17</v>
      </c>
      <c r="D90">
        <v>2.0750000000000002</v>
      </c>
      <c r="E90" t="s">
        <v>6</v>
      </c>
      <c r="F90">
        <v>0.15784999999999999</v>
      </c>
    </row>
    <row r="91" spans="1:6" x14ac:dyDescent="0.3">
      <c r="A91" t="s">
        <v>22</v>
      </c>
      <c r="B91" s="1">
        <v>45661</v>
      </c>
      <c r="C91">
        <v>18</v>
      </c>
      <c r="D91">
        <v>1.1719999999999999</v>
      </c>
      <c r="E91" t="s">
        <v>6</v>
      </c>
      <c r="F91">
        <v>0.17448</v>
      </c>
    </row>
    <row r="92" spans="1:6" x14ac:dyDescent="0.3">
      <c r="A92" t="s">
        <v>22</v>
      </c>
      <c r="B92" s="1">
        <v>45661</v>
      </c>
      <c r="C92">
        <v>19</v>
      </c>
      <c r="D92">
        <v>0.309</v>
      </c>
      <c r="E92" t="s">
        <v>6</v>
      </c>
      <c r="F92">
        <v>0.17756</v>
      </c>
    </row>
    <row r="93" spans="1:6" x14ac:dyDescent="0.3">
      <c r="A93" t="s">
        <v>22</v>
      </c>
      <c r="B93" s="1">
        <v>45661</v>
      </c>
      <c r="C93">
        <v>20</v>
      </c>
      <c r="D93">
        <v>0.71799999999999997</v>
      </c>
      <c r="E93" t="s">
        <v>6</v>
      </c>
      <c r="F93">
        <v>0.16941000000000001</v>
      </c>
    </row>
    <row r="94" spans="1:6" x14ac:dyDescent="0.3">
      <c r="A94" t="s">
        <v>22</v>
      </c>
      <c r="B94" s="1">
        <v>45661</v>
      </c>
      <c r="C94">
        <v>21</v>
      </c>
      <c r="D94">
        <v>0.70599999999999996</v>
      </c>
      <c r="E94" t="s">
        <v>6</v>
      </c>
      <c r="F94">
        <v>0.15893000000000002</v>
      </c>
    </row>
    <row r="95" spans="1:6" x14ac:dyDescent="0.3">
      <c r="A95" t="s">
        <v>22</v>
      </c>
      <c r="B95" s="1">
        <v>45661</v>
      </c>
      <c r="C95">
        <v>22</v>
      </c>
      <c r="D95">
        <v>0.35099999999999998</v>
      </c>
      <c r="E95" t="s">
        <v>6</v>
      </c>
      <c r="F95">
        <v>0.15439</v>
      </c>
    </row>
    <row r="96" spans="1:6" x14ac:dyDescent="0.3">
      <c r="A96" t="s">
        <v>22</v>
      </c>
      <c r="B96" s="1">
        <v>45661</v>
      </c>
      <c r="C96">
        <v>23</v>
      </c>
      <c r="D96">
        <v>0.245</v>
      </c>
      <c r="E96" t="s">
        <v>6</v>
      </c>
      <c r="F96">
        <v>0.15045</v>
      </c>
    </row>
    <row r="97" spans="1:6" x14ac:dyDescent="0.3">
      <c r="A97" t="s">
        <v>22</v>
      </c>
      <c r="B97" s="1">
        <v>45661</v>
      </c>
      <c r="C97">
        <v>24</v>
      </c>
      <c r="D97">
        <v>0.17</v>
      </c>
      <c r="E97" t="s">
        <v>6</v>
      </c>
      <c r="F97">
        <v>0.14383000000000001</v>
      </c>
    </row>
    <row r="98" spans="1:6" x14ac:dyDescent="0.3">
      <c r="A98" t="s">
        <v>22</v>
      </c>
      <c r="B98" s="1">
        <v>45662</v>
      </c>
      <c r="C98">
        <v>1</v>
      </c>
      <c r="D98">
        <v>0.216</v>
      </c>
      <c r="E98" t="s">
        <v>6</v>
      </c>
      <c r="F98">
        <v>0.16202</v>
      </c>
    </row>
    <row r="99" spans="1:6" x14ac:dyDescent="0.3">
      <c r="A99" t="s">
        <v>22</v>
      </c>
      <c r="B99" s="1">
        <v>45662</v>
      </c>
      <c r="C99">
        <v>2</v>
      </c>
      <c r="D99">
        <v>1.054</v>
      </c>
      <c r="E99" t="s">
        <v>6</v>
      </c>
      <c r="F99">
        <v>0.13150000000000001</v>
      </c>
    </row>
    <row r="100" spans="1:6" x14ac:dyDescent="0.3">
      <c r="A100" t="s">
        <v>22</v>
      </c>
      <c r="B100" s="1">
        <v>45662</v>
      </c>
      <c r="C100">
        <v>3</v>
      </c>
      <c r="D100">
        <v>1.369</v>
      </c>
      <c r="E100" t="s">
        <v>6</v>
      </c>
      <c r="F100">
        <v>0.12795000000000001</v>
      </c>
    </row>
    <row r="101" spans="1:6" x14ac:dyDescent="0.3">
      <c r="A101" t="s">
        <v>22</v>
      </c>
      <c r="B101" s="1">
        <v>45662</v>
      </c>
      <c r="C101">
        <v>4</v>
      </c>
      <c r="D101">
        <v>4.617</v>
      </c>
      <c r="E101" t="s">
        <v>6</v>
      </c>
      <c r="F101">
        <v>0.11012999999999999</v>
      </c>
    </row>
    <row r="102" spans="1:6" x14ac:dyDescent="0.3">
      <c r="A102" t="s">
        <v>22</v>
      </c>
      <c r="B102" s="1">
        <v>45662</v>
      </c>
      <c r="C102">
        <v>5</v>
      </c>
      <c r="D102">
        <v>4.3520000000000003</v>
      </c>
      <c r="E102" t="s">
        <v>6</v>
      </c>
      <c r="F102">
        <v>0.10735</v>
      </c>
    </row>
    <row r="103" spans="1:6" x14ac:dyDescent="0.3">
      <c r="A103" t="s">
        <v>22</v>
      </c>
      <c r="B103" s="1">
        <v>45662</v>
      </c>
      <c r="C103">
        <v>6</v>
      </c>
      <c r="D103">
        <v>3.9929999999999999</v>
      </c>
      <c r="E103" t="s">
        <v>6</v>
      </c>
      <c r="F103">
        <v>9.8799999999999999E-2</v>
      </c>
    </row>
    <row r="104" spans="1:6" x14ac:dyDescent="0.3">
      <c r="A104" t="s">
        <v>22</v>
      </c>
      <c r="B104" s="1">
        <v>45662</v>
      </c>
      <c r="C104">
        <v>7</v>
      </c>
      <c r="D104">
        <v>3.6070000000000002</v>
      </c>
      <c r="E104" t="s">
        <v>6</v>
      </c>
      <c r="F104">
        <v>9.4340000000000007E-2</v>
      </c>
    </row>
    <row r="105" spans="1:6" x14ac:dyDescent="0.3">
      <c r="A105" t="s">
        <v>22</v>
      </c>
      <c r="B105" s="1">
        <v>45662</v>
      </c>
      <c r="C105">
        <v>8</v>
      </c>
      <c r="D105">
        <v>3.173</v>
      </c>
      <c r="E105" t="s">
        <v>6</v>
      </c>
      <c r="F105">
        <v>0.10338</v>
      </c>
    </row>
    <row r="106" spans="1:6" x14ac:dyDescent="0.3">
      <c r="A106" t="s">
        <v>22</v>
      </c>
      <c r="B106" s="1">
        <v>45662</v>
      </c>
      <c r="C106">
        <v>9</v>
      </c>
      <c r="D106">
        <v>3.0289999999999999</v>
      </c>
      <c r="E106" t="s">
        <v>6</v>
      </c>
      <c r="F106">
        <v>0.10773000000000001</v>
      </c>
    </row>
    <row r="107" spans="1:6" x14ac:dyDescent="0.3">
      <c r="A107" t="s">
        <v>22</v>
      </c>
      <c r="B107" s="1">
        <v>45662</v>
      </c>
      <c r="C107">
        <v>10</v>
      </c>
      <c r="D107">
        <v>3.0009999999999999</v>
      </c>
      <c r="E107" t="s">
        <v>6</v>
      </c>
      <c r="F107">
        <v>0.16372999999999999</v>
      </c>
    </row>
    <row r="108" spans="1:6" x14ac:dyDescent="0.3">
      <c r="A108" t="s">
        <v>22</v>
      </c>
      <c r="B108" s="1">
        <v>45662</v>
      </c>
      <c r="C108">
        <v>11</v>
      </c>
      <c r="D108">
        <v>4.4829999999999997</v>
      </c>
      <c r="E108" t="s">
        <v>6</v>
      </c>
      <c r="F108">
        <v>0.1145</v>
      </c>
    </row>
    <row r="109" spans="1:6" x14ac:dyDescent="0.3">
      <c r="A109" t="s">
        <v>22</v>
      </c>
      <c r="B109" s="1">
        <v>45662</v>
      </c>
      <c r="C109">
        <v>12</v>
      </c>
      <c r="D109">
        <v>2.0760000000000001</v>
      </c>
      <c r="E109" t="s">
        <v>6</v>
      </c>
      <c r="F109">
        <v>8.965999999999999E-2</v>
      </c>
    </row>
    <row r="110" spans="1:6" x14ac:dyDescent="0.3">
      <c r="A110" t="s">
        <v>22</v>
      </c>
      <c r="B110" s="1">
        <v>45662</v>
      </c>
      <c r="C110">
        <v>13</v>
      </c>
      <c r="D110">
        <v>1.9490000000000001</v>
      </c>
      <c r="E110" t="s">
        <v>6</v>
      </c>
      <c r="F110">
        <v>8.4879999999999997E-2</v>
      </c>
    </row>
    <row r="111" spans="1:6" x14ac:dyDescent="0.3">
      <c r="A111" t="s">
        <v>22</v>
      </c>
      <c r="B111" s="1">
        <v>45662</v>
      </c>
      <c r="C111">
        <v>14</v>
      </c>
      <c r="D111">
        <v>0.95699999999999996</v>
      </c>
      <c r="E111" t="s">
        <v>6</v>
      </c>
      <c r="F111">
        <v>7.392E-2</v>
      </c>
    </row>
    <row r="112" spans="1:6" x14ac:dyDescent="0.3">
      <c r="A112" t="s">
        <v>22</v>
      </c>
      <c r="B112" s="1">
        <v>45662</v>
      </c>
      <c r="C112">
        <v>15</v>
      </c>
      <c r="D112">
        <v>2E-3</v>
      </c>
      <c r="E112" t="s">
        <v>6</v>
      </c>
      <c r="F112">
        <v>6.787E-2</v>
      </c>
    </row>
    <row r="113" spans="1:6" x14ac:dyDescent="0.3">
      <c r="A113" t="s">
        <v>22</v>
      </c>
      <c r="B113" s="1">
        <v>45662</v>
      </c>
      <c r="C113">
        <v>16</v>
      </c>
      <c r="D113">
        <v>4.0839999999999996</v>
      </c>
      <c r="E113" t="s">
        <v>6</v>
      </c>
      <c r="F113">
        <v>6.8849999999999995E-2</v>
      </c>
    </row>
    <row r="114" spans="1:6" x14ac:dyDescent="0.3">
      <c r="A114" t="s">
        <v>22</v>
      </c>
      <c r="B114" s="1">
        <v>45662</v>
      </c>
      <c r="C114">
        <v>17</v>
      </c>
      <c r="D114">
        <v>2.681</v>
      </c>
      <c r="E114" t="s">
        <v>6</v>
      </c>
      <c r="F114">
        <v>0.10296</v>
      </c>
    </row>
    <row r="115" spans="1:6" x14ac:dyDescent="0.3">
      <c r="A115" t="s">
        <v>22</v>
      </c>
      <c r="B115" s="1">
        <v>45662</v>
      </c>
      <c r="C115">
        <v>18</v>
      </c>
      <c r="D115">
        <v>1.038</v>
      </c>
      <c r="E115" t="s">
        <v>6</v>
      </c>
      <c r="F115">
        <v>0.10651999999999999</v>
      </c>
    </row>
    <row r="116" spans="1:6" x14ac:dyDescent="0.3">
      <c r="A116" t="s">
        <v>22</v>
      </c>
      <c r="B116" s="1">
        <v>45662</v>
      </c>
      <c r="C116">
        <v>19</v>
      </c>
      <c r="D116">
        <v>0.48699999999999999</v>
      </c>
      <c r="E116" t="s">
        <v>6</v>
      </c>
      <c r="F116">
        <v>0.10912000000000001</v>
      </c>
    </row>
    <row r="117" spans="1:6" x14ac:dyDescent="0.3">
      <c r="A117" t="s">
        <v>22</v>
      </c>
      <c r="B117" s="1">
        <v>45662</v>
      </c>
      <c r="C117">
        <v>20</v>
      </c>
      <c r="D117">
        <v>0.29699999999999999</v>
      </c>
      <c r="E117" t="s">
        <v>6</v>
      </c>
      <c r="F117">
        <v>0.10745</v>
      </c>
    </row>
    <row r="118" spans="1:6" x14ac:dyDescent="0.3">
      <c r="A118" t="s">
        <v>22</v>
      </c>
      <c r="B118" s="1">
        <v>45662</v>
      </c>
      <c r="C118">
        <v>21</v>
      </c>
      <c r="D118">
        <v>0.38300000000000001</v>
      </c>
      <c r="E118" t="s">
        <v>6</v>
      </c>
      <c r="F118">
        <v>0.10773999999999999</v>
      </c>
    </row>
    <row r="119" spans="1:6" x14ac:dyDescent="0.3">
      <c r="A119" t="s">
        <v>22</v>
      </c>
      <c r="B119" s="1">
        <v>45662</v>
      </c>
      <c r="C119">
        <v>22</v>
      </c>
      <c r="D119">
        <v>0.26</v>
      </c>
      <c r="E119" t="s">
        <v>6</v>
      </c>
      <c r="F119">
        <v>0.11539000000000001</v>
      </c>
    </row>
    <row r="120" spans="1:6" x14ac:dyDescent="0.3">
      <c r="A120" t="s">
        <v>22</v>
      </c>
      <c r="B120" s="1">
        <v>45662</v>
      </c>
      <c r="C120">
        <v>23</v>
      </c>
      <c r="D120">
        <v>0.251</v>
      </c>
      <c r="E120" t="s">
        <v>6</v>
      </c>
      <c r="F120">
        <v>0.10382</v>
      </c>
    </row>
    <row r="121" spans="1:6" x14ac:dyDescent="0.3">
      <c r="A121" t="s">
        <v>22</v>
      </c>
      <c r="B121" s="1">
        <v>45662</v>
      </c>
      <c r="C121">
        <v>24</v>
      </c>
      <c r="D121">
        <v>0.312</v>
      </c>
      <c r="E121" t="s">
        <v>6</v>
      </c>
      <c r="F121">
        <v>8.5269999999999999E-2</v>
      </c>
    </row>
    <row r="122" spans="1:6" x14ac:dyDescent="0.3">
      <c r="A122" t="s">
        <v>22</v>
      </c>
      <c r="B122" s="1">
        <v>45663</v>
      </c>
      <c r="C122">
        <v>1</v>
      </c>
      <c r="D122">
        <v>0.16500000000000001</v>
      </c>
      <c r="E122" t="s">
        <v>6</v>
      </c>
      <c r="F122">
        <v>6.8860000000000005E-2</v>
      </c>
    </row>
    <row r="123" spans="1:6" x14ac:dyDescent="0.3">
      <c r="A123" t="s">
        <v>22</v>
      </c>
      <c r="B123" s="1">
        <v>45663</v>
      </c>
      <c r="C123">
        <v>2</v>
      </c>
      <c r="D123">
        <v>0.121</v>
      </c>
      <c r="E123" t="s">
        <v>6</v>
      </c>
      <c r="F123">
        <v>6.6400000000000001E-2</v>
      </c>
    </row>
    <row r="124" spans="1:6" x14ac:dyDescent="0.3">
      <c r="A124" t="s">
        <v>22</v>
      </c>
      <c r="B124" s="1">
        <v>45663</v>
      </c>
      <c r="C124">
        <v>3</v>
      </c>
      <c r="D124">
        <v>0.188</v>
      </c>
      <c r="E124" t="s">
        <v>6</v>
      </c>
      <c r="F124">
        <v>6.4840000000000009E-2</v>
      </c>
    </row>
    <row r="125" spans="1:6" x14ac:dyDescent="0.3">
      <c r="A125" t="s">
        <v>22</v>
      </c>
      <c r="B125" s="1">
        <v>45663</v>
      </c>
      <c r="C125">
        <v>4</v>
      </c>
      <c r="D125">
        <v>0.20200000000000001</v>
      </c>
      <c r="E125" t="s">
        <v>6</v>
      </c>
      <c r="F125">
        <v>6.411E-2</v>
      </c>
    </row>
    <row r="126" spans="1:6" x14ac:dyDescent="0.3">
      <c r="A126" t="s">
        <v>22</v>
      </c>
      <c r="B126" s="1">
        <v>45663</v>
      </c>
      <c r="C126">
        <v>5</v>
      </c>
      <c r="D126">
        <v>0.36599999999999999</v>
      </c>
      <c r="E126" t="s">
        <v>6</v>
      </c>
      <c r="F126">
        <v>6.5349999999999991E-2</v>
      </c>
    </row>
    <row r="127" spans="1:6" x14ac:dyDescent="0.3">
      <c r="A127" t="s">
        <v>22</v>
      </c>
      <c r="B127" s="1">
        <v>45663</v>
      </c>
      <c r="C127">
        <v>6</v>
      </c>
      <c r="D127">
        <v>1.974</v>
      </c>
      <c r="E127" t="s">
        <v>6</v>
      </c>
      <c r="F127">
        <v>6.8879999999999997E-2</v>
      </c>
    </row>
    <row r="128" spans="1:6" x14ac:dyDescent="0.3">
      <c r="A128" t="s">
        <v>22</v>
      </c>
      <c r="B128" s="1">
        <v>45663</v>
      </c>
      <c r="C128">
        <v>7</v>
      </c>
      <c r="D128">
        <v>3.14</v>
      </c>
      <c r="E128" t="s">
        <v>6</v>
      </c>
      <c r="F128">
        <v>7.3999999999999996E-2</v>
      </c>
    </row>
    <row r="129" spans="1:6" x14ac:dyDescent="0.3">
      <c r="A129" t="s">
        <v>22</v>
      </c>
      <c r="B129" s="1">
        <v>45663</v>
      </c>
      <c r="C129">
        <v>8</v>
      </c>
      <c r="D129">
        <v>2.657</v>
      </c>
      <c r="E129" t="s">
        <v>6</v>
      </c>
      <c r="F129">
        <v>0.10268000000000001</v>
      </c>
    </row>
    <row r="130" spans="1:6" x14ac:dyDescent="0.3">
      <c r="A130" t="s">
        <v>22</v>
      </c>
      <c r="B130" s="1">
        <v>45663</v>
      </c>
      <c r="C130">
        <v>9</v>
      </c>
      <c r="D130">
        <v>2.8370000000000002</v>
      </c>
      <c r="E130" t="s">
        <v>6</v>
      </c>
      <c r="F130">
        <v>0.12079000000000001</v>
      </c>
    </row>
    <row r="131" spans="1:6" x14ac:dyDescent="0.3">
      <c r="A131" t="s">
        <v>22</v>
      </c>
      <c r="B131" s="1">
        <v>45663</v>
      </c>
      <c r="C131">
        <v>10</v>
      </c>
      <c r="D131">
        <v>2.0470000000000002</v>
      </c>
      <c r="E131" t="s">
        <v>6</v>
      </c>
      <c r="F131">
        <v>0.12001000000000001</v>
      </c>
    </row>
    <row r="132" spans="1:6" x14ac:dyDescent="0.3">
      <c r="A132" t="s">
        <v>22</v>
      </c>
      <c r="B132" s="1">
        <v>45663</v>
      </c>
      <c r="C132">
        <v>11</v>
      </c>
      <c r="D132">
        <v>0</v>
      </c>
      <c r="E132" t="s">
        <v>6</v>
      </c>
      <c r="F132">
        <v>9.5090000000000008E-2</v>
      </c>
    </row>
    <row r="133" spans="1:6" x14ac:dyDescent="0.3">
      <c r="A133" t="s">
        <v>22</v>
      </c>
      <c r="B133" s="1">
        <v>45663</v>
      </c>
      <c r="C133">
        <v>12</v>
      </c>
      <c r="D133">
        <v>0</v>
      </c>
      <c r="E133" t="s">
        <v>6</v>
      </c>
      <c r="F133">
        <v>8.020999999999999E-2</v>
      </c>
    </row>
    <row r="134" spans="1:6" x14ac:dyDescent="0.3">
      <c r="A134" t="s">
        <v>22</v>
      </c>
      <c r="B134" s="1">
        <v>45663</v>
      </c>
      <c r="C134">
        <v>13</v>
      </c>
      <c r="D134">
        <v>2.3919999999999999</v>
      </c>
      <c r="E134" t="s">
        <v>6</v>
      </c>
      <c r="F134">
        <v>7.2300000000000003E-2</v>
      </c>
    </row>
    <row r="135" spans="1:6" x14ac:dyDescent="0.3">
      <c r="A135" t="s">
        <v>22</v>
      </c>
      <c r="B135" s="1">
        <v>45663</v>
      </c>
      <c r="C135">
        <v>14</v>
      </c>
      <c r="D135">
        <v>3.4910000000000001</v>
      </c>
      <c r="E135" t="s">
        <v>6</v>
      </c>
      <c r="F135">
        <v>6.2789999999999999E-2</v>
      </c>
    </row>
    <row r="136" spans="1:6" x14ac:dyDescent="0.3">
      <c r="A136" t="s">
        <v>22</v>
      </c>
      <c r="B136" s="1">
        <v>45663</v>
      </c>
      <c r="C136">
        <v>15</v>
      </c>
      <c r="D136">
        <v>1.0640000000000001</v>
      </c>
      <c r="E136" t="s">
        <v>6</v>
      </c>
      <c r="F136">
        <v>5.1549999999999999E-2</v>
      </c>
    </row>
    <row r="137" spans="1:6" x14ac:dyDescent="0.3">
      <c r="A137" t="s">
        <v>22</v>
      </c>
      <c r="B137" s="1">
        <v>45663</v>
      </c>
      <c r="C137">
        <v>16</v>
      </c>
      <c r="D137">
        <v>0</v>
      </c>
      <c r="E137" t="s">
        <v>6</v>
      </c>
      <c r="F137">
        <v>5.2399999999999995E-2</v>
      </c>
    </row>
    <row r="138" spans="1:6" x14ac:dyDescent="0.3">
      <c r="A138" t="s">
        <v>22</v>
      </c>
      <c r="B138" s="1">
        <v>45663</v>
      </c>
      <c r="C138">
        <v>17</v>
      </c>
      <c r="D138">
        <v>0.27600000000000002</v>
      </c>
      <c r="E138" t="s">
        <v>6</v>
      </c>
      <c r="F138">
        <v>9.2049999999999993E-2</v>
      </c>
    </row>
    <row r="139" spans="1:6" x14ac:dyDescent="0.3">
      <c r="A139" t="s">
        <v>22</v>
      </c>
      <c r="B139" s="1">
        <v>45663</v>
      </c>
      <c r="C139">
        <v>18</v>
      </c>
      <c r="D139">
        <v>0.24</v>
      </c>
      <c r="E139" t="s">
        <v>6</v>
      </c>
      <c r="F139">
        <v>0.12512000000000001</v>
      </c>
    </row>
    <row r="140" spans="1:6" x14ac:dyDescent="0.3">
      <c r="A140" t="s">
        <v>22</v>
      </c>
      <c r="B140" s="1">
        <v>45663</v>
      </c>
      <c r="C140">
        <v>19</v>
      </c>
      <c r="D140">
        <v>0.59299999999999997</v>
      </c>
      <c r="E140" t="s">
        <v>6</v>
      </c>
      <c r="F140">
        <v>0.1454</v>
      </c>
    </row>
    <row r="141" spans="1:6" x14ac:dyDescent="0.3">
      <c r="A141" t="s">
        <v>22</v>
      </c>
      <c r="B141" s="1">
        <v>45663</v>
      </c>
      <c r="C141">
        <v>20</v>
      </c>
      <c r="D141">
        <v>2.2999999999999998</v>
      </c>
      <c r="E141" t="s">
        <v>6</v>
      </c>
      <c r="F141">
        <v>0.16563999999999998</v>
      </c>
    </row>
    <row r="142" spans="1:6" x14ac:dyDescent="0.3">
      <c r="A142" t="s">
        <v>22</v>
      </c>
      <c r="B142" s="1">
        <v>45663</v>
      </c>
      <c r="C142">
        <v>21</v>
      </c>
      <c r="D142">
        <v>1.1499999999999999</v>
      </c>
      <c r="E142" t="s">
        <v>6</v>
      </c>
      <c r="F142">
        <v>0.17299</v>
      </c>
    </row>
    <row r="143" spans="1:6" x14ac:dyDescent="0.3">
      <c r="A143" t="s">
        <v>22</v>
      </c>
      <c r="B143" s="1">
        <v>45663</v>
      </c>
      <c r="C143">
        <v>22</v>
      </c>
      <c r="D143">
        <v>1.022</v>
      </c>
      <c r="E143" t="s">
        <v>6</v>
      </c>
      <c r="F143">
        <v>0.17923</v>
      </c>
    </row>
    <row r="144" spans="1:6" x14ac:dyDescent="0.3">
      <c r="A144" t="s">
        <v>22</v>
      </c>
      <c r="B144" s="1">
        <v>45663</v>
      </c>
      <c r="C144">
        <v>23</v>
      </c>
      <c r="D144">
        <v>2.137</v>
      </c>
      <c r="E144" t="s">
        <v>6</v>
      </c>
      <c r="F144">
        <v>0.16600000000000001</v>
      </c>
    </row>
    <row r="145" spans="1:6" x14ac:dyDescent="0.3">
      <c r="A145" t="s">
        <v>22</v>
      </c>
      <c r="B145" s="1">
        <v>45663</v>
      </c>
      <c r="C145">
        <v>24</v>
      </c>
      <c r="D145">
        <v>3.1469999999999998</v>
      </c>
      <c r="E145" t="s">
        <v>6</v>
      </c>
      <c r="F145">
        <v>0.14848</v>
      </c>
    </row>
    <row r="146" spans="1:6" x14ac:dyDescent="0.3">
      <c r="A146" t="s">
        <v>22</v>
      </c>
      <c r="B146" s="1">
        <v>45664</v>
      </c>
      <c r="C146">
        <v>1</v>
      </c>
      <c r="D146">
        <v>2.4510000000000001</v>
      </c>
      <c r="E146" t="s">
        <v>6</v>
      </c>
      <c r="F146">
        <v>0.11899999999999999</v>
      </c>
    </row>
    <row r="147" spans="1:6" x14ac:dyDescent="0.3">
      <c r="A147" t="s">
        <v>22</v>
      </c>
      <c r="B147" s="1">
        <v>45664</v>
      </c>
      <c r="C147">
        <v>2</v>
      </c>
      <c r="D147">
        <v>2.4319999999999999</v>
      </c>
      <c r="E147" t="s">
        <v>6</v>
      </c>
      <c r="F147">
        <v>0.11242000000000001</v>
      </c>
    </row>
    <row r="148" spans="1:6" x14ac:dyDescent="0.3">
      <c r="A148" t="s">
        <v>22</v>
      </c>
      <c r="B148" s="1">
        <v>45664</v>
      </c>
      <c r="C148">
        <v>3</v>
      </c>
      <c r="D148">
        <v>2.5230000000000001</v>
      </c>
      <c r="E148" t="s">
        <v>6</v>
      </c>
      <c r="F148">
        <v>0.10252</v>
      </c>
    </row>
    <row r="149" spans="1:6" x14ac:dyDescent="0.3">
      <c r="A149" t="s">
        <v>22</v>
      </c>
      <c r="B149" s="1">
        <v>45664</v>
      </c>
      <c r="C149">
        <v>4</v>
      </c>
      <c r="D149">
        <v>2.5750000000000002</v>
      </c>
      <c r="E149" t="s">
        <v>6</v>
      </c>
      <c r="F149">
        <v>8.9889999999999998E-2</v>
      </c>
    </row>
    <row r="150" spans="1:6" x14ac:dyDescent="0.3">
      <c r="A150" t="s">
        <v>22</v>
      </c>
      <c r="B150" s="1">
        <v>45664</v>
      </c>
      <c r="C150">
        <v>5</v>
      </c>
      <c r="D150">
        <v>2.82</v>
      </c>
      <c r="E150" t="s">
        <v>6</v>
      </c>
      <c r="F150">
        <v>6.8409999999999999E-2</v>
      </c>
    </row>
    <row r="151" spans="1:6" x14ac:dyDescent="0.3">
      <c r="A151" t="s">
        <v>22</v>
      </c>
      <c r="B151" s="1">
        <v>45664</v>
      </c>
      <c r="C151">
        <v>6</v>
      </c>
      <c r="D151">
        <v>2.7290000000000001</v>
      </c>
      <c r="E151" t="s">
        <v>6</v>
      </c>
      <c r="F151">
        <v>8.7739999999999999E-2</v>
      </c>
    </row>
    <row r="152" spans="1:6" x14ac:dyDescent="0.3">
      <c r="A152" t="s">
        <v>22</v>
      </c>
      <c r="B152" s="1">
        <v>45664</v>
      </c>
      <c r="C152">
        <v>7</v>
      </c>
      <c r="D152">
        <v>2.952</v>
      </c>
      <c r="E152" t="s">
        <v>6</v>
      </c>
      <c r="F152">
        <v>0.11305</v>
      </c>
    </row>
    <row r="153" spans="1:6" x14ac:dyDescent="0.3">
      <c r="A153" t="s">
        <v>22</v>
      </c>
      <c r="B153" s="1">
        <v>45664</v>
      </c>
      <c r="C153">
        <v>8</v>
      </c>
      <c r="D153">
        <v>2.6549999999999998</v>
      </c>
      <c r="E153" t="s">
        <v>6</v>
      </c>
      <c r="F153">
        <v>0.13907</v>
      </c>
    </row>
    <row r="154" spans="1:6" x14ac:dyDescent="0.3">
      <c r="A154" t="s">
        <v>22</v>
      </c>
      <c r="B154" s="1">
        <v>45664</v>
      </c>
      <c r="C154">
        <v>9</v>
      </c>
      <c r="D154">
        <v>3.2629999999999999</v>
      </c>
      <c r="E154" t="s">
        <v>6</v>
      </c>
      <c r="F154">
        <v>0.17846000000000001</v>
      </c>
    </row>
    <row r="155" spans="1:6" x14ac:dyDescent="0.3">
      <c r="A155" t="s">
        <v>22</v>
      </c>
      <c r="B155" s="1">
        <v>45664</v>
      </c>
      <c r="C155">
        <v>10</v>
      </c>
      <c r="D155">
        <v>2.431</v>
      </c>
      <c r="E155" t="s">
        <v>6</v>
      </c>
      <c r="F155">
        <v>0.16978000000000001</v>
      </c>
    </row>
    <row r="156" spans="1:6" x14ac:dyDescent="0.3">
      <c r="A156" t="s">
        <v>22</v>
      </c>
      <c r="B156" s="1">
        <v>45664</v>
      </c>
      <c r="C156">
        <v>11</v>
      </c>
      <c r="D156">
        <v>0.74099999999999999</v>
      </c>
      <c r="E156" t="s">
        <v>6</v>
      </c>
      <c r="F156">
        <v>0.22203999999999999</v>
      </c>
    </row>
    <row r="157" spans="1:6" x14ac:dyDescent="0.3">
      <c r="A157" t="s">
        <v>22</v>
      </c>
      <c r="B157" s="1">
        <v>45664</v>
      </c>
      <c r="C157">
        <v>12</v>
      </c>
      <c r="D157">
        <v>0</v>
      </c>
      <c r="E157" t="s">
        <v>6</v>
      </c>
      <c r="F157">
        <v>0.19957</v>
      </c>
    </row>
    <row r="158" spans="1:6" x14ac:dyDescent="0.3">
      <c r="A158" t="s">
        <v>22</v>
      </c>
      <c r="B158" s="1">
        <v>45664</v>
      </c>
      <c r="C158">
        <v>13</v>
      </c>
      <c r="D158">
        <v>0</v>
      </c>
      <c r="E158" t="s">
        <v>6</v>
      </c>
      <c r="F158">
        <v>0.19400000000000001</v>
      </c>
    </row>
    <row r="159" spans="1:6" x14ac:dyDescent="0.3">
      <c r="A159" t="s">
        <v>22</v>
      </c>
      <c r="B159" s="1">
        <v>45664</v>
      </c>
      <c r="C159">
        <v>14</v>
      </c>
      <c r="D159">
        <v>0</v>
      </c>
      <c r="E159" t="s">
        <v>6</v>
      </c>
      <c r="F159">
        <v>0.1923</v>
      </c>
    </row>
    <row r="160" spans="1:6" x14ac:dyDescent="0.3">
      <c r="A160" t="s">
        <v>22</v>
      </c>
      <c r="B160" s="1">
        <v>45664</v>
      </c>
      <c r="C160">
        <v>15</v>
      </c>
      <c r="D160">
        <v>1.9430000000000001</v>
      </c>
      <c r="E160" t="s">
        <v>6</v>
      </c>
      <c r="F160">
        <v>0.12899000000000002</v>
      </c>
    </row>
    <row r="161" spans="1:6" x14ac:dyDescent="0.3">
      <c r="A161" t="s">
        <v>22</v>
      </c>
      <c r="B161" s="1">
        <v>45664</v>
      </c>
      <c r="C161">
        <v>16</v>
      </c>
      <c r="D161">
        <v>2.4830000000000001</v>
      </c>
      <c r="E161" t="s">
        <v>6</v>
      </c>
      <c r="F161">
        <v>0.14548</v>
      </c>
    </row>
    <row r="162" spans="1:6" x14ac:dyDescent="0.3">
      <c r="A162" t="s">
        <v>22</v>
      </c>
      <c r="B162" s="1">
        <v>45664</v>
      </c>
      <c r="C162">
        <v>17</v>
      </c>
      <c r="D162">
        <v>0.438</v>
      </c>
      <c r="E162" t="s">
        <v>6</v>
      </c>
      <c r="F162">
        <v>0.16538</v>
      </c>
    </row>
    <row r="163" spans="1:6" x14ac:dyDescent="0.3">
      <c r="A163" t="s">
        <v>22</v>
      </c>
      <c r="B163" s="1">
        <v>45664</v>
      </c>
      <c r="C163">
        <v>18</v>
      </c>
      <c r="D163">
        <v>0.23400000000000001</v>
      </c>
      <c r="E163" t="s">
        <v>6</v>
      </c>
      <c r="F163">
        <v>0.18040999999999999</v>
      </c>
    </row>
    <row r="164" spans="1:6" x14ac:dyDescent="0.3">
      <c r="A164" t="s">
        <v>22</v>
      </c>
      <c r="B164" s="1">
        <v>45664</v>
      </c>
      <c r="C164">
        <v>19</v>
      </c>
      <c r="D164">
        <v>0.154</v>
      </c>
      <c r="E164" t="s">
        <v>6</v>
      </c>
      <c r="F164">
        <v>0.25924999999999998</v>
      </c>
    </row>
    <row r="165" spans="1:6" x14ac:dyDescent="0.3">
      <c r="A165" t="s">
        <v>22</v>
      </c>
      <c r="B165" s="1">
        <v>45664</v>
      </c>
      <c r="C165">
        <v>20</v>
      </c>
      <c r="D165">
        <v>0.46200000000000002</v>
      </c>
      <c r="E165" t="s">
        <v>6</v>
      </c>
      <c r="F165">
        <v>0.25414999999999999</v>
      </c>
    </row>
    <row r="166" spans="1:6" x14ac:dyDescent="0.3">
      <c r="A166" t="s">
        <v>22</v>
      </c>
      <c r="B166" s="1">
        <v>45664</v>
      </c>
      <c r="C166">
        <v>21</v>
      </c>
      <c r="D166">
        <v>0.83299999999999996</v>
      </c>
      <c r="E166" t="s">
        <v>6</v>
      </c>
      <c r="F166">
        <v>0.24198</v>
      </c>
    </row>
    <row r="167" spans="1:6" x14ac:dyDescent="0.3">
      <c r="A167" t="s">
        <v>22</v>
      </c>
      <c r="B167" s="1">
        <v>45664</v>
      </c>
      <c r="C167">
        <v>22</v>
      </c>
      <c r="D167">
        <v>0.70599999999999996</v>
      </c>
      <c r="E167" t="s">
        <v>6</v>
      </c>
      <c r="F167">
        <v>0.23913999999999999</v>
      </c>
    </row>
    <row r="168" spans="1:6" x14ac:dyDescent="0.3">
      <c r="A168" t="s">
        <v>22</v>
      </c>
      <c r="B168" s="1">
        <v>45664</v>
      </c>
      <c r="C168">
        <v>23</v>
      </c>
      <c r="D168">
        <v>0.26300000000000001</v>
      </c>
      <c r="E168" t="s">
        <v>6</v>
      </c>
      <c r="F168">
        <v>0.16119999999999998</v>
      </c>
    </row>
    <row r="169" spans="1:6" x14ac:dyDescent="0.3">
      <c r="A169" t="s">
        <v>22</v>
      </c>
      <c r="B169" s="1">
        <v>45664</v>
      </c>
      <c r="C169">
        <v>24</v>
      </c>
      <c r="D169">
        <v>0.318</v>
      </c>
      <c r="E169" t="s">
        <v>6</v>
      </c>
      <c r="F169">
        <v>0.15415000000000001</v>
      </c>
    </row>
    <row r="170" spans="1:6" x14ac:dyDescent="0.3">
      <c r="A170" t="s">
        <v>22</v>
      </c>
      <c r="B170" s="1">
        <v>45665</v>
      </c>
      <c r="C170">
        <v>1</v>
      </c>
      <c r="D170">
        <v>0.189</v>
      </c>
      <c r="E170" t="s">
        <v>6</v>
      </c>
      <c r="F170">
        <v>0.10737999999999999</v>
      </c>
    </row>
    <row r="171" spans="1:6" x14ac:dyDescent="0.3">
      <c r="A171" t="s">
        <v>22</v>
      </c>
      <c r="B171" s="1">
        <v>45665</v>
      </c>
      <c r="C171">
        <v>2</v>
      </c>
      <c r="D171">
        <v>0.19500000000000001</v>
      </c>
      <c r="E171" t="s">
        <v>6</v>
      </c>
      <c r="F171">
        <v>0.10366</v>
      </c>
    </row>
    <row r="172" spans="1:6" x14ac:dyDescent="0.3">
      <c r="A172" t="s">
        <v>22</v>
      </c>
      <c r="B172" s="1">
        <v>45665</v>
      </c>
      <c r="C172">
        <v>3</v>
      </c>
      <c r="D172">
        <v>0.16400000000000001</v>
      </c>
      <c r="E172" t="s">
        <v>6</v>
      </c>
      <c r="F172">
        <v>9.820000000000001E-2</v>
      </c>
    </row>
    <row r="173" spans="1:6" x14ac:dyDescent="0.3">
      <c r="A173" t="s">
        <v>22</v>
      </c>
      <c r="B173" s="1">
        <v>45665</v>
      </c>
      <c r="C173">
        <v>4</v>
      </c>
      <c r="D173">
        <v>0.247</v>
      </c>
      <c r="E173" t="s">
        <v>6</v>
      </c>
      <c r="F173">
        <v>8.8650000000000007E-2</v>
      </c>
    </row>
    <row r="174" spans="1:6" x14ac:dyDescent="0.3">
      <c r="A174" t="s">
        <v>22</v>
      </c>
      <c r="B174" s="1">
        <v>45665</v>
      </c>
      <c r="C174">
        <v>5</v>
      </c>
      <c r="D174">
        <v>4.3949999999999996</v>
      </c>
      <c r="E174" t="s">
        <v>6</v>
      </c>
      <c r="F174">
        <v>9.6379999999999993E-2</v>
      </c>
    </row>
    <row r="175" spans="1:6" x14ac:dyDescent="0.3">
      <c r="A175" t="s">
        <v>22</v>
      </c>
      <c r="B175" s="1">
        <v>45665</v>
      </c>
      <c r="C175">
        <v>6</v>
      </c>
      <c r="D175">
        <v>4.508</v>
      </c>
      <c r="E175" t="s">
        <v>6</v>
      </c>
      <c r="F175">
        <v>0.10818000000000001</v>
      </c>
    </row>
    <row r="176" spans="1:6" x14ac:dyDescent="0.3">
      <c r="A176" t="s">
        <v>22</v>
      </c>
      <c r="B176" s="1">
        <v>45665</v>
      </c>
      <c r="C176">
        <v>7</v>
      </c>
      <c r="D176">
        <v>4.548</v>
      </c>
      <c r="E176" t="s">
        <v>6</v>
      </c>
      <c r="F176">
        <v>0.13424</v>
      </c>
    </row>
    <row r="177" spans="1:6" x14ac:dyDescent="0.3">
      <c r="A177" t="s">
        <v>22</v>
      </c>
      <c r="B177" s="1">
        <v>45665</v>
      </c>
      <c r="C177">
        <v>8</v>
      </c>
      <c r="D177">
        <v>4.1680000000000001</v>
      </c>
      <c r="E177" t="s">
        <v>6</v>
      </c>
      <c r="F177">
        <v>0.15853999999999999</v>
      </c>
    </row>
    <row r="178" spans="1:6" x14ac:dyDescent="0.3">
      <c r="A178" t="s">
        <v>22</v>
      </c>
      <c r="B178" s="1">
        <v>45665</v>
      </c>
      <c r="C178">
        <v>9</v>
      </c>
      <c r="D178">
        <v>3.7</v>
      </c>
      <c r="E178" t="s">
        <v>6</v>
      </c>
      <c r="F178">
        <v>0.19434999999999999</v>
      </c>
    </row>
    <row r="179" spans="1:6" x14ac:dyDescent="0.3">
      <c r="A179" t="s">
        <v>22</v>
      </c>
      <c r="B179" s="1">
        <v>45665</v>
      </c>
      <c r="C179">
        <v>10</v>
      </c>
      <c r="D179">
        <v>0.30399999999999999</v>
      </c>
      <c r="E179" t="s">
        <v>6</v>
      </c>
      <c r="F179">
        <v>0.18888999999999997</v>
      </c>
    </row>
    <row r="180" spans="1:6" x14ac:dyDescent="0.3">
      <c r="A180" t="s">
        <v>22</v>
      </c>
      <c r="B180" s="1">
        <v>45665</v>
      </c>
      <c r="C180">
        <v>11</v>
      </c>
      <c r="D180">
        <v>0</v>
      </c>
      <c r="E180" t="s">
        <v>6</v>
      </c>
      <c r="F180">
        <v>0.23186000000000001</v>
      </c>
    </row>
    <row r="181" spans="1:6" x14ac:dyDescent="0.3">
      <c r="A181" t="s">
        <v>22</v>
      </c>
      <c r="B181" s="1">
        <v>45665</v>
      </c>
      <c r="C181">
        <v>12</v>
      </c>
      <c r="D181">
        <v>0</v>
      </c>
      <c r="E181" t="s">
        <v>6</v>
      </c>
      <c r="F181">
        <v>0.22796</v>
      </c>
    </row>
    <row r="182" spans="1:6" x14ac:dyDescent="0.3">
      <c r="A182" t="s">
        <v>22</v>
      </c>
      <c r="B182" s="1">
        <v>45665</v>
      </c>
      <c r="C182">
        <v>13</v>
      </c>
      <c r="D182">
        <v>1.8460000000000001</v>
      </c>
      <c r="E182" t="s">
        <v>6</v>
      </c>
      <c r="F182">
        <v>0.21825</v>
      </c>
    </row>
    <row r="183" spans="1:6" x14ac:dyDescent="0.3">
      <c r="A183" t="s">
        <v>22</v>
      </c>
      <c r="B183" s="1">
        <v>45665</v>
      </c>
      <c r="C183">
        <v>14</v>
      </c>
      <c r="D183">
        <v>1.859</v>
      </c>
      <c r="E183" t="s">
        <v>6</v>
      </c>
      <c r="F183">
        <v>0.20843</v>
      </c>
    </row>
    <row r="184" spans="1:6" x14ac:dyDescent="0.3">
      <c r="A184" t="s">
        <v>22</v>
      </c>
      <c r="B184" s="1">
        <v>45665</v>
      </c>
      <c r="C184">
        <v>15</v>
      </c>
      <c r="D184">
        <v>1.177</v>
      </c>
      <c r="E184" t="s">
        <v>6</v>
      </c>
      <c r="F184">
        <v>0.14252000000000001</v>
      </c>
    </row>
    <row r="185" spans="1:6" x14ac:dyDescent="0.3">
      <c r="A185" t="s">
        <v>22</v>
      </c>
      <c r="B185" s="1">
        <v>45665</v>
      </c>
      <c r="C185">
        <v>16</v>
      </c>
      <c r="D185">
        <v>7.9000000000000001E-2</v>
      </c>
      <c r="E185" t="s">
        <v>6</v>
      </c>
      <c r="F185">
        <v>0.14521000000000001</v>
      </c>
    </row>
    <row r="186" spans="1:6" x14ac:dyDescent="0.3">
      <c r="A186" t="s">
        <v>22</v>
      </c>
      <c r="B186" s="1">
        <v>45665</v>
      </c>
      <c r="C186">
        <v>17</v>
      </c>
      <c r="D186">
        <v>1.399</v>
      </c>
      <c r="E186" t="s">
        <v>6</v>
      </c>
      <c r="F186">
        <v>0.16097999999999998</v>
      </c>
    </row>
    <row r="187" spans="1:6" x14ac:dyDescent="0.3">
      <c r="A187" t="s">
        <v>22</v>
      </c>
      <c r="B187" s="1">
        <v>45665</v>
      </c>
      <c r="C187">
        <v>18</v>
      </c>
      <c r="D187">
        <v>0.81599999999999995</v>
      </c>
      <c r="E187" t="s">
        <v>6</v>
      </c>
      <c r="F187">
        <v>0.16761999999999999</v>
      </c>
    </row>
    <row r="188" spans="1:6" x14ac:dyDescent="0.3">
      <c r="A188" t="s">
        <v>22</v>
      </c>
      <c r="B188" s="1">
        <v>45665</v>
      </c>
      <c r="C188">
        <v>19</v>
      </c>
      <c r="D188">
        <v>2.2879999999999998</v>
      </c>
      <c r="E188" t="s">
        <v>6</v>
      </c>
      <c r="F188">
        <v>0.24409999999999998</v>
      </c>
    </row>
    <row r="189" spans="1:6" x14ac:dyDescent="0.3">
      <c r="A189" t="s">
        <v>22</v>
      </c>
      <c r="B189" s="1">
        <v>45665</v>
      </c>
      <c r="C189">
        <v>20</v>
      </c>
      <c r="D189">
        <v>2.9710000000000001</v>
      </c>
      <c r="E189" t="s">
        <v>6</v>
      </c>
      <c r="F189">
        <v>0.25502999999999998</v>
      </c>
    </row>
    <row r="190" spans="1:6" x14ac:dyDescent="0.3">
      <c r="A190" t="s">
        <v>22</v>
      </c>
      <c r="B190" s="1">
        <v>45665</v>
      </c>
      <c r="C190">
        <v>21</v>
      </c>
      <c r="D190">
        <v>2.7330000000000001</v>
      </c>
      <c r="E190" t="s">
        <v>6</v>
      </c>
      <c r="F190">
        <v>0.24828999999999998</v>
      </c>
    </row>
    <row r="191" spans="1:6" x14ac:dyDescent="0.3">
      <c r="A191" t="s">
        <v>22</v>
      </c>
      <c r="B191" s="1">
        <v>45665</v>
      </c>
      <c r="C191">
        <v>22</v>
      </c>
      <c r="D191">
        <v>2.3460000000000001</v>
      </c>
      <c r="E191" t="s">
        <v>6</v>
      </c>
      <c r="F191">
        <v>0.23512</v>
      </c>
    </row>
    <row r="192" spans="1:6" x14ac:dyDescent="0.3">
      <c r="A192" t="s">
        <v>22</v>
      </c>
      <c r="B192" s="1">
        <v>45665</v>
      </c>
      <c r="C192">
        <v>23</v>
      </c>
      <c r="D192">
        <v>1.99</v>
      </c>
      <c r="E192" t="s">
        <v>6</v>
      </c>
      <c r="F192">
        <v>0.17021</v>
      </c>
    </row>
    <row r="193" spans="1:6" x14ac:dyDescent="0.3">
      <c r="A193" t="s">
        <v>22</v>
      </c>
      <c r="B193" s="1">
        <v>45665</v>
      </c>
      <c r="C193">
        <v>24</v>
      </c>
      <c r="D193">
        <v>2.0019999999999998</v>
      </c>
      <c r="E193" t="s">
        <v>6</v>
      </c>
      <c r="F193">
        <v>0.15674000000000002</v>
      </c>
    </row>
    <row r="194" spans="1:6" x14ac:dyDescent="0.3">
      <c r="A194" t="s">
        <v>22</v>
      </c>
      <c r="B194" s="1">
        <v>45666</v>
      </c>
      <c r="C194">
        <v>1</v>
      </c>
      <c r="D194">
        <v>2.0059999999999998</v>
      </c>
      <c r="E194" t="s">
        <v>6</v>
      </c>
      <c r="F194">
        <v>9.4069999999999987E-2</v>
      </c>
    </row>
    <row r="195" spans="1:6" x14ac:dyDescent="0.3">
      <c r="A195" t="s">
        <v>22</v>
      </c>
      <c r="B195" s="1">
        <v>45666</v>
      </c>
      <c r="C195">
        <v>2</v>
      </c>
      <c r="D195">
        <v>1.9470000000000001</v>
      </c>
      <c r="E195" t="s">
        <v>6</v>
      </c>
      <c r="F195">
        <v>8.1119999999999998E-2</v>
      </c>
    </row>
    <row r="196" spans="1:6" x14ac:dyDescent="0.3">
      <c r="A196" t="s">
        <v>22</v>
      </c>
      <c r="B196" s="1">
        <v>45666</v>
      </c>
      <c r="C196">
        <v>3</v>
      </c>
      <c r="D196">
        <v>1.98</v>
      </c>
      <c r="E196" t="s">
        <v>6</v>
      </c>
      <c r="F196">
        <v>7.1620000000000003E-2</v>
      </c>
    </row>
    <row r="197" spans="1:6" x14ac:dyDescent="0.3">
      <c r="A197" t="s">
        <v>22</v>
      </c>
      <c r="B197" s="1">
        <v>45666</v>
      </c>
      <c r="C197">
        <v>4</v>
      </c>
      <c r="D197">
        <v>2.0009999999999999</v>
      </c>
      <c r="E197" t="s">
        <v>6</v>
      </c>
      <c r="F197">
        <v>5.1249999999999997E-2</v>
      </c>
    </row>
    <row r="198" spans="1:6" x14ac:dyDescent="0.3">
      <c r="A198" t="s">
        <v>22</v>
      </c>
      <c r="B198" s="1">
        <v>45666</v>
      </c>
      <c r="C198">
        <v>5</v>
      </c>
      <c r="D198">
        <v>1.9850000000000001</v>
      </c>
      <c r="E198" t="s">
        <v>6</v>
      </c>
      <c r="F198">
        <v>3.5139999999999998E-2</v>
      </c>
    </row>
    <row r="199" spans="1:6" x14ac:dyDescent="0.3">
      <c r="A199" t="s">
        <v>22</v>
      </c>
      <c r="B199" s="1">
        <v>45666</v>
      </c>
      <c r="C199">
        <v>6</v>
      </c>
      <c r="D199">
        <v>2.2629999999999999</v>
      </c>
      <c r="E199" t="s">
        <v>6</v>
      </c>
      <c r="F199">
        <v>5.611E-2</v>
      </c>
    </row>
    <row r="200" spans="1:6" x14ac:dyDescent="0.3">
      <c r="A200" t="s">
        <v>22</v>
      </c>
      <c r="B200" s="1">
        <v>45666</v>
      </c>
      <c r="C200">
        <v>7</v>
      </c>
      <c r="D200">
        <v>2.1640000000000001</v>
      </c>
      <c r="E200" t="s">
        <v>6</v>
      </c>
      <c r="F200">
        <v>9.3859999999999999E-2</v>
      </c>
    </row>
    <row r="201" spans="1:6" x14ac:dyDescent="0.3">
      <c r="A201" t="s">
        <v>22</v>
      </c>
      <c r="B201" s="1">
        <v>45666</v>
      </c>
      <c r="C201">
        <v>8</v>
      </c>
      <c r="D201">
        <v>2.7149999999999999</v>
      </c>
      <c r="E201" t="s">
        <v>6</v>
      </c>
      <c r="F201">
        <v>0.1265</v>
      </c>
    </row>
    <row r="202" spans="1:6" x14ac:dyDescent="0.3">
      <c r="A202" t="s">
        <v>22</v>
      </c>
      <c r="B202" s="1">
        <v>45666</v>
      </c>
      <c r="C202">
        <v>9</v>
      </c>
      <c r="D202">
        <v>2.5979999999999999</v>
      </c>
      <c r="E202" t="s">
        <v>6</v>
      </c>
      <c r="F202">
        <v>0.15925999999999998</v>
      </c>
    </row>
    <row r="203" spans="1:6" x14ac:dyDescent="0.3">
      <c r="A203" t="s">
        <v>22</v>
      </c>
      <c r="B203" s="1">
        <v>45666</v>
      </c>
      <c r="C203">
        <v>10</v>
      </c>
      <c r="D203">
        <v>5.6000000000000001E-2</v>
      </c>
      <c r="E203" t="s">
        <v>6</v>
      </c>
      <c r="F203">
        <v>0.16284000000000001</v>
      </c>
    </row>
    <row r="204" spans="1:6" x14ac:dyDescent="0.3">
      <c r="A204" t="s">
        <v>22</v>
      </c>
      <c r="B204" s="1">
        <v>45666</v>
      </c>
      <c r="C204">
        <v>11</v>
      </c>
      <c r="D204">
        <v>0</v>
      </c>
      <c r="E204" t="s">
        <v>6</v>
      </c>
      <c r="F204">
        <v>0.22183</v>
      </c>
    </row>
    <row r="205" spans="1:6" x14ac:dyDescent="0.3">
      <c r="A205" t="s">
        <v>22</v>
      </c>
      <c r="B205" s="1">
        <v>45666</v>
      </c>
      <c r="C205">
        <v>12</v>
      </c>
      <c r="D205">
        <v>0</v>
      </c>
      <c r="E205" t="s">
        <v>6</v>
      </c>
      <c r="F205">
        <v>0.21418999999999999</v>
      </c>
    </row>
    <row r="206" spans="1:6" x14ac:dyDescent="0.3">
      <c r="A206" t="s">
        <v>22</v>
      </c>
      <c r="B206" s="1">
        <v>45666</v>
      </c>
      <c r="C206">
        <v>13</v>
      </c>
      <c r="D206">
        <v>2.081</v>
      </c>
      <c r="E206" t="s">
        <v>6</v>
      </c>
      <c r="F206">
        <v>0.21237</v>
      </c>
    </row>
    <row r="207" spans="1:6" x14ac:dyDescent="0.3">
      <c r="A207" t="s">
        <v>22</v>
      </c>
      <c r="B207" s="1">
        <v>45666</v>
      </c>
      <c r="C207">
        <v>14</v>
      </c>
      <c r="D207">
        <v>0</v>
      </c>
      <c r="E207" t="s">
        <v>6</v>
      </c>
      <c r="F207">
        <v>0.20068</v>
      </c>
    </row>
    <row r="208" spans="1:6" x14ac:dyDescent="0.3">
      <c r="A208" t="s">
        <v>22</v>
      </c>
      <c r="B208" s="1">
        <v>45666</v>
      </c>
      <c r="C208">
        <v>15</v>
      </c>
      <c r="D208">
        <v>0</v>
      </c>
      <c r="E208" t="s">
        <v>6</v>
      </c>
      <c r="F208">
        <v>0.1343</v>
      </c>
    </row>
    <row r="209" spans="1:6" x14ac:dyDescent="0.3">
      <c r="A209" t="s">
        <v>22</v>
      </c>
      <c r="B209" s="1">
        <v>45666</v>
      </c>
      <c r="C209">
        <v>16</v>
      </c>
      <c r="D209">
        <v>0</v>
      </c>
      <c r="E209" t="s">
        <v>6</v>
      </c>
      <c r="F209">
        <v>0.14233999999999999</v>
      </c>
    </row>
    <row r="210" spans="1:6" x14ac:dyDescent="0.3">
      <c r="A210" t="s">
        <v>22</v>
      </c>
      <c r="B210" s="1">
        <v>45666</v>
      </c>
      <c r="C210">
        <v>17</v>
      </c>
      <c r="D210">
        <v>0.66400000000000003</v>
      </c>
      <c r="E210" t="s">
        <v>6</v>
      </c>
      <c r="F210">
        <v>0.17041000000000001</v>
      </c>
    </row>
    <row r="211" spans="1:6" x14ac:dyDescent="0.3">
      <c r="A211" t="s">
        <v>22</v>
      </c>
      <c r="B211" s="1">
        <v>45666</v>
      </c>
      <c r="C211">
        <v>18</v>
      </c>
      <c r="D211">
        <v>0.24199999999999999</v>
      </c>
      <c r="E211" t="s">
        <v>6</v>
      </c>
      <c r="F211">
        <v>0.19205</v>
      </c>
    </row>
    <row r="212" spans="1:6" x14ac:dyDescent="0.3">
      <c r="A212" t="s">
        <v>22</v>
      </c>
      <c r="B212" s="1">
        <v>45666</v>
      </c>
      <c r="C212">
        <v>19</v>
      </c>
      <c r="D212">
        <v>0.43099999999999999</v>
      </c>
      <c r="E212" t="s">
        <v>6</v>
      </c>
      <c r="F212">
        <v>0.26441999999999999</v>
      </c>
    </row>
    <row r="213" spans="1:6" x14ac:dyDescent="0.3">
      <c r="A213" t="s">
        <v>22</v>
      </c>
      <c r="B213" s="1">
        <v>45666</v>
      </c>
      <c r="C213">
        <v>20</v>
      </c>
      <c r="D213">
        <v>0.68</v>
      </c>
      <c r="E213" t="s">
        <v>6</v>
      </c>
      <c r="F213">
        <v>0.26511000000000001</v>
      </c>
    </row>
    <row r="214" spans="1:6" x14ac:dyDescent="0.3">
      <c r="A214" t="s">
        <v>22</v>
      </c>
      <c r="B214" s="1">
        <v>45666</v>
      </c>
      <c r="C214">
        <v>21</v>
      </c>
      <c r="D214">
        <v>0.374</v>
      </c>
      <c r="E214" t="s">
        <v>6</v>
      </c>
      <c r="F214">
        <v>0.27342</v>
      </c>
    </row>
    <row r="215" spans="1:6" x14ac:dyDescent="0.3">
      <c r="A215" t="s">
        <v>22</v>
      </c>
      <c r="B215" s="1">
        <v>45666</v>
      </c>
      <c r="C215">
        <v>22</v>
      </c>
      <c r="D215">
        <v>0.53200000000000003</v>
      </c>
      <c r="E215" t="s">
        <v>6</v>
      </c>
      <c r="F215">
        <v>0.26698</v>
      </c>
    </row>
    <row r="216" spans="1:6" x14ac:dyDescent="0.3">
      <c r="A216" t="s">
        <v>22</v>
      </c>
      <c r="B216" s="1">
        <v>45666</v>
      </c>
      <c r="C216">
        <v>23</v>
      </c>
      <c r="D216">
        <v>0.41</v>
      </c>
      <c r="E216" t="s">
        <v>6</v>
      </c>
      <c r="F216">
        <v>0.17699000000000001</v>
      </c>
    </row>
    <row r="217" spans="1:6" x14ac:dyDescent="0.3">
      <c r="A217" t="s">
        <v>22</v>
      </c>
      <c r="B217" s="1">
        <v>45666</v>
      </c>
      <c r="C217">
        <v>24</v>
      </c>
      <c r="D217">
        <v>0.2</v>
      </c>
      <c r="E217" t="s">
        <v>6</v>
      </c>
      <c r="F217">
        <v>0.16465000000000002</v>
      </c>
    </row>
    <row r="218" spans="1:6" x14ac:dyDescent="0.3">
      <c r="A218" t="s">
        <v>22</v>
      </c>
      <c r="B218" s="1">
        <v>45667</v>
      </c>
      <c r="C218">
        <v>1</v>
      </c>
      <c r="D218">
        <v>0.22</v>
      </c>
      <c r="E218" t="s">
        <v>6</v>
      </c>
      <c r="F218">
        <v>0.13015000000000002</v>
      </c>
    </row>
    <row r="219" spans="1:6" x14ac:dyDescent="0.3">
      <c r="A219" t="s">
        <v>22</v>
      </c>
      <c r="B219" s="1">
        <v>45667</v>
      </c>
      <c r="C219">
        <v>2</v>
      </c>
      <c r="D219">
        <v>1.4319999999999999</v>
      </c>
      <c r="E219" t="s">
        <v>6</v>
      </c>
      <c r="F219">
        <v>0.11098000000000001</v>
      </c>
    </row>
    <row r="220" spans="1:6" x14ac:dyDescent="0.3">
      <c r="A220" t="s">
        <v>22</v>
      </c>
      <c r="B220" s="1">
        <v>45667</v>
      </c>
      <c r="C220">
        <v>3</v>
      </c>
      <c r="D220">
        <v>0.88600000000000001</v>
      </c>
      <c r="E220" t="s">
        <v>6</v>
      </c>
      <c r="F220">
        <v>0.10463</v>
      </c>
    </row>
    <row r="221" spans="1:6" x14ac:dyDescent="0.3">
      <c r="A221" t="s">
        <v>22</v>
      </c>
      <c r="B221" s="1">
        <v>45667</v>
      </c>
      <c r="C221">
        <v>4</v>
      </c>
      <c r="D221">
        <v>0.155</v>
      </c>
      <c r="E221" t="s">
        <v>6</v>
      </c>
      <c r="F221">
        <v>0.10016</v>
      </c>
    </row>
    <row r="222" spans="1:6" x14ac:dyDescent="0.3">
      <c r="A222" t="s">
        <v>22</v>
      </c>
      <c r="B222" s="1">
        <v>45667</v>
      </c>
      <c r="C222">
        <v>5</v>
      </c>
      <c r="D222">
        <v>0.245</v>
      </c>
      <c r="E222" t="s">
        <v>6</v>
      </c>
      <c r="F222">
        <v>0.10081999999999999</v>
      </c>
    </row>
    <row r="223" spans="1:6" x14ac:dyDescent="0.3">
      <c r="A223" t="s">
        <v>22</v>
      </c>
      <c r="B223" s="1">
        <v>45667</v>
      </c>
      <c r="C223">
        <v>6</v>
      </c>
      <c r="D223">
        <v>4.0629999999999997</v>
      </c>
      <c r="E223" t="s">
        <v>6</v>
      </c>
      <c r="F223">
        <v>0.11634</v>
      </c>
    </row>
    <row r="224" spans="1:6" x14ac:dyDescent="0.3">
      <c r="A224" t="s">
        <v>22</v>
      </c>
      <c r="B224" s="1">
        <v>45667</v>
      </c>
      <c r="C224">
        <v>7</v>
      </c>
      <c r="D224">
        <v>4.4809999999999999</v>
      </c>
      <c r="E224" t="s">
        <v>6</v>
      </c>
      <c r="F224">
        <v>0.13525000000000001</v>
      </c>
    </row>
    <row r="225" spans="1:6" x14ac:dyDescent="0.3">
      <c r="A225" t="s">
        <v>22</v>
      </c>
      <c r="B225" s="1">
        <v>45667</v>
      </c>
      <c r="C225">
        <v>8</v>
      </c>
      <c r="D225">
        <v>4.4130000000000003</v>
      </c>
      <c r="E225" t="s">
        <v>6</v>
      </c>
      <c r="F225">
        <v>0.15559999999999999</v>
      </c>
    </row>
    <row r="226" spans="1:6" x14ac:dyDescent="0.3">
      <c r="A226" t="s">
        <v>22</v>
      </c>
      <c r="B226" s="1">
        <v>45667</v>
      </c>
      <c r="C226">
        <v>9</v>
      </c>
      <c r="D226">
        <v>4.3970000000000002</v>
      </c>
      <c r="E226" t="s">
        <v>6</v>
      </c>
      <c r="F226">
        <v>0.1958</v>
      </c>
    </row>
    <row r="227" spans="1:6" x14ac:dyDescent="0.3">
      <c r="A227" t="s">
        <v>22</v>
      </c>
      <c r="B227" s="1">
        <v>45667</v>
      </c>
      <c r="C227">
        <v>10</v>
      </c>
      <c r="D227">
        <v>1.986</v>
      </c>
      <c r="E227" t="s">
        <v>6</v>
      </c>
      <c r="F227">
        <v>0.19281000000000001</v>
      </c>
    </row>
    <row r="228" spans="1:6" x14ac:dyDescent="0.3">
      <c r="A228" t="s">
        <v>22</v>
      </c>
      <c r="B228" s="1">
        <v>45667</v>
      </c>
      <c r="C228">
        <v>11</v>
      </c>
      <c r="D228">
        <v>0</v>
      </c>
      <c r="E228" t="s">
        <v>6</v>
      </c>
      <c r="F228">
        <v>0.24034</v>
      </c>
    </row>
    <row r="229" spans="1:6" x14ac:dyDescent="0.3">
      <c r="A229" t="s">
        <v>22</v>
      </c>
      <c r="B229" s="1">
        <v>45667</v>
      </c>
      <c r="C229">
        <v>12</v>
      </c>
      <c r="D229">
        <v>0</v>
      </c>
      <c r="E229" t="s">
        <v>6</v>
      </c>
      <c r="F229">
        <v>0.2291</v>
      </c>
    </row>
    <row r="230" spans="1:6" x14ac:dyDescent="0.3">
      <c r="A230" t="s">
        <v>22</v>
      </c>
      <c r="B230" s="1">
        <v>45667</v>
      </c>
      <c r="C230">
        <v>13</v>
      </c>
      <c r="D230">
        <v>0.378</v>
      </c>
      <c r="E230" t="s">
        <v>6</v>
      </c>
      <c r="F230">
        <v>0.22213999999999998</v>
      </c>
    </row>
    <row r="231" spans="1:6" x14ac:dyDescent="0.3">
      <c r="A231" t="s">
        <v>22</v>
      </c>
      <c r="B231" s="1">
        <v>45667</v>
      </c>
      <c r="C231">
        <v>14</v>
      </c>
      <c r="D231">
        <v>1.4590000000000001</v>
      </c>
      <c r="E231" t="s">
        <v>6</v>
      </c>
      <c r="F231">
        <v>0.21794999999999998</v>
      </c>
    </row>
    <row r="232" spans="1:6" x14ac:dyDescent="0.3">
      <c r="A232" t="s">
        <v>22</v>
      </c>
      <c r="B232" s="1">
        <v>45667</v>
      </c>
      <c r="C232">
        <v>15</v>
      </c>
      <c r="D232">
        <v>1.88</v>
      </c>
      <c r="E232" t="s">
        <v>6</v>
      </c>
      <c r="F232">
        <v>0.15762999999999999</v>
      </c>
    </row>
    <row r="233" spans="1:6" x14ac:dyDescent="0.3">
      <c r="A233" t="s">
        <v>22</v>
      </c>
      <c r="B233" s="1">
        <v>45667</v>
      </c>
      <c r="C233">
        <v>16</v>
      </c>
      <c r="D233">
        <v>0.11</v>
      </c>
      <c r="E233" t="s">
        <v>6</v>
      </c>
      <c r="F233">
        <v>0.16356999999999999</v>
      </c>
    </row>
    <row r="234" spans="1:6" x14ac:dyDescent="0.3">
      <c r="A234" t="s">
        <v>22</v>
      </c>
      <c r="B234" s="1">
        <v>45667</v>
      </c>
      <c r="C234">
        <v>17</v>
      </c>
      <c r="D234">
        <v>0.23899999999999999</v>
      </c>
      <c r="E234" t="s">
        <v>6</v>
      </c>
      <c r="F234">
        <v>0.17230999999999999</v>
      </c>
    </row>
    <row r="235" spans="1:6" x14ac:dyDescent="0.3">
      <c r="A235" t="s">
        <v>22</v>
      </c>
      <c r="B235" s="1">
        <v>45667</v>
      </c>
      <c r="C235">
        <v>18</v>
      </c>
      <c r="D235">
        <v>0.184</v>
      </c>
      <c r="E235" t="s">
        <v>6</v>
      </c>
      <c r="F235">
        <v>0.18640000000000001</v>
      </c>
    </row>
    <row r="236" spans="1:6" x14ac:dyDescent="0.3">
      <c r="A236" t="s">
        <v>22</v>
      </c>
      <c r="B236" s="1">
        <v>45667</v>
      </c>
      <c r="C236">
        <v>19</v>
      </c>
      <c r="D236">
        <v>0.26</v>
      </c>
      <c r="E236" t="s">
        <v>6</v>
      </c>
      <c r="F236">
        <v>0.26533000000000001</v>
      </c>
    </row>
    <row r="237" spans="1:6" x14ac:dyDescent="0.3">
      <c r="A237" t="s">
        <v>22</v>
      </c>
      <c r="B237" s="1">
        <v>45667</v>
      </c>
      <c r="C237">
        <v>20</v>
      </c>
      <c r="D237">
        <v>0.48399999999999999</v>
      </c>
      <c r="E237" t="s">
        <v>6</v>
      </c>
      <c r="F237">
        <v>0.26383999999999996</v>
      </c>
    </row>
    <row r="238" spans="1:6" x14ac:dyDescent="0.3">
      <c r="A238" t="s">
        <v>22</v>
      </c>
      <c r="B238" s="1">
        <v>45667</v>
      </c>
      <c r="C238">
        <v>21</v>
      </c>
      <c r="D238">
        <v>2.3420000000000001</v>
      </c>
      <c r="E238" t="s">
        <v>6</v>
      </c>
      <c r="F238">
        <v>0.25662999999999997</v>
      </c>
    </row>
    <row r="239" spans="1:6" x14ac:dyDescent="0.3">
      <c r="A239" t="s">
        <v>22</v>
      </c>
      <c r="B239" s="1">
        <v>45667</v>
      </c>
      <c r="C239">
        <v>22</v>
      </c>
      <c r="D239">
        <v>4.0519999999999996</v>
      </c>
      <c r="E239" t="s">
        <v>6</v>
      </c>
      <c r="F239">
        <v>0.24295</v>
      </c>
    </row>
    <row r="240" spans="1:6" x14ac:dyDescent="0.3">
      <c r="A240" t="s">
        <v>22</v>
      </c>
      <c r="B240" s="1">
        <v>45667</v>
      </c>
      <c r="C240">
        <v>23</v>
      </c>
      <c r="D240">
        <v>3.1019999999999999</v>
      </c>
      <c r="E240" t="s">
        <v>6</v>
      </c>
      <c r="F240">
        <v>0.1749</v>
      </c>
    </row>
    <row r="241" spans="1:6" x14ac:dyDescent="0.3">
      <c r="A241" t="s">
        <v>22</v>
      </c>
      <c r="B241" s="1">
        <v>45667</v>
      </c>
      <c r="C241">
        <v>24</v>
      </c>
      <c r="D241">
        <v>2.8959999999999999</v>
      </c>
      <c r="E241" t="s">
        <v>6</v>
      </c>
      <c r="F241">
        <v>0.16925999999999999</v>
      </c>
    </row>
    <row r="242" spans="1:6" x14ac:dyDescent="0.3">
      <c r="A242" t="s">
        <v>22</v>
      </c>
      <c r="B242" s="1">
        <v>45668</v>
      </c>
      <c r="C242">
        <v>1</v>
      </c>
      <c r="D242">
        <v>2.2559999999999998</v>
      </c>
      <c r="E242" t="s">
        <v>6</v>
      </c>
      <c r="F242">
        <v>0.15056</v>
      </c>
    </row>
    <row r="243" spans="1:6" x14ac:dyDescent="0.3">
      <c r="A243" t="s">
        <v>22</v>
      </c>
      <c r="B243" s="1">
        <v>45668</v>
      </c>
      <c r="C243">
        <v>2</v>
      </c>
      <c r="D243">
        <v>2.12</v>
      </c>
      <c r="E243" t="s">
        <v>6</v>
      </c>
      <c r="F243">
        <v>0.14083000000000001</v>
      </c>
    </row>
    <row r="244" spans="1:6" x14ac:dyDescent="0.3">
      <c r="A244" t="s">
        <v>22</v>
      </c>
      <c r="B244" s="1">
        <v>45668</v>
      </c>
      <c r="C244">
        <v>3</v>
      </c>
      <c r="D244">
        <v>2.9590000000000001</v>
      </c>
      <c r="E244" t="s">
        <v>6</v>
      </c>
      <c r="F244">
        <v>0.13888</v>
      </c>
    </row>
    <row r="245" spans="1:6" x14ac:dyDescent="0.3">
      <c r="A245" t="s">
        <v>22</v>
      </c>
      <c r="B245" s="1">
        <v>45668</v>
      </c>
      <c r="C245">
        <v>4</v>
      </c>
      <c r="D245">
        <v>2.7570000000000001</v>
      </c>
      <c r="E245" t="s">
        <v>6</v>
      </c>
      <c r="F245">
        <v>0.12361</v>
      </c>
    </row>
    <row r="246" spans="1:6" x14ac:dyDescent="0.3">
      <c r="A246" t="s">
        <v>22</v>
      </c>
      <c r="B246" s="1">
        <v>45668</v>
      </c>
      <c r="C246">
        <v>5</v>
      </c>
      <c r="D246">
        <v>2.3639999999999999</v>
      </c>
      <c r="E246" t="s">
        <v>6</v>
      </c>
      <c r="F246">
        <v>0.12027</v>
      </c>
    </row>
    <row r="247" spans="1:6" x14ac:dyDescent="0.3">
      <c r="A247" t="s">
        <v>22</v>
      </c>
      <c r="B247" s="1">
        <v>45668</v>
      </c>
      <c r="C247">
        <v>6</v>
      </c>
      <c r="D247">
        <v>2.536</v>
      </c>
      <c r="E247" t="s">
        <v>6</v>
      </c>
      <c r="F247">
        <v>0.12461</v>
      </c>
    </row>
    <row r="248" spans="1:6" x14ac:dyDescent="0.3">
      <c r="A248" t="s">
        <v>22</v>
      </c>
      <c r="B248" s="1">
        <v>45668</v>
      </c>
      <c r="C248">
        <v>7</v>
      </c>
      <c r="D248">
        <v>2.3809999999999998</v>
      </c>
      <c r="E248" t="s">
        <v>6</v>
      </c>
      <c r="F248">
        <v>0.13488999999999998</v>
      </c>
    </row>
    <row r="249" spans="1:6" x14ac:dyDescent="0.3">
      <c r="A249" t="s">
        <v>22</v>
      </c>
      <c r="B249" s="1">
        <v>45668</v>
      </c>
      <c r="C249">
        <v>8</v>
      </c>
      <c r="D249">
        <v>2.6829999999999998</v>
      </c>
      <c r="E249" t="s">
        <v>6</v>
      </c>
      <c r="F249">
        <v>0.11511</v>
      </c>
    </row>
    <row r="250" spans="1:6" x14ac:dyDescent="0.3">
      <c r="A250" t="s">
        <v>22</v>
      </c>
      <c r="B250" s="1">
        <v>45668</v>
      </c>
      <c r="C250">
        <v>9</v>
      </c>
      <c r="D250">
        <v>3.1429999999999998</v>
      </c>
      <c r="E250" t="s">
        <v>6</v>
      </c>
      <c r="F250">
        <v>0.12711</v>
      </c>
    </row>
    <row r="251" spans="1:6" x14ac:dyDescent="0.3">
      <c r="A251" t="s">
        <v>22</v>
      </c>
      <c r="B251" s="1">
        <v>45668</v>
      </c>
      <c r="C251">
        <v>10</v>
      </c>
      <c r="D251">
        <v>3.2069999999999999</v>
      </c>
      <c r="E251" t="s">
        <v>6</v>
      </c>
      <c r="F251">
        <v>0.14085</v>
      </c>
    </row>
    <row r="252" spans="1:6" x14ac:dyDescent="0.3">
      <c r="A252" t="s">
        <v>22</v>
      </c>
      <c r="B252" s="1">
        <v>45668</v>
      </c>
      <c r="C252">
        <v>11</v>
      </c>
      <c r="D252">
        <v>1.718</v>
      </c>
      <c r="E252" t="s">
        <v>6</v>
      </c>
      <c r="F252">
        <v>0.14512</v>
      </c>
    </row>
    <row r="253" spans="1:6" x14ac:dyDescent="0.3">
      <c r="A253" t="s">
        <v>22</v>
      </c>
      <c r="B253" s="1">
        <v>45668</v>
      </c>
      <c r="C253">
        <v>12</v>
      </c>
      <c r="D253">
        <v>0</v>
      </c>
      <c r="E253" t="s">
        <v>6</v>
      </c>
      <c r="F253">
        <v>0.12010999999999999</v>
      </c>
    </row>
    <row r="254" spans="1:6" x14ac:dyDescent="0.3">
      <c r="A254" t="s">
        <v>22</v>
      </c>
      <c r="B254" s="1">
        <v>45668</v>
      </c>
      <c r="C254">
        <v>13</v>
      </c>
      <c r="D254">
        <v>0.57499999999999996</v>
      </c>
      <c r="E254" t="s">
        <v>6</v>
      </c>
      <c r="F254">
        <v>0.10908</v>
      </c>
    </row>
    <row r="255" spans="1:6" x14ac:dyDescent="0.3">
      <c r="A255" t="s">
        <v>22</v>
      </c>
      <c r="B255" s="1">
        <v>45668</v>
      </c>
      <c r="C255">
        <v>14</v>
      </c>
      <c r="D255">
        <v>0.89400000000000002</v>
      </c>
      <c r="E255" t="s">
        <v>6</v>
      </c>
      <c r="F255">
        <v>9.8949999999999996E-2</v>
      </c>
    </row>
    <row r="256" spans="1:6" x14ac:dyDescent="0.3">
      <c r="A256" t="s">
        <v>22</v>
      </c>
      <c r="B256" s="1">
        <v>45668</v>
      </c>
      <c r="C256">
        <v>15</v>
      </c>
      <c r="D256">
        <v>0</v>
      </c>
      <c r="E256" t="s">
        <v>6</v>
      </c>
      <c r="F256">
        <v>9.2290000000000011E-2</v>
      </c>
    </row>
    <row r="257" spans="1:6" x14ac:dyDescent="0.3">
      <c r="A257" t="s">
        <v>22</v>
      </c>
      <c r="B257" s="1">
        <v>45668</v>
      </c>
      <c r="C257">
        <v>16</v>
      </c>
      <c r="D257">
        <v>0</v>
      </c>
      <c r="E257" t="s">
        <v>6</v>
      </c>
      <c r="F257">
        <v>8.7319999999999995E-2</v>
      </c>
    </row>
    <row r="258" spans="1:6" x14ac:dyDescent="0.3">
      <c r="A258" t="s">
        <v>22</v>
      </c>
      <c r="B258" s="1">
        <v>45668</v>
      </c>
      <c r="C258">
        <v>17</v>
      </c>
      <c r="D258">
        <v>0</v>
      </c>
      <c r="E258" t="s">
        <v>6</v>
      </c>
      <c r="F258">
        <v>0.11331999999999999</v>
      </c>
    </row>
    <row r="259" spans="1:6" x14ac:dyDescent="0.3">
      <c r="A259" t="s">
        <v>22</v>
      </c>
      <c r="B259" s="1">
        <v>45668</v>
      </c>
      <c r="C259">
        <v>18</v>
      </c>
      <c r="D259">
        <v>0.14599999999999999</v>
      </c>
      <c r="E259" t="s">
        <v>6</v>
      </c>
      <c r="F259">
        <v>0.15149000000000001</v>
      </c>
    </row>
    <row r="260" spans="1:6" x14ac:dyDescent="0.3">
      <c r="A260" t="s">
        <v>22</v>
      </c>
      <c r="B260" s="1">
        <v>45668</v>
      </c>
      <c r="C260">
        <v>19</v>
      </c>
      <c r="D260">
        <v>0.93500000000000005</v>
      </c>
      <c r="E260" t="s">
        <v>6</v>
      </c>
      <c r="F260">
        <v>0.15121000000000001</v>
      </c>
    </row>
    <row r="261" spans="1:6" x14ac:dyDescent="0.3">
      <c r="A261" t="s">
        <v>22</v>
      </c>
      <c r="B261" s="1">
        <v>45668</v>
      </c>
      <c r="C261">
        <v>20</v>
      </c>
      <c r="D261">
        <v>0.45100000000000001</v>
      </c>
      <c r="E261" t="s">
        <v>6</v>
      </c>
      <c r="F261">
        <v>0.15647999999999998</v>
      </c>
    </row>
    <row r="262" spans="1:6" x14ac:dyDescent="0.3">
      <c r="A262" t="s">
        <v>22</v>
      </c>
      <c r="B262" s="1">
        <v>45668</v>
      </c>
      <c r="C262">
        <v>21</v>
      </c>
      <c r="D262">
        <v>0.73399999999999999</v>
      </c>
      <c r="E262" t="s">
        <v>6</v>
      </c>
      <c r="F262">
        <v>0.15228999999999998</v>
      </c>
    </row>
    <row r="263" spans="1:6" x14ac:dyDescent="0.3">
      <c r="A263" t="s">
        <v>22</v>
      </c>
      <c r="B263" s="1">
        <v>45668</v>
      </c>
      <c r="C263">
        <v>22</v>
      </c>
      <c r="D263">
        <v>0.38400000000000001</v>
      </c>
      <c r="E263" t="s">
        <v>6</v>
      </c>
      <c r="F263">
        <v>0.15046999999999999</v>
      </c>
    </row>
    <row r="264" spans="1:6" x14ac:dyDescent="0.3">
      <c r="A264" t="s">
        <v>22</v>
      </c>
      <c r="B264" s="1">
        <v>45668</v>
      </c>
      <c r="C264">
        <v>23</v>
      </c>
      <c r="D264">
        <v>0.28000000000000003</v>
      </c>
      <c r="E264" t="s">
        <v>6</v>
      </c>
      <c r="F264">
        <v>0.14915999999999999</v>
      </c>
    </row>
    <row r="265" spans="1:6" x14ac:dyDescent="0.3">
      <c r="A265" t="s">
        <v>22</v>
      </c>
      <c r="B265" s="1">
        <v>45668</v>
      </c>
      <c r="C265">
        <v>24</v>
      </c>
      <c r="D265">
        <v>0.24399999999999999</v>
      </c>
      <c r="E265" t="s">
        <v>6</v>
      </c>
      <c r="F265">
        <v>0.14409</v>
      </c>
    </row>
    <row r="266" spans="1:6" x14ac:dyDescent="0.3">
      <c r="A266" t="s">
        <v>22</v>
      </c>
      <c r="B266" s="1">
        <v>45669</v>
      </c>
      <c r="C266">
        <v>1</v>
      </c>
      <c r="D266">
        <v>0.20399999999999999</v>
      </c>
      <c r="E266" t="s">
        <v>6</v>
      </c>
      <c r="F266">
        <v>0.16131000000000001</v>
      </c>
    </row>
    <row r="267" spans="1:6" x14ac:dyDescent="0.3">
      <c r="A267" t="s">
        <v>22</v>
      </c>
      <c r="B267" s="1">
        <v>45669</v>
      </c>
      <c r="C267">
        <v>2</v>
      </c>
      <c r="D267">
        <v>0.152</v>
      </c>
      <c r="E267" t="s">
        <v>6</v>
      </c>
      <c r="F267">
        <v>0.15092</v>
      </c>
    </row>
    <row r="268" spans="1:6" x14ac:dyDescent="0.3">
      <c r="A268" t="s">
        <v>22</v>
      </c>
      <c r="B268" s="1">
        <v>45669</v>
      </c>
      <c r="C268">
        <v>3</v>
      </c>
      <c r="D268">
        <v>0.11700000000000001</v>
      </c>
      <c r="E268" t="s">
        <v>6</v>
      </c>
      <c r="F268">
        <v>0.14526</v>
      </c>
    </row>
    <row r="269" spans="1:6" x14ac:dyDescent="0.3">
      <c r="A269" t="s">
        <v>22</v>
      </c>
      <c r="B269" s="1">
        <v>45669</v>
      </c>
      <c r="C269">
        <v>4</v>
      </c>
      <c r="D269">
        <v>0.14599999999999999</v>
      </c>
      <c r="E269" t="s">
        <v>6</v>
      </c>
      <c r="F269">
        <v>0.1419</v>
      </c>
    </row>
    <row r="270" spans="1:6" x14ac:dyDescent="0.3">
      <c r="A270" t="s">
        <v>22</v>
      </c>
      <c r="B270" s="1">
        <v>45669</v>
      </c>
      <c r="C270">
        <v>5</v>
      </c>
      <c r="D270">
        <v>2.218</v>
      </c>
      <c r="E270" t="s">
        <v>6</v>
      </c>
      <c r="F270">
        <v>0.14232</v>
      </c>
    </row>
    <row r="271" spans="1:6" x14ac:dyDescent="0.3">
      <c r="A271" t="s">
        <v>22</v>
      </c>
      <c r="B271" s="1">
        <v>45669</v>
      </c>
      <c r="C271">
        <v>6</v>
      </c>
      <c r="D271">
        <v>3.1019999999999999</v>
      </c>
      <c r="E271" t="s">
        <v>6</v>
      </c>
      <c r="F271">
        <v>0.14183000000000001</v>
      </c>
    </row>
    <row r="272" spans="1:6" x14ac:dyDescent="0.3">
      <c r="A272" t="s">
        <v>22</v>
      </c>
      <c r="B272" s="1">
        <v>45669</v>
      </c>
      <c r="C272">
        <v>7</v>
      </c>
      <c r="D272">
        <v>2.6259999999999999</v>
      </c>
      <c r="E272" t="s">
        <v>6</v>
      </c>
      <c r="F272">
        <v>0.14087</v>
      </c>
    </row>
    <row r="273" spans="1:6" x14ac:dyDescent="0.3">
      <c r="A273" t="s">
        <v>22</v>
      </c>
      <c r="B273" s="1">
        <v>45669</v>
      </c>
      <c r="C273">
        <v>8</v>
      </c>
      <c r="D273">
        <v>2.48</v>
      </c>
      <c r="E273" t="s">
        <v>6</v>
      </c>
      <c r="F273">
        <v>0.13122</v>
      </c>
    </row>
    <row r="274" spans="1:6" x14ac:dyDescent="0.3">
      <c r="A274" t="s">
        <v>22</v>
      </c>
      <c r="B274" s="1">
        <v>45669</v>
      </c>
      <c r="C274">
        <v>9</v>
      </c>
      <c r="D274">
        <v>2.3010000000000002</v>
      </c>
      <c r="E274" t="s">
        <v>6</v>
      </c>
      <c r="F274">
        <v>0.13350999999999999</v>
      </c>
    </row>
    <row r="275" spans="1:6" x14ac:dyDescent="0.3">
      <c r="A275" t="s">
        <v>22</v>
      </c>
      <c r="B275" s="1">
        <v>45669</v>
      </c>
      <c r="C275">
        <v>10</v>
      </c>
      <c r="D275">
        <v>0.95099999999999996</v>
      </c>
      <c r="E275" t="s">
        <v>6</v>
      </c>
      <c r="F275">
        <v>0.14490999999999998</v>
      </c>
    </row>
    <row r="276" spans="1:6" x14ac:dyDescent="0.3">
      <c r="A276" t="s">
        <v>22</v>
      </c>
      <c r="B276" s="1">
        <v>45669</v>
      </c>
      <c r="C276">
        <v>11</v>
      </c>
      <c r="D276">
        <v>0</v>
      </c>
      <c r="E276" t="s">
        <v>6</v>
      </c>
      <c r="F276">
        <v>7.798999999999999E-2</v>
      </c>
    </row>
    <row r="277" spans="1:6" x14ac:dyDescent="0.3">
      <c r="A277" t="s">
        <v>22</v>
      </c>
      <c r="B277" s="1">
        <v>45669</v>
      </c>
      <c r="C277">
        <v>12</v>
      </c>
      <c r="D277">
        <v>0</v>
      </c>
      <c r="E277" t="s">
        <v>6</v>
      </c>
      <c r="F277">
        <v>4.0439999999999997E-2</v>
      </c>
    </row>
    <row r="278" spans="1:6" x14ac:dyDescent="0.3">
      <c r="A278" t="s">
        <v>22</v>
      </c>
      <c r="B278" s="1">
        <v>45669</v>
      </c>
      <c r="C278">
        <v>13</v>
      </c>
      <c r="D278">
        <v>0</v>
      </c>
      <c r="E278" t="s">
        <v>6</v>
      </c>
      <c r="F278">
        <v>2.9270000000000001E-2</v>
      </c>
    </row>
    <row r="279" spans="1:6" x14ac:dyDescent="0.3">
      <c r="A279" t="s">
        <v>22</v>
      </c>
      <c r="B279" s="1">
        <v>45669</v>
      </c>
      <c r="C279">
        <v>14</v>
      </c>
      <c r="D279">
        <v>0</v>
      </c>
      <c r="E279" t="s">
        <v>6</v>
      </c>
      <c r="F279">
        <v>2.93E-2</v>
      </c>
    </row>
    <row r="280" spans="1:6" x14ac:dyDescent="0.3">
      <c r="A280" t="s">
        <v>22</v>
      </c>
      <c r="B280" s="1">
        <v>45669</v>
      </c>
      <c r="C280">
        <v>15</v>
      </c>
      <c r="D280">
        <v>0</v>
      </c>
      <c r="E280" t="s">
        <v>6</v>
      </c>
      <c r="F280">
        <v>2.8920000000000001E-2</v>
      </c>
    </row>
    <row r="281" spans="1:6" x14ac:dyDescent="0.3">
      <c r="A281" t="s">
        <v>22</v>
      </c>
      <c r="B281" s="1">
        <v>45669</v>
      </c>
      <c r="C281">
        <v>16</v>
      </c>
      <c r="D281">
        <v>0</v>
      </c>
      <c r="E281" t="s">
        <v>6</v>
      </c>
      <c r="F281">
        <v>2.8750000000000001E-2</v>
      </c>
    </row>
    <row r="282" spans="1:6" x14ac:dyDescent="0.3">
      <c r="A282" t="s">
        <v>22</v>
      </c>
      <c r="B282" s="1">
        <v>45669</v>
      </c>
      <c r="C282">
        <v>17</v>
      </c>
      <c r="D282">
        <v>0</v>
      </c>
      <c r="E282" t="s">
        <v>6</v>
      </c>
      <c r="F282">
        <v>4.2009999999999999E-2</v>
      </c>
    </row>
    <row r="283" spans="1:6" x14ac:dyDescent="0.3">
      <c r="A283" t="s">
        <v>22</v>
      </c>
      <c r="B283" s="1">
        <v>45669</v>
      </c>
      <c r="C283">
        <v>18</v>
      </c>
      <c r="D283">
        <v>0.755</v>
      </c>
      <c r="E283" t="s">
        <v>6</v>
      </c>
      <c r="F283">
        <v>0.13947999999999999</v>
      </c>
    </row>
    <row r="284" spans="1:6" x14ac:dyDescent="0.3">
      <c r="A284" t="s">
        <v>22</v>
      </c>
      <c r="B284" s="1">
        <v>45669</v>
      </c>
      <c r="C284">
        <v>19</v>
      </c>
      <c r="D284">
        <v>0.63</v>
      </c>
      <c r="E284" t="s">
        <v>6</v>
      </c>
      <c r="F284">
        <v>0.16533</v>
      </c>
    </row>
    <row r="285" spans="1:6" x14ac:dyDescent="0.3">
      <c r="A285" t="s">
        <v>22</v>
      </c>
      <c r="B285" s="1">
        <v>45669</v>
      </c>
      <c r="C285">
        <v>20</v>
      </c>
      <c r="D285">
        <v>0.32900000000000001</v>
      </c>
      <c r="E285" t="s">
        <v>6</v>
      </c>
      <c r="F285">
        <v>0.17293</v>
      </c>
    </row>
    <row r="286" spans="1:6" x14ac:dyDescent="0.3">
      <c r="A286" t="s">
        <v>22</v>
      </c>
      <c r="B286" s="1">
        <v>45669</v>
      </c>
      <c r="C286">
        <v>21</v>
      </c>
      <c r="D286">
        <v>1.208</v>
      </c>
      <c r="E286" t="s">
        <v>6</v>
      </c>
      <c r="F286">
        <v>0.16944999999999999</v>
      </c>
    </row>
    <row r="287" spans="1:6" x14ac:dyDescent="0.3">
      <c r="A287" t="s">
        <v>22</v>
      </c>
      <c r="B287" s="1">
        <v>45669</v>
      </c>
      <c r="C287">
        <v>22</v>
      </c>
      <c r="D287">
        <v>0.60099999999999998</v>
      </c>
      <c r="E287" t="s">
        <v>6</v>
      </c>
      <c r="F287">
        <v>0.17424000000000001</v>
      </c>
    </row>
    <row r="288" spans="1:6" x14ac:dyDescent="0.3">
      <c r="A288" t="s">
        <v>22</v>
      </c>
      <c r="B288" s="1">
        <v>45669</v>
      </c>
      <c r="C288">
        <v>23</v>
      </c>
      <c r="D288">
        <v>3.3620000000000001</v>
      </c>
      <c r="E288" t="s">
        <v>6</v>
      </c>
      <c r="F288">
        <v>0.16728999999999999</v>
      </c>
    </row>
    <row r="289" spans="1:6" x14ac:dyDescent="0.3">
      <c r="A289" t="s">
        <v>22</v>
      </c>
      <c r="B289" s="1">
        <v>45669</v>
      </c>
      <c r="C289">
        <v>24</v>
      </c>
      <c r="D289">
        <v>4.726</v>
      </c>
      <c r="E289" t="s">
        <v>6</v>
      </c>
      <c r="F289">
        <v>0.16775000000000001</v>
      </c>
    </row>
    <row r="290" spans="1:6" x14ac:dyDescent="0.3">
      <c r="A290" t="s">
        <v>22</v>
      </c>
      <c r="B290" s="1">
        <v>45670</v>
      </c>
      <c r="C290">
        <v>1</v>
      </c>
      <c r="D290">
        <v>3.7709999999999999</v>
      </c>
      <c r="E290" t="s">
        <v>6</v>
      </c>
      <c r="F290">
        <v>0.14563999999999999</v>
      </c>
    </row>
    <row r="291" spans="1:6" x14ac:dyDescent="0.3">
      <c r="A291" t="s">
        <v>22</v>
      </c>
      <c r="B291" s="1">
        <v>45670</v>
      </c>
      <c r="C291">
        <v>2</v>
      </c>
      <c r="D291">
        <v>3.758</v>
      </c>
      <c r="E291" t="s">
        <v>6</v>
      </c>
      <c r="F291">
        <v>0.13769999999999999</v>
      </c>
    </row>
    <row r="292" spans="1:6" x14ac:dyDescent="0.3">
      <c r="A292" t="s">
        <v>22</v>
      </c>
      <c r="B292" s="1">
        <v>45670</v>
      </c>
      <c r="C292">
        <v>3</v>
      </c>
      <c r="D292">
        <v>4.2720000000000002</v>
      </c>
      <c r="E292" t="s">
        <v>6</v>
      </c>
      <c r="F292">
        <v>0.13897000000000001</v>
      </c>
    </row>
    <row r="293" spans="1:6" x14ac:dyDescent="0.3">
      <c r="A293" t="s">
        <v>22</v>
      </c>
      <c r="B293" s="1">
        <v>45670</v>
      </c>
      <c r="C293">
        <v>4</v>
      </c>
      <c r="D293">
        <v>5.1769999999999996</v>
      </c>
      <c r="E293" t="s">
        <v>6</v>
      </c>
      <c r="F293">
        <v>0.13635</v>
      </c>
    </row>
    <row r="294" spans="1:6" x14ac:dyDescent="0.3">
      <c r="A294" t="s">
        <v>22</v>
      </c>
      <c r="B294" s="1">
        <v>45670</v>
      </c>
      <c r="C294">
        <v>5</v>
      </c>
      <c r="D294">
        <v>5.2610000000000001</v>
      </c>
      <c r="E294" t="s">
        <v>6</v>
      </c>
      <c r="F294">
        <v>0.13614999999999999</v>
      </c>
    </row>
    <row r="295" spans="1:6" x14ac:dyDescent="0.3">
      <c r="A295" t="s">
        <v>22</v>
      </c>
      <c r="B295" s="1">
        <v>45670</v>
      </c>
      <c r="C295">
        <v>6</v>
      </c>
      <c r="D295">
        <v>4.88</v>
      </c>
      <c r="E295" t="s">
        <v>6</v>
      </c>
      <c r="F295">
        <v>0.14262</v>
      </c>
    </row>
    <row r="296" spans="1:6" x14ac:dyDescent="0.3">
      <c r="A296" t="s">
        <v>22</v>
      </c>
      <c r="B296" s="1">
        <v>45670</v>
      </c>
      <c r="C296">
        <v>7</v>
      </c>
      <c r="D296">
        <v>5.1840000000000002</v>
      </c>
      <c r="E296" t="s">
        <v>6</v>
      </c>
      <c r="F296">
        <v>0.16041</v>
      </c>
    </row>
    <row r="297" spans="1:6" x14ac:dyDescent="0.3">
      <c r="A297" t="s">
        <v>22</v>
      </c>
      <c r="B297" s="1">
        <v>45670</v>
      </c>
      <c r="C297">
        <v>8</v>
      </c>
      <c r="D297">
        <v>5.2140000000000004</v>
      </c>
      <c r="E297" t="s">
        <v>6</v>
      </c>
      <c r="F297">
        <v>0.16949</v>
      </c>
    </row>
    <row r="298" spans="1:6" x14ac:dyDescent="0.3">
      <c r="A298" t="s">
        <v>22</v>
      </c>
      <c r="B298" s="1">
        <v>45670</v>
      </c>
      <c r="C298">
        <v>9</v>
      </c>
      <c r="D298">
        <v>4.5430000000000001</v>
      </c>
      <c r="E298" t="s">
        <v>6</v>
      </c>
      <c r="F298">
        <v>0.23908000000000001</v>
      </c>
    </row>
    <row r="299" spans="1:6" x14ac:dyDescent="0.3">
      <c r="A299" t="s">
        <v>22</v>
      </c>
      <c r="B299" s="1">
        <v>45670</v>
      </c>
      <c r="C299">
        <v>10</v>
      </c>
      <c r="D299">
        <v>3.1680000000000001</v>
      </c>
      <c r="E299" t="s">
        <v>6</v>
      </c>
      <c r="F299">
        <v>0.19737000000000002</v>
      </c>
    </row>
    <row r="300" spans="1:6" x14ac:dyDescent="0.3">
      <c r="A300" t="s">
        <v>22</v>
      </c>
      <c r="B300" s="1">
        <v>45670</v>
      </c>
      <c r="C300">
        <v>11</v>
      </c>
      <c r="D300">
        <v>0.64700000000000002</v>
      </c>
      <c r="E300" t="s">
        <v>6</v>
      </c>
      <c r="F300">
        <v>0.24248</v>
      </c>
    </row>
    <row r="301" spans="1:6" x14ac:dyDescent="0.3">
      <c r="A301" t="s">
        <v>22</v>
      </c>
      <c r="B301" s="1">
        <v>45670</v>
      </c>
      <c r="C301">
        <v>12</v>
      </c>
      <c r="D301">
        <v>0</v>
      </c>
      <c r="E301" t="s">
        <v>6</v>
      </c>
      <c r="F301">
        <v>0.22555</v>
      </c>
    </row>
    <row r="302" spans="1:6" x14ac:dyDescent="0.3">
      <c r="A302" t="s">
        <v>22</v>
      </c>
      <c r="B302" s="1">
        <v>45670</v>
      </c>
      <c r="C302">
        <v>13</v>
      </c>
      <c r="D302">
        <v>0</v>
      </c>
      <c r="E302" t="s">
        <v>6</v>
      </c>
      <c r="F302">
        <v>0.21890000000000001</v>
      </c>
    </row>
    <row r="303" spans="1:6" x14ac:dyDescent="0.3">
      <c r="A303" t="s">
        <v>22</v>
      </c>
      <c r="B303" s="1">
        <v>45670</v>
      </c>
      <c r="C303">
        <v>14</v>
      </c>
      <c r="D303">
        <v>1.3089999999999999</v>
      </c>
      <c r="E303" t="s">
        <v>6</v>
      </c>
      <c r="F303">
        <v>0.21153</v>
      </c>
    </row>
    <row r="304" spans="1:6" x14ac:dyDescent="0.3">
      <c r="A304" t="s">
        <v>22</v>
      </c>
      <c r="B304" s="1">
        <v>45670</v>
      </c>
      <c r="C304">
        <v>15</v>
      </c>
      <c r="D304">
        <v>1.387</v>
      </c>
      <c r="E304" t="s">
        <v>6</v>
      </c>
      <c r="F304">
        <v>0.15175999999999998</v>
      </c>
    </row>
    <row r="305" spans="1:6" x14ac:dyDescent="0.3">
      <c r="A305" t="s">
        <v>22</v>
      </c>
      <c r="B305" s="1">
        <v>45670</v>
      </c>
      <c r="C305">
        <v>16</v>
      </c>
      <c r="D305">
        <v>0</v>
      </c>
      <c r="E305" t="s">
        <v>6</v>
      </c>
      <c r="F305">
        <v>0.15936</v>
      </c>
    </row>
    <row r="306" spans="1:6" x14ac:dyDescent="0.3">
      <c r="A306" t="s">
        <v>22</v>
      </c>
      <c r="B306" s="1">
        <v>45670</v>
      </c>
      <c r="C306">
        <v>17</v>
      </c>
      <c r="D306">
        <v>3.0000000000000001E-3</v>
      </c>
      <c r="E306" t="s">
        <v>6</v>
      </c>
      <c r="F306">
        <v>0.17652999999999999</v>
      </c>
    </row>
    <row r="307" spans="1:6" x14ac:dyDescent="0.3">
      <c r="A307" t="s">
        <v>22</v>
      </c>
      <c r="B307" s="1">
        <v>45670</v>
      </c>
      <c r="C307">
        <v>18</v>
      </c>
      <c r="D307">
        <v>0.32600000000000001</v>
      </c>
      <c r="E307" t="s">
        <v>6</v>
      </c>
      <c r="F307">
        <v>0.19528000000000001</v>
      </c>
    </row>
    <row r="308" spans="1:6" x14ac:dyDescent="0.3">
      <c r="A308" t="s">
        <v>22</v>
      </c>
      <c r="B308" s="1">
        <v>45670</v>
      </c>
      <c r="C308">
        <v>19</v>
      </c>
      <c r="D308">
        <v>0.59599999999999997</v>
      </c>
      <c r="E308" t="s">
        <v>6</v>
      </c>
      <c r="F308">
        <v>0.27532999999999996</v>
      </c>
    </row>
    <row r="309" spans="1:6" x14ac:dyDescent="0.3">
      <c r="A309" t="s">
        <v>22</v>
      </c>
      <c r="B309" s="1">
        <v>45670</v>
      </c>
      <c r="C309">
        <v>20</v>
      </c>
      <c r="D309">
        <v>0.38500000000000001</v>
      </c>
      <c r="E309" t="s">
        <v>6</v>
      </c>
      <c r="F309">
        <v>0.27688000000000001</v>
      </c>
    </row>
    <row r="310" spans="1:6" x14ac:dyDescent="0.3">
      <c r="A310" t="s">
        <v>22</v>
      </c>
      <c r="B310" s="1">
        <v>45670</v>
      </c>
      <c r="C310">
        <v>21</v>
      </c>
      <c r="D310">
        <v>0.55100000000000005</v>
      </c>
      <c r="E310" t="s">
        <v>6</v>
      </c>
      <c r="F310">
        <v>0.26529000000000003</v>
      </c>
    </row>
    <row r="311" spans="1:6" x14ac:dyDescent="0.3">
      <c r="A311" t="s">
        <v>22</v>
      </c>
      <c r="B311" s="1">
        <v>45670</v>
      </c>
      <c r="C311">
        <v>22</v>
      </c>
      <c r="D311">
        <v>0.76200000000000001</v>
      </c>
      <c r="E311" t="s">
        <v>6</v>
      </c>
      <c r="F311">
        <v>0.26242000000000004</v>
      </c>
    </row>
    <row r="312" spans="1:6" x14ac:dyDescent="0.3">
      <c r="A312" t="s">
        <v>22</v>
      </c>
      <c r="B312" s="1">
        <v>45670</v>
      </c>
      <c r="C312">
        <v>23</v>
      </c>
      <c r="D312">
        <v>0.31</v>
      </c>
      <c r="E312" t="s">
        <v>6</v>
      </c>
      <c r="F312">
        <v>0.18878</v>
      </c>
    </row>
    <row r="313" spans="1:6" x14ac:dyDescent="0.3">
      <c r="A313" t="s">
        <v>22</v>
      </c>
      <c r="B313" s="1">
        <v>45670</v>
      </c>
      <c r="C313">
        <v>24</v>
      </c>
      <c r="D313">
        <v>0.30399999999999999</v>
      </c>
      <c r="E313" t="s">
        <v>6</v>
      </c>
      <c r="F313">
        <v>0.17332</v>
      </c>
    </row>
    <row r="314" spans="1:6" x14ac:dyDescent="0.3">
      <c r="A314" t="s">
        <v>22</v>
      </c>
      <c r="B314" s="1">
        <v>45671</v>
      </c>
      <c r="C314">
        <v>1</v>
      </c>
      <c r="D314">
        <v>1.44</v>
      </c>
      <c r="E314" t="s">
        <v>6</v>
      </c>
      <c r="F314">
        <v>0.14681</v>
      </c>
    </row>
    <row r="315" spans="1:6" x14ac:dyDescent="0.3">
      <c r="A315" t="s">
        <v>22</v>
      </c>
      <c r="B315" s="1">
        <v>45671</v>
      </c>
      <c r="C315">
        <v>2</v>
      </c>
      <c r="D315">
        <v>4.4989999999999997</v>
      </c>
      <c r="E315" t="s">
        <v>6</v>
      </c>
      <c r="F315">
        <v>0.14296</v>
      </c>
    </row>
    <row r="316" spans="1:6" x14ac:dyDescent="0.3">
      <c r="A316" t="s">
        <v>22</v>
      </c>
      <c r="B316" s="1">
        <v>45671</v>
      </c>
      <c r="C316">
        <v>3</v>
      </c>
      <c r="D316">
        <v>4.6980000000000004</v>
      </c>
      <c r="E316" t="s">
        <v>6</v>
      </c>
      <c r="F316">
        <v>0.14149</v>
      </c>
    </row>
    <row r="317" spans="1:6" x14ac:dyDescent="0.3">
      <c r="A317" t="s">
        <v>22</v>
      </c>
      <c r="B317" s="1">
        <v>45671</v>
      </c>
      <c r="C317">
        <v>4</v>
      </c>
      <c r="D317">
        <v>4.9420000000000002</v>
      </c>
      <c r="E317" t="s">
        <v>6</v>
      </c>
      <c r="F317">
        <v>0.13621</v>
      </c>
    </row>
    <row r="318" spans="1:6" x14ac:dyDescent="0.3">
      <c r="A318" t="s">
        <v>22</v>
      </c>
      <c r="B318" s="1">
        <v>45671</v>
      </c>
      <c r="C318">
        <v>5</v>
      </c>
      <c r="D318">
        <v>5.4729999999999999</v>
      </c>
      <c r="E318" t="s">
        <v>6</v>
      </c>
      <c r="F318">
        <v>0.13638999999999998</v>
      </c>
    </row>
    <row r="319" spans="1:6" x14ac:dyDescent="0.3">
      <c r="A319" t="s">
        <v>22</v>
      </c>
      <c r="B319" s="1">
        <v>45671</v>
      </c>
      <c r="C319">
        <v>6</v>
      </c>
      <c r="D319">
        <v>5.5529999999999999</v>
      </c>
      <c r="E319" t="s">
        <v>6</v>
      </c>
      <c r="F319">
        <v>0.13689999999999999</v>
      </c>
    </row>
    <row r="320" spans="1:6" x14ac:dyDescent="0.3">
      <c r="A320" t="s">
        <v>22</v>
      </c>
      <c r="B320" s="1">
        <v>45671</v>
      </c>
      <c r="C320">
        <v>7</v>
      </c>
      <c r="D320">
        <v>5.7329999999999997</v>
      </c>
      <c r="E320" t="s">
        <v>6</v>
      </c>
      <c r="F320">
        <v>0.16281999999999999</v>
      </c>
    </row>
    <row r="321" spans="1:6" x14ac:dyDescent="0.3">
      <c r="A321" t="s">
        <v>22</v>
      </c>
      <c r="B321" s="1">
        <v>45671</v>
      </c>
      <c r="C321">
        <v>8</v>
      </c>
      <c r="D321">
        <v>6.9880000000000004</v>
      </c>
      <c r="E321" t="s">
        <v>6</v>
      </c>
      <c r="F321">
        <v>0.17986000000000002</v>
      </c>
    </row>
    <row r="322" spans="1:6" x14ac:dyDescent="0.3">
      <c r="A322" t="s">
        <v>22</v>
      </c>
      <c r="B322" s="1">
        <v>45671</v>
      </c>
      <c r="C322">
        <v>9</v>
      </c>
      <c r="D322">
        <v>5.9009999999999998</v>
      </c>
      <c r="E322" t="s">
        <v>6</v>
      </c>
      <c r="F322">
        <v>0.23976</v>
      </c>
    </row>
    <row r="323" spans="1:6" x14ac:dyDescent="0.3">
      <c r="A323" t="s">
        <v>22</v>
      </c>
      <c r="B323" s="1">
        <v>45671</v>
      </c>
      <c r="C323">
        <v>10</v>
      </c>
      <c r="D323">
        <v>2.7959999999999998</v>
      </c>
      <c r="E323" t="s">
        <v>6</v>
      </c>
      <c r="F323">
        <v>0.19900999999999999</v>
      </c>
    </row>
    <row r="324" spans="1:6" x14ac:dyDescent="0.3">
      <c r="A324" t="s">
        <v>22</v>
      </c>
      <c r="B324" s="1">
        <v>45671</v>
      </c>
      <c r="C324">
        <v>11</v>
      </c>
      <c r="D324">
        <v>0.83399999999999996</v>
      </c>
      <c r="E324" t="s">
        <v>6</v>
      </c>
      <c r="F324">
        <v>0.24109</v>
      </c>
    </row>
    <row r="325" spans="1:6" x14ac:dyDescent="0.3">
      <c r="A325" t="s">
        <v>22</v>
      </c>
      <c r="B325" s="1">
        <v>45671</v>
      </c>
      <c r="C325">
        <v>12</v>
      </c>
      <c r="D325">
        <v>0</v>
      </c>
      <c r="E325" t="s">
        <v>6</v>
      </c>
      <c r="F325">
        <v>0.21903999999999998</v>
      </c>
    </row>
    <row r="326" spans="1:6" x14ac:dyDescent="0.3">
      <c r="A326" t="s">
        <v>22</v>
      </c>
      <c r="B326" s="1">
        <v>45671</v>
      </c>
      <c r="C326">
        <v>13</v>
      </c>
      <c r="D326">
        <v>0.24399999999999999</v>
      </c>
      <c r="E326" t="s">
        <v>6</v>
      </c>
      <c r="F326">
        <v>0.21631999999999998</v>
      </c>
    </row>
    <row r="327" spans="1:6" x14ac:dyDescent="0.3">
      <c r="A327" t="s">
        <v>22</v>
      </c>
      <c r="B327" s="1">
        <v>45671</v>
      </c>
      <c r="C327">
        <v>14</v>
      </c>
      <c r="D327">
        <v>0</v>
      </c>
      <c r="E327" t="s">
        <v>6</v>
      </c>
      <c r="F327">
        <v>0.21337999999999999</v>
      </c>
    </row>
    <row r="328" spans="1:6" x14ac:dyDescent="0.3">
      <c r="A328" t="s">
        <v>22</v>
      </c>
      <c r="B328" s="1">
        <v>45671</v>
      </c>
      <c r="C328">
        <v>15</v>
      </c>
      <c r="D328">
        <v>0.745</v>
      </c>
      <c r="E328" t="s">
        <v>6</v>
      </c>
      <c r="F328">
        <v>0.15136000000000002</v>
      </c>
    </row>
    <row r="329" spans="1:6" x14ac:dyDescent="0.3">
      <c r="A329" t="s">
        <v>22</v>
      </c>
      <c r="B329" s="1">
        <v>45671</v>
      </c>
      <c r="C329">
        <v>16</v>
      </c>
      <c r="D329">
        <v>2.0680000000000001</v>
      </c>
      <c r="E329" t="s">
        <v>6</v>
      </c>
      <c r="F329">
        <v>0.15293000000000001</v>
      </c>
    </row>
    <row r="330" spans="1:6" x14ac:dyDescent="0.3">
      <c r="A330" t="s">
        <v>22</v>
      </c>
      <c r="B330" s="1">
        <v>45671</v>
      </c>
      <c r="C330">
        <v>17</v>
      </c>
      <c r="D330">
        <v>1.5840000000000001</v>
      </c>
      <c r="E330" t="s">
        <v>6</v>
      </c>
      <c r="F330">
        <v>0.17411000000000001</v>
      </c>
    </row>
    <row r="331" spans="1:6" x14ac:dyDescent="0.3">
      <c r="A331" t="s">
        <v>22</v>
      </c>
      <c r="B331" s="1">
        <v>45671</v>
      </c>
      <c r="C331">
        <v>18</v>
      </c>
      <c r="D331">
        <v>0.18</v>
      </c>
      <c r="E331" t="s">
        <v>6</v>
      </c>
      <c r="F331">
        <v>0.20713999999999999</v>
      </c>
    </row>
    <row r="332" spans="1:6" x14ac:dyDescent="0.3">
      <c r="A332" t="s">
        <v>22</v>
      </c>
      <c r="B332" s="1">
        <v>45671</v>
      </c>
      <c r="C332">
        <v>19</v>
      </c>
      <c r="D332">
        <v>0.38300000000000001</v>
      </c>
      <c r="E332" t="s">
        <v>6</v>
      </c>
      <c r="F332">
        <v>0.30789999999999995</v>
      </c>
    </row>
    <row r="333" spans="1:6" x14ac:dyDescent="0.3">
      <c r="A333" t="s">
        <v>22</v>
      </c>
      <c r="B333" s="1">
        <v>45671</v>
      </c>
      <c r="C333">
        <v>20</v>
      </c>
      <c r="D333">
        <v>4.9530000000000003</v>
      </c>
      <c r="E333" t="s">
        <v>6</v>
      </c>
      <c r="F333">
        <v>0.30913000000000002</v>
      </c>
    </row>
    <row r="334" spans="1:6" x14ac:dyDescent="0.3">
      <c r="A334" t="s">
        <v>22</v>
      </c>
      <c r="B334" s="1">
        <v>45671</v>
      </c>
      <c r="C334">
        <v>21</v>
      </c>
      <c r="D334">
        <v>4.0940000000000003</v>
      </c>
      <c r="E334" t="s">
        <v>6</v>
      </c>
      <c r="F334">
        <v>0.28106999999999999</v>
      </c>
    </row>
    <row r="335" spans="1:6" x14ac:dyDescent="0.3">
      <c r="A335" t="s">
        <v>22</v>
      </c>
      <c r="B335" s="1">
        <v>45671</v>
      </c>
      <c r="C335">
        <v>22</v>
      </c>
      <c r="D335">
        <v>0.39600000000000002</v>
      </c>
      <c r="E335" t="s">
        <v>6</v>
      </c>
      <c r="F335">
        <v>0.26568000000000003</v>
      </c>
    </row>
    <row r="336" spans="1:6" x14ac:dyDescent="0.3">
      <c r="A336" t="s">
        <v>22</v>
      </c>
      <c r="B336" s="1">
        <v>45671</v>
      </c>
      <c r="C336">
        <v>23</v>
      </c>
      <c r="D336">
        <v>0.24</v>
      </c>
      <c r="E336" t="s">
        <v>6</v>
      </c>
      <c r="F336">
        <v>0.19697999999999999</v>
      </c>
    </row>
    <row r="337" spans="1:6" x14ac:dyDescent="0.3">
      <c r="A337" t="s">
        <v>22</v>
      </c>
      <c r="B337" s="1">
        <v>45671</v>
      </c>
      <c r="C337">
        <v>24</v>
      </c>
      <c r="D337">
        <v>0.17399999999999999</v>
      </c>
      <c r="E337" t="s">
        <v>6</v>
      </c>
      <c r="F337">
        <v>0.19097</v>
      </c>
    </row>
    <row r="338" spans="1:6" x14ac:dyDescent="0.3">
      <c r="A338" t="s">
        <v>22</v>
      </c>
      <c r="B338" s="1">
        <v>45672</v>
      </c>
      <c r="C338">
        <v>1</v>
      </c>
      <c r="D338">
        <v>0.21099999999999999</v>
      </c>
      <c r="E338" t="s">
        <v>6</v>
      </c>
      <c r="F338">
        <v>0.15672</v>
      </c>
    </row>
    <row r="339" spans="1:6" x14ac:dyDescent="0.3">
      <c r="A339" t="s">
        <v>22</v>
      </c>
      <c r="B339" s="1">
        <v>45672</v>
      </c>
      <c r="C339">
        <v>2</v>
      </c>
      <c r="D339">
        <v>1.41</v>
      </c>
      <c r="E339" t="s">
        <v>6</v>
      </c>
      <c r="F339">
        <v>0.14608000000000002</v>
      </c>
    </row>
    <row r="340" spans="1:6" x14ac:dyDescent="0.3">
      <c r="A340" t="s">
        <v>22</v>
      </c>
      <c r="B340" s="1">
        <v>45672</v>
      </c>
      <c r="C340">
        <v>3</v>
      </c>
      <c r="D340">
        <v>4.6539999999999999</v>
      </c>
      <c r="E340" t="s">
        <v>6</v>
      </c>
      <c r="F340">
        <v>0.14265</v>
      </c>
    </row>
    <row r="341" spans="1:6" x14ac:dyDescent="0.3">
      <c r="A341" t="s">
        <v>22</v>
      </c>
      <c r="B341" s="1">
        <v>45672</v>
      </c>
      <c r="C341">
        <v>4</v>
      </c>
      <c r="D341">
        <v>4.923</v>
      </c>
      <c r="E341" t="s">
        <v>6</v>
      </c>
      <c r="F341">
        <v>0.13952000000000001</v>
      </c>
    </row>
    <row r="342" spans="1:6" x14ac:dyDescent="0.3">
      <c r="A342" t="s">
        <v>22</v>
      </c>
      <c r="B342" s="1">
        <v>45672</v>
      </c>
      <c r="C342">
        <v>5</v>
      </c>
      <c r="D342">
        <v>4.8810000000000002</v>
      </c>
      <c r="E342" t="s">
        <v>6</v>
      </c>
      <c r="F342">
        <v>0.13936000000000001</v>
      </c>
    </row>
    <row r="343" spans="1:6" x14ac:dyDescent="0.3">
      <c r="A343" t="s">
        <v>22</v>
      </c>
      <c r="B343" s="1">
        <v>45672</v>
      </c>
      <c r="C343">
        <v>6</v>
      </c>
      <c r="D343">
        <v>4.4180000000000001</v>
      </c>
      <c r="E343" t="s">
        <v>6</v>
      </c>
      <c r="F343">
        <v>0.13883999999999999</v>
      </c>
    </row>
    <row r="344" spans="1:6" x14ac:dyDescent="0.3">
      <c r="A344" t="s">
        <v>22</v>
      </c>
      <c r="B344" s="1">
        <v>45672</v>
      </c>
      <c r="C344">
        <v>7</v>
      </c>
      <c r="D344">
        <v>5.8520000000000003</v>
      </c>
      <c r="E344" t="s">
        <v>6</v>
      </c>
      <c r="F344">
        <v>0.15877000000000002</v>
      </c>
    </row>
    <row r="345" spans="1:6" x14ac:dyDescent="0.3">
      <c r="A345" t="s">
        <v>22</v>
      </c>
      <c r="B345" s="1">
        <v>45672</v>
      </c>
      <c r="C345">
        <v>8</v>
      </c>
      <c r="D345">
        <v>6.4969999999999999</v>
      </c>
      <c r="E345" t="s">
        <v>6</v>
      </c>
      <c r="F345">
        <v>0.19478999999999999</v>
      </c>
    </row>
    <row r="346" spans="1:6" x14ac:dyDescent="0.3">
      <c r="A346" t="s">
        <v>22</v>
      </c>
      <c r="B346" s="1">
        <v>45672</v>
      </c>
      <c r="C346">
        <v>9</v>
      </c>
      <c r="D346">
        <v>6.45</v>
      </c>
      <c r="E346" t="s">
        <v>6</v>
      </c>
      <c r="F346">
        <v>0.28970999999999997</v>
      </c>
    </row>
    <row r="347" spans="1:6" x14ac:dyDescent="0.3">
      <c r="A347" t="s">
        <v>22</v>
      </c>
      <c r="B347" s="1">
        <v>45672</v>
      </c>
      <c r="C347">
        <v>10</v>
      </c>
      <c r="D347">
        <v>3.0419999999999998</v>
      </c>
      <c r="E347" t="s">
        <v>6</v>
      </c>
      <c r="F347">
        <v>0.20827000000000001</v>
      </c>
    </row>
    <row r="348" spans="1:6" x14ac:dyDescent="0.3">
      <c r="A348" t="s">
        <v>22</v>
      </c>
      <c r="B348" s="1">
        <v>45672</v>
      </c>
      <c r="C348">
        <v>11</v>
      </c>
      <c r="D348">
        <v>0.94499999999999995</v>
      </c>
      <c r="E348" t="s">
        <v>6</v>
      </c>
      <c r="F348">
        <v>0.24928</v>
      </c>
    </row>
    <row r="349" spans="1:6" x14ac:dyDescent="0.3">
      <c r="A349" t="s">
        <v>22</v>
      </c>
      <c r="B349" s="1">
        <v>45672</v>
      </c>
      <c r="C349">
        <v>12</v>
      </c>
      <c r="D349">
        <v>0.33300000000000002</v>
      </c>
      <c r="E349" t="s">
        <v>6</v>
      </c>
      <c r="F349">
        <v>0.24134</v>
      </c>
    </row>
    <row r="350" spans="1:6" x14ac:dyDescent="0.3">
      <c r="A350" t="s">
        <v>22</v>
      </c>
      <c r="B350" s="1">
        <v>45672</v>
      </c>
      <c r="C350">
        <v>13</v>
      </c>
      <c r="D350">
        <v>0</v>
      </c>
      <c r="E350" t="s">
        <v>6</v>
      </c>
      <c r="F350">
        <v>0.23168</v>
      </c>
    </row>
    <row r="351" spans="1:6" x14ac:dyDescent="0.3">
      <c r="A351" t="s">
        <v>22</v>
      </c>
      <c r="B351" s="1">
        <v>45672</v>
      </c>
      <c r="C351">
        <v>14</v>
      </c>
      <c r="D351">
        <v>0</v>
      </c>
      <c r="E351" t="s">
        <v>6</v>
      </c>
      <c r="F351">
        <v>0.22724</v>
      </c>
    </row>
    <row r="352" spans="1:6" x14ac:dyDescent="0.3">
      <c r="A352" t="s">
        <v>22</v>
      </c>
      <c r="B352" s="1">
        <v>45672</v>
      </c>
      <c r="C352">
        <v>15</v>
      </c>
      <c r="D352">
        <v>0</v>
      </c>
      <c r="E352" t="s">
        <v>6</v>
      </c>
      <c r="F352">
        <v>0.15631999999999999</v>
      </c>
    </row>
    <row r="353" spans="1:6" x14ac:dyDescent="0.3">
      <c r="A353" t="s">
        <v>22</v>
      </c>
      <c r="B353" s="1">
        <v>45672</v>
      </c>
      <c r="C353">
        <v>16</v>
      </c>
      <c r="D353">
        <v>0</v>
      </c>
      <c r="E353" t="s">
        <v>6</v>
      </c>
      <c r="F353">
        <v>0.15962000000000001</v>
      </c>
    </row>
    <row r="354" spans="1:6" x14ac:dyDescent="0.3">
      <c r="A354" t="s">
        <v>22</v>
      </c>
      <c r="B354" s="1">
        <v>45672</v>
      </c>
      <c r="C354">
        <v>17</v>
      </c>
      <c r="D354">
        <v>0</v>
      </c>
      <c r="E354" t="s">
        <v>6</v>
      </c>
      <c r="F354">
        <v>0.17858000000000002</v>
      </c>
    </row>
    <row r="355" spans="1:6" x14ac:dyDescent="0.3">
      <c r="A355" t="s">
        <v>22</v>
      </c>
      <c r="B355" s="1">
        <v>45672</v>
      </c>
      <c r="C355">
        <v>18</v>
      </c>
      <c r="D355">
        <v>0.19</v>
      </c>
      <c r="E355" t="s">
        <v>6</v>
      </c>
      <c r="F355">
        <v>0.18675</v>
      </c>
    </row>
    <row r="356" spans="1:6" x14ac:dyDescent="0.3">
      <c r="A356" t="s">
        <v>22</v>
      </c>
      <c r="B356" s="1">
        <v>45672</v>
      </c>
      <c r="C356">
        <v>19</v>
      </c>
      <c r="D356">
        <v>0.19</v>
      </c>
      <c r="E356" t="s">
        <v>6</v>
      </c>
      <c r="F356">
        <v>0.28194999999999998</v>
      </c>
    </row>
    <row r="357" spans="1:6" x14ac:dyDescent="0.3">
      <c r="A357" t="s">
        <v>22</v>
      </c>
      <c r="B357" s="1">
        <v>45672</v>
      </c>
      <c r="C357">
        <v>20</v>
      </c>
      <c r="D357">
        <v>3.5680000000000001</v>
      </c>
      <c r="E357" t="s">
        <v>6</v>
      </c>
      <c r="F357">
        <v>0.29619999999999996</v>
      </c>
    </row>
    <row r="358" spans="1:6" x14ac:dyDescent="0.3">
      <c r="A358" t="s">
        <v>22</v>
      </c>
      <c r="B358" s="1">
        <v>45672</v>
      </c>
      <c r="C358">
        <v>21</v>
      </c>
      <c r="D358">
        <v>4.9370000000000003</v>
      </c>
      <c r="E358" t="s">
        <v>6</v>
      </c>
      <c r="F358">
        <v>0.28417000000000003</v>
      </c>
    </row>
    <row r="359" spans="1:6" x14ac:dyDescent="0.3">
      <c r="A359" t="s">
        <v>22</v>
      </c>
      <c r="B359" s="1">
        <v>45672</v>
      </c>
      <c r="C359">
        <v>22</v>
      </c>
      <c r="D359">
        <v>3.8940000000000001</v>
      </c>
      <c r="E359" t="s">
        <v>6</v>
      </c>
      <c r="F359">
        <v>0.26361000000000001</v>
      </c>
    </row>
    <row r="360" spans="1:6" x14ac:dyDescent="0.3">
      <c r="A360" t="s">
        <v>22</v>
      </c>
      <c r="B360" s="1">
        <v>45672</v>
      </c>
      <c r="C360">
        <v>23</v>
      </c>
      <c r="D360">
        <v>3.5760000000000001</v>
      </c>
      <c r="E360" t="s">
        <v>6</v>
      </c>
      <c r="F360">
        <v>0.18450999999999998</v>
      </c>
    </row>
    <row r="361" spans="1:6" x14ac:dyDescent="0.3">
      <c r="A361" t="s">
        <v>22</v>
      </c>
      <c r="B361" s="1">
        <v>45672</v>
      </c>
      <c r="C361">
        <v>24</v>
      </c>
      <c r="D361">
        <v>3.351</v>
      </c>
      <c r="E361" t="s">
        <v>6</v>
      </c>
      <c r="F361">
        <v>0.16843</v>
      </c>
    </row>
    <row r="362" spans="1:6" x14ac:dyDescent="0.3">
      <c r="A362" t="s">
        <v>22</v>
      </c>
      <c r="B362" s="1">
        <v>45673</v>
      </c>
      <c r="C362">
        <v>1</v>
      </c>
      <c r="D362">
        <v>3.3290000000000002</v>
      </c>
      <c r="E362" t="s">
        <v>6</v>
      </c>
      <c r="F362">
        <v>0.15065000000000001</v>
      </c>
    </row>
    <row r="363" spans="1:6" x14ac:dyDescent="0.3">
      <c r="A363" t="s">
        <v>22</v>
      </c>
      <c r="B363" s="1">
        <v>45673</v>
      </c>
      <c r="C363">
        <v>2</v>
      </c>
      <c r="D363">
        <v>3.3</v>
      </c>
      <c r="E363" t="s">
        <v>6</v>
      </c>
      <c r="F363">
        <v>0.14530000000000001</v>
      </c>
    </row>
    <row r="364" spans="1:6" x14ac:dyDescent="0.3">
      <c r="A364" t="s">
        <v>22</v>
      </c>
      <c r="B364" s="1">
        <v>45673</v>
      </c>
      <c r="C364">
        <v>3</v>
      </c>
      <c r="D364">
        <v>3.2749999999999999</v>
      </c>
      <c r="E364" t="s">
        <v>6</v>
      </c>
      <c r="F364">
        <v>0.14193</v>
      </c>
    </row>
    <row r="365" spans="1:6" x14ac:dyDescent="0.3">
      <c r="A365" t="s">
        <v>22</v>
      </c>
      <c r="B365" s="1">
        <v>45673</v>
      </c>
      <c r="C365">
        <v>4</v>
      </c>
      <c r="D365">
        <v>3.5049999999999999</v>
      </c>
      <c r="E365" t="s">
        <v>6</v>
      </c>
      <c r="F365">
        <v>0.13265000000000002</v>
      </c>
    </row>
    <row r="366" spans="1:6" x14ac:dyDescent="0.3">
      <c r="A366" t="s">
        <v>22</v>
      </c>
      <c r="B366" s="1">
        <v>45673</v>
      </c>
      <c r="C366">
        <v>5</v>
      </c>
      <c r="D366">
        <v>3.0139999999999998</v>
      </c>
      <c r="E366" t="s">
        <v>6</v>
      </c>
      <c r="F366">
        <v>0.13274</v>
      </c>
    </row>
    <row r="367" spans="1:6" x14ac:dyDescent="0.3">
      <c r="A367" t="s">
        <v>22</v>
      </c>
      <c r="B367" s="1">
        <v>45673</v>
      </c>
      <c r="C367">
        <v>6</v>
      </c>
      <c r="D367">
        <v>2.9569999999999999</v>
      </c>
      <c r="E367" t="s">
        <v>6</v>
      </c>
      <c r="F367">
        <v>0.14258000000000001</v>
      </c>
    </row>
    <row r="368" spans="1:6" x14ac:dyDescent="0.3">
      <c r="A368" t="s">
        <v>22</v>
      </c>
      <c r="B368" s="1">
        <v>45673</v>
      </c>
      <c r="C368">
        <v>7</v>
      </c>
      <c r="D368">
        <v>3.05</v>
      </c>
      <c r="E368" t="s">
        <v>6</v>
      </c>
      <c r="F368">
        <v>0.15527000000000002</v>
      </c>
    </row>
    <row r="369" spans="1:6" x14ac:dyDescent="0.3">
      <c r="A369" t="s">
        <v>22</v>
      </c>
      <c r="B369" s="1">
        <v>45673</v>
      </c>
      <c r="C369">
        <v>8</v>
      </c>
      <c r="D369">
        <v>3.4420000000000002</v>
      </c>
      <c r="E369" t="s">
        <v>6</v>
      </c>
      <c r="F369">
        <v>0.17304</v>
      </c>
    </row>
    <row r="370" spans="1:6" x14ac:dyDescent="0.3">
      <c r="A370" t="s">
        <v>22</v>
      </c>
      <c r="B370" s="1">
        <v>45673</v>
      </c>
      <c r="C370">
        <v>9</v>
      </c>
      <c r="D370">
        <v>3.125</v>
      </c>
      <c r="E370" t="s">
        <v>6</v>
      </c>
      <c r="F370">
        <v>0.26055</v>
      </c>
    </row>
    <row r="371" spans="1:6" x14ac:dyDescent="0.3">
      <c r="A371" t="s">
        <v>22</v>
      </c>
      <c r="B371" s="1">
        <v>45673</v>
      </c>
      <c r="C371">
        <v>10</v>
      </c>
      <c r="D371">
        <v>2.242</v>
      </c>
      <c r="E371" t="s">
        <v>6</v>
      </c>
      <c r="F371">
        <v>0.20511000000000001</v>
      </c>
    </row>
    <row r="372" spans="1:6" x14ac:dyDescent="0.3">
      <c r="A372" t="s">
        <v>22</v>
      </c>
      <c r="B372" s="1">
        <v>45673</v>
      </c>
      <c r="C372">
        <v>11</v>
      </c>
      <c r="D372">
        <v>2.8140000000000001</v>
      </c>
      <c r="E372" t="s">
        <v>6</v>
      </c>
      <c r="F372">
        <v>0.23985000000000001</v>
      </c>
    </row>
    <row r="373" spans="1:6" x14ac:dyDescent="0.3">
      <c r="A373" t="s">
        <v>22</v>
      </c>
      <c r="B373" s="1">
        <v>45673</v>
      </c>
      <c r="C373">
        <v>12</v>
      </c>
      <c r="D373">
        <v>0.17799999999999999</v>
      </c>
      <c r="E373" t="s">
        <v>6</v>
      </c>
      <c r="F373">
        <v>0.22197999999999998</v>
      </c>
    </row>
    <row r="374" spans="1:6" x14ac:dyDescent="0.3">
      <c r="A374" t="s">
        <v>22</v>
      </c>
      <c r="B374" s="1">
        <v>45673</v>
      </c>
      <c r="C374">
        <v>13</v>
      </c>
      <c r="D374">
        <v>1.5820000000000001</v>
      </c>
      <c r="E374" t="s">
        <v>6</v>
      </c>
      <c r="F374">
        <v>0.22403000000000001</v>
      </c>
    </row>
    <row r="375" spans="1:6" x14ac:dyDescent="0.3">
      <c r="A375" t="s">
        <v>22</v>
      </c>
      <c r="B375" s="1">
        <v>45673</v>
      </c>
      <c r="C375">
        <v>14</v>
      </c>
      <c r="D375">
        <v>1.0189999999999999</v>
      </c>
      <c r="E375" t="s">
        <v>6</v>
      </c>
      <c r="F375">
        <v>0.22700000000000001</v>
      </c>
    </row>
    <row r="376" spans="1:6" x14ac:dyDescent="0.3">
      <c r="A376" t="s">
        <v>22</v>
      </c>
      <c r="B376" s="1">
        <v>45673</v>
      </c>
      <c r="C376">
        <v>15</v>
      </c>
      <c r="D376">
        <v>0</v>
      </c>
      <c r="E376" t="s">
        <v>6</v>
      </c>
      <c r="F376">
        <v>0.15565999999999999</v>
      </c>
    </row>
    <row r="377" spans="1:6" x14ac:dyDescent="0.3">
      <c r="A377" t="s">
        <v>22</v>
      </c>
      <c r="B377" s="1">
        <v>45673</v>
      </c>
      <c r="C377">
        <v>16</v>
      </c>
      <c r="D377">
        <v>7.5999999999999998E-2</v>
      </c>
      <c r="E377" t="s">
        <v>6</v>
      </c>
      <c r="F377">
        <v>0.16131000000000001</v>
      </c>
    </row>
    <row r="378" spans="1:6" x14ac:dyDescent="0.3">
      <c r="A378" t="s">
        <v>22</v>
      </c>
      <c r="B378" s="1">
        <v>45673</v>
      </c>
      <c r="C378">
        <v>17</v>
      </c>
      <c r="D378">
        <v>0.47099999999999997</v>
      </c>
      <c r="E378" t="s">
        <v>6</v>
      </c>
      <c r="F378">
        <v>0.16197999999999999</v>
      </c>
    </row>
    <row r="379" spans="1:6" x14ac:dyDescent="0.3">
      <c r="A379" t="s">
        <v>22</v>
      </c>
      <c r="B379" s="1">
        <v>45673</v>
      </c>
      <c r="C379">
        <v>18</v>
      </c>
      <c r="D379">
        <v>0.71299999999999997</v>
      </c>
      <c r="E379" t="s">
        <v>6</v>
      </c>
      <c r="F379">
        <v>0.19384999999999999</v>
      </c>
    </row>
    <row r="380" spans="1:6" x14ac:dyDescent="0.3">
      <c r="A380" t="s">
        <v>22</v>
      </c>
      <c r="B380" s="1">
        <v>45673</v>
      </c>
      <c r="C380">
        <v>19</v>
      </c>
      <c r="D380">
        <v>0.34200000000000003</v>
      </c>
      <c r="E380" t="s">
        <v>6</v>
      </c>
      <c r="F380">
        <v>0.30512</v>
      </c>
    </row>
    <row r="381" spans="1:6" x14ac:dyDescent="0.3">
      <c r="A381" t="s">
        <v>22</v>
      </c>
      <c r="B381" s="1">
        <v>45673</v>
      </c>
      <c r="C381">
        <v>20</v>
      </c>
      <c r="D381">
        <v>0.216</v>
      </c>
      <c r="E381" t="s">
        <v>6</v>
      </c>
      <c r="F381">
        <v>0.30016999999999999</v>
      </c>
    </row>
    <row r="382" spans="1:6" x14ac:dyDescent="0.3">
      <c r="A382" t="s">
        <v>22</v>
      </c>
      <c r="B382" s="1">
        <v>45673</v>
      </c>
      <c r="C382">
        <v>21</v>
      </c>
      <c r="D382">
        <v>2.9</v>
      </c>
      <c r="E382" t="s">
        <v>6</v>
      </c>
      <c r="F382">
        <v>0.27631</v>
      </c>
    </row>
    <row r="383" spans="1:6" x14ac:dyDescent="0.3">
      <c r="A383" t="s">
        <v>22</v>
      </c>
      <c r="B383" s="1">
        <v>45673</v>
      </c>
      <c r="C383">
        <v>22</v>
      </c>
      <c r="D383">
        <v>0.85599999999999998</v>
      </c>
      <c r="E383" t="s">
        <v>6</v>
      </c>
      <c r="F383">
        <v>0.26356000000000002</v>
      </c>
    </row>
    <row r="384" spans="1:6" x14ac:dyDescent="0.3">
      <c r="A384" t="s">
        <v>22</v>
      </c>
      <c r="B384" s="1">
        <v>45673</v>
      </c>
      <c r="C384">
        <v>23</v>
      </c>
      <c r="D384">
        <v>2.391</v>
      </c>
      <c r="E384" t="s">
        <v>6</v>
      </c>
      <c r="F384">
        <v>0.18421999999999999</v>
      </c>
    </row>
    <row r="385" spans="1:6" x14ac:dyDescent="0.3">
      <c r="A385" t="s">
        <v>22</v>
      </c>
      <c r="B385" s="1">
        <v>45673</v>
      </c>
      <c r="C385">
        <v>24</v>
      </c>
      <c r="D385">
        <v>4.4210000000000003</v>
      </c>
      <c r="E385" t="s">
        <v>6</v>
      </c>
      <c r="F385">
        <v>0.17157</v>
      </c>
    </row>
    <row r="386" spans="1:6" x14ac:dyDescent="0.3">
      <c r="A386" t="s">
        <v>22</v>
      </c>
      <c r="B386" s="1">
        <v>45674</v>
      </c>
      <c r="C386">
        <v>1</v>
      </c>
      <c r="D386">
        <v>3.82</v>
      </c>
      <c r="E386" t="s">
        <v>6</v>
      </c>
      <c r="F386">
        <v>0.14827000000000001</v>
      </c>
    </row>
    <row r="387" spans="1:6" x14ac:dyDescent="0.3">
      <c r="A387" t="s">
        <v>22</v>
      </c>
      <c r="B387" s="1">
        <v>45674</v>
      </c>
      <c r="C387">
        <v>2</v>
      </c>
      <c r="D387">
        <v>3.3149999999999999</v>
      </c>
      <c r="E387" t="s">
        <v>6</v>
      </c>
      <c r="F387">
        <v>0.14583000000000002</v>
      </c>
    </row>
    <row r="388" spans="1:6" x14ac:dyDescent="0.3">
      <c r="A388" t="s">
        <v>22</v>
      </c>
      <c r="B388" s="1">
        <v>45674</v>
      </c>
      <c r="C388">
        <v>3</v>
      </c>
      <c r="D388">
        <v>3.3210000000000002</v>
      </c>
      <c r="E388" t="s">
        <v>6</v>
      </c>
      <c r="F388">
        <v>0.14313999999999999</v>
      </c>
    </row>
    <row r="389" spans="1:6" x14ac:dyDescent="0.3">
      <c r="A389" t="s">
        <v>22</v>
      </c>
      <c r="B389" s="1">
        <v>45674</v>
      </c>
      <c r="C389">
        <v>4</v>
      </c>
      <c r="D389">
        <v>3.036</v>
      </c>
      <c r="E389" t="s">
        <v>6</v>
      </c>
      <c r="F389">
        <v>0.13977999999999999</v>
      </c>
    </row>
    <row r="390" spans="1:6" x14ac:dyDescent="0.3">
      <c r="A390" t="s">
        <v>22</v>
      </c>
      <c r="B390" s="1">
        <v>45674</v>
      </c>
      <c r="C390">
        <v>5</v>
      </c>
      <c r="D390">
        <v>2.6920000000000002</v>
      </c>
      <c r="E390" t="s">
        <v>6</v>
      </c>
      <c r="F390">
        <v>0.13983999999999999</v>
      </c>
    </row>
    <row r="391" spans="1:6" x14ac:dyDescent="0.3">
      <c r="A391" t="s">
        <v>22</v>
      </c>
      <c r="B391" s="1">
        <v>45674</v>
      </c>
      <c r="C391">
        <v>6</v>
      </c>
      <c r="D391">
        <v>3.073</v>
      </c>
      <c r="E391" t="s">
        <v>6</v>
      </c>
      <c r="F391">
        <v>0.14254</v>
      </c>
    </row>
    <row r="392" spans="1:6" x14ac:dyDescent="0.3">
      <c r="A392" t="s">
        <v>22</v>
      </c>
      <c r="B392" s="1">
        <v>45674</v>
      </c>
      <c r="C392">
        <v>7</v>
      </c>
      <c r="D392">
        <v>2.8879999999999999</v>
      </c>
      <c r="E392" t="s">
        <v>6</v>
      </c>
      <c r="F392">
        <v>0.16109000000000001</v>
      </c>
    </row>
    <row r="393" spans="1:6" x14ac:dyDescent="0.3">
      <c r="A393" t="s">
        <v>22</v>
      </c>
      <c r="B393" s="1">
        <v>45674</v>
      </c>
      <c r="C393">
        <v>8</v>
      </c>
      <c r="D393">
        <v>3.3140000000000001</v>
      </c>
      <c r="E393" t="s">
        <v>6</v>
      </c>
      <c r="F393">
        <v>0.17535000000000001</v>
      </c>
    </row>
    <row r="394" spans="1:6" x14ac:dyDescent="0.3">
      <c r="A394" t="s">
        <v>22</v>
      </c>
      <c r="B394" s="1">
        <v>45674</v>
      </c>
      <c r="C394">
        <v>9</v>
      </c>
      <c r="D394">
        <v>3.2040000000000002</v>
      </c>
      <c r="E394" t="s">
        <v>6</v>
      </c>
      <c r="F394">
        <v>0.25766</v>
      </c>
    </row>
    <row r="395" spans="1:6" x14ac:dyDescent="0.3">
      <c r="A395" t="s">
        <v>22</v>
      </c>
      <c r="B395" s="1">
        <v>45674</v>
      </c>
      <c r="C395">
        <v>10</v>
      </c>
      <c r="D395">
        <v>1.952</v>
      </c>
      <c r="E395" t="s">
        <v>6</v>
      </c>
      <c r="F395">
        <v>0.2039</v>
      </c>
    </row>
    <row r="396" spans="1:6" x14ac:dyDescent="0.3">
      <c r="A396" t="s">
        <v>22</v>
      </c>
      <c r="B396" s="1">
        <v>45674</v>
      </c>
      <c r="C396">
        <v>11</v>
      </c>
      <c r="D396">
        <v>0</v>
      </c>
      <c r="E396" t="s">
        <v>6</v>
      </c>
      <c r="F396">
        <v>0.23838999999999999</v>
      </c>
    </row>
    <row r="397" spans="1:6" x14ac:dyDescent="0.3">
      <c r="A397" t="s">
        <v>22</v>
      </c>
      <c r="B397" s="1">
        <v>45674</v>
      </c>
      <c r="C397">
        <v>12</v>
      </c>
      <c r="D397">
        <v>0</v>
      </c>
      <c r="E397" t="s">
        <v>6</v>
      </c>
      <c r="F397">
        <v>0.2225</v>
      </c>
    </row>
    <row r="398" spans="1:6" x14ac:dyDescent="0.3">
      <c r="A398" t="s">
        <v>22</v>
      </c>
      <c r="B398" s="1">
        <v>45674</v>
      </c>
      <c r="C398">
        <v>13</v>
      </c>
      <c r="D398">
        <v>0</v>
      </c>
      <c r="E398" t="s">
        <v>6</v>
      </c>
      <c r="F398">
        <v>0.22319999999999998</v>
      </c>
    </row>
    <row r="399" spans="1:6" x14ac:dyDescent="0.3">
      <c r="A399" t="s">
        <v>22</v>
      </c>
      <c r="B399" s="1">
        <v>45674</v>
      </c>
      <c r="C399">
        <v>14</v>
      </c>
      <c r="D399">
        <v>0</v>
      </c>
      <c r="E399" t="s">
        <v>6</v>
      </c>
      <c r="F399">
        <v>0.21251</v>
      </c>
    </row>
    <row r="400" spans="1:6" x14ac:dyDescent="0.3">
      <c r="A400" t="s">
        <v>22</v>
      </c>
      <c r="B400" s="1">
        <v>45674</v>
      </c>
      <c r="C400">
        <v>15</v>
      </c>
      <c r="D400">
        <v>0</v>
      </c>
      <c r="E400" t="s">
        <v>6</v>
      </c>
      <c r="F400">
        <v>0.14410000000000001</v>
      </c>
    </row>
    <row r="401" spans="1:6" x14ac:dyDescent="0.3">
      <c r="A401" t="s">
        <v>22</v>
      </c>
      <c r="B401" s="1">
        <v>45674</v>
      </c>
      <c r="C401">
        <v>16</v>
      </c>
      <c r="D401">
        <v>0</v>
      </c>
      <c r="E401" t="s">
        <v>6</v>
      </c>
      <c r="F401">
        <v>0.15569</v>
      </c>
    </row>
    <row r="402" spans="1:6" x14ac:dyDescent="0.3">
      <c r="A402" t="s">
        <v>22</v>
      </c>
      <c r="B402" s="1">
        <v>45674</v>
      </c>
      <c r="C402">
        <v>17</v>
      </c>
      <c r="D402">
        <v>0</v>
      </c>
      <c r="E402" t="s">
        <v>6</v>
      </c>
      <c r="F402">
        <v>0.15953999999999999</v>
      </c>
    </row>
    <row r="403" spans="1:6" x14ac:dyDescent="0.3">
      <c r="A403" t="s">
        <v>22</v>
      </c>
      <c r="B403" s="1">
        <v>45674</v>
      </c>
      <c r="C403">
        <v>18</v>
      </c>
      <c r="D403">
        <v>0.24199999999999999</v>
      </c>
      <c r="E403" t="s">
        <v>6</v>
      </c>
      <c r="F403">
        <v>0.19059999999999999</v>
      </c>
    </row>
    <row r="404" spans="1:6" x14ac:dyDescent="0.3">
      <c r="A404" t="s">
        <v>22</v>
      </c>
      <c r="B404" s="1">
        <v>45674</v>
      </c>
      <c r="C404">
        <v>19</v>
      </c>
      <c r="D404">
        <v>0.56000000000000005</v>
      </c>
      <c r="E404" t="s">
        <v>6</v>
      </c>
      <c r="F404">
        <v>0.29477999999999999</v>
      </c>
    </row>
    <row r="405" spans="1:6" x14ac:dyDescent="0.3">
      <c r="A405" t="s">
        <v>22</v>
      </c>
      <c r="B405" s="1">
        <v>45674</v>
      </c>
      <c r="C405">
        <v>20</v>
      </c>
      <c r="D405">
        <v>2.7679999999999998</v>
      </c>
      <c r="E405" t="s">
        <v>6</v>
      </c>
      <c r="F405">
        <v>0.29370999999999997</v>
      </c>
    </row>
    <row r="406" spans="1:6" x14ac:dyDescent="0.3">
      <c r="A406" t="s">
        <v>22</v>
      </c>
      <c r="B406" s="1">
        <v>45674</v>
      </c>
      <c r="C406">
        <v>21</v>
      </c>
      <c r="D406">
        <v>4.359</v>
      </c>
      <c r="E406" t="s">
        <v>6</v>
      </c>
      <c r="F406">
        <v>0.27398</v>
      </c>
    </row>
    <row r="407" spans="1:6" x14ac:dyDescent="0.3">
      <c r="A407" t="s">
        <v>22</v>
      </c>
      <c r="B407" s="1">
        <v>45674</v>
      </c>
      <c r="C407">
        <v>22</v>
      </c>
      <c r="D407">
        <v>3.5720000000000001</v>
      </c>
      <c r="E407" t="s">
        <v>6</v>
      </c>
      <c r="F407">
        <v>0.26912999999999998</v>
      </c>
    </row>
    <row r="408" spans="1:6" x14ac:dyDescent="0.3">
      <c r="A408" t="s">
        <v>22</v>
      </c>
      <c r="B408" s="1">
        <v>45674</v>
      </c>
      <c r="C408">
        <v>23</v>
      </c>
      <c r="D408">
        <v>0.65200000000000002</v>
      </c>
      <c r="E408" t="s">
        <v>6</v>
      </c>
      <c r="F408">
        <v>0.18862999999999999</v>
      </c>
    </row>
    <row r="409" spans="1:6" x14ac:dyDescent="0.3">
      <c r="A409" t="s">
        <v>22</v>
      </c>
      <c r="B409" s="1">
        <v>45674</v>
      </c>
      <c r="C409">
        <v>24</v>
      </c>
      <c r="D409">
        <v>0.29599999999999999</v>
      </c>
      <c r="E409" t="s">
        <v>6</v>
      </c>
      <c r="F409">
        <v>0.18663999999999997</v>
      </c>
    </row>
    <row r="410" spans="1:6" x14ac:dyDescent="0.3">
      <c r="A410" t="s">
        <v>22</v>
      </c>
      <c r="B410" s="1">
        <v>45675</v>
      </c>
      <c r="C410">
        <v>1</v>
      </c>
      <c r="D410">
        <v>0.126</v>
      </c>
      <c r="E410" t="s">
        <v>6</v>
      </c>
      <c r="F410">
        <v>0.16100999999999999</v>
      </c>
    </row>
    <row r="411" spans="1:6" x14ac:dyDescent="0.3">
      <c r="A411" t="s">
        <v>22</v>
      </c>
      <c r="B411" s="1">
        <v>45675</v>
      </c>
      <c r="C411">
        <v>2</v>
      </c>
      <c r="D411">
        <v>0.193</v>
      </c>
      <c r="E411" t="s">
        <v>6</v>
      </c>
      <c r="F411">
        <v>0.15762999999999999</v>
      </c>
    </row>
    <row r="412" spans="1:6" x14ac:dyDescent="0.3">
      <c r="A412" t="s">
        <v>22</v>
      </c>
      <c r="B412" s="1">
        <v>45675</v>
      </c>
      <c r="C412">
        <v>3</v>
      </c>
      <c r="D412">
        <v>0.183</v>
      </c>
      <c r="E412" t="s">
        <v>6</v>
      </c>
      <c r="F412">
        <v>0.16022</v>
      </c>
    </row>
    <row r="413" spans="1:6" x14ac:dyDescent="0.3">
      <c r="A413" t="s">
        <v>22</v>
      </c>
      <c r="B413" s="1">
        <v>45675</v>
      </c>
      <c r="C413">
        <v>4</v>
      </c>
      <c r="D413">
        <v>0.13800000000000001</v>
      </c>
      <c r="E413" t="s">
        <v>6</v>
      </c>
      <c r="F413">
        <v>0.15237000000000001</v>
      </c>
    </row>
    <row r="414" spans="1:6" x14ac:dyDescent="0.3">
      <c r="A414" t="s">
        <v>22</v>
      </c>
      <c r="B414" s="1">
        <v>45675</v>
      </c>
      <c r="C414">
        <v>5</v>
      </c>
      <c r="D414">
        <v>2.7930000000000001</v>
      </c>
      <c r="E414" t="s">
        <v>6</v>
      </c>
      <c r="F414">
        <v>0.14427999999999999</v>
      </c>
    </row>
    <row r="415" spans="1:6" x14ac:dyDescent="0.3">
      <c r="A415" t="s">
        <v>22</v>
      </c>
      <c r="B415" s="1">
        <v>45675</v>
      </c>
      <c r="C415">
        <v>6</v>
      </c>
      <c r="D415">
        <v>4.681</v>
      </c>
      <c r="E415" t="s">
        <v>6</v>
      </c>
      <c r="F415">
        <v>0.14773</v>
      </c>
    </row>
    <row r="416" spans="1:6" x14ac:dyDescent="0.3">
      <c r="A416" t="s">
        <v>22</v>
      </c>
      <c r="B416" s="1">
        <v>45675</v>
      </c>
      <c r="C416">
        <v>7</v>
      </c>
      <c r="D416">
        <v>4.3090000000000002</v>
      </c>
      <c r="E416" t="s">
        <v>6</v>
      </c>
      <c r="F416">
        <v>0.14657000000000001</v>
      </c>
    </row>
    <row r="417" spans="1:6" x14ac:dyDescent="0.3">
      <c r="A417" t="s">
        <v>22</v>
      </c>
      <c r="B417" s="1">
        <v>45675</v>
      </c>
      <c r="C417">
        <v>8</v>
      </c>
      <c r="D417">
        <v>5.0460000000000003</v>
      </c>
      <c r="E417" t="s">
        <v>6</v>
      </c>
      <c r="F417">
        <v>0.15906999999999999</v>
      </c>
    </row>
    <row r="418" spans="1:6" x14ac:dyDescent="0.3">
      <c r="A418" t="s">
        <v>22</v>
      </c>
      <c r="B418" s="1">
        <v>45675</v>
      </c>
      <c r="C418">
        <v>9</v>
      </c>
      <c r="D418">
        <v>4.5119999999999996</v>
      </c>
      <c r="E418" t="s">
        <v>6</v>
      </c>
      <c r="F418">
        <v>0.17047000000000001</v>
      </c>
    </row>
    <row r="419" spans="1:6" x14ac:dyDescent="0.3">
      <c r="A419" t="s">
        <v>22</v>
      </c>
      <c r="B419" s="1">
        <v>45675</v>
      </c>
      <c r="C419">
        <v>10</v>
      </c>
      <c r="D419">
        <v>4.7969999999999997</v>
      </c>
      <c r="E419" t="s">
        <v>6</v>
      </c>
      <c r="F419">
        <v>0.16877</v>
      </c>
    </row>
    <row r="420" spans="1:6" x14ac:dyDescent="0.3">
      <c r="A420" t="s">
        <v>22</v>
      </c>
      <c r="B420" s="1">
        <v>45675</v>
      </c>
      <c r="C420">
        <v>11</v>
      </c>
      <c r="D420">
        <v>2.6640000000000001</v>
      </c>
      <c r="E420" t="s">
        <v>6</v>
      </c>
      <c r="F420">
        <v>0.15296999999999999</v>
      </c>
    </row>
    <row r="421" spans="1:6" x14ac:dyDescent="0.3">
      <c r="A421" t="s">
        <v>22</v>
      </c>
      <c r="B421" s="1">
        <v>45675</v>
      </c>
      <c r="C421">
        <v>12</v>
      </c>
      <c r="D421">
        <v>0.61199999999999999</v>
      </c>
      <c r="E421" t="s">
        <v>6</v>
      </c>
      <c r="F421">
        <v>0.12795000000000001</v>
      </c>
    </row>
    <row r="422" spans="1:6" x14ac:dyDescent="0.3">
      <c r="A422" t="s">
        <v>22</v>
      </c>
      <c r="B422" s="1">
        <v>45675</v>
      </c>
      <c r="C422">
        <v>13</v>
      </c>
      <c r="D422">
        <v>0</v>
      </c>
      <c r="E422" t="s">
        <v>6</v>
      </c>
      <c r="F422">
        <v>0.13040000000000002</v>
      </c>
    </row>
    <row r="423" spans="1:6" x14ac:dyDescent="0.3">
      <c r="A423" t="s">
        <v>22</v>
      </c>
      <c r="B423" s="1">
        <v>45675</v>
      </c>
      <c r="C423">
        <v>14</v>
      </c>
      <c r="D423">
        <v>0.53100000000000003</v>
      </c>
      <c r="E423" t="s">
        <v>6</v>
      </c>
      <c r="F423">
        <v>0.13016999999999998</v>
      </c>
    </row>
    <row r="424" spans="1:6" x14ac:dyDescent="0.3">
      <c r="A424" t="s">
        <v>22</v>
      </c>
      <c r="B424" s="1">
        <v>45675</v>
      </c>
      <c r="C424">
        <v>15</v>
      </c>
      <c r="D424">
        <v>3.9630000000000001</v>
      </c>
      <c r="E424" t="s">
        <v>6</v>
      </c>
      <c r="F424">
        <v>0.13093000000000002</v>
      </c>
    </row>
    <row r="425" spans="1:6" x14ac:dyDescent="0.3">
      <c r="A425" t="s">
        <v>22</v>
      </c>
      <c r="B425" s="1">
        <v>45675</v>
      </c>
      <c r="C425">
        <v>16</v>
      </c>
      <c r="D425">
        <v>0.84899999999999998</v>
      </c>
      <c r="E425" t="s">
        <v>6</v>
      </c>
      <c r="F425">
        <v>0.13428999999999999</v>
      </c>
    </row>
    <row r="426" spans="1:6" x14ac:dyDescent="0.3">
      <c r="A426" t="s">
        <v>22</v>
      </c>
      <c r="B426" s="1">
        <v>45675</v>
      </c>
      <c r="C426">
        <v>17</v>
      </c>
      <c r="D426">
        <v>0</v>
      </c>
      <c r="E426" t="s">
        <v>6</v>
      </c>
      <c r="F426">
        <v>0.14302999999999999</v>
      </c>
    </row>
    <row r="427" spans="1:6" x14ac:dyDescent="0.3">
      <c r="A427" t="s">
        <v>22</v>
      </c>
      <c r="B427" s="1">
        <v>45675</v>
      </c>
      <c r="C427">
        <v>18</v>
      </c>
      <c r="D427">
        <v>4.1000000000000002E-2</v>
      </c>
      <c r="E427" t="s">
        <v>6</v>
      </c>
      <c r="F427">
        <v>0.17044999999999999</v>
      </c>
    </row>
    <row r="428" spans="1:6" x14ac:dyDescent="0.3">
      <c r="A428" t="s">
        <v>22</v>
      </c>
      <c r="B428" s="1">
        <v>45675</v>
      </c>
      <c r="C428">
        <v>19</v>
      </c>
      <c r="D428">
        <v>0.20799999999999999</v>
      </c>
      <c r="E428" t="s">
        <v>6</v>
      </c>
      <c r="F428">
        <v>0.19378999999999999</v>
      </c>
    </row>
    <row r="429" spans="1:6" x14ac:dyDescent="0.3">
      <c r="A429" t="s">
        <v>22</v>
      </c>
      <c r="B429" s="1">
        <v>45675</v>
      </c>
      <c r="C429">
        <v>20</v>
      </c>
      <c r="D429">
        <v>0.98799999999999999</v>
      </c>
      <c r="E429" t="s">
        <v>6</v>
      </c>
      <c r="F429">
        <v>0.19396000000000002</v>
      </c>
    </row>
    <row r="430" spans="1:6" x14ac:dyDescent="0.3">
      <c r="A430" t="s">
        <v>22</v>
      </c>
      <c r="B430" s="1">
        <v>45675</v>
      </c>
      <c r="C430">
        <v>21</v>
      </c>
      <c r="D430">
        <v>0.93200000000000005</v>
      </c>
      <c r="E430" t="s">
        <v>6</v>
      </c>
      <c r="F430">
        <v>0.18</v>
      </c>
    </row>
    <row r="431" spans="1:6" x14ac:dyDescent="0.3">
      <c r="A431" t="s">
        <v>22</v>
      </c>
      <c r="B431" s="1">
        <v>45675</v>
      </c>
      <c r="C431">
        <v>22</v>
      </c>
      <c r="D431">
        <v>1.087</v>
      </c>
      <c r="E431" t="s">
        <v>6</v>
      </c>
      <c r="F431">
        <v>0.17532</v>
      </c>
    </row>
    <row r="432" spans="1:6" x14ac:dyDescent="0.3">
      <c r="A432" t="s">
        <v>22</v>
      </c>
      <c r="B432" s="1">
        <v>45675</v>
      </c>
      <c r="C432">
        <v>23</v>
      </c>
      <c r="D432">
        <v>0.44600000000000001</v>
      </c>
      <c r="E432" t="s">
        <v>6</v>
      </c>
      <c r="F432">
        <v>0.17391999999999999</v>
      </c>
    </row>
    <row r="433" spans="1:6" x14ac:dyDescent="0.3">
      <c r="A433" t="s">
        <v>22</v>
      </c>
      <c r="B433" s="1">
        <v>45675</v>
      </c>
      <c r="C433">
        <v>24</v>
      </c>
      <c r="D433">
        <v>0.7</v>
      </c>
      <c r="E433" t="s">
        <v>6</v>
      </c>
      <c r="F433">
        <v>0.16961999999999999</v>
      </c>
    </row>
    <row r="434" spans="1:6" x14ac:dyDescent="0.3">
      <c r="A434" t="s">
        <v>22</v>
      </c>
      <c r="B434" s="1">
        <v>45676</v>
      </c>
      <c r="C434">
        <v>1</v>
      </c>
      <c r="D434">
        <v>0.17299999999999999</v>
      </c>
      <c r="E434" t="s">
        <v>6</v>
      </c>
      <c r="F434">
        <v>0.16408</v>
      </c>
    </row>
    <row r="435" spans="1:6" x14ac:dyDescent="0.3">
      <c r="A435" t="s">
        <v>22</v>
      </c>
      <c r="B435" s="1">
        <v>45676</v>
      </c>
      <c r="C435">
        <v>2</v>
      </c>
      <c r="D435">
        <v>0.15</v>
      </c>
      <c r="E435" t="s">
        <v>6</v>
      </c>
      <c r="F435">
        <v>0.15797</v>
      </c>
    </row>
    <row r="436" spans="1:6" x14ac:dyDescent="0.3">
      <c r="A436" t="s">
        <v>22</v>
      </c>
      <c r="B436" s="1">
        <v>45676</v>
      </c>
      <c r="C436">
        <v>3</v>
      </c>
      <c r="D436">
        <v>0.216</v>
      </c>
      <c r="E436" t="s">
        <v>6</v>
      </c>
      <c r="F436">
        <v>0.15737000000000001</v>
      </c>
    </row>
    <row r="437" spans="1:6" x14ac:dyDescent="0.3">
      <c r="A437" t="s">
        <v>22</v>
      </c>
      <c r="B437" s="1">
        <v>45676</v>
      </c>
      <c r="C437">
        <v>4</v>
      </c>
      <c r="D437">
        <v>0.26300000000000001</v>
      </c>
      <c r="E437" t="s">
        <v>6</v>
      </c>
      <c r="F437">
        <v>0.15631</v>
      </c>
    </row>
    <row r="438" spans="1:6" x14ac:dyDescent="0.3">
      <c r="A438" t="s">
        <v>22</v>
      </c>
      <c r="B438" s="1">
        <v>45676</v>
      </c>
      <c r="C438">
        <v>5</v>
      </c>
      <c r="D438">
        <v>1.972</v>
      </c>
      <c r="E438" t="s">
        <v>6</v>
      </c>
      <c r="F438">
        <v>0.15547</v>
      </c>
    </row>
    <row r="439" spans="1:6" x14ac:dyDescent="0.3">
      <c r="A439" t="s">
        <v>22</v>
      </c>
      <c r="B439" s="1">
        <v>45676</v>
      </c>
      <c r="C439">
        <v>6</v>
      </c>
      <c r="D439">
        <v>4.3620000000000001</v>
      </c>
      <c r="E439" t="s">
        <v>6</v>
      </c>
      <c r="F439">
        <v>0.15487999999999999</v>
      </c>
    </row>
    <row r="440" spans="1:6" x14ac:dyDescent="0.3">
      <c r="A440" t="s">
        <v>22</v>
      </c>
      <c r="B440" s="1">
        <v>45676</v>
      </c>
      <c r="C440">
        <v>7</v>
      </c>
      <c r="D440">
        <v>3.3719999999999999</v>
      </c>
      <c r="E440" t="s">
        <v>6</v>
      </c>
      <c r="F440">
        <v>0.15568000000000001</v>
      </c>
    </row>
    <row r="441" spans="1:6" x14ac:dyDescent="0.3">
      <c r="A441" t="s">
        <v>22</v>
      </c>
      <c r="B441" s="1">
        <v>45676</v>
      </c>
      <c r="C441">
        <v>8</v>
      </c>
      <c r="D441">
        <v>2.7029999999999998</v>
      </c>
      <c r="E441" t="s">
        <v>6</v>
      </c>
      <c r="F441">
        <v>0.15603999999999998</v>
      </c>
    </row>
    <row r="442" spans="1:6" x14ac:dyDescent="0.3">
      <c r="A442" t="s">
        <v>22</v>
      </c>
      <c r="B442" s="1">
        <v>45676</v>
      </c>
      <c r="C442">
        <v>9</v>
      </c>
      <c r="D442">
        <v>3.1150000000000002</v>
      </c>
      <c r="E442" t="s">
        <v>6</v>
      </c>
      <c r="F442">
        <v>0.15256999999999998</v>
      </c>
    </row>
    <row r="443" spans="1:6" x14ac:dyDescent="0.3">
      <c r="A443" t="s">
        <v>22</v>
      </c>
      <c r="B443" s="1">
        <v>45676</v>
      </c>
      <c r="C443">
        <v>10</v>
      </c>
      <c r="D443">
        <v>2.5619999999999998</v>
      </c>
      <c r="E443" t="s">
        <v>6</v>
      </c>
      <c r="F443">
        <v>0.15897</v>
      </c>
    </row>
    <row r="444" spans="1:6" x14ac:dyDescent="0.3">
      <c r="A444" t="s">
        <v>22</v>
      </c>
      <c r="B444" s="1">
        <v>45676</v>
      </c>
      <c r="C444">
        <v>11</v>
      </c>
      <c r="D444">
        <v>1.7</v>
      </c>
      <c r="E444" t="s">
        <v>6</v>
      </c>
      <c r="F444">
        <v>0.12781000000000001</v>
      </c>
    </row>
    <row r="445" spans="1:6" x14ac:dyDescent="0.3">
      <c r="A445" t="s">
        <v>22</v>
      </c>
      <c r="B445" s="1">
        <v>45676</v>
      </c>
      <c r="C445">
        <v>12</v>
      </c>
      <c r="D445">
        <v>0.32800000000000001</v>
      </c>
      <c r="E445" t="s">
        <v>6</v>
      </c>
      <c r="F445">
        <v>0.12672</v>
      </c>
    </row>
    <row r="446" spans="1:6" x14ac:dyDescent="0.3">
      <c r="A446" t="s">
        <v>22</v>
      </c>
      <c r="B446" s="1">
        <v>45676</v>
      </c>
      <c r="C446">
        <v>13</v>
      </c>
      <c r="D446">
        <v>1.4259999999999999</v>
      </c>
      <c r="E446" t="s">
        <v>6</v>
      </c>
      <c r="F446">
        <v>0.12212000000000001</v>
      </c>
    </row>
    <row r="447" spans="1:6" x14ac:dyDescent="0.3">
      <c r="A447" t="s">
        <v>22</v>
      </c>
      <c r="B447" s="1">
        <v>45676</v>
      </c>
      <c r="C447">
        <v>14</v>
      </c>
      <c r="D447">
        <v>1.0329999999999999</v>
      </c>
      <c r="E447" t="s">
        <v>6</v>
      </c>
      <c r="F447">
        <v>0.12648000000000001</v>
      </c>
    </row>
    <row r="448" spans="1:6" x14ac:dyDescent="0.3">
      <c r="A448" t="s">
        <v>22</v>
      </c>
      <c r="B448" s="1">
        <v>45676</v>
      </c>
      <c r="C448">
        <v>15</v>
      </c>
      <c r="D448">
        <v>0.80500000000000005</v>
      </c>
      <c r="E448" t="s">
        <v>6</v>
      </c>
      <c r="F448">
        <v>0.12620000000000001</v>
      </c>
    </row>
    <row r="449" spans="1:6" x14ac:dyDescent="0.3">
      <c r="A449" t="s">
        <v>22</v>
      </c>
      <c r="B449" s="1">
        <v>45676</v>
      </c>
      <c r="C449">
        <v>16</v>
      </c>
      <c r="D449">
        <v>0</v>
      </c>
      <c r="E449" t="s">
        <v>6</v>
      </c>
      <c r="F449">
        <v>0.13053999999999999</v>
      </c>
    </row>
    <row r="450" spans="1:6" x14ac:dyDescent="0.3">
      <c r="A450" t="s">
        <v>22</v>
      </c>
      <c r="B450" s="1">
        <v>45676</v>
      </c>
      <c r="C450">
        <v>17</v>
      </c>
      <c r="D450">
        <v>2.448</v>
      </c>
      <c r="E450" t="s">
        <v>6</v>
      </c>
      <c r="F450">
        <v>0.1419</v>
      </c>
    </row>
    <row r="451" spans="1:6" x14ac:dyDescent="0.3">
      <c r="A451" t="s">
        <v>22</v>
      </c>
      <c r="B451" s="1">
        <v>45676</v>
      </c>
      <c r="C451">
        <v>18</v>
      </c>
      <c r="D451">
        <v>2.8149999999999999</v>
      </c>
      <c r="E451" t="s">
        <v>6</v>
      </c>
      <c r="F451">
        <v>0.16833000000000001</v>
      </c>
    </row>
    <row r="452" spans="1:6" x14ac:dyDescent="0.3">
      <c r="A452" t="s">
        <v>22</v>
      </c>
      <c r="B452" s="1">
        <v>45676</v>
      </c>
      <c r="C452">
        <v>19</v>
      </c>
      <c r="D452">
        <v>4.5979999999999999</v>
      </c>
      <c r="E452" t="s">
        <v>6</v>
      </c>
      <c r="F452">
        <v>0.19025</v>
      </c>
    </row>
    <row r="453" spans="1:6" x14ac:dyDescent="0.3">
      <c r="A453" t="s">
        <v>22</v>
      </c>
      <c r="B453" s="1">
        <v>45676</v>
      </c>
      <c r="C453">
        <v>20</v>
      </c>
      <c r="D453">
        <v>3.5409999999999999</v>
      </c>
      <c r="E453" t="s">
        <v>6</v>
      </c>
      <c r="F453">
        <v>0.18631999999999999</v>
      </c>
    </row>
    <row r="454" spans="1:6" x14ac:dyDescent="0.3">
      <c r="A454" t="s">
        <v>22</v>
      </c>
      <c r="B454" s="1">
        <v>45676</v>
      </c>
      <c r="C454">
        <v>21</v>
      </c>
      <c r="D454">
        <v>3.4710000000000001</v>
      </c>
      <c r="E454" t="s">
        <v>6</v>
      </c>
      <c r="F454">
        <v>0.17958000000000002</v>
      </c>
    </row>
    <row r="455" spans="1:6" x14ac:dyDescent="0.3">
      <c r="A455" t="s">
        <v>22</v>
      </c>
      <c r="B455" s="1">
        <v>45676</v>
      </c>
      <c r="C455">
        <v>22</v>
      </c>
      <c r="D455">
        <v>2.8069999999999999</v>
      </c>
      <c r="E455" t="s">
        <v>6</v>
      </c>
      <c r="F455">
        <v>0.18133000000000002</v>
      </c>
    </row>
    <row r="456" spans="1:6" x14ac:dyDescent="0.3">
      <c r="A456" t="s">
        <v>22</v>
      </c>
      <c r="B456" s="1">
        <v>45676</v>
      </c>
      <c r="C456">
        <v>23</v>
      </c>
      <c r="D456">
        <v>3.456</v>
      </c>
      <c r="E456" t="s">
        <v>6</v>
      </c>
      <c r="F456">
        <v>0.16766</v>
      </c>
    </row>
    <row r="457" spans="1:6" x14ac:dyDescent="0.3">
      <c r="A457" t="s">
        <v>22</v>
      </c>
      <c r="B457" s="1">
        <v>45676</v>
      </c>
      <c r="C457">
        <v>24</v>
      </c>
      <c r="D457">
        <v>3.1829999999999998</v>
      </c>
      <c r="E457" t="s">
        <v>6</v>
      </c>
      <c r="F457">
        <v>0.15056</v>
      </c>
    </row>
    <row r="458" spans="1:6" x14ac:dyDescent="0.3">
      <c r="A458" t="s">
        <v>22</v>
      </c>
      <c r="B458" s="1">
        <v>45677</v>
      </c>
      <c r="C458">
        <v>1</v>
      </c>
      <c r="D458">
        <v>3.0419999999999998</v>
      </c>
      <c r="E458" t="s">
        <v>6</v>
      </c>
      <c r="F458">
        <v>0.14266000000000001</v>
      </c>
    </row>
    <row r="459" spans="1:6" x14ac:dyDescent="0.3">
      <c r="A459" t="s">
        <v>22</v>
      </c>
      <c r="B459" s="1">
        <v>45677</v>
      </c>
      <c r="C459">
        <v>2</v>
      </c>
      <c r="D459">
        <v>3.569</v>
      </c>
      <c r="E459" t="s">
        <v>6</v>
      </c>
      <c r="F459">
        <v>0.14091999999999999</v>
      </c>
    </row>
    <row r="460" spans="1:6" x14ac:dyDescent="0.3">
      <c r="A460" t="s">
        <v>22</v>
      </c>
      <c r="B460" s="1">
        <v>45677</v>
      </c>
      <c r="C460">
        <v>3</v>
      </c>
      <c r="D460">
        <v>3.3069999999999999</v>
      </c>
      <c r="E460" t="s">
        <v>6</v>
      </c>
      <c r="F460">
        <v>0.13961999999999999</v>
      </c>
    </row>
    <row r="461" spans="1:6" x14ac:dyDescent="0.3">
      <c r="A461" t="s">
        <v>22</v>
      </c>
      <c r="B461" s="1">
        <v>45677</v>
      </c>
      <c r="C461">
        <v>4</v>
      </c>
      <c r="D461">
        <v>3.65</v>
      </c>
      <c r="E461" t="s">
        <v>6</v>
      </c>
      <c r="F461">
        <v>0.13763</v>
      </c>
    </row>
    <row r="462" spans="1:6" x14ac:dyDescent="0.3">
      <c r="A462" t="s">
        <v>22</v>
      </c>
      <c r="B462" s="1">
        <v>45677</v>
      </c>
      <c r="C462">
        <v>5</v>
      </c>
      <c r="D462">
        <v>3.41</v>
      </c>
      <c r="E462" t="s">
        <v>6</v>
      </c>
      <c r="F462">
        <v>0.13822000000000001</v>
      </c>
    </row>
    <row r="463" spans="1:6" x14ac:dyDescent="0.3">
      <c r="A463" t="s">
        <v>22</v>
      </c>
      <c r="B463" s="1">
        <v>45677</v>
      </c>
      <c r="C463">
        <v>6</v>
      </c>
      <c r="D463">
        <v>3.766</v>
      </c>
      <c r="E463" t="s">
        <v>6</v>
      </c>
      <c r="F463">
        <v>0.13791</v>
      </c>
    </row>
    <row r="464" spans="1:6" x14ac:dyDescent="0.3">
      <c r="A464" t="s">
        <v>22</v>
      </c>
      <c r="B464" s="1">
        <v>45677</v>
      </c>
      <c r="C464">
        <v>7</v>
      </c>
      <c r="D464">
        <v>3.097</v>
      </c>
      <c r="E464" t="s">
        <v>6</v>
      </c>
      <c r="F464">
        <v>0.16153000000000001</v>
      </c>
    </row>
    <row r="465" spans="1:6" x14ac:dyDescent="0.3">
      <c r="A465" t="s">
        <v>22</v>
      </c>
      <c r="B465" s="1">
        <v>45677</v>
      </c>
      <c r="C465">
        <v>8</v>
      </c>
      <c r="D465">
        <v>4.157</v>
      </c>
      <c r="E465" t="s">
        <v>6</v>
      </c>
      <c r="F465">
        <v>0.17423</v>
      </c>
    </row>
    <row r="466" spans="1:6" x14ac:dyDescent="0.3">
      <c r="A466" t="s">
        <v>22</v>
      </c>
      <c r="B466" s="1">
        <v>45677</v>
      </c>
      <c r="C466">
        <v>9</v>
      </c>
      <c r="D466">
        <v>1.153</v>
      </c>
      <c r="E466" t="s">
        <v>6</v>
      </c>
      <c r="F466">
        <v>0.20038</v>
      </c>
    </row>
    <row r="467" spans="1:6" x14ac:dyDescent="0.3">
      <c r="A467" t="s">
        <v>22</v>
      </c>
      <c r="B467" s="1">
        <v>45677</v>
      </c>
      <c r="C467">
        <v>10</v>
      </c>
      <c r="D467">
        <v>0</v>
      </c>
      <c r="E467" t="s">
        <v>6</v>
      </c>
      <c r="F467">
        <v>0.19994000000000001</v>
      </c>
    </row>
    <row r="468" spans="1:6" x14ac:dyDescent="0.3">
      <c r="A468" t="s">
        <v>22</v>
      </c>
      <c r="B468" s="1">
        <v>45677</v>
      </c>
      <c r="C468">
        <v>11</v>
      </c>
      <c r="D468">
        <v>0</v>
      </c>
      <c r="E468" t="s">
        <v>6</v>
      </c>
      <c r="F468">
        <v>0.26347999999999999</v>
      </c>
    </row>
    <row r="469" spans="1:6" x14ac:dyDescent="0.3">
      <c r="A469" t="s">
        <v>22</v>
      </c>
      <c r="B469" s="1">
        <v>45677</v>
      </c>
      <c r="C469">
        <v>12</v>
      </c>
      <c r="D469">
        <v>0.129</v>
      </c>
      <c r="E469" t="s">
        <v>6</v>
      </c>
      <c r="F469">
        <v>0.26861000000000002</v>
      </c>
    </row>
    <row r="470" spans="1:6" x14ac:dyDescent="0.3">
      <c r="A470" t="s">
        <v>22</v>
      </c>
      <c r="B470" s="1">
        <v>45677</v>
      </c>
      <c r="C470">
        <v>13</v>
      </c>
      <c r="D470">
        <v>2.923</v>
      </c>
      <c r="E470" t="s">
        <v>6</v>
      </c>
      <c r="F470">
        <v>0.26482</v>
      </c>
    </row>
    <row r="471" spans="1:6" x14ac:dyDescent="0.3">
      <c r="A471" t="s">
        <v>22</v>
      </c>
      <c r="B471" s="1">
        <v>45677</v>
      </c>
      <c r="C471">
        <v>14</v>
      </c>
      <c r="D471">
        <v>2.1890000000000001</v>
      </c>
      <c r="E471" t="s">
        <v>6</v>
      </c>
      <c r="F471">
        <v>0.26273000000000002</v>
      </c>
    </row>
    <row r="472" spans="1:6" x14ac:dyDescent="0.3">
      <c r="A472" t="s">
        <v>22</v>
      </c>
      <c r="B472" s="1">
        <v>45677</v>
      </c>
      <c r="C472">
        <v>15</v>
      </c>
      <c r="D472">
        <v>0</v>
      </c>
      <c r="E472" t="s">
        <v>6</v>
      </c>
      <c r="F472">
        <v>0.19808000000000001</v>
      </c>
    </row>
    <row r="473" spans="1:6" x14ac:dyDescent="0.3">
      <c r="A473" t="s">
        <v>22</v>
      </c>
      <c r="B473" s="1">
        <v>45677</v>
      </c>
      <c r="C473">
        <v>16</v>
      </c>
      <c r="D473">
        <v>0</v>
      </c>
      <c r="E473" t="s">
        <v>6</v>
      </c>
      <c r="F473">
        <v>0.19986999999999999</v>
      </c>
    </row>
    <row r="474" spans="1:6" x14ac:dyDescent="0.3">
      <c r="A474" t="s">
        <v>22</v>
      </c>
      <c r="B474" s="1">
        <v>45677</v>
      </c>
      <c r="C474">
        <v>17</v>
      </c>
      <c r="D474">
        <v>0</v>
      </c>
      <c r="E474" t="s">
        <v>6</v>
      </c>
      <c r="F474">
        <v>0.19850999999999999</v>
      </c>
    </row>
    <row r="475" spans="1:6" x14ac:dyDescent="0.3">
      <c r="A475" t="s">
        <v>22</v>
      </c>
      <c r="B475" s="1">
        <v>45677</v>
      </c>
      <c r="C475">
        <v>18</v>
      </c>
      <c r="D475">
        <v>0.17499999999999999</v>
      </c>
      <c r="E475" t="s">
        <v>6</v>
      </c>
      <c r="F475">
        <v>0.19769</v>
      </c>
    </row>
    <row r="476" spans="1:6" x14ac:dyDescent="0.3">
      <c r="A476" t="s">
        <v>22</v>
      </c>
      <c r="B476" s="1">
        <v>45677</v>
      </c>
      <c r="C476">
        <v>19</v>
      </c>
      <c r="D476">
        <v>3.085</v>
      </c>
      <c r="E476" t="s">
        <v>6</v>
      </c>
      <c r="F476">
        <v>0.26691000000000004</v>
      </c>
    </row>
    <row r="477" spans="1:6" x14ac:dyDescent="0.3">
      <c r="A477" t="s">
        <v>22</v>
      </c>
      <c r="B477" s="1">
        <v>45677</v>
      </c>
      <c r="C477">
        <v>20</v>
      </c>
      <c r="D477">
        <v>3.8130000000000002</v>
      </c>
      <c r="E477" t="s">
        <v>6</v>
      </c>
      <c r="F477">
        <v>0.27185000000000004</v>
      </c>
    </row>
    <row r="478" spans="1:6" x14ac:dyDescent="0.3">
      <c r="A478" t="s">
        <v>22</v>
      </c>
      <c r="B478" s="1">
        <v>45677</v>
      </c>
      <c r="C478">
        <v>21</v>
      </c>
      <c r="D478">
        <v>1.3169999999999999</v>
      </c>
      <c r="E478" t="s">
        <v>6</v>
      </c>
      <c r="F478">
        <v>0.28032999999999997</v>
      </c>
    </row>
    <row r="479" spans="1:6" x14ac:dyDescent="0.3">
      <c r="A479" t="s">
        <v>22</v>
      </c>
      <c r="B479" s="1">
        <v>45677</v>
      </c>
      <c r="C479">
        <v>22</v>
      </c>
      <c r="D479">
        <v>0.438</v>
      </c>
      <c r="E479" t="s">
        <v>6</v>
      </c>
      <c r="F479">
        <v>0.28675</v>
      </c>
    </row>
    <row r="480" spans="1:6" x14ac:dyDescent="0.3">
      <c r="A480" t="s">
        <v>22</v>
      </c>
      <c r="B480" s="1">
        <v>45677</v>
      </c>
      <c r="C480">
        <v>23</v>
      </c>
      <c r="D480">
        <v>2.1640000000000001</v>
      </c>
      <c r="E480" t="s">
        <v>6</v>
      </c>
      <c r="F480">
        <v>0.20252999999999999</v>
      </c>
    </row>
    <row r="481" spans="1:6" x14ac:dyDescent="0.3">
      <c r="A481" t="s">
        <v>22</v>
      </c>
      <c r="B481" s="1">
        <v>45677</v>
      </c>
      <c r="C481">
        <v>24</v>
      </c>
      <c r="D481">
        <v>0.53500000000000003</v>
      </c>
      <c r="E481" t="s">
        <v>6</v>
      </c>
      <c r="F481">
        <v>0.18694999999999998</v>
      </c>
    </row>
    <row r="482" spans="1:6" x14ac:dyDescent="0.3">
      <c r="A482" t="s">
        <v>22</v>
      </c>
      <c r="B482" s="1">
        <v>45678</v>
      </c>
      <c r="C482">
        <v>1</v>
      </c>
      <c r="D482">
        <v>0.17</v>
      </c>
      <c r="E482" t="s">
        <v>6</v>
      </c>
      <c r="F482">
        <v>0.1618</v>
      </c>
    </row>
    <row r="483" spans="1:6" x14ac:dyDescent="0.3">
      <c r="A483" t="s">
        <v>22</v>
      </c>
      <c r="B483" s="1">
        <v>45678</v>
      </c>
      <c r="C483">
        <v>2</v>
      </c>
      <c r="D483">
        <v>0.125</v>
      </c>
      <c r="E483" t="s">
        <v>6</v>
      </c>
      <c r="F483">
        <v>0.15653</v>
      </c>
    </row>
    <row r="484" spans="1:6" x14ac:dyDescent="0.3">
      <c r="A484" t="s">
        <v>22</v>
      </c>
      <c r="B484" s="1">
        <v>45678</v>
      </c>
      <c r="C484">
        <v>3</v>
      </c>
      <c r="D484">
        <v>0.13400000000000001</v>
      </c>
      <c r="E484" t="s">
        <v>6</v>
      </c>
      <c r="F484">
        <v>0.15011000000000002</v>
      </c>
    </row>
    <row r="485" spans="1:6" x14ac:dyDescent="0.3">
      <c r="A485" t="s">
        <v>22</v>
      </c>
      <c r="B485" s="1">
        <v>45678</v>
      </c>
      <c r="C485">
        <v>4</v>
      </c>
      <c r="D485">
        <v>0.70699999999999996</v>
      </c>
      <c r="E485" t="s">
        <v>6</v>
      </c>
      <c r="F485">
        <v>0.13936999999999999</v>
      </c>
    </row>
    <row r="486" spans="1:6" x14ac:dyDescent="0.3">
      <c r="A486" t="s">
        <v>22</v>
      </c>
      <c r="B486" s="1">
        <v>45678</v>
      </c>
      <c r="C486">
        <v>5</v>
      </c>
      <c r="D486">
        <v>4.1619999999999999</v>
      </c>
      <c r="E486" t="s">
        <v>6</v>
      </c>
      <c r="F486">
        <v>0.13761000000000001</v>
      </c>
    </row>
    <row r="487" spans="1:6" x14ac:dyDescent="0.3">
      <c r="A487" t="s">
        <v>22</v>
      </c>
      <c r="B487" s="1">
        <v>45678</v>
      </c>
      <c r="C487">
        <v>6</v>
      </c>
      <c r="D487">
        <v>4.2789999999999999</v>
      </c>
      <c r="E487" t="s">
        <v>6</v>
      </c>
      <c r="F487">
        <v>0.14558000000000001</v>
      </c>
    </row>
    <row r="488" spans="1:6" x14ac:dyDescent="0.3">
      <c r="A488" t="s">
        <v>22</v>
      </c>
      <c r="B488" s="1">
        <v>45678</v>
      </c>
      <c r="C488">
        <v>7</v>
      </c>
      <c r="D488">
        <v>4.1029999999999998</v>
      </c>
      <c r="E488" t="s">
        <v>6</v>
      </c>
      <c r="F488">
        <v>0.16281999999999999</v>
      </c>
    </row>
    <row r="489" spans="1:6" x14ac:dyDescent="0.3">
      <c r="A489" t="s">
        <v>22</v>
      </c>
      <c r="B489" s="1">
        <v>45678</v>
      </c>
      <c r="C489">
        <v>8</v>
      </c>
      <c r="D489">
        <v>5.0540000000000003</v>
      </c>
      <c r="E489" t="s">
        <v>6</v>
      </c>
      <c r="F489">
        <v>0.16928000000000001</v>
      </c>
    </row>
    <row r="490" spans="1:6" x14ac:dyDescent="0.3">
      <c r="A490" t="s">
        <v>22</v>
      </c>
      <c r="B490" s="1">
        <v>45678</v>
      </c>
      <c r="C490">
        <v>9</v>
      </c>
      <c r="D490">
        <v>4.5990000000000002</v>
      </c>
      <c r="E490" t="s">
        <v>6</v>
      </c>
      <c r="F490">
        <v>0.20790999999999998</v>
      </c>
    </row>
    <row r="491" spans="1:6" x14ac:dyDescent="0.3">
      <c r="A491" t="s">
        <v>22</v>
      </c>
      <c r="B491" s="1">
        <v>45678</v>
      </c>
      <c r="C491">
        <v>10</v>
      </c>
      <c r="D491">
        <v>4.609</v>
      </c>
      <c r="E491" t="s">
        <v>6</v>
      </c>
      <c r="F491">
        <v>0.20294999999999999</v>
      </c>
    </row>
    <row r="492" spans="1:6" x14ac:dyDescent="0.3">
      <c r="A492" t="s">
        <v>22</v>
      </c>
      <c r="B492" s="1">
        <v>45678</v>
      </c>
      <c r="C492">
        <v>11</v>
      </c>
      <c r="D492">
        <v>3.6920000000000002</v>
      </c>
      <c r="E492" t="s">
        <v>6</v>
      </c>
      <c r="F492">
        <v>0.25905</v>
      </c>
    </row>
    <row r="493" spans="1:6" x14ac:dyDescent="0.3">
      <c r="A493" t="s">
        <v>22</v>
      </c>
      <c r="B493" s="1">
        <v>45678</v>
      </c>
      <c r="C493">
        <v>12</v>
      </c>
      <c r="D493">
        <v>1.4810000000000001</v>
      </c>
      <c r="E493" t="s">
        <v>6</v>
      </c>
      <c r="F493">
        <v>0.25712000000000002</v>
      </c>
    </row>
    <row r="494" spans="1:6" x14ac:dyDescent="0.3">
      <c r="A494" t="s">
        <v>22</v>
      </c>
      <c r="B494" s="1">
        <v>45678</v>
      </c>
      <c r="C494">
        <v>13</v>
      </c>
      <c r="D494">
        <v>3.036</v>
      </c>
      <c r="E494" t="s">
        <v>6</v>
      </c>
      <c r="F494">
        <v>0.25372</v>
      </c>
    </row>
    <row r="495" spans="1:6" x14ac:dyDescent="0.3">
      <c r="A495" t="s">
        <v>22</v>
      </c>
      <c r="B495" s="1">
        <v>45678</v>
      </c>
      <c r="C495">
        <v>14</v>
      </c>
      <c r="D495">
        <v>2.4900000000000002</v>
      </c>
      <c r="E495" t="s">
        <v>6</v>
      </c>
      <c r="F495">
        <v>0.25047999999999998</v>
      </c>
    </row>
    <row r="496" spans="1:6" x14ac:dyDescent="0.3">
      <c r="A496" t="s">
        <v>22</v>
      </c>
      <c r="B496" s="1">
        <v>45678</v>
      </c>
      <c r="C496">
        <v>15</v>
      </c>
      <c r="D496">
        <v>4.383</v>
      </c>
      <c r="E496" t="s">
        <v>6</v>
      </c>
      <c r="F496">
        <v>0.17912</v>
      </c>
    </row>
    <row r="497" spans="1:6" x14ac:dyDescent="0.3">
      <c r="A497" t="s">
        <v>22</v>
      </c>
      <c r="B497" s="1">
        <v>45678</v>
      </c>
      <c r="C497">
        <v>16</v>
      </c>
      <c r="D497">
        <v>3.7650000000000001</v>
      </c>
      <c r="E497" t="s">
        <v>6</v>
      </c>
      <c r="F497">
        <v>0.17716999999999999</v>
      </c>
    </row>
    <row r="498" spans="1:6" x14ac:dyDescent="0.3">
      <c r="A498" t="s">
        <v>22</v>
      </c>
      <c r="B498" s="1">
        <v>45678</v>
      </c>
      <c r="C498">
        <v>17</v>
      </c>
      <c r="D498">
        <v>5.2930000000000001</v>
      </c>
      <c r="E498" t="s">
        <v>6</v>
      </c>
      <c r="F498">
        <v>0.18972</v>
      </c>
    </row>
    <row r="499" spans="1:6" x14ac:dyDescent="0.3">
      <c r="A499" t="s">
        <v>22</v>
      </c>
      <c r="B499" s="1">
        <v>45678</v>
      </c>
      <c r="C499">
        <v>18</v>
      </c>
      <c r="D499">
        <v>2.641</v>
      </c>
      <c r="E499" t="s">
        <v>6</v>
      </c>
      <c r="F499">
        <v>0.19190000000000002</v>
      </c>
    </row>
    <row r="500" spans="1:6" x14ac:dyDescent="0.3">
      <c r="A500" t="s">
        <v>22</v>
      </c>
      <c r="B500" s="1">
        <v>45678</v>
      </c>
      <c r="C500">
        <v>19</v>
      </c>
      <c r="D500">
        <v>2.621</v>
      </c>
      <c r="E500" t="s">
        <v>6</v>
      </c>
      <c r="F500">
        <v>0.26212000000000002</v>
      </c>
    </row>
    <row r="501" spans="1:6" x14ac:dyDescent="0.3">
      <c r="A501" t="s">
        <v>22</v>
      </c>
      <c r="B501" s="1">
        <v>45678</v>
      </c>
      <c r="C501">
        <v>20</v>
      </c>
      <c r="D501">
        <v>3.0329999999999999</v>
      </c>
      <c r="E501" t="s">
        <v>6</v>
      </c>
      <c r="F501">
        <v>0.27825</v>
      </c>
    </row>
    <row r="502" spans="1:6" x14ac:dyDescent="0.3">
      <c r="A502" t="s">
        <v>22</v>
      </c>
      <c r="B502" s="1">
        <v>45678</v>
      </c>
      <c r="C502">
        <v>21</v>
      </c>
      <c r="D502">
        <v>2.6640000000000001</v>
      </c>
      <c r="E502" t="s">
        <v>6</v>
      </c>
      <c r="F502">
        <v>0.27382000000000001</v>
      </c>
    </row>
    <row r="503" spans="1:6" x14ac:dyDescent="0.3">
      <c r="A503" t="s">
        <v>22</v>
      </c>
      <c r="B503" s="1">
        <v>45678</v>
      </c>
      <c r="C503">
        <v>22</v>
      </c>
      <c r="D503">
        <v>2.2509999999999999</v>
      </c>
      <c r="E503" t="s">
        <v>6</v>
      </c>
      <c r="F503">
        <v>0.26002999999999998</v>
      </c>
    </row>
    <row r="504" spans="1:6" x14ac:dyDescent="0.3">
      <c r="A504" t="s">
        <v>22</v>
      </c>
      <c r="B504" s="1">
        <v>45678</v>
      </c>
      <c r="C504">
        <v>23</v>
      </c>
      <c r="D504">
        <v>2.2109999999999999</v>
      </c>
      <c r="E504" t="s">
        <v>6</v>
      </c>
      <c r="F504">
        <v>0.18321999999999999</v>
      </c>
    </row>
    <row r="505" spans="1:6" x14ac:dyDescent="0.3">
      <c r="A505" t="s">
        <v>22</v>
      </c>
      <c r="B505" s="1">
        <v>45678</v>
      </c>
      <c r="C505">
        <v>24</v>
      </c>
      <c r="D505">
        <v>2.097</v>
      </c>
      <c r="E505" t="s">
        <v>6</v>
      </c>
      <c r="F505">
        <v>0.17211000000000001</v>
      </c>
    </row>
    <row r="506" spans="1:6" x14ac:dyDescent="0.3">
      <c r="A506" t="s">
        <v>22</v>
      </c>
      <c r="B506" s="1">
        <v>45679</v>
      </c>
      <c r="C506">
        <v>1</v>
      </c>
      <c r="D506">
        <v>1.9370000000000001</v>
      </c>
      <c r="E506" t="s">
        <v>6</v>
      </c>
      <c r="F506">
        <v>0.15061000000000002</v>
      </c>
    </row>
    <row r="507" spans="1:6" x14ac:dyDescent="0.3">
      <c r="A507" t="s">
        <v>22</v>
      </c>
      <c r="B507" s="1">
        <v>45679</v>
      </c>
      <c r="C507">
        <v>2</v>
      </c>
      <c r="D507">
        <v>1.921</v>
      </c>
      <c r="E507" t="s">
        <v>6</v>
      </c>
      <c r="F507">
        <v>0.14329</v>
      </c>
    </row>
    <row r="508" spans="1:6" x14ac:dyDescent="0.3">
      <c r="A508" t="s">
        <v>22</v>
      </c>
      <c r="B508" s="1">
        <v>45679</v>
      </c>
      <c r="C508">
        <v>3</v>
      </c>
      <c r="D508">
        <v>1.859</v>
      </c>
      <c r="E508" t="s">
        <v>6</v>
      </c>
      <c r="F508">
        <v>0.13438999999999998</v>
      </c>
    </row>
    <row r="509" spans="1:6" x14ac:dyDescent="0.3">
      <c r="A509" t="s">
        <v>22</v>
      </c>
      <c r="B509" s="1">
        <v>45679</v>
      </c>
      <c r="C509">
        <v>4</v>
      </c>
      <c r="D509">
        <v>1.879</v>
      </c>
      <c r="E509" t="s">
        <v>6</v>
      </c>
      <c r="F509">
        <v>0.12953999999999999</v>
      </c>
    </row>
    <row r="510" spans="1:6" x14ac:dyDescent="0.3">
      <c r="A510" t="s">
        <v>22</v>
      </c>
      <c r="B510" s="1">
        <v>45679</v>
      </c>
      <c r="C510">
        <v>5</v>
      </c>
      <c r="D510">
        <v>1.9510000000000001</v>
      </c>
      <c r="E510" t="s">
        <v>6</v>
      </c>
      <c r="F510">
        <v>0.12847999999999998</v>
      </c>
    </row>
    <row r="511" spans="1:6" x14ac:dyDescent="0.3">
      <c r="A511" t="s">
        <v>22</v>
      </c>
      <c r="B511" s="1">
        <v>45679</v>
      </c>
      <c r="C511">
        <v>6</v>
      </c>
      <c r="D511">
        <v>1.8680000000000001</v>
      </c>
      <c r="E511" t="s">
        <v>6</v>
      </c>
      <c r="F511">
        <v>0.13147</v>
      </c>
    </row>
    <row r="512" spans="1:6" x14ac:dyDescent="0.3">
      <c r="A512" t="s">
        <v>22</v>
      </c>
      <c r="B512" s="1">
        <v>45679</v>
      </c>
      <c r="C512">
        <v>7</v>
      </c>
      <c r="D512">
        <v>1.9370000000000001</v>
      </c>
      <c r="E512" t="s">
        <v>6</v>
      </c>
      <c r="F512">
        <v>0.14662999999999998</v>
      </c>
    </row>
    <row r="513" spans="1:6" x14ac:dyDescent="0.3">
      <c r="A513" t="s">
        <v>22</v>
      </c>
      <c r="B513" s="1">
        <v>45679</v>
      </c>
      <c r="C513">
        <v>8</v>
      </c>
      <c r="D513">
        <v>1.42</v>
      </c>
      <c r="E513" t="s">
        <v>6</v>
      </c>
      <c r="F513">
        <v>0.16881000000000002</v>
      </c>
    </row>
    <row r="514" spans="1:6" x14ac:dyDescent="0.3">
      <c r="A514" t="s">
        <v>22</v>
      </c>
      <c r="B514" s="1">
        <v>45679</v>
      </c>
      <c r="C514">
        <v>9</v>
      </c>
      <c r="D514">
        <v>0.624</v>
      </c>
      <c r="E514" t="s">
        <v>6</v>
      </c>
      <c r="F514">
        <v>0.20257</v>
      </c>
    </row>
    <row r="515" spans="1:6" x14ac:dyDescent="0.3">
      <c r="A515" t="s">
        <v>22</v>
      </c>
      <c r="B515" s="1">
        <v>45679</v>
      </c>
      <c r="C515">
        <v>10</v>
      </c>
      <c r="D515">
        <v>0</v>
      </c>
      <c r="E515" t="s">
        <v>6</v>
      </c>
      <c r="F515">
        <v>0.20852000000000001</v>
      </c>
    </row>
    <row r="516" spans="1:6" x14ac:dyDescent="0.3">
      <c r="A516" t="s">
        <v>22</v>
      </c>
      <c r="B516" s="1">
        <v>45679</v>
      </c>
      <c r="C516">
        <v>11</v>
      </c>
      <c r="D516">
        <v>0</v>
      </c>
      <c r="E516" t="s">
        <v>6</v>
      </c>
      <c r="F516">
        <v>0.25769999999999998</v>
      </c>
    </row>
    <row r="517" spans="1:6" x14ac:dyDescent="0.3">
      <c r="A517" t="s">
        <v>22</v>
      </c>
      <c r="B517" s="1">
        <v>45679</v>
      </c>
      <c r="C517">
        <v>12</v>
      </c>
      <c r="D517">
        <v>0</v>
      </c>
      <c r="E517" t="s">
        <v>6</v>
      </c>
      <c r="F517">
        <v>0.25019000000000002</v>
      </c>
    </row>
    <row r="518" spans="1:6" x14ac:dyDescent="0.3">
      <c r="A518" t="s">
        <v>22</v>
      </c>
      <c r="B518" s="1">
        <v>45679</v>
      </c>
      <c r="C518">
        <v>13</v>
      </c>
      <c r="D518">
        <v>1.304</v>
      </c>
      <c r="E518" t="s">
        <v>6</v>
      </c>
      <c r="F518">
        <v>0.24254000000000001</v>
      </c>
    </row>
    <row r="519" spans="1:6" x14ac:dyDescent="0.3">
      <c r="A519" t="s">
        <v>22</v>
      </c>
      <c r="B519" s="1">
        <v>45679</v>
      </c>
      <c r="C519">
        <v>14</v>
      </c>
      <c r="D519">
        <v>3.12</v>
      </c>
      <c r="E519" t="s">
        <v>6</v>
      </c>
      <c r="F519">
        <v>0.23461000000000001</v>
      </c>
    </row>
    <row r="520" spans="1:6" x14ac:dyDescent="0.3">
      <c r="A520" t="s">
        <v>22</v>
      </c>
      <c r="B520" s="1">
        <v>45679</v>
      </c>
      <c r="C520">
        <v>15</v>
      </c>
      <c r="D520">
        <v>3.6579999999999999</v>
      </c>
      <c r="E520" t="s">
        <v>6</v>
      </c>
      <c r="F520">
        <v>0.17025000000000001</v>
      </c>
    </row>
    <row r="521" spans="1:6" x14ac:dyDescent="0.3">
      <c r="A521" t="s">
        <v>22</v>
      </c>
      <c r="B521" s="1">
        <v>45679</v>
      </c>
      <c r="C521">
        <v>16</v>
      </c>
      <c r="D521">
        <v>0</v>
      </c>
      <c r="E521" t="s">
        <v>6</v>
      </c>
      <c r="F521">
        <v>0.17576</v>
      </c>
    </row>
    <row r="522" spans="1:6" x14ac:dyDescent="0.3">
      <c r="A522" t="s">
        <v>22</v>
      </c>
      <c r="B522" s="1">
        <v>45679</v>
      </c>
      <c r="C522">
        <v>17</v>
      </c>
      <c r="D522">
        <v>0.51600000000000001</v>
      </c>
      <c r="E522" t="s">
        <v>6</v>
      </c>
      <c r="F522">
        <v>0.18784000000000001</v>
      </c>
    </row>
    <row r="523" spans="1:6" x14ac:dyDescent="0.3">
      <c r="A523" t="s">
        <v>22</v>
      </c>
      <c r="B523" s="1">
        <v>45679</v>
      </c>
      <c r="C523">
        <v>18</v>
      </c>
      <c r="D523">
        <v>1.5549999999999999</v>
      </c>
      <c r="E523" t="s">
        <v>6</v>
      </c>
      <c r="F523">
        <v>0.19669999999999999</v>
      </c>
    </row>
    <row r="524" spans="1:6" x14ac:dyDescent="0.3">
      <c r="A524" t="s">
        <v>22</v>
      </c>
      <c r="B524" s="1">
        <v>45679</v>
      </c>
      <c r="C524">
        <v>19</v>
      </c>
      <c r="D524">
        <v>1.4259999999999999</v>
      </c>
      <c r="E524" t="s">
        <v>6</v>
      </c>
      <c r="F524">
        <v>0.27568999999999999</v>
      </c>
    </row>
    <row r="525" spans="1:6" x14ac:dyDescent="0.3">
      <c r="A525" t="s">
        <v>22</v>
      </c>
      <c r="B525" s="1">
        <v>45679</v>
      </c>
      <c r="C525">
        <v>20</v>
      </c>
      <c r="D525">
        <v>2.1789999999999998</v>
      </c>
      <c r="E525" t="s">
        <v>6</v>
      </c>
      <c r="F525">
        <v>0.28523999999999999</v>
      </c>
    </row>
    <row r="526" spans="1:6" x14ac:dyDescent="0.3">
      <c r="A526" t="s">
        <v>22</v>
      </c>
      <c r="B526" s="1">
        <v>45679</v>
      </c>
      <c r="C526">
        <v>21</v>
      </c>
      <c r="D526">
        <v>2.827</v>
      </c>
      <c r="E526" t="s">
        <v>6</v>
      </c>
      <c r="F526">
        <v>0.27156000000000002</v>
      </c>
    </row>
    <row r="527" spans="1:6" x14ac:dyDescent="0.3">
      <c r="A527" t="s">
        <v>22</v>
      </c>
      <c r="B527" s="1">
        <v>45679</v>
      </c>
      <c r="C527">
        <v>22</v>
      </c>
      <c r="D527">
        <v>1.617</v>
      </c>
      <c r="E527" t="s">
        <v>6</v>
      </c>
      <c r="F527">
        <v>0.27205000000000001</v>
      </c>
    </row>
    <row r="528" spans="1:6" x14ac:dyDescent="0.3">
      <c r="A528" t="s">
        <v>22</v>
      </c>
      <c r="B528" s="1">
        <v>45679</v>
      </c>
      <c r="C528">
        <v>23</v>
      </c>
      <c r="D528">
        <v>0.27300000000000002</v>
      </c>
      <c r="E528" t="s">
        <v>6</v>
      </c>
      <c r="F528">
        <v>0.19584000000000001</v>
      </c>
    </row>
    <row r="529" spans="1:6" x14ac:dyDescent="0.3">
      <c r="A529" t="s">
        <v>22</v>
      </c>
      <c r="B529" s="1">
        <v>45679</v>
      </c>
      <c r="C529">
        <v>24</v>
      </c>
      <c r="D529">
        <v>0.17</v>
      </c>
      <c r="E529" t="s">
        <v>6</v>
      </c>
      <c r="F529">
        <v>0.19194999999999998</v>
      </c>
    </row>
    <row r="530" spans="1:6" x14ac:dyDescent="0.3">
      <c r="A530" t="s">
        <v>22</v>
      </c>
      <c r="B530" s="1">
        <v>45680</v>
      </c>
      <c r="C530">
        <v>1</v>
      </c>
      <c r="D530">
        <v>0.111</v>
      </c>
      <c r="E530" t="s">
        <v>6</v>
      </c>
      <c r="F530">
        <v>0.14674999999999999</v>
      </c>
    </row>
    <row r="531" spans="1:6" x14ac:dyDescent="0.3">
      <c r="A531" t="s">
        <v>22</v>
      </c>
      <c r="B531" s="1">
        <v>45680</v>
      </c>
      <c r="C531">
        <v>2</v>
      </c>
      <c r="D531">
        <v>0.17799999999999999</v>
      </c>
      <c r="E531" t="s">
        <v>6</v>
      </c>
      <c r="F531">
        <v>0.14229</v>
      </c>
    </row>
    <row r="532" spans="1:6" x14ac:dyDescent="0.3">
      <c r="A532" t="s">
        <v>22</v>
      </c>
      <c r="B532" s="1">
        <v>45680</v>
      </c>
      <c r="C532">
        <v>3</v>
      </c>
      <c r="D532">
        <v>0.11700000000000001</v>
      </c>
      <c r="E532" t="s">
        <v>6</v>
      </c>
      <c r="F532">
        <v>0.14386000000000002</v>
      </c>
    </row>
    <row r="533" spans="1:6" x14ac:dyDescent="0.3">
      <c r="A533" t="s">
        <v>22</v>
      </c>
      <c r="B533" s="1">
        <v>45680</v>
      </c>
      <c r="C533">
        <v>4</v>
      </c>
      <c r="D533">
        <v>0.115</v>
      </c>
      <c r="E533" t="s">
        <v>6</v>
      </c>
      <c r="F533">
        <v>0.13450999999999999</v>
      </c>
    </row>
    <row r="534" spans="1:6" x14ac:dyDescent="0.3">
      <c r="A534" t="s">
        <v>22</v>
      </c>
      <c r="B534" s="1">
        <v>45680</v>
      </c>
      <c r="C534">
        <v>5</v>
      </c>
      <c r="D534">
        <v>2.3719999999999999</v>
      </c>
      <c r="E534" t="s">
        <v>6</v>
      </c>
      <c r="F534">
        <v>0.13433</v>
      </c>
    </row>
    <row r="535" spans="1:6" x14ac:dyDescent="0.3">
      <c r="A535" t="s">
        <v>22</v>
      </c>
      <c r="B535" s="1">
        <v>45680</v>
      </c>
      <c r="C535">
        <v>6</v>
      </c>
      <c r="D535">
        <v>2.0070000000000001</v>
      </c>
      <c r="E535" t="s">
        <v>6</v>
      </c>
      <c r="F535">
        <v>0.13911000000000001</v>
      </c>
    </row>
    <row r="536" spans="1:6" x14ac:dyDescent="0.3">
      <c r="A536" t="s">
        <v>22</v>
      </c>
      <c r="B536" s="1">
        <v>45680</v>
      </c>
      <c r="C536">
        <v>7</v>
      </c>
      <c r="D536">
        <v>2.2080000000000002</v>
      </c>
      <c r="E536" t="s">
        <v>6</v>
      </c>
      <c r="F536">
        <v>0.15131999999999998</v>
      </c>
    </row>
    <row r="537" spans="1:6" x14ac:dyDescent="0.3">
      <c r="A537" t="s">
        <v>22</v>
      </c>
      <c r="B537" s="1">
        <v>45680</v>
      </c>
      <c r="C537">
        <v>8</v>
      </c>
      <c r="D537">
        <v>2.5739999999999998</v>
      </c>
      <c r="E537" t="s">
        <v>6</v>
      </c>
      <c r="F537">
        <v>0.16250000000000001</v>
      </c>
    </row>
    <row r="538" spans="1:6" x14ac:dyDescent="0.3">
      <c r="A538" t="s">
        <v>22</v>
      </c>
      <c r="B538" s="1">
        <v>45680</v>
      </c>
      <c r="C538">
        <v>9</v>
      </c>
      <c r="D538">
        <v>1.9319999999999999</v>
      </c>
      <c r="E538" t="s">
        <v>6</v>
      </c>
      <c r="F538">
        <v>0.20752999999999999</v>
      </c>
    </row>
    <row r="539" spans="1:6" x14ac:dyDescent="0.3">
      <c r="A539" t="s">
        <v>22</v>
      </c>
      <c r="B539" s="1">
        <v>45680</v>
      </c>
      <c r="C539">
        <v>10</v>
      </c>
      <c r="D539">
        <v>0.94099999999999995</v>
      </c>
      <c r="E539" t="s">
        <v>6</v>
      </c>
      <c r="F539">
        <v>0.20424999999999999</v>
      </c>
    </row>
    <row r="540" spans="1:6" x14ac:dyDescent="0.3">
      <c r="A540" t="s">
        <v>22</v>
      </c>
      <c r="B540" s="1">
        <v>45680</v>
      </c>
      <c r="C540">
        <v>11</v>
      </c>
      <c r="D540">
        <v>8.4000000000000005E-2</v>
      </c>
      <c r="E540" t="s">
        <v>6</v>
      </c>
      <c r="F540">
        <v>0.25652999999999998</v>
      </c>
    </row>
    <row r="541" spans="1:6" x14ac:dyDescent="0.3">
      <c r="A541" t="s">
        <v>22</v>
      </c>
      <c r="B541" s="1">
        <v>45680</v>
      </c>
      <c r="C541">
        <v>12</v>
      </c>
      <c r="D541">
        <v>0.34799999999999998</v>
      </c>
      <c r="E541" t="s">
        <v>6</v>
      </c>
      <c r="F541">
        <v>0.25041000000000002</v>
      </c>
    </row>
    <row r="542" spans="1:6" x14ac:dyDescent="0.3">
      <c r="A542" t="s">
        <v>22</v>
      </c>
      <c r="B542" s="1">
        <v>45680</v>
      </c>
      <c r="C542">
        <v>13</v>
      </c>
      <c r="D542">
        <v>0.624</v>
      </c>
      <c r="E542" t="s">
        <v>6</v>
      </c>
      <c r="F542">
        <v>0.24156</v>
      </c>
    </row>
    <row r="543" spans="1:6" x14ac:dyDescent="0.3">
      <c r="A543" t="s">
        <v>22</v>
      </c>
      <c r="B543" s="1">
        <v>45680</v>
      </c>
      <c r="C543">
        <v>14</v>
      </c>
      <c r="D543">
        <v>0.621</v>
      </c>
      <c r="E543" t="s">
        <v>6</v>
      </c>
      <c r="F543">
        <v>0.22666</v>
      </c>
    </row>
    <row r="544" spans="1:6" x14ac:dyDescent="0.3">
      <c r="A544" t="s">
        <v>22</v>
      </c>
      <c r="B544" s="1">
        <v>45680</v>
      </c>
      <c r="C544">
        <v>15</v>
      </c>
      <c r="D544">
        <v>2.7559999999999998</v>
      </c>
      <c r="E544" t="s">
        <v>6</v>
      </c>
      <c r="F544">
        <v>0.15697</v>
      </c>
    </row>
    <row r="545" spans="1:6" x14ac:dyDescent="0.3">
      <c r="A545" t="s">
        <v>22</v>
      </c>
      <c r="B545" s="1">
        <v>45680</v>
      </c>
      <c r="C545">
        <v>16</v>
      </c>
      <c r="D545">
        <v>2.169</v>
      </c>
      <c r="E545" t="s">
        <v>6</v>
      </c>
      <c r="F545">
        <v>0.16066999999999998</v>
      </c>
    </row>
    <row r="546" spans="1:6" x14ac:dyDescent="0.3">
      <c r="A546" t="s">
        <v>22</v>
      </c>
      <c r="B546" s="1">
        <v>45680</v>
      </c>
      <c r="C546">
        <v>17</v>
      </c>
      <c r="D546">
        <v>0</v>
      </c>
      <c r="E546" t="s">
        <v>6</v>
      </c>
      <c r="F546">
        <v>0.17646000000000001</v>
      </c>
    </row>
    <row r="547" spans="1:6" x14ac:dyDescent="0.3">
      <c r="A547" t="s">
        <v>22</v>
      </c>
      <c r="B547" s="1">
        <v>45680</v>
      </c>
      <c r="C547">
        <v>18</v>
      </c>
      <c r="D547">
        <v>0.72299999999999998</v>
      </c>
      <c r="E547" t="s">
        <v>6</v>
      </c>
      <c r="F547">
        <v>0.19558</v>
      </c>
    </row>
    <row r="548" spans="1:6" x14ac:dyDescent="0.3">
      <c r="A548" t="s">
        <v>22</v>
      </c>
      <c r="B548" s="1">
        <v>45680</v>
      </c>
      <c r="C548">
        <v>19</v>
      </c>
      <c r="D548">
        <v>0.60299999999999998</v>
      </c>
      <c r="E548" t="s">
        <v>6</v>
      </c>
      <c r="F548">
        <v>0.27820999999999996</v>
      </c>
    </row>
    <row r="549" spans="1:6" x14ac:dyDescent="0.3">
      <c r="A549" t="s">
        <v>22</v>
      </c>
      <c r="B549" s="1">
        <v>45680</v>
      </c>
      <c r="C549">
        <v>20</v>
      </c>
      <c r="D549">
        <v>1.29</v>
      </c>
      <c r="E549" t="s">
        <v>6</v>
      </c>
      <c r="F549">
        <v>0.31670999999999999</v>
      </c>
    </row>
    <row r="550" spans="1:6" x14ac:dyDescent="0.3">
      <c r="A550" t="s">
        <v>22</v>
      </c>
      <c r="B550" s="1">
        <v>45680</v>
      </c>
      <c r="C550">
        <v>21</v>
      </c>
      <c r="D550">
        <v>2.71</v>
      </c>
      <c r="E550" t="s">
        <v>6</v>
      </c>
      <c r="F550">
        <v>0.307</v>
      </c>
    </row>
    <row r="551" spans="1:6" x14ac:dyDescent="0.3">
      <c r="A551" t="s">
        <v>22</v>
      </c>
      <c r="B551" s="1">
        <v>45680</v>
      </c>
      <c r="C551">
        <v>22</v>
      </c>
      <c r="D551">
        <v>3.0619999999999998</v>
      </c>
      <c r="E551" t="s">
        <v>6</v>
      </c>
      <c r="F551">
        <v>0.27727999999999997</v>
      </c>
    </row>
    <row r="552" spans="1:6" x14ac:dyDescent="0.3">
      <c r="A552" t="s">
        <v>22</v>
      </c>
      <c r="B552" s="1">
        <v>45680</v>
      </c>
      <c r="C552">
        <v>23</v>
      </c>
      <c r="D552">
        <v>3.2010000000000001</v>
      </c>
      <c r="E552" t="s">
        <v>6</v>
      </c>
      <c r="F552">
        <v>0.19863999999999998</v>
      </c>
    </row>
    <row r="553" spans="1:6" x14ac:dyDescent="0.3">
      <c r="A553" t="s">
        <v>22</v>
      </c>
      <c r="B553" s="1">
        <v>45680</v>
      </c>
      <c r="C553">
        <v>24</v>
      </c>
      <c r="D553">
        <v>2.2799999999999998</v>
      </c>
      <c r="E553" t="s">
        <v>6</v>
      </c>
      <c r="F553">
        <v>0.17487</v>
      </c>
    </row>
    <row r="554" spans="1:6" x14ac:dyDescent="0.3">
      <c r="A554" t="s">
        <v>22</v>
      </c>
      <c r="B554" s="1">
        <v>45681</v>
      </c>
      <c r="C554">
        <v>1</v>
      </c>
      <c r="D554">
        <v>2.0009999999999999</v>
      </c>
      <c r="E554" t="s">
        <v>6</v>
      </c>
      <c r="F554">
        <v>0.13058</v>
      </c>
    </row>
    <row r="555" spans="1:6" x14ac:dyDescent="0.3">
      <c r="A555" t="s">
        <v>22</v>
      </c>
      <c r="B555" s="1">
        <v>45681</v>
      </c>
      <c r="C555">
        <v>2</v>
      </c>
      <c r="D555">
        <v>1.61</v>
      </c>
      <c r="E555" t="s">
        <v>6</v>
      </c>
      <c r="F555">
        <v>0.12675</v>
      </c>
    </row>
    <row r="556" spans="1:6" x14ac:dyDescent="0.3">
      <c r="A556" t="s">
        <v>22</v>
      </c>
      <c r="B556" s="1">
        <v>45681</v>
      </c>
      <c r="C556">
        <v>3</v>
      </c>
      <c r="D556">
        <v>1.6080000000000001</v>
      </c>
      <c r="E556" t="s">
        <v>6</v>
      </c>
      <c r="F556">
        <v>0.12161</v>
      </c>
    </row>
    <row r="557" spans="1:6" x14ac:dyDescent="0.3">
      <c r="A557" t="s">
        <v>22</v>
      </c>
      <c r="B557" s="1">
        <v>45681</v>
      </c>
      <c r="C557">
        <v>4</v>
      </c>
      <c r="D557">
        <v>1.75</v>
      </c>
      <c r="E557" t="s">
        <v>6</v>
      </c>
      <c r="F557">
        <v>0.11495999999999999</v>
      </c>
    </row>
    <row r="558" spans="1:6" x14ac:dyDescent="0.3">
      <c r="A558" t="s">
        <v>22</v>
      </c>
      <c r="B558" s="1">
        <v>45681</v>
      </c>
      <c r="C558">
        <v>5</v>
      </c>
      <c r="D558">
        <v>2.085</v>
      </c>
      <c r="E558" t="s">
        <v>6</v>
      </c>
      <c r="F558">
        <v>0.1144</v>
      </c>
    </row>
    <row r="559" spans="1:6" x14ac:dyDescent="0.3">
      <c r="A559" t="s">
        <v>22</v>
      </c>
      <c r="B559" s="1">
        <v>45681</v>
      </c>
      <c r="C559">
        <v>6</v>
      </c>
      <c r="D559">
        <v>2.2959999999999998</v>
      </c>
      <c r="E559" t="s">
        <v>6</v>
      </c>
      <c r="F559">
        <v>0.11467000000000001</v>
      </c>
    </row>
    <row r="560" spans="1:6" x14ac:dyDescent="0.3">
      <c r="A560" t="s">
        <v>22</v>
      </c>
      <c r="B560" s="1">
        <v>45681</v>
      </c>
      <c r="C560">
        <v>7</v>
      </c>
      <c r="D560">
        <v>1.954</v>
      </c>
      <c r="E560" t="s">
        <v>6</v>
      </c>
      <c r="F560">
        <v>0.12737000000000001</v>
      </c>
    </row>
    <row r="561" spans="1:6" x14ac:dyDescent="0.3">
      <c r="A561" t="s">
        <v>22</v>
      </c>
      <c r="B561" s="1">
        <v>45681</v>
      </c>
      <c r="C561">
        <v>8</v>
      </c>
      <c r="D561">
        <v>2.1459999999999999</v>
      </c>
      <c r="E561" t="s">
        <v>6</v>
      </c>
      <c r="F561">
        <v>0.13830000000000001</v>
      </c>
    </row>
    <row r="562" spans="1:6" x14ac:dyDescent="0.3">
      <c r="A562" t="s">
        <v>22</v>
      </c>
      <c r="B562" s="1">
        <v>45681</v>
      </c>
      <c r="C562">
        <v>9</v>
      </c>
      <c r="D562">
        <v>1.849</v>
      </c>
      <c r="E562" t="s">
        <v>6</v>
      </c>
      <c r="F562">
        <v>0.18090999999999999</v>
      </c>
    </row>
    <row r="563" spans="1:6" x14ac:dyDescent="0.3">
      <c r="A563" t="s">
        <v>22</v>
      </c>
      <c r="B563" s="1">
        <v>45681</v>
      </c>
      <c r="C563">
        <v>10</v>
      </c>
      <c r="D563">
        <v>1.119</v>
      </c>
      <c r="E563" t="s">
        <v>6</v>
      </c>
      <c r="F563">
        <v>0.17446999999999999</v>
      </c>
    </row>
    <row r="564" spans="1:6" x14ac:dyDescent="0.3">
      <c r="A564" t="s">
        <v>22</v>
      </c>
      <c r="B564" s="1">
        <v>45681</v>
      </c>
      <c r="C564">
        <v>11</v>
      </c>
      <c r="D564">
        <v>0</v>
      </c>
      <c r="E564" t="s">
        <v>6</v>
      </c>
      <c r="F564">
        <v>0.21624000000000002</v>
      </c>
    </row>
    <row r="565" spans="1:6" x14ac:dyDescent="0.3">
      <c r="A565" t="s">
        <v>22</v>
      </c>
      <c r="B565" s="1">
        <v>45681</v>
      </c>
      <c r="C565">
        <v>12</v>
      </c>
      <c r="D565">
        <v>0</v>
      </c>
      <c r="E565" t="s">
        <v>6</v>
      </c>
      <c r="F565">
        <v>0.20311000000000001</v>
      </c>
    </row>
    <row r="566" spans="1:6" x14ac:dyDescent="0.3">
      <c r="A566" t="s">
        <v>22</v>
      </c>
      <c r="B566" s="1">
        <v>45681</v>
      </c>
      <c r="C566">
        <v>13</v>
      </c>
      <c r="D566">
        <v>0</v>
      </c>
      <c r="E566" t="s">
        <v>6</v>
      </c>
      <c r="F566">
        <v>0.19981000000000002</v>
      </c>
    </row>
    <row r="567" spans="1:6" x14ac:dyDescent="0.3">
      <c r="A567" t="s">
        <v>22</v>
      </c>
      <c r="B567" s="1">
        <v>45681</v>
      </c>
      <c r="C567">
        <v>14</v>
      </c>
      <c r="D567">
        <v>0</v>
      </c>
      <c r="E567" t="s">
        <v>6</v>
      </c>
      <c r="F567">
        <v>0.19381999999999999</v>
      </c>
    </row>
    <row r="568" spans="1:6" x14ac:dyDescent="0.3">
      <c r="A568" t="s">
        <v>22</v>
      </c>
      <c r="B568" s="1">
        <v>45681</v>
      </c>
      <c r="C568">
        <v>15</v>
      </c>
      <c r="D568">
        <v>0</v>
      </c>
      <c r="E568" t="s">
        <v>6</v>
      </c>
      <c r="F568">
        <v>0.12694</v>
      </c>
    </row>
    <row r="569" spans="1:6" x14ac:dyDescent="0.3">
      <c r="A569" t="s">
        <v>22</v>
      </c>
      <c r="B569" s="1">
        <v>45681</v>
      </c>
      <c r="C569">
        <v>16</v>
      </c>
      <c r="D569">
        <v>0</v>
      </c>
      <c r="E569" t="s">
        <v>6</v>
      </c>
      <c r="F569">
        <v>0.13116</v>
      </c>
    </row>
    <row r="570" spans="1:6" x14ac:dyDescent="0.3">
      <c r="A570" t="s">
        <v>22</v>
      </c>
      <c r="B570" s="1">
        <v>45681</v>
      </c>
      <c r="C570">
        <v>17</v>
      </c>
      <c r="D570">
        <v>0</v>
      </c>
      <c r="E570" t="s">
        <v>6</v>
      </c>
      <c r="F570">
        <v>0.13341</v>
      </c>
    </row>
    <row r="571" spans="1:6" x14ac:dyDescent="0.3">
      <c r="A571" t="s">
        <v>22</v>
      </c>
      <c r="B571" s="1">
        <v>45681</v>
      </c>
      <c r="C571">
        <v>18</v>
      </c>
      <c r="D571">
        <v>4.8000000000000001E-2</v>
      </c>
      <c r="E571" t="s">
        <v>6</v>
      </c>
      <c r="F571">
        <v>0.14928</v>
      </c>
    </row>
    <row r="572" spans="1:6" x14ac:dyDescent="0.3">
      <c r="A572" t="s">
        <v>22</v>
      </c>
      <c r="B572" s="1">
        <v>45681</v>
      </c>
      <c r="C572">
        <v>19</v>
      </c>
      <c r="D572">
        <v>0.152</v>
      </c>
      <c r="E572" t="s">
        <v>6</v>
      </c>
      <c r="F572">
        <v>0.22544</v>
      </c>
    </row>
    <row r="573" spans="1:6" x14ac:dyDescent="0.3">
      <c r="A573" t="s">
        <v>22</v>
      </c>
      <c r="B573" s="1">
        <v>45681</v>
      </c>
      <c r="C573">
        <v>20</v>
      </c>
      <c r="D573">
        <v>0.20799999999999999</v>
      </c>
      <c r="E573" t="s">
        <v>6</v>
      </c>
      <c r="F573">
        <v>0.23796999999999999</v>
      </c>
    </row>
    <row r="574" spans="1:6" x14ac:dyDescent="0.3">
      <c r="A574" t="s">
        <v>22</v>
      </c>
      <c r="B574" s="1">
        <v>45681</v>
      </c>
      <c r="C574">
        <v>21</v>
      </c>
      <c r="D574">
        <v>2.0390000000000001</v>
      </c>
      <c r="E574" t="s">
        <v>6</v>
      </c>
      <c r="F574">
        <v>0.23886000000000002</v>
      </c>
    </row>
    <row r="575" spans="1:6" x14ac:dyDescent="0.3">
      <c r="A575" t="s">
        <v>22</v>
      </c>
      <c r="B575" s="1">
        <v>45681</v>
      </c>
      <c r="C575">
        <v>22</v>
      </c>
      <c r="D575">
        <v>1.837</v>
      </c>
      <c r="E575" t="s">
        <v>6</v>
      </c>
      <c r="F575">
        <v>0.22955</v>
      </c>
    </row>
    <row r="576" spans="1:6" x14ac:dyDescent="0.3">
      <c r="A576" t="s">
        <v>22</v>
      </c>
      <c r="B576" s="1">
        <v>45681</v>
      </c>
      <c r="C576">
        <v>23</v>
      </c>
      <c r="D576">
        <v>1.821</v>
      </c>
      <c r="E576" t="s">
        <v>6</v>
      </c>
      <c r="F576">
        <v>0.15865000000000001</v>
      </c>
    </row>
    <row r="577" spans="1:6" x14ac:dyDescent="0.3">
      <c r="A577" t="s">
        <v>22</v>
      </c>
      <c r="B577" s="1">
        <v>45681</v>
      </c>
      <c r="C577">
        <v>24</v>
      </c>
      <c r="D577">
        <v>1.617</v>
      </c>
      <c r="E577" t="s">
        <v>6</v>
      </c>
      <c r="F577">
        <v>0.15294999999999997</v>
      </c>
    </row>
    <row r="578" spans="1:6" x14ac:dyDescent="0.3">
      <c r="A578" t="s">
        <v>22</v>
      </c>
      <c r="B578" s="1">
        <v>45682</v>
      </c>
      <c r="C578">
        <v>1</v>
      </c>
      <c r="D578">
        <v>1.3660000000000001</v>
      </c>
      <c r="E578" t="s">
        <v>6</v>
      </c>
      <c r="F578">
        <v>0.10717</v>
      </c>
    </row>
    <row r="579" spans="1:6" x14ac:dyDescent="0.3">
      <c r="A579" t="s">
        <v>22</v>
      </c>
      <c r="B579" s="1">
        <v>45682</v>
      </c>
      <c r="C579">
        <v>2</v>
      </c>
      <c r="D579">
        <v>2.0960000000000001</v>
      </c>
      <c r="E579" t="s">
        <v>6</v>
      </c>
      <c r="F579">
        <v>8.3970000000000003E-2</v>
      </c>
    </row>
    <row r="580" spans="1:6" x14ac:dyDescent="0.3">
      <c r="A580" t="s">
        <v>22</v>
      </c>
      <c r="B580" s="1">
        <v>45682</v>
      </c>
      <c r="C580">
        <v>3</v>
      </c>
      <c r="D580">
        <v>2.1059999999999999</v>
      </c>
      <c r="E580" t="s">
        <v>6</v>
      </c>
      <c r="F580">
        <v>7.962000000000001E-2</v>
      </c>
    </row>
    <row r="581" spans="1:6" x14ac:dyDescent="0.3">
      <c r="A581" t="s">
        <v>22</v>
      </c>
      <c r="B581" s="1">
        <v>45682</v>
      </c>
      <c r="C581">
        <v>4</v>
      </c>
      <c r="D581">
        <v>1.845</v>
      </c>
      <c r="E581" t="s">
        <v>6</v>
      </c>
      <c r="F581">
        <v>7.0529999999999995E-2</v>
      </c>
    </row>
    <row r="582" spans="1:6" x14ac:dyDescent="0.3">
      <c r="A582" t="s">
        <v>22</v>
      </c>
      <c r="B582" s="1">
        <v>45682</v>
      </c>
      <c r="C582">
        <v>5</v>
      </c>
      <c r="D582">
        <v>2.3380000000000001</v>
      </c>
      <c r="E582" t="s">
        <v>6</v>
      </c>
      <c r="F582">
        <v>6.7459999999999992E-2</v>
      </c>
    </row>
    <row r="583" spans="1:6" x14ac:dyDescent="0.3">
      <c r="A583" t="s">
        <v>22</v>
      </c>
      <c r="B583" s="1">
        <v>45682</v>
      </c>
      <c r="C583">
        <v>6</v>
      </c>
      <c r="D583">
        <v>2.0579999999999998</v>
      </c>
      <c r="E583" t="s">
        <v>6</v>
      </c>
      <c r="F583">
        <v>6.8440000000000001E-2</v>
      </c>
    </row>
    <row r="584" spans="1:6" x14ac:dyDescent="0.3">
      <c r="A584" t="s">
        <v>22</v>
      </c>
      <c r="B584" s="1">
        <v>45682</v>
      </c>
      <c r="C584">
        <v>7</v>
      </c>
      <c r="D584">
        <v>2.1589999999999998</v>
      </c>
      <c r="E584" t="s">
        <v>6</v>
      </c>
      <c r="F584">
        <v>7.6950000000000005E-2</v>
      </c>
    </row>
    <row r="585" spans="1:6" x14ac:dyDescent="0.3">
      <c r="A585" t="s">
        <v>22</v>
      </c>
      <c r="B585" s="1">
        <v>45682</v>
      </c>
      <c r="C585">
        <v>8</v>
      </c>
      <c r="D585">
        <v>2.597</v>
      </c>
      <c r="E585" t="s">
        <v>6</v>
      </c>
      <c r="F585">
        <v>9.8549999999999999E-2</v>
      </c>
    </row>
    <row r="586" spans="1:6" x14ac:dyDescent="0.3">
      <c r="A586" t="s">
        <v>22</v>
      </c>
      <c r="B586" s="1">
        <v>45682</v>
      </c>
      <c r="C586">
        <v>9</v>
      </c>
      <c r="D586">
        <v>2</v>
      </c>
      <c r="E586" t="s">
        <v>6</v>
      </c>
      <c r="F586">
        <v>8.0739999999999992E-2</v>
      </c>
    </row>
    <row r="587" spans="1:6" x14ac:dyDescent="0.3">
      <c r="A587" t="s">
        <v>22</v>
      </c>
      <c r="B587" s="1">
        <v>45682</v>
      </c>
      <c r="C587">
        <v>10</v>
      </c>
      <c r="D587">
        <v>0</v>
      </c>
      <c r="E587" t="s">
        <v>6</v>
      </c>
      <c r="F587">
        <v>8.3449999999999996E-2</v>
      </c>
    </row>
    <row r="588" spans="1:6" x14ac:dyDescent="0.3">
      <c r="A588" t="s">
        <v>22</v>
      </c>
      <c r="B588" s="1">
        <v>45682</v>
      </c>
      <c r="C588">
        <v>11</v>
      </c>
      <c r="D588">
        <v>0</v>
      </c>
      <c r="E588" t="s">
        <v>6</v>
      </c>
      <c r="F588">
        <v>7.1040000000000006E-2</v>
      </c>
    </row>
    <row r="589" spans="1:6" x14ac:dyDescent="0.3">
      <c r="A589" t="s">
        <v>22</v>
      </c>
      <c r="B589" s="1">
        <v>45682</v>
      </c>
      <c r="C589">
        <v>12</v>
      </c>
      <c r="D589">
        <v>0</v>
      </c>
      <c r="E589" t="s">
        <v>6</v>
      </c>
      <c r="F589">
        <v>8.9870000000000005E-2</v>
      </c>
    </row>
    <row r="590" spans="1:6" x14ac:dyDescent="0.3">
      <c r="A590" t="s">
        <v>22</v>
      </c>
      <c r="B590" s="1">
        <v>45682</v>
      </c>
      <c r="C590">
        <v>13</v>
      </c>
      <c r="D590">
        <v>0</v>
      </c>
      <c r="E590" t="s">
        <v>6</v>
      </c>
      <c r="F590">
        <v>7.7209999999999987E-2</v>
      </c>
    </row>
    <row r="591" spans="1:6" x14ac:dyDescent="0.3">
      <c r="A591" t="s">
        <v>22</v>
      </c>
      <c r="B591" s="1">
        <v>45682</v>
      </c>
      <c r="C591">
        <v>14</v>
      </c>
      <c r="D591">
        <v>0.93300000000000005</v>
      </c>
      <c r="E591" t="s">
        <v>6</v>
      </c>
      <c r="F591">
        <v>5.8630000000000002E-2</v>
      </c>
    </row>
    <row r="592" spans="1:6" x14ac:dyDescent="0.3">
      <c r="A592" t="s">
        <v>22</v>
      </c>
      <c r="B592" s="1">
        <v>45682</v>
      </c>
      <c r="C592">
        <v>15</v>
      </c>
      <c r="D592">
        <v>0</v>
      </c>
      <c r="E592" t="s">
        <v>6</v>
      </c>
      <c r="F592">
        <v>4.8129999999999999E-2</v>
      </c>
    </row>
    <row r="593" spans="1:6" x14ac:dyDescent="0.3">
      <c r="A593" t="s">
        <v>22</v>
      </c>
      <c r="B593" s="1">
        <v>45682</v>
      </c>
      <c r="C593">
        <v>16</v>
      </c>
      <c r="D593">
        <v>1.0429999999999999</v>
      </c>
      <c r="E593" t="s">
        <v>6</v>
      </c>
      <c r="F593">
        <v>3.8789999999999998E-2</v>
      </c>
    </row>
    <row r="594" spans="1:6" x14ac:dyDescent="0.3">
      <c r="A594" t="s">
        <v>22</v>
      </c>
      <c r="B594" s="1">
        <v>45682</v>
      </c>
      <c r="C594">
        <v>17</v>
      </c>
      <c r="D594">
        <v>2.504</v>
      </c>
      <c r="E594" t="s">
        <v>6</v>
      </c>
      <c r="F594">
        <v>6.4399999999999999E-2</v>
      </c>
    </row>
    <row r="595" spans="1:6" x14ac:dyDescent="0.3">
      <c r="A595" t="s">
        <v>22</v>
      </c>
      <c r="B595" s="1">
        <v>45682</v>
      </c>
      <c r="C595">
        <v>18</v>
      </c>
      <c r="D595">
        <v>1.917</v>
      </c>
      <c r="E595" t="s">
        <v>6</v>
      </c>
      <c r="F595">
        <v>7.442E-2</v>
      </c>
    </row>
    <row r="596" spans="1:6" x14ac:dyDescent="0.3">
      <c r="A596" t="s">
        <v>22</v>
      </c>
      <c r="B596" s="1">
        <v>45682</v>
      </c>
      <c r="C596">
        <v>19</v>
      </c>
      <c r="D596">
        <v>1.1060000000000001</v>
      </c>
      <c r="E596" t="s">
        <v>6</v>
      </c>
      <c r="F596">
        <v>0.12454000000000001</v>
      </c>
    </row>
    <row r="597" spans="1:6" x14ac:dyDescent="0.3">
      <c r="A597" t="s">
        <v>22</v>
      </c>
      <c r="B597" s="1">
        <v>45682</v>
      </c>
      <c r="C597">
        <v>20</v>
      </c>
      <c r="D597">
        <v>0.22900000000000001</v>
      </c>
      <c r="E597" t="s">
        <v>6</v>
      </c>
      <c r="F597">
        <v>0.14318</v>
      </c>
    </row>
    <row r="598" spans="1:6" x14ac:dyDescent="0.3">
      <c r="A598" t="s">
        <v>22</v>
      </c>
      <c r="B598" s="1">
        <v>45682</v>
      </c>
      <c r="C598">
        <v>21</v>
      </c>
      <c r="D598">
        <v>0.91800000000000004</v>
      </c>
      <c r="E598" t="s">
        <v>6</v>
      </c>
      <c r="F598">
        <v>0.15024999999999999</v>
      </c>
    </row>
    <row r="599" spans="1:6" x14ac:dyDescent="0.3">
      <c r="A599" t="s">
        <v>22</v>
      </c>
      <c r="B599" s="1">
        <v>45682</v>
      </c>
      <c r="C599">
        <v>22</v>
      </c>
      <c r="D599">
        <v>0.41099999999999998</v>
      </c>
      <c r="E599" t="s">
        <v>6</v>
      </c>
      <c r="F599">
        <v>0.14233999999999999</v>
      </c>
    </row>
    <row r="600" spans="1:6" x14ac:dyDescent="0.3">
      <c r="A600" t="s">
        <v>22</v>
      </c>
      <c r="B600" s="1">
        <v>45682</v>
      </c>
      <c r="C600">
        <v>23</v>
      </c>
      <c r="D600">
        <v>0.24199999999999999</v>
      </c>
      <c r="E600" t="s">
        <v>6</v>
      </c>
      <c r="F600">
        <v>0.14080000000000001</v>
      </c>
    </row>
    <row r="601" spans="1:6" x14ac:dyDescent="0.3">
      <c r="A601" t="s">
        <v>22</v>
      </c>
      <c r="B601" s="1">
        <v>45682</v>
      </c>
      <c r="C601">
        <v>24</v>
      </c>
      <c r="D601">
        <v>0.17699999999999999</v>
      </c>
      <c r="E601" t="s">
        <v>6</v>
      </c>
      <c r="F601">
        <v>0.12890000000000001</v>
      </c>
    </row>
    <row r="602" spans="1:6" x14ac:dyDescent="0.3">
      <c r="A602" t="s">
        <v>22</v>
      </c>
      <c r="B602" s="1">
        <v>45683</v>
      </c>
      <c r="C602">
        <v>1</v>
      </c>
      <c r="D602">
        <v>1.5669999999999999</v>
      </c>
      <c r="E602" t="s">
        <v>6</v>
      </c>
      <c r="F602">
        <v>0.10241</v>
      </c>
    </row>
    <row r="603" spans="1:6" x14ac:dyDescent="0.3">
      <c r="A603" t="s">
        <v>22</v>
      </c>
      <c r="B603" s="1">
        <v>45683</v>
      </c>
      <c r="C603">
        <v>2</v>
      </c>
      <c r="D603">
        <v>0.129</v>
      </c>
      <c r="E603" t="s">
        <v>6</v>
      </c>
      <c r="F603">
        <v>9.9049999999999999E-2</v>
      </c>
    </row>
    <row r="604" spans="1:6" x14ac:dyDescent="0.3">
      <c r="A604" t="s">
        <v>22</v>
      </c>
      <c r="B604" s="1">
        <v>45683</v>
      </c>
      <c r="C604">
        <v>3</v>
      </c>
      <c r="D604">
        <v>0.19600000000000001</v>
      </c>
      <c r="E604" t="s">
        <v>6</v>
      </c>
      <c r="F604">
        <v>9.4900000000000012E-2</v>
      </c>
    </row>
    <row r="605" spans="1:6" x14ac:dyDescent="0.3">
      <c r="A605" t="s">
        <v>22</v>
      </c>
      <c r="B605" s="1">
        <v>45683</v>
      </c>
      <c r="C605">
        <v>4</v>
      </c>
      <c r="D605">
        <v>0.127</v>
      </c>
      <c r="E605" t="s">
        <v>6</v>
      </c>
      <c r="F605">
        <v>9.6329999999999999E-2</v>
      </c>
    </row>
    <row r="606" spans="1:6" x14ac:dyDescent="0.3">
      <c r="A606" t="s">
        <v>22</v>
      </c>
      <c r="B606" s="1">
        <v>45683</v>
      </c>
      <c r="C606">
        <v>5</v>
      </c>
      <c r="D606">
        <v>0.112</v>
      </c>
      <c r="E606" t="s">
        <v>6</v>
      </c>
      <c r="F606">
        <v>9.290000000000001E-2</v>
      </c>
    </row>
    <row r="607" spans="1:6" x14ac:dyDescent="0.3">
      <c r="A607" t="s">
        <v>22</v>
      </c>
      <c r="B607" s="1">
        <v>45683</v>
      </c>
      <c r="C607">
        <v>6</v>
      </c>
      <c r="D607">
        <v>0.46200000000000002</v>
      </c>
      <c r="E607" t="s">
        <v>6</v>
      </c>
      <c r="F607">
        <v>9.4560000000000005E-2</v>
      </c>
    </row>
    <row r="608" spans="1:6" x14ac:dyDescent="0.3">
      <c r="A608" t="s">
        <v>22</v>
      </c>
      <c r="B608" s="1">
        <v>45683</v>
      </c>
      <c r="C608">
        <v>7</v>
      </c>
      <c r="D608">
        <v>4.3520000000000003</v>
      </c>
      <c r="E608" t="s">
        <v>6</v>
      </c>
      <c r="F608">
        <v>9.2849999999999988E-2</v>
      </c>
    </row>
    <row r="609" spans="1:6" x14ac:dyDescent="0.3">
      <c r="A609" t="s">
        <v>22</v>
      </c>
      <c r="B609" s="1">
        <v>45683</v>
      </c>
      <c r="C609">
        <v>8</v>
      </c>
      <c r="D609">
        <v>4.1379999999999999</v>
      </c>
      <c r="E609" t="s">
        <v>6</v>
      </c>
      <c r="F609">
        <v>9.4290000000000013E-2</v>
      </c>
    </row>
    <row r="610" spans="1:6" x14ac:dyDescent="0.3">
      <c r="A610" t="s">
        <v>22</v>
      </c>
      <c r="B610" s="1">
        <v>45683</v>
      </c>
      <c r="C610">
        <v>9</v>
      </c>
      <c r="D610">
        <v>3.6059999999999999</v>
      </c>
      <c r="E610" t="s">
        <v>6</v>
      </c>
      <c r="F610">
        <v>8.5629999999999998E-2</v>
      </c>
    </row>
    <row r="611" spans="1:6" x14ac:dyDescent="0.3">
      <c r="A611" t="s">
        <v>22</v>
      </c>
      <c r="B611" s="1">
        <v>45683</v>
      </c>
      <c r="C611">
        <v>10</v>
      </c>
      <c r="D611">
        <v>2.56</v>
      </c>
      <c r="E611" t="s">
        <v>6</v>
      </c>
      <c r="F611">
        <v>0.11488</v>
      </c>
    </row>
    <row r="612" spans="1:6" x14ac:dyDescent="0.3">
      <c r="A612" t="s">
        <v>22</v>
      </c>
      <c r="B612" s="1">
        <v>45683</v>
      </c>
      <c r="C612">
        <v>11</v>
      </c>
      <c r="D612">
        <v>0.99199999999999999</v>
      </c>
      <c r="E612" t="s">
        <v>6</v>
      </c>
      <c r="F612">
        <v>8.1360000000000002E-2</v>
      </c>
    </row>
    <row r="613" spans="1:6" x14ac:dyDescent="0.3">
      <c r="A613" t="s">
        <v>22</v>
      </c>
      <c r="B613" s="1">
        <v>45683</v>
      </c>
      <c r="C613">
        <v>12</v>
      </c>
      <c r="D613">
        <v>2.0139999999999998</v>
      </c>
      <c r="E613" t="s">
        <v>6</v>
      </c>
      <c r="F613">
        <v>7.7450000000000005E-2</v>
      </c>
    </row>
    <row r="614" spans="1:6" x14ac:dyDescent="0.3">
      <c r="A614" t="s">
        <v>22</v>
      </c>
      <c r="B614" s="1">
        <v>45683</v>
      </c>
      <c r="C614">
        <v>13</v>
      </c>
      <c r="D614">
        <v>1.8560000000000001</v>
      </c>
      <c r="E614" t="s">
        <v>6</v>
      </c>
      <c r="F614">
        <v>5.185E-2</v>
      </c>
    </row>
    <row r="615" spans="1:6" x14ac:dyDescent="0.3">
      <c r="A615" t="s">
        <v>22</v>
      </c>
      <c r="B615" s="1">
        <v>45683</v>
      </c>
      <c r="C615">
        <v>14</v>
      </c>
      <c r="D615">
        <v>1.506</v>
      </c>
      <c r="E615" t="s">
        <v>6</v>
      </c>
      <c r="F615">
        <v>5.0700000000000002E-2</v>
      </c>
    </row>
    <row r="616" spans="1:6" x14ac:dyDescent="0.3">
      <c r="A616" t="s">
        <v>22</v>
      </c>
      <c r="B616" s="1">
        <v>45683</v>
      </c>
      <c r="C616">
        <v>15</v>
      </c>
      <c r="D616">
        <v>0</v>
      </c>
      <c r="E616" t="s">
        <v>6</v>
      </c>
      <c r="F616">
        <v>5.0090000000000003E-2</v>
      </c>
    </row>
    <row r="617" spans="1:6" x14ac:dyDescent="0.3">
      <c r="A617" t="s">
        <v>22</v>
      </c>
      <c r="B617" s="1">
        <v>45683</v>
      </c>
      <c r="C617">
        <v>16</v>
      </c>
      <c r="D617">
        <v>0.125</v>
      </c>
      <c r="E617" t="s">
        <v>6</v>
      </c>
      <c r="F617">
        <v>5.4310000000000004E-2</v>
      </c>
    </row>
    <row r="618" spans="1:6" x14ac:dyDescent="0.3">
      <c r="A618" t="s">
        <v>22</v>
      </c>
      <c r="B618" s="1">
        <v>45683</v>
      </c>
      <c r="C618">
        <v>17</v>
      </c>
      <c r="D618">
        <v>0.498</v>
      </c>
      <c r="E618" t="s">
        <v>6</v>
      </c>
      <c r="F618">
        <v>9.214E-2</v>
      </c>
    </row>
    <row r="619" spans="1:6" x14ac:dyDescent="0.3">
      <c r="A619" t="s">
        <v>22</v>
      </c>
      <c r="B619" s="1">
        <v>45683</v>
      </c>
      <c r="C619">
        <v>18</v>
      </c>
      <c r="D619">
        <v>0.128</v>
      </c>
      <c r="E619" t="s">
        <v>6</v>
      </c>
      <c r="F619">
        <v>8.5260000000000002E-2</v>
      </c>
    </row>
    <row r="620" spans="1:6" x14ac:dyDescent="0.3">
      <c r="A620" t="s">
        <v>22</v>
      </c>
      <c r="B620" s="1">
        <v>45683</v>
      </c>
      <c r="C620">
        <v>19</v>
      </c>
      <c r="D620">
        <v>0.374</v>
      </c>
      <c r="E620" t="s">
        <v>6</v>
      </c>
      <c r="F620">
        <v>8.9859999999999995E-2</v>
      </c>
    </row>
    <row r="621" spans="1:6" x14ac:dyDescent="0.3">
      <c r="A621" t="s">
        <v>22</v>
      </c>
      <c r="B621" s="1">
        <v>45683</v>
      </c>
      <c r="C621">
        <v>20</v>
      </c>
      <c r="D621">
        <v>0.47899999999999998</v>
      </c>
      <c r="E621" t="s">
        <v>6</v>
      </c>
      <c r="F621">
        <v>9.3540000000000012E-2</v>
      </c>
    </row>
    <row r="622" spans="1:6" x14ac:dyDescent="0.3">
      <c r="A622" t="s">
        <v>22</v>
      </c>
      <c r="B622" s="1">
        <v>45683</v>
      </c>
      <c r="C622">
        <v>21</v>
      </c>
      <c r="D622">
        <v>3.1850000000000001</v>
      </c>
      <c r="E622" t="s">
        <v>6</v>
      </c>
      <c r="F622">
        <v>8.6059999999999998E-2</v>
      </c>
    </row>
    <row r="623" spans="1:6" x14ac:dyDescent="0.3">
      <c r="A623" t="s">
        <v>22</v>
      </c>
      <c r="B623" s="1">
        <v>45683</v>
      </c>
      <c r="C623">
        <v>22</v>
      </c>
      <c r="D623">
        <v>1.036</v>
      </c>
      <c r="E623" t="s">
        <v>6</v>
      </c>
      <c r="F623">
        <v>8.2849999999999993E-2</v>
      </c>
    </row>
    <row r="624" spans="1:6" x14ac:dyDescent="0.3">
      <c r="A624" t="s">
        <v>22</v>
      </c>
      <c r="B624" s="1">
        <v>45683</v>
      </c>
      <c r="C624">
        <v>23</v>
      </c>
      <c r="D624">
        <v>0.34599999999999997</v>
      </c>
      <c r="E624" t="s">
        <v>6</v>
      </c>
      <c r="F624">
        <v>7.9650000000000012E-2</v>
      </c>
    </row>
    <row r="625" spans="1:6" x14ac:dyDescent="0.3">
      <c r="A625" t="s">
        <v>22</v>
      </c>
      <c r="B625" s="1">
        <v>45683</v>
      </c>
      <c r="C625">
        <v>24</v>
      </c>
      <c r="D625">
        <v>0.29099999999999998</v>
      </c>
      <c r="E625" t="s">
        <v>6</v>
      </c>
      <c r="F625">
        <v>7.535E-2</v>
      </c>
    </row>
    <row r="626" spans="1:6" x14ac:dyDescent="0.3">
      <c r="A626" t="s">
        <v>22</v>
      </c>
      <c r="B626" s="1">
        <v>45684</v>
      </c>
      <c r="C626">
        <v>1</v>
      </c>
      <c r="D626">
        <v>0.158</v>
      </c>
      <c r="E626" t="s">
        <v>6</v>
      </c>
      <c r="F626">
        <v>7.5240000000000001E-2</v>
      </c>
    </row>
    <row r="627" spans="1:6" x14ac:dyDescent="0.3">
      <c r="A627" t="s">
        <v>22</v>
      </c>
      <c r="B627" s="1">
        <v>45684</v>
      </c>
      <c r="C627">
        <v>2</v>
      </c>
      <c r="D627">
        <v>0.10199999999999999</v>
      </c>
      <c r="E627" t="s">
        <v>6</v>
      </c>
      <c r="F627">
        <v>6.5239999999999992E-2</v>
      </c>
    </row>
    <row r="628" spans="1:6" x14ac:dyDescent="0.3">
      <c r="A628" t="s">
        <v>22</v>
      </c>
      <c r="B628" s="1">
        <v>45684</v>
      </c>
      <c r="C628">
        <v>3</v>
      </c>
      <c r="D628">
        <v>0.123</v>
      </c>
      <c r="E628" t="s">
        <v>6</v>
      </c>
      <c r="F628">
        <v>6.6830000000000001E-2</v>
      </c>
    </row>
    <row r="629" spans="1:6" x14ac:dyDescent="0.3">
      <c r="A629" t="s">
        <v>22</v>
      </c>
      <c r="B629" s="1">
        <v>45684</v>
      </c>
      <c r="C629">
        <v>4</v>
      </c>
      <c r="D629">
        <v>0.186</v>
      </c>
      <c r="E629" t="s">
        <v>6</v>
      </c>
      <c r="F629">
        <v>7.016E-2</v>
      </c>
    </row>
    <row r="630" spans="1:6" x14ac:dyDescent="0.3">
      <c r="A630" t="s">
        <v>22</v>
      </c>
      <c r="B630" s="1">
        <v>45684</v>
      </c>
      <c r="C630">
        <v>5</v>
      </c>
      <c r="D630">
        <v>2.0030000000000001</v>
      </c>
      <c r="E630" t="s">
        <v>6</v>
      </c>
      <c r="F630">
        <v>6.6129999999999994E-2</v>
      </c>
    </row>
    <row r="631" spans="1:6" x14ac:dyDescent="0.3">
      <c r="A631" t="s">
        <v>22</v>
      </c>
      <c r="B631" s="1">
        <v>45684</v>
      </c>
      <c r="C631">
        <v>6</v>
      </c>
      <c r="D631">
        <v>2.4409999999999998</v>
      </c>
      <c r="E631" t="s">
        <v>6</v>
      </c>
      <c r="F631">
        <v>6.7989999999999995E-2</v>
      </c>
    </row>
    <row r="632" spans="1:6" x14ac:dyDescent="0.3">
      <c r="A632" t="s">
        <v>22</v>
      </c>
      <c r="B632" s="1">
        <v>45684</v>
      </c>
      <c r="C632">
        <v>7</v>
      </c>
      <c r="D632">
        <v>1.9950000000000001</v>
      </c>
      <c r="E632" t="s">
        <v>6</v>
      </c>
      <c r="F632">
        <v>7.0010000000000003E-2</v>
      </c>
    </row>
    <row r="633" spans="1:6" x14ac:dyDescent="0.3">
      <c r="A633" t="s">
        <v>22</v>
      </c>
      <c r="B633" s="1">
        <v>45684</v>
      </c>
      <c r="C633">
        <v>8</v>
      </c>
      <c r="D633">
        <v>2.3959999999999999</v>
      </c>
      <c r="E633" t="s">
        <v>6</v>
      </c>
      <c r="F633">
        <v>8.9219999999999994E-2</v>
      </c>
    </row>
    <row r="634" spans="1:6" x14ac:dyDescent="0.3">
      <c r="A634" t="s">
        <v>22</v>
      </c>
      <c r="B634" s="1">
        <v>45684</v>
      </c>
      <c r="C634">
        <v>9</v>
      </c>
      <c r="D634">
        <v>1.8129999999999999</v>
      </c>
      <c r="E634" t="s">
        <v>6</v>
      </c>
      <c r="F634">
        <v>0.1265</v>
      </c>
    </row>
    <row r="635" spans="1:6" x14ac:dyDescent="0.3">
      <c r="A635" t="s">
        <v>22</v>
      </c>
      <c r="B635" s="1">
        <v>45684</v>
      </c>
      <c r="C635">
        <v>10</v>
      </c>
      <c r="D635">
        <v>1.1459999999999999</v>
      </c>
      <c r="E635" t="s">
        <v>6</v>
      </c>
      <c r="F635">
        <v>0.12256</v>
      </c>
    </row>
    <row r="636" spans="1:6" x14ac:dyDescent="0.3">
      <c r="A636" t="s">
        <v>22</v>
      </c>
      <c r="B636" s="1">
        <v>45684</v>
      </c>
      <c r="C636">
        <v>11</v>
      </c>
      <c r="D636">
        <v>1.4059999999999999</v>
      </c>
      <c r="E636" t="s">
        <v>6</v>
      </c>
      <c r="F636">
        <v>0.17705000000000001</v>
      </c>
    </row>
    <row r="637" spans="1:6" x14ac:dyDescent="0.3">
      <c r="A637" t="s">
        <v>22</v>
      </c>
      <c r="B637" s="1">
        <v>45684</v>
      </c>
      <c r="C637">
        <v>12</v>
      </c>
      <c r="D637">
        <v>0</v>
      </c>
      <c r="E637" t="s">
        <v>6</v>
      </c>
      <c r="F637">
        <v>0.16265000000000002</v>
      </c>
    </row>
    <row r="638" spans="1:6" x14ac:dyDescent="0.3">
      <c r="A638" t="s">
        <v>22</v>
      </c>
      <c r="B638" s="1">
        <v>45684</v>
      </c>
      <c r="C638">
        <v>13</v>
      </c>
      <c r="D638">
        <v>0</v>
      </c>
      <c r="E638" t="s">
        <v>6</v>
      </c>
      <c r="F638">
        <v>0.14838999999999999</v>
      </c>
    </row>
    <row r="639" spans="1:6" x14ac:dyDescent="0.3">
      <c r="A639" t="s">
        <v>22</v>
      </c>
      <c r="B639" s="1">
        <v>45684</v>
      </c>
      <c r="C639">
        <v>14</v>
      </c>
      <c r="D639">
        <v>0</v>
      </c>
      <c r="E639" t="s">
        <v>6</v>
      </c>
      <c r="F639">
        <v>0.13375000000000001</v>
      </c>
    </row>
    <row r="640" spans="1:6" x14ac:dyDescent="0.3">
      <c r="A640" t="s">
        <v>22</v>
      </c>
      <c r="B640" s="1">
        <v>45684</v>
      </c>
      <c r="C640">
        <v>15</v>
      </c>
      <c r="D640">
        <v>0.29199999999999998</v>
      </c>
      <c r="E640" t="s">
        <v>6</v>
      </c>
      <c r="F640">
        <v>6.7750000000000005E-2</v>
      </c>
    </row>
    <row r="641" spans="1:6" x14ac:dyDescent="0.3">
      <c r="A641" t="s">
        <v>22</v>
      </c>
      <c r="B641" s="1">
        <v>45684</v>
      </c>
      <c r="C641">
        <v>16</v>
      </c>
      <c r="D641">
        <v>0.72</v>
      </c>
      <c r="E641" t="s">
        <v>6</v>
      </c>
      <c r="F641">
        <v>7.0970000000000005E-2</v>
      </c>
    </row>
    <row r="642" spans="1:6" x14ac:dyDescent="0.3">
      <c r="A642" t="s">
        <v>22</v>
      </c>
      <c r="B642" s="1">
        <v>45684</v>
      </c>
      <c r="C642">
        <v>17</v>
      </c>
      <c r="D642">
        <v>0.97399999999999998</v>
      </c>
      <c r="E642" t="s">
        <v>6</v>
      </c>
      <c r="F642">
        <v>8.3470000000000003E-2</v>
      </c>
    </row>
    <row r="643" spans="1:6" x14ac:dyDescent="0.3">
      <c r="A643" t="s">
        <v>22</v>
      </c>
      <c r="B643" s="1">
        <v>45684</v>
      </c>
      <c r="C643">
        <v>18</v>
      </c>
      <c r="D643">
        <v>1.63</v>
      </c>
      <c r="E643" t="s">
        <v>6</v>
      </c>
      <c r="F643">
        <v>0.10704999999999999</v>
      </c>
    </row>
    <row r="644" spans="1:6" x14ac:dyDescent="0.3">
      <c r="A644" t="s">
        <v>22</v>
      </c>
      <c r="B644" s="1">
        <v>45684</v>
      </c>
      <c r="C644">
        <v>19</v>
      </c>
      <c r="D644">
        <v>2.1859999999999999</v>
      </c>
      <c r="E644" t="s">
        <v>6</v>
      </c>
      <c r="F644">
        <v>0.18112</v>
      </c>
    </row>
    <row r="645" spans="1:6" x14ac:dyDescent="0.3">
      <c r="A645" t="s">
        <v>22</v>
      </c>
      <c r="B645" s="1">
        <v>45684</v>
      </c>
      <c r="C645">
        <v>20</v>
      </c>
      <c r="D645">
        <v>2.7890000000000001</v>
      </c>
      <c r="E645" t="s">
        <v>6</v>
      </c>
      <c r="F645">
        <v>0.19878000000000001</v>
      </c>
    </row>
    <row r="646" spans="1:6" x14ac:dyDescent="0.3">
      <c r="A646" t="s">
        <v>22</v>
      </c>
      <c r="B646" s="1">
        <v>45684</v>
      </c>
      <c r="C646">
        <v>21</v>
      </c>
      <c r="D646">
        <v>1.544</v>
      </c>
      <c r="E646" t="s">
        <v>6</v>
      </c>
      <c r="F646">
        <v>0.18278999999999998</v>
      </c>
    </row>
    <row r="647" spans="1:6" x14ac:dyDescent="0.3">
      <c r="A647" t="s">
        <v>22</v>
      </c>
      <c r="B647" s="1">
        <v>45684</v>
      </c>
      <c r="C647">
        <v>22</v>
      </c>
      <c r="D647">
        <v>1.0109999999999999</v>
      </c>
      <c r="E647" t="s">
        <v>6</v>
      </c>
      <c r="F647">
        <v>0.17976</v>
      </c>
    </row>
    <row r="648" spans="1:6" x14ac:dyDescent="0.3">
      <c r="A648" t="s">
        <v>22</v>
      </c>
      <c r="B648" s="1">
        <v>45684</v>
      </c>
      <c r="C648">
        <v>23</v>
      </c>
      <c r="D648">
        <v>0.52400000000000002</v>
      </c>
      <c r="E648" t="s">
        <v>6</v>
      </c>
      <c r="F648">
        <v>0.10540999999999999</v>
      </c>
    </row>
    <row r="649" spans="1:6" x14ac:dyDescent="0.3">
      <c r="A649" t="s">
        <v>22</v>
      </c>
      <c r="B649" s="1">
        <v>45684</v>
      </c>
      <c r="C649">
        <v>24</v>
      </c>
      <c r="D649">
        <v>1.383</v>
      </c>
      <c r="E649" t="s">
        <v>6</v>
      </c>
      <c r="F649">
        <v>0.10235</v>
      </c>
    </row>
    <row r="650" spans="1:6" x14ac:dyDescent="0.3">
      <c r="A650" t="s">
        <v>22</v>
      </c>
      <c r="B650" s="1">
        <v>45685</v>
      </c>
      <c r="C650">
        <v>1</v>
      </c>
      <c r="D650">
        <v>0.98</v>
      </c>
      <c r="E650" t="s">
        <v>6</v>
      </c>
      <c r="F650">
        <v>5.3780000000000001E-2</v>
      </c>
    </row>
    <row r="651" spans="1:6" x14ac:dyDescent="0.3">
      <c r="A651" t="s">
        <v>22</v>
      </c>
      <c r="B651" s="1">
        <v>45685</v>
      </c>
      <c r="C651">
        <v>2</v>
      </c>
      <c r="D651">
        <v>0.14000000000000001</v>
      </c>
      <c r="E651" t="s">
        <v>6</v>
      </c>
      <c r="F651">
        <v>5.3490000000000003E-2</v>
      </c>
    </row>
    <row r="652" spans="1:6" x14ac:dyDescent="0.3">
      <c r="A652" t="s">
        <v>22</v>
      </c>
      <c r="B652" s="1">
        <v>45685</v>
      </c>
      <c r="C652">
        <v>3</v>
      </c>
      <c r="D652">
        <v>0.113</v>
      </c>
      <c r="E652" t="s">
        <v>6</v>
      </c>
      <c r="F652">
        <v>5.5939999999999997E-2</v>
      </c>
    </row>
    <row r="653" spans="1:6" x14ac:dyDescent="0.3">
      <c r="A653" t="s">
        <v>22</v>
      </c>
      <c r="B653" s="1">
        <v>45685</v>
      </c>
      <c r="C653">
        <v>4</v>
      </c>
      <c r="D653">
        <v>0.42299999999999999</v>
      </c>
      <c r="E653" t="s">
        <v>6</v>
      </c>
      <c r="F653">
        <v>5.4770000000000006E-2</v>
      </c>
    </row>
    <row r="654" spans="1:6" x14ac:dyDescent="0.3">
      <c r="A654" t="s">
        <v>22</v>
      </c>
      <c r="B654" s="1">
        <v>45685</v>
      </c>
      <c r="C654">
        <v>5</v>
      </c>
      <c r="D654">
        <v>3.0179999999999998</v>
      </c>
      <c r="E654" t="s">
        <v>6</v>
      </c>
      <c r="F654">
        <v>5.4729999999999994E-2</v>
      </c>
    </row>
    <row r="655" spans="1:6" x14ac:dyDescent="0.3">
      <c r="A655" t="s">
        <v>22</v>
      </c>
      <c r="B655" s="1">
        <v>45685</v>
      </c>
      <c r="C655">
        <v>6</v>
      </c>
      <c r="D655">
        <v>3.1339999999999999</v>
      </c>
      <c r="E655" t="s">
        <v>6</v>
      </c>
      <c r="F655">
        <v>5.4479999999999994E-2</v>
      </c>
    </row>
    <row r="656" spans="1:6" x14ac:dyDescent="0.3">
      <c r="A656" t="s">
        <v>22</v>
      </c>
      <c r="B656" s="1">
        <v>45685</v>
      </c>
      <c r="C656">
        <v>7</v>
      </c>
      <c r="D656">
        <v>2.89</v>
      </c>
      <c r="E656" t="s">
        <v>6</v>
      </c>
      <c r="F656">
        <v>5.6119999999999996E-2</v>
      </c>
    </row>
    <row r="657" spans="1:6" x14ac:dyDescent="0.3">
      <c r="A657" t="s">
        <v>22</v>
      </c>
      <c r="B657" s="1">
        <v>45685</v>
      </c>
      <c r="C657">
        <v>8</v>
      </c>
      <c r="D657">
        <v>4.2249999999999996</v>
      </c>
      <c r="E657" t="s">
        <v>6</v>
      </c>
      <c r="F657">
        <v>5.9909999999999998E-2</v>
      </c>
    </row>
    <row r="658" spans="1:6" x14ac:dyDescent="0.3">
      <c r="A658" t="s">
        <v>22</v>
      </c>
      <c r="B658" s="1">
        <v>45685</v>
      </c>
      <c r="C658">
        <v>9</v>
      </c>
      <c r="D658">
        <v>2.52</v>
      </c>
      <c r="E658" t="s">
        <v>6</v>
      </c>
      <c r="F658">
        <v>0.10531</v>
      </c>
    </row>
    <row r="659" spans="1:6" x14ac:dyDescent="0.3">
      <c r="A659" t="s">
        <v>22</v>
      </c>
      <c r="B659" s="1">
        <v>45685</v>
      </c>
      <c r="C659">
        <v>10</v>
      </c>
      <c r="D659">
        <v>0.59099999999999997</v>
      </c>
      <c r="E659" t="s">
        <v>6</v>
      </c>
      <c r="F659">
        <v>9.6500000000000002E-2</v>
      </c>
    </row>
    <row r="660" spans="1:6" x14ac:dyDescent="0.3">
      <c r="A660" t="s">
        <v>22</v>
      </c>
      <c r="B660" s="1">
        <v>45685</v>
      </c>
      <c r="C660">
        <v>11</v>
      </c>
      <c r="D660">
        <v>0</v>
      </c>
      <c r="E660" t="s">
        <v>6</v>
      </c>
      <c r="F660">
        <v>0.13691999999999999</v>
      </c>
    </row>
    <row r="661" spans="1:6" x14ac:dyDescent="0.3">
      <c r="A661" t="s">
        <v>22</v>
      </c>
      <c r="B661" s="1">
        <v>45685</v>
      </c>
      <c r="C661">
        <v>12</v>
      </c>
      <c r="D661">
        <v>0</v>
      </c>
      <c r="E661" t="s">
        <v>6</v>
      </c>
      <c r="F661">
        <v>0.13558000000000001</v>
      </c>
    </row>
    <row r="662" spans="1:6" x14ac:dyDescent="0.3">
      <c r="A662" t="s">
        <v>22</v>
      </c>
      <c r="B662" s="1">
        <v>45685</v>
      </c>
      <c r="C662">
        <v>13</v>
      </c>
      <c r="D662">
        <v>0</v>
      </c>
      <c r="E662" t="s">
        <v>6</v>
      </c>
      <c r="F662">
        <v>0.13403000000000001</v>
      </c>
    </row>
    <row r="663" spans="1:6" x14ac:dyDescent="0.3">
      <c r="A663" t="s">
        <v>22</v>
      </c>
      <c r="B663" s="1">
        <v>45685</v>
      </c>
      <c r="C663">
        <v>14</v>
      </c>
      <c r="D663">
        <v>0</v>
      </c>
      <c r="E663" t="s">
        <v>6</v>
      </c>
      <c r="F663">
        <v>0.13150999999999999</v>
      </c>
    </row>
    <row r="664" spans="1:6" x14ac:dyDescent="0.3">
      <c r="A664" t="s">
        <v>22</v>
      </c>
      <c r="B664" s="1">
        <v>45685</v>
      </c>
      <c r="C664">
        <v>15</v>
      </c>
      <c r="D664">
        <v>0</v>
      </c>
      <c r="E664" t="s">
        <v>6</v>
      </c>
      <c r="F664">
        <v>6.6360000000000002E-2</v>
      </c>
    </row>
    <row r="665" spans="1:6" x14ac:dyDescent="0.3">
      <c r="A665" t="s">
        <v>22</v>
      </c>
      <c r="B665" s="1">
        <v>45685</v>
      </c>
      <c r="C665">
        <v>16</v>
      </c>
      <c r="D665">
        <v>0</v>
      </c>
      <c r="E665" t="s">
        <v>6</v>
      </c>
      <c r="F665">
        <v>6.6430000000000003E-2</v>
      </c>
    </row>
    <row r="666" spans="1:6" x14ac:dyDescent="0.3">
      <c r="A666" t="s">
        <v>22</v>
      </c>
      <c r="B666" s="1">
        <v>45685</v>
      </c>
      <c r="C666">
        <v>17</v>
      </c>
      <c r="D666">
        <v>0</v>
      </c>
      <c r="E666" t="s">
        <v>6</v>
      </c>
      <c r="F666">
        <v>6.9819999999999993E-2</v>
      </c>
    </row>
    <row r="667" spans="1:6" x14ac:dyDescent="0.3">
      <c r="A667" t="s">
        <v>22</v>
      </c>
      <c r="B667" s="1">
        <v>45685</v>
      </c>
      <c r="C667">
        <v>18</v>
      </c>
      <c r="D667">
        <v>0.58499999999999996</v>
      </c>
      <c r="E667" t="s">
        <v>6</v>
      </c>
      <c r="F667">
        <v>8.2400000000000001E-2</v>
      </c>
    </row>
    <row r="668" spans="1:6" x14ac:dyDescent="0.3">
      <c r="A668" t="s">
        <v>22</v>
      </c>
      <c r="B668" s="1">
        <v>45685</v>
      </c>
      <c r="C668">
        <v>19</v>
      </c>
      <c r="D668">
        <v>0.77400000000000002</v>
      </c>
      <c r="E668" t="s">
        <v>6</v>
      </c>
      <c r="F668">
        <v>0.19650000000000001</v>
      </c>
    </row>
    <row r="669" spans="1:6" x14ac:dyDescent="0.3">
      <c r="A669" t="s">
        <v>22</v>
      </c>
      <c r="B669" s="1">
        <v>45685</v>
      </c>
      <c r="C669">
        <v>20</v>
      </c>
      <c r="D669">
        <v>2.3860000000000001</v>
      </c>
      <c r="E669" t="s">
        <v>6</v>
      </c>
      <c r="F669">
        <v>0.21938999999999997</v>
      </c>
    </row>
    <row r="670" spans="1:6" x14ac:dyDescent="0.3">
      <c r="A670" t="s">
        <v>22</v>
      </c>
      <c r="B670" s="1">
        <v>45685</v>
      </c>
      <c r="C670">
        <v>21</v>
      </c>
      <c r="D670">
        <v>2.7749999999999999</v>
      </c>
      <c r="E670" t="s">
        <v>6</v>
      </c>
      <c r="F670">
        <v>0.20791999999999999</v>
      </c>
    </row>
    <row r="671" spans="1:6" x14ac:dyDescent="0.3">
      <c r="A671" t="s">
        <v>22</v>
      </c>
      <c r="B671" s="1">
        <v>45685</v>
      </c>
      <c r="C671">
        <v>22</v>
      </c>
      <c r="D671">
        <v>3.6779999999999999</v>
      </c>
      <c r="E671" t="s">
        <v>6</v>
      </c>
      <c r="F671">
        <v>0.19438999999999998</v>
      </c>
    </row>
    <row r="672" spans="1:6" x14ac:dyDescent="0.3">
      <c r="A672" t="s">
        <v>22</v>
      </c>
      <c r="B672" s="1">
        <v>45685</v>
      </c>
      <c r="C672">
        <v>23</v>
      </c>
      <c r="D672">
        <v>0.69399999999999995</v>
      </c>
      <c r="E672" t="s">
        <v>6</v>
      </c>
      <c r="F672">
        <v>0.11259000000000001</v>
      </c>
    </row>
    <row r="673" spans="1:6" x14ac:dyDescent="0.3">
      <c r="A673" t="s">
        <v>22</v>
      </c>
      <c r="B673" s="1">
        <v>45685</v>
      </c>
      <c r="C673">
        <v>24</v>
      </c>
      <c r="D673">
        <v>0.19600000000000001</v>
      </c>
      <c r="E673" t="s">
        <v>6</v>
      </c>
      <c r="F673">
        <v>0.10163</v>
      </c>
    </row>
    <row r="674" spans="1:6" x14ac:dyDescent="0.3">
      <c r="A674" t="s">
        <v>22</v>
      </c>
      <c r="B674" s="1">
        <v>45686</v>
      </c>
      <c r="C674">
        <v>1</v>
      </c>
      <c r="D674">
        <v>0.17599999999999999</v>
      </c>
      <c r="E674" t="s">
        <v>6</v>
      </c>
      <c r="F674">
        <v>6.0179999999999997E-2</v>
      </c>
    </row>
    <row r="675" spans="1:6" x14ac:dyDescent="0.3">
      <c r="A675" t="s">
        <v>22</v>
      </c>
      <c r="B675" s="1">
        <v>45686</v>
      </c>
      <c r="C675">
        <v>2</v>
      </c>
      <c r="D675">
        <v>0.158</v>
      </c>
      <c r="E675" t="s">
        <v>6</v>
      </c>
      <c r="F675">
        <v>4.7640000000000002E-2</v>
      </c>
    </row>
    <row r="676" spans="1:6" x14ac:dyDescent="0.3">
      <c r="A676" t="s">
        <v>22</v>
      </c>
      <c r="B676" s="1">
        <v>45686</v>
      </c>
      <c r="C676">
        <v>3</v>
      </c>
      <c r="D676">
        <v>0.13900000000000001</v>
      </c>
      <c r="E676" t="s">
        <v>6</v>
      </c>
      <c r="F676">
        <v>4.6979999999999994E-2</v>
      </c>
    </row>
    <row r="677" spans="1:6" x14ac:dyDescent="0.3">
      <c r="A677" t="s">
        <v>22</v>
      </c>
      <c r="B677" s="1">
        <v>45686</v>
      </c>
      <c r="C677">
        <v>4</v>
      </c>
      <c r="D677">
        <v>2.6030000000000002</v>
      </c>
      <c r="E677" t="s">
        <v>6</v>
      </c>
      <c r="F677">
        <v>4.5990000000000003E-2</v>
      </c>
    </row>
    <row r="678" spans="1:6" x14ac:dyDescent="0.3">
      <c r="A678" t="s">
        <v>22</v>
      </c>
      <c r="B678" s="1">
        <v>45686</v>
      </c>
      <c r="C678">
        <v>5</v>
      </c>
      <c r="D678">
        <v>4.5599999999999996</v>
      </c>
      <c r="E678" t="s">
        <v>6</v>
      </c>
      <c r="F678">
        <v>4.5880000000000004E-2</v>
      </c>
    </row>
    <row r="679" spans="1:6" x14ac:dyDescent="0.3">
      <c r="A679" t="s">
        <v>22</v>
      </c>
      <c r="B679" s="1">
        <v>45686</v>
      </c>
      <c r="C679">
        <v>6</v>
      </c>
      <c r="D679">
        <v>4.5460000000000003</v>
      </c>
      <c r="E679" t="s">
        <v>6</v>
      </c>
      <c r="F679">
        <v>4.5319999999999999E-2</v>
      </c>
    </row>
    <row r="680" spans="1:6" x14ac:dyDescent="0.3">
      <c r="A680" t="s">
        <v>22</v>
      </c>
      <c r="B680" s="1">
        <v>45686</v>
      </c>
      <c r="C680">
        <v>7</v>
      </c>
      <c r="D680">
        <v>4.6349999999999998</v>
      </c>
      <c r="E680" t="s">
        <v>6</v>
      </c>
      <c r="F680">
        <v>8.3830000000000002E-2</v>
      </c>
    </row>
    <row r="681" spans="1:6" x14ac:dyDescent="0.3">
      <c r="A681" t="s">
        <v>22</v>
      </c>
      <c r="B681" s="1">
        <v>45686</v>
      </c>
      <c r="C681">
        <v>8</v>
      </c>
      <c r="D681">
        <v>5.0289999999999999</v>
      </c>
      <c r="E681" t="s">
        <v>6</v>
      </c>
      <c r="F681">
        <v>0.12519</v>
      </c>
    </row>
    <row r="682" spans="1:6" x14ac:dyDescent="0.3">
      <c r="A682" t="s">
        <v>22</v>
      </c>
      <c r="B682" s="1">
        <v>45686</v>
      </c>
      <c r="C682">
        <v>9</v>
      </c>
      <c r="D682">
        <v>4.4420000000000002</v>
      </c>
      <c r="E682" t="s">
        <v>6</v>
      </c>
      <c r="F682">
        <v>0.18378</v>
      </c>
    </row>
    <row r="683" spans="1:6" x14ac:dyDescent="0.3">
      <c r="A683" t="s">
        <v>22</v>
      </c>
      <c r="B683" s="1">
        <v>45686</v>
      </c>
      <c r="C683">
        <v>10</v>
      </c>
      <c r="D683">
        <v>1.9770000000000001</v>
      </c>
      <c r="E683" t="s">
        <v>6</v>
      </c>
      <c r="F683">
        <v>0.14273</v>
      </c>
    </row>
    <row r="684" spans="1:6" x14ac:dyDescent="0.3">
      <c r="A684" t="s">
        <v>22</v>
      </c>
      <c r="B684" s="1">
        <v>45686</v>
      </c>
      <c r="C684">
        <v>11</v>
      </c>
      <c r="D684">
        <v>0.19500000000000001</v>
      </c>
      <c r="E684" t="s">
        <v>6</v>
      </c>
      <c r="F684">
        <v>0.17627000000000001</v>
      </c>
    </row>
    <row r="685" spans="1:6" x14ac:dyDescent="0.3">
      <c r="A685" t="s">
        <v>22</v>
      </c>
      <c r="B685" s="1">
        <v>45686</v>
      </c>
      <c r="C685">
        <v>12</v>
      </c>
      <c r="D685">
        <v>0</v>
      </c>
      <c r="E685" t="s">
        <v>6</v>
      </c>
      <c r="F685">
        <v>0.17987999999999998</v>
      </c>
    </row>
    <row r="686" spans="1:6" x14ac:dyDescent="0.3">
      <c r="A686" t="s">
        <v>22</v>
      </c>
      <c r="B686" s="1">
        <v>45686</v>
      </c>
      <c r="C686">
        <v>13</v>
      </c>
      <c r="D686">
        <v>1.133</v>
      </c>
      <c r="E686" t="s">
        <v>6</v>
      </c>
      <c r="F686">
        <v>0.15769</v>
      </c>
    </row>
    <row r="687" spans="1:6" x14ac:dyDescent="0.3">
      <c r="A687" t="s">
        <v>22</v>
      </c>
      <c r="B687" s="1">
        <v>45686</v>
      </c>
      <c r="C687">
        <v>14</v>
      </c>
      <c r="D687">
        <v>4.5289999999999999</v>
      </c>
      <c r="E687" t="s">
        <v>6</v>
      </c>
      <c r="F687">
        <v>0.13158</v>
      </c>
    </row>
    <row r="688" spans="1:6" x14ac:dyDescent="0.3">
      <c r="A688" t="s">
        <v>22</v>
      </c>
      <c r="B688" s="1">
        <v>45686</v>
      </c>
      <c r="C688">
        <v>15</v>
      </c>
      <c r="D688">
        <v>0</v>
      </c>
      <c r="E688" t="s">
        <v>6</v>
      </c>
      <c r="F688">
        <v>6.4799999999999996E-2</v>
      </c>
    </row>
    <row r="689" spans="1:6" x14ac:dyDescent="0.3">
      <c r="A689" t="s">
        <v>22</v>
      </c>
      <c r="B689" s="1">
        <v>45686</v>
      </c>
      <c r="C689">
        <v>16</v>
      </c>
      <c r="D689">
        <v>0</v>
      </c>
      <c r="E689" t="s">
        <v>6</v>
      </c>
      <c r="F689">
        <v>6.8879999999999997E-2</v>
      </c>
    </row>
    <row r="690" spans="1:6" x14ac:dyDescent="0.3">
      <c r="A690" t="s">
        <v>22</v>
      </c>
      <c r="B690" s="1">
        <v>45686</v>
      </c>
      <c r="C690">
        <v>17</v>
      </c>
      <c r="D690">
        <v>1.4910000000000001</v>
      </c>
      <c r="E690" t="s">
        <v>6</v>
      </c>
      <c r="F690">
        <v>0.10123</v>
      </c>
    </row>
    <row r="691" spans="1:6" x14ac:dyDescent="0.3">
      <c r="A691" t="s">
        <v>22</v>
      </c>
      <c r="B691" s="1">
        <v>45686</v>
      </c>
      <c r="C691">
        <v>18</v>
      </c>
      <c r="D691">
        <v>2.1680000000000001</v>
      </c>
      <c r="E691" t="s">
        <v>6</v>
      </c>
      <c r="F691">
        <v>0.11595999999999999</v>
      </c>
    </row>
    <row r="692" spans="1:6" x14ac:dyDescent="0.3">
      <c r="A692" t="s">
        <v>22</v>
      </c>
      <c r="B692" s="1">
        <v>45686</v>
      </c>
      <c r="C692">
        <v>19</v>
      </c>
      <c r="D692">
        <v>2.653</v>
      </c>
      <c r="E692" t="s">
        <v>6</v>
      </c>
      <c r="F692">
        <v>0.21975</v>
      </c>
    </row>
    <row r="693" spans="1:6" x14ac:dyDescent="0.3">
      <c r="A693" t="s">
        <v>22</v>
      </c>
      <c r="B693" s="1">
        <v>45686</v>
      </c>
      <c r="C693">
        <v>20</v>
      </c>
      <c r="D693">
        <v>1.9730000000000001</v>
      </c>
      <c r="E693" t="s">
        <v>6</v>
      </c>
      <c r="F693">
        <v>0.26824999999999999</v>
      </c>
    </row>
    <row r="694" spans="1:6" x14ac:dyDescent="0.3">
      <c r="A694" t="s">
        <v>22</v>
      </c>
      <c r="B694" s="1">
        <v>45686</v>
      </c>
      <c r="C694">
        <v>21</v>
      </c>
      <c r="D694">
        <v>2.5489999999999999</v>
      </c>
      <c r="E694" t="s">
        <v>6</v>
      </c>
      <c r="F694">
        <v>0.27979000000000004</v>
      </c>
    </row>
    <row r="695" spans="1:6" x14ac:dyDescent="0.3">
      <c r="A695" t="s">
        <v>22</v>
      </c>
      <c r="B695" s="1">
        <v>45686</v>
      </c>
      <c r="C695">
        <v>22</v>
      </c>
      <c r="D695">
        <v>1.41</v>
      </c>
      <c r="E695" t="s">
        <v>6</v>
      </c>
      <c r="F695">
        <v>0.26251999999999998</v>
      </c>
    </row>
    <row r="696" spans="1:6" x14ac:dyDescent="0.3">
      <c r="A696" t="s">
        <v>22</v>
      </c>
      <c r="B696" s="1">
        <v>45686</v>
      </c>
      <c r="C696">
        <v>23</v>
      </c>
      <c r="D696">
        <v>1.9790000000000001</v>
      </c>
      <c r="E696" t="s">
        <v>6</v>
      </c>
      <c r="F696">
        <v>0.17063</v>
      </c>
    </row>
    <row r="697" spans="1:6" x14ac:dyDescent="0.3">
      <c r="A697" t="s">
        <v>22</v>
      </c>
      <c r="B697" s="1">
        <v>45686</v>
      </c>
      <c r="C697">
        <v>24</v>
      </c>
      <c r="D697">
        <v>2.927</v>
      </c>
      <c r="E697" t="s">
        <v>6</v>
      </c>
      <c r="F697">
        <v>0.12043999999999999</v>
      </c>
    </row>
    <row r="698" spans="1:6" x14ac:dyDescent="0.3">
      <c r="A698" t="s">
        <v>22</v>
      </c>
      <c r="B698" s="1">
        <v>45687</v>
      </c>
      <c r="C698">
        <v>1</v>
      </c>
      <c r="D698">
        <v>2.2959999999999998</v>
      </c>
      <c r="E698" t="s">
        <v>6</v>
      </c>
      <c r="F698">
        <v>0.11559</v>
      </c>
    </row>
    <row r="699" spans="1:6" x14ac:dyDescent="0.3">
      <c r="A699" t="s">
        <v>22</v>
      </c>
      <c r="B699" s="1">
        <v>45687</v>
      </c>
      <c r="C699">
        <v>2</v>
      </c>
      <c r="D699">
        <v>2.2999999999999998</v>
      </c>
      <c r="E699" t="s">
        <v>6</v>
      </c>
      <c r="F699">
        <v>9.8769999999999997E-2</v>
      </c>
    </row>
    <row r="700" spans="1:6" x14ac:dyDescent="0.3">
      <c r="A700" t="s">
        <v>22</v>
      </c>
      <c r="B700" s="1">
        <v>45687</v>
      </c>
      <c r="C700">
        <v>3</v>
      </c>
      <c r="D700">
        <v>2.5190000000000001</v>
      </c>
      <c r="E700" t="s">
        <v>6</v>
      </c>
      <c r="F700">
        <v>9.2099999999999987E-2</v>
      </c>
    </row>
    <row r="701" spans="1:6" x14ac:dyDescent="0.3">
      <c r="A701" t="s">
        <v>22</v>
      </c>
      <c r="B701" s="1">
        <v>45687</v>
      </c>
      <c r="C701">
        <v>4</v>
      </c>
      <c r="D701">
        <v>2.3980000000000001</v>
      </c>
      <c r="E701" t="s">
        <v>6</v>
      </c>
      <c r="F701">
        <v>6.0979999999999999E-2</v>
      </c>
    </row>
    <row r="702" spans="1:6" x14ac:dyDescent="0.3">
      <c r="A702" t="s">
        <v>22</v>
      </c>
      <c r="B702" s="1">
        <v>45687</v>
      </c>
      <c r="C702">
        <v>5</v>
      </c>
      <c r="D702">
        <v>3.004</v>
      </c>
      <c r="E702" t="s">
        <v>6</v>
      </c>
      <c r="F702">
        <v>5.296E-2</v>
      </c>
    </row>
    <row r="703" spans="1:6" x14ac:dyDescent="0.3">
      <c r="A703" t="s">
        <v>22</v>
      </c>
      <c r="B703" s="1">
        <v>45687</v>
      </c>
      <c r="C703">
        <v>6</v>
      </c>
      <c r="D703">
        <v>2.8279999999999998</v>
      </c>
      <c r="E703" t="s">
        <v>6</v>
      </c>
      <c r="F703">
        <v>5.1159999999999997E-2</v>
      </c>
    </row>
    <row r="704" spans="1:6" x14ac:dyDescent="0.3">
      <c r="A704" t="s">
        <v>22</v>
      </c>
      <c r="B704" s="1">
        <v>45687</v>
      </c>
      <c r="C704">
        <v>7</v>
      </c>
      <c r="D704">
        <v>2.6659999999999999</v>
      </c>
      <c r="E704" t="s">
        <v>6</v>
      </c>
      <c r="F704">
        <v>8.7309999999999999E-2</v>
      </c>
    </row>
    <row r="705" spans="1:6" x14ac:dyDescent="0.3">
      <c r="A705" t="s">
        <v>22</v>
      </c>
      <c r="B705" s="1">
        <v>45687</v>
      </c>
      <c r="C705">
        <v>8</v>
      </c>
      <c r="D705">
        <v>3.7010000000000001</v>
      </c>
      <c r="E705" t="s">
        <v>6</v>
      </c>
      <c r="F705">
        <v>0.10940000000000001</v>
      </c>
    </row>
    <row r="706" spans="1:6" x14ac:dyDescent="0.3">
      <c r="A706" t="s">
        <v>22</v>
      </c>
      <c r="B706" s="1">
        <v>45687</v>
      </c>
      <c r="C706">
        <v>9</v>
      </c>
      <c r="D706">
        <v>3.0859999999999999</v>
      </c>
      <c r="E706" t="s">
        <v>6</v>
      </c>
      <c r="F706">
        <v>0.16650000000000001</v>
      </c>
    </row>
    <row r="707" spans="1:6" x14ac:dyDescent="0.3">
      <c r="A707" t="s">
        <v>22</v>
      </c>
      <c r="B707" s="1">
        <v>45687</v>
      </c>
      <c r="C707">
        <v>10</v>
      </c>
      <c r="D707">
        <v>0.58299999999999996</v>
      </c>
      <c r="E707" t="s">
        <v>6</v>
      </c>
      <c r="F707">
        <v>0.12307999999999999</v>
      </c>
    </row>
    <row r="708" spans="1:6" x14ac:dyDescent="0.3">
      <c r="A708" t="s">
        <v>22</v>
      </c>
      <c r="B708" s="1">
        <v>45687</v>
      </c>
      <c r="C708">
        <v>11</v>
      </c>
      <c r="D708">
        <v>0</v>
      </c>
      <c r="E708" t="s">
        <v>6</v>
      </c>
      <c r="F708">
        <v>0.13034000000000001</v>
      </c>
    </row>
    <row r="709" spans="1:6" x14ac:dyDescent="0.3">
      <c r="A709" t="s">
        <v>22</v>
      </c>
      <c r="B709" s="1">
        <v>45687</v>
      </c>
      <c r="C709">
        <v>12</v>
      </c>
      <c r="D709">
        <v>0</v>
      </c>
      <c r="E709" t="s">
        <v>6</v>
      </c>
      <c r="F709">
        <v>0.12888999999999998</v>
      </c>
    </row>
    <row r="710" spans="1:6" x14ac:dyDescent="0.3">
      <c r="A710" t="s">
        <v>22</v>
      </c>
      <c r="B710" s="1">
        <v>45687</v>
      </c>
      <c r="C710">
        <v>13</v>
      </c>
      <c r="D710">
        <v>0</v>
      </c>
      <c r="E710" t="s">
        <v>6</v>
      </c>
      <c r="F710">
        <v>0.12626000000000001</v>
      </c>
    </row>
    <row r="711" spans="1:6" x14ac:dyDescent="0.3">
      <c r="A711" t="s">
        <v>22</v>
      </c>
      <c r="B711" s="1">
        <v>45687</v>
      </c>
      <c r="C711">
        <v>14</v>
      </c>
      <c r="D711">
        <v>0</v>
      </c>
      <c r="E711" t="s">
        <v>6</v>
      </c>
      <c r="F711">
        <v>0.12358</v>
      </c>
    </row>
    <row r="712" spans="1:6" x14ac:dyDescent="0.3">
      <c r="A712" t="s">
        <v>22</v>
      </c>
      <c r="B712" s="1">
        <v>45687</v>
      </c>
      <c r="C712">
        <v>15</v>
      </c>
      <c r="D712">
        <v>0</v>
      </c>
      <c r="E712" t="s">
        <v>6</v>
      </c>
      <c r="F712">
        <v>5.8500000000000003E-2</v>
      </c>
    </row>
    <row r="713" spans="1:6" x14ac:dyDescent="0.3">
      <c r="A713" t="s">
        <v>22</v>
      </c>
      <c r="B713" s="1">
        <v>45687</v>
      </c>
      <c r="C713">
        <v>16</v>
      </c>
      <c r="D713">
        <v>0</v>
      </c>
      <c r="E713" t="s">
        <v>6</v>
      </c>
      <c r="F713">
        <v>5.8770000000000003E-2</v>
      </c>
    </row>
    <row r="714" spans="1:6" x14ac:dyDescent="0.3">
      <c r="A714" t="s">
        <v>22</v>
      </c>
      <c r="B714" s="1">
        <v>45687</v>
      </c>
      <c r="C714">
        <v>17</v>
      </c>
      <c r="D714">
        <v>3.4990000000000001</v>
      </c>
      <c r="E714" t="s">
        <v>6</v>
      </c>
      <c r="F714">
        <v>6.1630000000000004E-2</v>
      </c>
    </row>
    <row r="715" spans="1:6" x14ac:dyDescent="0.3">
      <c r="A715" t="s">
        <v>22</v>
      </c>
      <c r="B715" s="1">
        <v>45687</v>
      </c>
      <c r="C715">
        <v>18</v>
      </c>
      <c r="D715">
        <v>2.8090000000000002</v>
      </c>
      <c r="E715" t="s">
        <v>6</v>
      </c>
      <c r="F715">
        <v>9.0959999999999999E-2</v>
      </c>
    </row>
    <row r="716" spans="1:6" x14ac:dyDescent="0.3">
      <c r="A716" t="s">
        <v>22</v>
      </c>
      <c r="B716" s="1">
        <v>45687</v>
      </c>
      <c r="C716">
        <v>19</v>
      </c>
      <c r="D716">
        <v>0.754</v>
      </c>
      <c r="E716" t="s">
        <v>6</v>
      </c>
      <c r="F716">
        <v>0.21937999999999999</v>
      </c>
    </row>
    <row r="717" spans="1:6" x14ac:dyDescent="0.3">
      <c r="A717" t="s">
        <v>22</v>
      </c>
      <c r="B717" s="1">
        <v>45687</v>
      </c>
      <c r="C717">
        <v>20</v>
      </c>
      <c r="D717">
        <v>1.1830000000000001</v>
      </c>
      <c r="E717" t="s">
        <v>6</v>
      </c>
      <c r="F717">
        <v>0.23444999999999999</v>
      </c>
    </row>
    <row r="718" spans="1:6" x14ac:dyDescent="0.3">
      <c r="A718" t="s">
        <v>22</v>
      </c>
      <c r="B718" s="1">
        <v>45687</v>
      </c>
      <c r="C718">
        <v>21</v>
      </c>
      <c r="D718">
        <v>3.8809999999999998</v>
      </c>
      <c r="E718" t="s">
        <v>6</v>
      </c>
      <c r="F718">
        <v>0.25950000000000001</v>
      </c>
    </row>
    <row r="719" spans="1:6" x14ac:dyDescent="0.3">
      <c r="A719" t="s">
        <v>22</v>
      </c>
      <c r="B719" s="1">
        <v>45687</v>
      </c>
      <c r="C719">
        <v>22</v>
      </c>
      <c r="D719">
        <v>2.5579999999999998</v>
      </c>
      <c r="E719" t="s">
        <v>6</v>
      </c>
      <c r="F719">
        <v>0.25378000000000001</v>
      </c>
    </row>
    <row r="720" spans="1:6" x14ac:dyDescent="0.3">
      <c r="A720" t="s">
        <v>22</v>
      </c>
      <c r="B720" s="1">
        <v>45687</v>
      </c>
      <c r="C720">
        <v>23</v>
      </c>
      <c r="D720">
        <v>3.4649999999999999</v>
      </c>
      <c r="E720" t="s">
        <v>6</v>
      </c>
      <c r="F720">
        <v>0.17546999999999999</v>
      </c>
    </row>
    <row r="721" spans="1:6" x14ac:dyDescent="0.3">
      <c r="A721" t="s">
        <v>22</v>
      </c>
      <c r="B721" s="1">
        <v>45687</v>
      </c>
      <c r="C721">
        <v>24</v>
      </c>
      <c r="D721">
        <v>3.149</v>
      </c>
      <c r="E721" t="s">
        <v>6</v>
      </c>
      <c r="F721">
        <v>0.15665999999999999</v>
      </c>
    </row>
    <row r="722" spans="1:6" x14ac:dyDescent="0.3">
      <c r="A722" t="s">
        <v>22</v>
      </c>
      <c r="B722" s="1">
        <v>45688</v>
      </c>
      <c r="C722">
        <v>1</v>
      </c>
      <c r="D722">
        <v>3.145</v>
      </c>
      <c r="E722" t="s">
        <v>6</v>
      </c>
      <c r="F722">
        <v>9.1670000000000001E-2</v>
      </c>
    </row>
    <row r="723" spans="1:6" x14ac:dyDescent="0.3">
      <c r="A723" t="s">
        <v>22</v>
      </c>
      <c r="B723" s="1">
        <v>45688</v>
      </c>
      <c r="C723">
        <v>2</v>
      </c>
      <c r="D723">
        <v>3.02</v>
      </c>
      <c r="E723" t="s">
        <v>6</v>
      </c>
      <c r="F723">
        <v>0.10542</v>
      </c>
    </row>
    <row r="724" spans="1:6" x14ac:dyDescent="0.3">
      <c r="A724" t="s">
        <v>22</v>
      </c>
      <c r="B724" s="1">
        <v>45688</v>
      </c>
      <c r="C724">
        <v>3</v>
      </c>
      <c r="D724">
        <v>3.0059999999999998</v>
      </c>
      <c r="E724" t="s">
        <v>6</v>
      </c>
      <c r="F724">
        <v>0.10834000000000001</v>
      </c>
    </row>
    <row r="725" spans="1:6" x14ac:dyDescent="0.3">
      <c r="A725" t="s">
        <v>22</v>
      </c>
      <c r="B725" s="1">
        <v>45688</v>
      </c>
      <c r="C725">
        <v>4</v>
      </c>
      <c r="D725">
        <v>2.524</v>
      </c>
      <c r="E725" t="s">
        <v>6</v>
      </c>
      <c r="F725">
        <v>0.10701999999999999</v>
      </c>
    </row>
    <row r="726" spans="1:6" x14ac:dyDescent="0.3">
      <c r="A726" t="s">
        <v>22</v>
      </c>
      <c r="B726" s="1">
        <v>45688</v>
      </c>
      <c r="C726">
        <v>5</v>
      </c>
      <c r="D726">
        <v>3.06</v>
      </c>
      <c r="E726" t="s">
        <v>6</v>
      </c>
      <c r="F726">
        <v>0.10728</v>
      </c>
    </row>
    <row r="727" spans="1:6" x14ac:dyDescent="0.3">
      <c r="A727" t="s">
        <v>22</v>
      </c>
      <c r="B727" s="1">
        <v>45688</v>
      </c>
      <c r="C727">
        <v>6</v>
      </c>
      <c r="D727">
        <v>2.8039999999999998</v>
      </c>
      <c r="E727" t="s">
        <v>6</v>
      </c>
      <c r="F727">
        <v>0.12176000000000001</v>
      </c>
    </row>
    <row r="728" spans="1:6" x14ac:dyDescent="0.3">
      <c r="A728" t="s">
        <v>22</v>
      </c>
      <c r="B728" s="1">
        <v>45688</v>
      </c>
      <c r="C728">
        <v>7</v>
      </c>
      <c r="D728">
        <v>4.0270000000000001</v>
      </c>
      <c r="E728" t="s">
        <v>6</v>
      </c>
      <c r="F728">
        <v>0.12972</v>
      </c>
    </row>
    <row r="729" spans="1:6" x14ac:dyDescent="0.3">
      <c r="A729" t="s">
        <v>22</v>
      </c>
      <c r="B729" s="1">
        <v>45688</v>
      </c>
      <c r="C729">
        <v>8</v>
      </c>
      <c r="D729">
        <v>4.5730000000000004</v>
      </c>
      <c r="E729" t="s">
        <v>6</v>
      </c>
      <c r="F729">
        <v>0.16300999999999999</v>
      </c>
    </row>
    <row r="730" spans="1:6" x14ac:dyDescent="0.3">
      <c r="A730" t="s">
        <v>22</v>
      </c>
      <c r="B730" s="1">
        <v>45688</v>
      </c>
      <c r="C730">
        <v>9</v>
      </c>
      <c r="D730">
        <v>3.9740000000000002</v>
      </c>
      <c r="E730" t="s">
        <v>6</v>
      </c>
      <c r="F730">
        <v>0.21484</v>
      </c>
    </row>
    <row r="731" spans="1:6" x14ac:dyDescent="0.3">
      <c r="A731" t="s">
        <v>22</v>
      </c>
      <c r="B731" s="1">
        <v>45688</v>
      </c>
      <c r="C731">
        <v>10</v>
      </c>
      <c r="D731">
        <v>2.9529999999999998</v>
      </c>
      <c r="E731" t="s">
        <v>6</v>
      </c>
      <c r="F731">
        <v>0.15544999999999998</v>
      </c>
    </row>
    <row r="732" spans="1:6" x14ac:dyDescent="0.3">
      <c r="A732" t="s">
        <v>22</v>
      </c>
      <c r="B732" s="1">
        <v>45688</v>
      </c>
      <c r="C732">
        <v>11</v>
      </c>
      <c r="D732">
        <v>0</v>
      </c>
      <c r="E732" t="s">
        <v>6</v>
      </c>
      <c r="F732">
        <v>0.18844999999999998</v>
      </c>
    </row>
    <row r="733" spans="1:6" x14ac:dyDescent="0.3">
      <c r="A733" t="s">
        <v>22</v>
      </c>
      <c r="B733" s="1">
        <v>45688</v>
      </c>
      <c r="C733">
        <v>12</v>
      </c>
      <c r="D733">
        <v>0</v>
      </c>
      <c r="E733" t="s">
        <v>6</v>
      </c>
      <c r="F733">
        <v>0.15683000000000002</v>
      </c>
    </row>
    <row r="734" spans="1:6" x14ac:dyDescent="0.3">
      <c r="A734" t="s">
        <v>22</v>
      </c>
      <c r="B734" s="1">
        <v>45688</v>
      </c>
      <c r="C734">
        <v>13</v>
      </c>
      <c r="D734">
        <v>0</v>
      </c>
      <c r="E734" t="s">
        <v>6</v>
      </c>
      <c r="F734">
        <v>0.15575</v>
      </c>
    </row>
    <row r="735" spans="1:6" x14ac:dyDescent="0.3">
      <c r="A735" t="s">
        <v>22</v>
      </c>
      <c r="B735" s="1">
        <v>45688</v>
      </c>
      <c r="C735">
        <v>14</v>
      </c>
      <c r="D735">
        <v>0</v>
      </c>
      <c r="E735" t="s">
        <v>6</v>
      </c>
      <c r="F735">
        <v>0.15484000000000001</v>
      </c>
    </row>
    <row r="736" spans="1:6" x14ac:dyDescent="0.3">
      <c r="A736" t="s">
        <v>22</v>
      </c>
      <c r="B736" s="1">
        <v>45688</v>
      </c>
      <c r="C736">
        <v>15</v>
      </c>
      <c r="D736">
        <v>0</v>
      </c>
      <c r="E736" t="s">
        <v>6</v>
      </c>
      <c r="F736">
        <v>8.3040000000000003E-2</v>
      </c>
    </row>
    <row r="737" spans="1:6" x14ac:dyDescent="0.3">
      <c r="A737" t="s">
        <v>22</v>
      </c>
      <c r="B737" s="1">
        <v>45688</v>
      </c>
      <c r="C737">
        <v>16</v>
      </c>
      <c r="D737">
        <v>0</v>
      </c>
      <c r="E737" t="s">
        <v>6</v>
      </c>
      <c r="F737">
        <v>9.0680000000000011E-2</v>
      </c>
    </row>
    <row r="738" spans="1:6" x14ac:dyDescent="0.3">
      <c r="A738" t="s">
        <v>22</v>
      </c>
      <c r="B738" s="1">
        <v>45688</v>
      </c>
      <c r="C738">
        <v>17</v>
      </c>
      <c r="D738">
        <v>0</v>
      </c>
      <c r="E738" t="s">
        <v>6</v>
      </c>
      <c r="F738">
        <v>0.11716</v>
      </c>
    </row>
    <row r="739" spans="1:6" x14ac:dyDescent="0.3">
      <c r="A739" t="s">
        <v>22</v>
      </c>
      <c r="B739" s="1">
        <v>45688</v>
      </c>
      <c r="C739">
        <v>18</v>
      </c>
      <c r="D739">
        <v>0.26100000000000001</v>
      </c>
      <c r="E739" t="s">
        <v>6</v>
      </c>
      <c r="F739">
        <v>0.17344999999999999</v>
      </c>
    </row>
    <row r="740" spans="1:6" x14ac:dyDescent="0.3">
      <c r="A740" t="s">
        <v>22</v>
      </c>
      <c r="B740" s="1">
        <v>45688</v>
      </c>
      <c r="C740">
        <v>19</v>
      </c>
      <c r="D740">
        <v>0.45500000000000002</v>
      </c>
      <c r="E740" t="s">
        <v>6</v>
      </c>
      <c r="F740">
        <v>0.32300999999999996</v>
      </c>
    </row>
    <row r="741" spans="1:6" x14ac:dyDescent="0.3">
      <c r="A741" t="s">
        <v>22</v>
      </c>
      <c r="B741" s="1">
        <v>45688</v>
      </c>
      <c r="C741">
        <v>20</v>
      </c>
      <c r="D741">
        <v>3.274</v>
      </c>
      <c r="E741" t="s">
        <v>6</v>
      </c>
      <c r="F741">
        <v>0.31663000000000002</v>
      </c>
    </row>
    <row r="742" spans="1:6" x14ac:dyDescent="0.3">
      <c r="A742" t="s">
        <v>22</v>
      </c>
      <c r="B742" s="1">
        <v>45688</v>
      </c>
      <c r="C742">
        <v>21</v>
      </c>
      <c r="D742">
        <v>3.4969999999999999</v>
      </c>
      <c r="E742" t="s">
        <v>6</v>
      </c>
      <c r="F742">
        <v>0.29708000000000001</v>
      </c>
    </row>
    <row r="743" spans="1:6" x14ac:dyDescent="0.3">
      <c r="A743" t="s">
        <v>22</v>
      </c>
      <c r="B743" s="1">
        <v>45688</v>
      </c>
      <c r="C743">
        <v>22</v>
      </c>
      <c r="D743">
        <v>2.3130000000000002</v>
      </c>
      <c r="E743" t="s">
        <v>6</v>
      </c>
      <c r="F743">
        <v>0.28561000000000003</v>
      </c>
    </row>
    <row r="744" spans="1:6" x14ac:dyDescent="0.3">
      <c r="A744" t="s">
        <v>22</v>
      </c>
      <c r="B744" s="1">
        <v>45688</v>
      </c>
      <c r="C744">
        <v>23</v>
      </c>
      <c r="D744">
        <v>1.163</v>
      </c>
      <c r="E744" t="s">
        <v>6</v>
      </c>
      <c r="F744">
        <v>0.21196999999999999</v>
      </c>
    </row>
    <row r="745" spans="1:6" x14ac:dyDescent="0.3">
      <c r="A745" t="s">
        <v>22</v>
      </c>
      <c r="B745" s="1">
        <v>45688</v>
      </c>
      <c r="C745">
        <v>24</v>
      </c>
      <c r="D745">
        <v>3.2330000000000001</v>
      </c>
      <c r="E745" t="s">
        <v>6</v>
      </c>
      <c r="F745">
        <v>0.20193</v>
      </c>
    </row>
    <row r="746" spans="1:6" x14ac:dyDescent="0.3">
      <c r="A746" t="s">
        <v>22</v>
      </c>
      <c r="B746" s="1">
        <v>45689</v>
      </c>
      <c r="C746">
        <v>1</v>
      </c>
      <c r="D746">
        <v>4.7480000000000002</v>
      </c>
      <c r="E746" t="s">
        <v>6</v>
      </c>
      <c r="F746">
        <v>0.19231000000000001</v>
      </c>
    </row>
    <row r="747" spans="1:6" x14ac:dyDescent="0.3">
      <c r="A747" t="s">
        <v>22</v>
      </c>
      <c r="B747" s="1">
        <v>45689</v>
      </c>
      <c r="C747">
        <v>2</v>
      </c>
      <c r="D747">
        <v>4.0170000000000003</v>
      </c>
      <c r="E747" t="s">
        <v>6</v>
      </c>
      <c r="F747">
        <v>0.17924999999999999</v>
      </c>
    </row>
    <row r="748" spans="1:6" x14ac:dyDescent="0.3">
      <c r="A748" t="s">
        <v>22</v>
      </c>
      <c r="B748" s="1">
        <v>45689</v>
      </c>
      <c r="C748">
        <v>3</v>
      </c>
      <c r="D748">
        <v>3.927</v>
      </c>
      <c r="E748" t="s">
        <v>6</v>
      </c>
      <c r="F748">
        <v>0.17555000000000001</v>
      </c>
    </row>
    <row r="749" spans="1:6" x14ac:dyDescent="0.3">
      <c r="A749" t="s">
        <v>22</v>
      </c>
      <c r="B749" s="1">
        <v>45689</v>
      </c>
      <c r="C749">
        <v>4</v>
      </c>
      <c r="D749">
        <v>3.4750000000000001</v>
      </c>
      <c r="E749" t="s">
        <v>6</v>
      </c>
      <c r="F749">
        <v>0.16691</v>
      </c>
    </row>
    <row r="750" spans="1:6" x14ac:dyDescent="0.3">
      <c r="A750" t="s">
        <v>22</v>
      </c>
      <c r="B750" s="1">
        <v>45689</v>
      </c>
      <c r="C750">
        <v>5</v>
      </c>
      <c r="D750">
        <v>3.2869999999999999</v>
      </c>
      <c r="E750" t="s">
        <v>6</v>
      </c>
      <c r="F750">
        <v>0.15278</v>
      </c>
    </row>
    <row r="751" spans="1:6" x14ac:dyDescent="0.3">
      <c r="A751" t="s">
        <v>22</v>
      </c>
      <c r="B751" s="1">
        <v>45689</v>
      </c>
      <c r="C751">
        <v>6</v>
      </c>
      <c r="D751">
        <v>3.766</v>
      </c>
      <c r="E751" t="s">
        <v>6</v>
      </c>
      <c r="F751">
        <v>0.15634999999999999</v>
      </c>
    </row>
    <row r="752" spans="1:6" x14ac:dyDescent="0.3">
      <c r="A752" t="s">
        <v>22</v>
      </c>
      <c r="B752" s="1">
        <v>45689</v>
      </c>
      <c r="C752">
        <v>7</v>
      </c>
      <c r="D752">
        <v>3.8279999999999998</v>
      </c>
      <c r="E752" t="s">
        <v>6</v>
      </c>
      <c r="F752">
        <v>0.15283000000000002</v>
      </c>
    </row>
    <row r="753" spans="1:6" x14ac:dyDescent="0.3">
      <c r="A753" t="s">
        <v>22</v>
      </c>
      <c r="B753" s="1">
        <v>45689</v>
      </c>
      <c r="C753">
        <v>8</v>
      </c>
      <c r="D753">
        <v>3.726</v>
      </c>
      <c r="E753" t="s">
        <v>6</v>
      </c>
      <c r="F753">
        <v>0.14387</v>
      </c>
    </row>
    <row r="754" spans="1:6" x14ac:dyDescent="0.3">
      <c r="A754" t="s">
        <v>22</v>
      </c>
      <c r="B754" s="1">
        <v>45689</v>
      </c>
      <c r="C754">
        <v>9</v>
      </c>
      <c r="D754">
        <v>3.6240000000000001</v>
      </c>
      <c r="E754" t="s">
        <v>6</v>
      </c>
      <c r="F754">
        <v>0.15494999999999998</v>
      </c>
    </row>
    <row r="755" spans="1:6" x14ac:dyDescent="0.3">
      <c r="A755" t="s">
        <v>22</v>
      </c>
      <c r="B755" s="1">
        <v>45689</v>
      </c>
      <c r="C755">
        <v>10</v>
      </c>
      <c r="D755">
        <v>2.1139999999999999</v>
      </c>
      <c r="E755" t="s">
        <v>6</v>
      </c>
      <c r="F755">
        <v>0.15719</v>
      </c>
    </row>
    <row r="756" spans="1:6" x14ac:dyDescent="0.3">
      <c r="A756" t="s">
        <v>22</v>
      </c>
      <c r="B756" s="1">
        <v>45689</v>
      </c>
      <c r="C756">
        <v>11</v>
      </c>
      <c r="D756">
        <v>0.30099999999999999</v>
      </c>
      <c r="E756" t="s">
        <v>6</v>
      </c>
      <c r="F756">
        <v>9.9339999999999998E-2</v>
      </c>
    </row>
    <row r="757" spans="1:6" x14ac:dyDescent="0.3">
      <c r="A757" t="s">
        <v>22</v>
      </c>
      <c r="B757" s="1">
        <v>45689</v>
      </c>
      <c r="C757">
        <v>12</v>
      </c>
      <c r="D757">
        <v>0</v>
      </c>
      <c r="E757" t="s">
        <v>6</v>
      </c>
      <c r="F757">
        <v>3.8299999999999994E-2</v>
      </c>
    </row>
    <row r="758" spans="1:6" x14ac:dyDescent="0.3">
      <c r="A758" t="s">
        <v>22</v>
      </c>
      <c r="B758" s="1">
        <v>45689</v>
      </c>
      <c r="C758">
        <v>13</v>
      </c>
      <c r="D758">
        <v>2.3380000000000001</v>
      </c>
      <c r="E758" t="s">
        <v>6</v>
      </c>
      <c r="F758">
        <v>2.06E-2</v>
      </c>
    </row>
    <row r="759" spans="1:6" x14ac:dyDescent="0.3">
      <c r="A759" t="s">
        <v>22</v>
      </c>
      <c r="B759" s="1">
        <v>45689</v>
      </c>
      <c r="C759">
        <v>14</v>
      </c>
      <c r="D759">
        <v>4.0960000000000001</v>
      </c>
      <c r="E759" t="s">
        <v>6</v>
      </c>
      <c r="F759">
        <v>2.0730000000000002E-2</v>
      </c>
    </row>
    <row r="760" spans="1:6" x14ac:dyDescent="0.3">
      <c r="A760" t="s">
        <v>22</v>
      </c>
      <c r="B760" s="1">
        <v>45689</v>
      </c>
      <c r="C760">
        <v>15</v>
      </c>
      <c r="D760">
        <v>4.7949999999999999</v>
      </c>
      <c r="E760" t="s">
        <v>6</v>
      </c>
      <c r="F760">
        <v>2.0799999999999999E-2</v>
      </c>
    </row>
    <row r="761" spans="1:6" x14ac:dyDescent="0.3">
      <c r="A761" t="s">
        <v>22</v>
      </c>
      <c r="B761" s="1">
        <v>45689</v>
      </c>
      <c r="C761">
        <v>16</v>
      </c>
      <c r="D761">
        <v>0.877</v>
      </c>
      <c r="E761" t="s">
        <v>6</v>
      </c>
      <c r="F761">
        <v>2.2339999999999999E-2</v>
      </c>
    </row>
    <row r="762" spans="1:6" x14ac:dyDescent="0.3">
      <c r="A762" t="s">
        <v>22</v>
      </c>
      <c r="B762" s="1">
        <v>45689</v>
      </c>
      <c r="C762">
        <v>17</v>
      </c>
      <c r="D762">
        <v>0</v>
      </c>
      <c r="E762" t="s">
        <v>6</v>
      </c>
      <c r="F762">
        <v>7.553E-2</v>
      </c>
    </row>
    <row r="763" spans="1:6" x14ac:dyDescent="0.3">
      <c r="A763" t="s">
        <v>22</v>
      </c>
      <c r="B763" s="1">
        <v>45689</v>
      </c>
      <c r="C763">
        <v>18</v>
      </c>
      <c r="D763">
        <v>0.60399999999999998</v>
      </c>
      <c r="E763" t="s">
        <v>6</v>
      </c>
      <c r="F763">
        <v>0.14855000000000002</v>
      </c>
    </row>
    <row r="764" spans="1:6" x14ac:dyDescent="0.3">
      <c r="A764" t="s">
        <v>22</v>
      </c>
      <c r="B764" s="1">
        <v>45689</v>
      </c>
      <c r="C764">
        <v>19</v>
      </c>
      <c r="D764">
        <v>3.3610000000000002</v>
      </c>
      <c r="E764" t="s">
        <v>6</v>
      </c>
      <c r="F764">
        <v>0.18199000000000001</v>
      </c>
    </row>
    <row r="765" spans="1:6" x14ac:dyDescent="0.3">
      <c r="A765" t="s">
        <v>22</v>
      </c>
      <c r="B765" s="1">
        <v>45689</v>
      </c>
      <c r="C765">
        <v>20</v>
      </c>
      <c r="D765">
        <v>0.77800000000000002</v>
      </c>
      <c r="E765" t="s">
        <v>6</v>
      </c>
      <c r="F765">
        <v>0.20508000000000001</v>
      </c>
    </row>
    <row r="766" spans="1:6" x14ac:dyDescent="0.3">
      <c r="A766" t="s">
        <v>22</v>
      </c>
      <c r="B766" s="1">
        <v>45689</v>
      </c>
      <c r="C766">
        <v>21</v>
      </c>
      <c r="D766">
        <v>0.70799999999999996</v>
      </c>
      <c r="E766" t="s">
        <v>6</v>
      </c>
      <c r="F766">
        <v>0.1978</v>
      </c>
    </row>
    <row r="767" spans="1:6" x14ac:dyDescent="0.3">
      <c r="A767" t="s">
        <v>22</v>
      </c>
      <c r="B767" s="1">
        <v>45689</v>
      </c>
      <c r="C767">
        <v>22</v>
      </c>
      <c r="D767">
        <v>2.653</v>
      </c>
      <c r="E767" t="s">
        <v>6</v>
      </c>
      <c r="F767">
        <v>0.18697</v>
      </c>
    </row>
    <row r="768" spans="1:6" x14ac:dyDescent="0.3">
      <c r="A768" t="s">
        <v>22</v>
      </c>
      <c r="B768" s="1">
        <v>45689</v>
      </c>
      <c r="C768">
        <v>23</v>
      </c>
      <c r="D768">
        <v>0.41099999999999998</v>
      </c>
      <c r="E768" t="s">
        <v>6</v>
      </c>
      <c r="F768">
        <v>0.18962000000000001</v>
      </c>
    </row>
    <row r="769" spans="1:6" x14ac:dyDescent="0.3">
      <c r="A769" t="s">
        <v>22</v>
      </c>
      <c r="B769" s="1">
        <v>45689</v>
      </c>
      <c r="C769">
        <v>24</v>
      </c>
      <c r="D769">
        <v>0.32</v>
      </c>
      <c r="E769" t="s">
        <v>6</v>
      </c>
      <c r="F769">
        <v>0.18252000000000002</v>
      </c>
    </row>
    <row r="770" spans="1:6" x14ac:dyDescent="0.3">
      <c r="A770" t="s">
        <v>22</v>
      </c>
      <c r="B770" s="1">
        <v>45690</v>
      </c>
      <c r="C770">
        <v>1</v>
      </c>
      <c r="D770">
        <v>0.106</v>
      </c>
      <c r="E770" t="s">
        <v>6</v>
      </c>
      <c r="F770">
        <v>0.17115</v>
      </c>
    </row>
    <row r="771" spans="1:6" x14ac:dyDescent="0.3">
      <c r="A771" t="s">
        <v>22</v>
      </c>
      <c r="B771" s="1">
        <v>45690</v>
      </c>
      <c r="C771">
        <v>2</v>
      </c>
      <c r="D771">
        <v>0.121</v>
      </c>
      <c r="E771" t="s">
        <v>6</v>
      </c>
      <c r="F771">
        <v>0.16669</v>
      </c>
    </row>
    <row r="772" spans="1:6" x14ac:dyDescent="0.3">
      <c r="A772" t="s">
        <v>22</v>
      </c>
      <c r="B772" s="1">
        <v>45690</v>
      </c>
      <c r="C772">
        <v>3</v>
      </c>
      <c r="D772">
        <v>0.20300000000000001</v>
      </c>
      <c r="E772" t="s">
        <v>6</v>
      </c>
      <c r="F772">
        <v>0.15812000000000001</v>
      </c>
    </row>
    <row r="773" spans="1:6" x14ac:dyDescent="0.3">
      <c r="A773" t="s">
        <v>22</v>
      </c>
      <c r="B773" s="1">
        <v>45690</v>
      </c>
      <c r="C773">
        <v>4</v>
      </c>
      <c r="D773">
        <v>0.33300000000000002</v>
      </c>
      <c r="E773" t="s">
        <v>6</v>
      </c>
      <c r="F773">
        <v>0.156</v>
      </c>
    </row>
    <row r="774" spans="1:6" x14ac:dyDescent="0.3">
      <c r="A774" t="s">
        <v>22</v>
      </c>
      <c r="B774" s="1">
        <v>45690</v>
      </c>
      <c r="C774">
        <v>5</v>
      </c>
      <c r="D774">
        <v>0.189</v>
      </c>
      <c r="E774" t="s">
        <v>6</v>
      </c>
      <c r="F774">
        <v>0.15015000000000001</v>
      </c>
    </row>
    <row r="775" spans="1:6" x14ac:dyDescent="0.3">
      <c r="A775" t="s">
        <v>22</v>
      </c>
      <c r="B775" s="1">
        <v>45690</v>
      </c>
      <c r="C775">
        <v>6</v>
      </c>
      <c r="D775">
        <v>1.4319999999999999</v>
      </c>
      <c r="E775" t="s">
        <v>6</v>
      </c>
      <c r="F775">
        <v>0.15971000000000002</v>
      </c>
    </row>
    <row r="776" spans="1:6" x14ac:dyDescent="0.3">
      <c r="A776" t="s">
        <v>22</v>
      </c>
      <c r="B776" s="1">
        <v>45690</v>
      </c>
      <c r="C776">
        <v>7</v>
      </c>
      <c r="D776">
        <v>4.0469999999999997</v>
      </c>
      <c r="E776" t="s">
        <v>6</v>
      </c>
      <c r="F776">
        <v>0.15450999999999998</v>
      </c>
    </row>
    <row r="777" spans="1:6" x14ac:dyDescent="0.3">
      <c r="A777" t="s">
        <v>22</v>
      </c>
      <c r="B777" s="1">
        <v>45690</v>
      </c>
      <c r="C777">
        <v>8</v>
      </c>
      <c r="D777">
        <v>4.3070000000000004</v>
      </c>
      <c r="E777" t="s">
        <v>6</v>
      </c>
      <c r="F777">
        <v>0.15878</v>
      </c>
    </row>
    <row r="778" spans="1:6" x14ac:dyDescent="0.3">
      <c r="A778" t="s">
        <v>22</v>
      </c>
      <c r="B778" s="1">
        <v>45690</v>
      </c>
      <c r="C778">
        <v>9</v>
      </c>
      <c r="D778">
        <v>4.4139999999999997</v>
      </c>
      <c r="E778" t="s">
        <v>6</v>
      </c>
      <c r="F778">
        <v>0.16856000000000002</v>
      </c>
    </row>
    <row r="779" spans="1:6" x14ac:dyDescent="0.3">
      <c r="A779" t="s">
        <v>22</v>
      </c>
      <c r="B779" s="1">
        <v>45690</v>
      </c>
      <c r="C779">
        <v>10</v>
      </c>
      <c r="D779">
        <v>3.8410000000000002</v>
      </c>
      <c r="E779" t="s">
        <v>6</v>
      </c>
      <c r="F779">
        <v>0.18868000000000001</v>
      </c>
    </row>
    <row r="780" spans="1:6" x14ac:dyDescent="0.3">
      <c r="A780" t="s">
        <v>22</v>
      </c>
      <c r="B780" s="1">
        <v>45690</v>
      </c>
      <c r="C780">
        <v>11</v>
      </c>
      <c r="D780">
        <v>3.75</v>
      </c>
      <c r="E780" t="s">
        <v>6</v>
      </c>
      <c r="F780">
        <v>0.15856999999999999</v>
      </c>
    </row>
    <row r="781" spans="1:6" x14ac:dyDescent="0.3">
      <c r="A781" t="s">
        <v>22</v>
      </c>
      <c r="B781" s="1">
        <v>45690</v>
      </c>
      <c r="C781">
        <v>12</v>
      </c>
      <c r="D781">
        <v>1.742</v>
      </c>
      <c r="E781" t="s">
        <v>6</v>
      </c>
      <c r="F781">
        <v>0.13328000000000001</v>
      </c>
    </row>
    <row r="782" spans="1:6" x14ac:dyDescent="0.3">
      <c r="A782" t="s">
        <v>22</v>
      </c>
      <c r="B782" s="1">
        <v>45690</v>
      </c>
      <c r="C782">
        <v>13</v>
      </c>
      <c r="D782">
        <v>2.5139999999999998</v>
      </c>
      <c r="E782" t="s">
        <v>6</v>
      </c>
      <c r="F782">
        <v>0.11467000000000001</v>
      </c>
    </row>
    <row r="783" spans="1:6" x14ac:dyDescent="0.3">
      <c r="A783" t="s">
        <v>22</v>
      </c>
      <c r="B783" s="1">
        <v>45690</v>
      </c>
      <c r="C783">
        <v>14</v>
      </c>
      <c r="D783">
        <v>1.466</v>
      </c>
      <c r="E783" t="s">
        <v>6</v>
      </c>
      <c r="F783">
        <v>0.12311</v>
      </c>
    </row>
    <row r="784" spans="1:6" x14ac:dyDescent="0.3">
      <c r="A784" t="s">
        <v>22</v>
      </c>
      <c r="B784" s="1">
        <v>45690</v>
      </c>
      <c r="C784">
        <v>15</v>
      </c>
      <c r="D784">
        <v>0</v>
      </c>
      <c r="E784" t="s">
        <v>6</v>
      </c>
      <c r="F784">
        <v>0.12383</v>
      </c>
    </row>
    <row r="785" spans="1:6" x14ac:dyDescent="0.3">
      <c r="A785" t="s">
        <v>22</v>
      </c>
      <c r="B785" s="1">
        <v>45690</v>
      </c>
      <c r="C785">
        <v>16</v>
      </c>
      <c r="D785">
        <v>2.956</v>
      </c>
      <c r="E785" t="s">
        <v>6</v>
      </c>
      <c r="F785">
        <v>0.13097</v>
      </c>
    </row>
    <row r="786" spans="1:6" x14ac:dyDescent="0.3">
      <c r="A786" t="s">
        <v>22</v>
      </c>
      <c r="B786" s="1">
        <v>45690</v>
      </c>
      <c r="C786">
        <v>17</v>
      </c>
      <c r="D786">
        <v>5.3680000000000003</v>
      </c>
      <c r="E786" t="s">
        <v>6</v>
      </c>
      <c r="F786">
        <v>0.14607000000000001</v>
      </c>
    </row>
    <row r="787" spans="1:6" x14ac:dyDescent="0.3">
      <c r="A787" t="s">
        <v>22</v>
      </c>
      <c r="B787" s="1">
        <v>45690</v>
      </c>
      <c r="C787">
        <v>18</v>
      </c>
      <c r="D787">
        <v>4.0970000000000004</v>
      </c>
      <c r="E787" t="s">
        <v>6</v>
      </c>
      <c r="F787">
        <v>0.17254</v>
      </c>
    </row>
    <row r="788" spans="1:6" x14ac:dyDescent="0.3">
      <c r="A788" t="s">
        <v>22</v>
      </c>
      <c r="B788" s="1">
        <v>45690</v>
      </c>
      <c r="C788">
        <v>19</v>
      </c>
      <c r="D788">
        <v>2.2599999999999998</v>
      </c>
      <c r="E788" t="s">
        <v>6</v>
      </c>
      <c r="F788">
        <v>0.19813999999999998</v>
      </c>
    </row>
    <row r="789" spans="1:6" x14ac:dyDescent="0.3">
      <c r="A789" t="s">
        <v>22</v>
      </c>
      <c r="B789" s="1">
        <v>45690</v>
      </c>
      <c r="C789">
        <v>20</v>
      </c>
      <c r="D789">
        <v>2.2850000000000001</v>
      </c>
      <c r="E789" t="s">
        <v>6</v>
      </c>
      <c r="F789">
        <v>0.20863999999999999</v>
      </c>
    </row>
    <row r="790" spans="1:6" x14ac:dyDescent="0.3">
      <c r="A790" t="s">
        <v>22</v>
      </c>
      <c r="B790" s="1">
        <v>45690</v>
      </c>
      <c r="C790">
        <v>21</v>
      </c>
      <c r="D790">
        <v>2.9849999999999999</v>
      </c>
      <c r="E790" t="s">
        <v>6</v>
      </c>
      <c r="F790">
        <v>0.19853000000000001</v>
      </c>
    </row>
    <row r="791" spans="1:6" x14ac:dyDescent="0.3">
      <c r="A791" t="s">
        <v>22</v>
      </c>
      <c r="B791" s="1">
        <v>45690</v>
      </c>
      <c r="C791">
        <v>22</v>
      </c>
      <c r="D791">
        <v>3.7549999999999999</v>
      </c>
      <c r="E791" t="s">
        <v>6</v>
      </c>
      <c r="F791">
        <v>0.18906999999999999</v>
      </c>
    </row>
    <row r="792" spans="1:6" x14ac:dyDescent="0.3">
      <c r="A792" t="s">
        <v>22</v>
      </c>
      <c r="B792" s="1">
        <v>45690</v>
      </c>
      <c r="C792">
        <v>23</v>
      </c>
      <c r="D792">
        <v>3.1</v>
      </c>
      <c r="E792" t="s">
        <v>6</v>
      </c>
      <c r="F792">
        <v>0.18499000000000002</v>
      </c>
    </row>
    <row r="793" spans="1:6" x14ac:dyDescent="0.3">
      <c r="A793" t="s">
        <v>22</v>
      </c>
      <c r="B793" s="1">
        <v>45690</v>
      </c>
      <c r="C793">
        <v>24</v>
      </c>
      <c r="D793">
        <v>2.2709999999999999</v>
      </c>
      <c r="E793" t="s">
        <v>6</v>
      </c>
      <c r="F793">
        <v>0.16944000000000001</v>
      </c>
    </row>
    <row r="794" spans="1:6" x14ac:dyDescent="0.3">
      <c r="A794" t="s">
        <v>22</v>
      </c>
      <c r="B794" s="1">
        <v>45691</v>
      </c>
      <c r="C794">
        <v>1</v>
      </c>
      <c r="D794">
        <v>0.23599999999999999</v>
      </c>
      <c r="E794" t="s">
        <v>6</v>
      </c>
      <c r="F794">
        <v>0.15093999999999999</v>
      </c>
    </row>
    <row r="795" spans="1:6" x14ac:dyDescent="0.3">
      <c r="A795" t="s">
        <v>22</v>
      </c>
      <c r="B795" s="1">
        <v>45691</v>
      </c>
      <c r="C795">
        <v>2</v>
      </c>
      <c r="D795">
        <v>0.115</v>
      </c>
      <c r="E795" t="s">
        <v>6</v>
      </c>
      <c r="F795">
        <v>0.13597999999999999</v>
      </c>
    </row>
    <row r="796" spans="1:6" x14ac:dyDescent="0.3">
      <c r="A796" t="s">
        <v>22</v>
      </c>
      <c r="B796" s="1">
        <v>45691</v>
      </c>
      <c r="C796">
        <v>3</v>
      </c>
      <c r="D796">
        <v>0.14599999999999999</v>
      </c>
      <c r="E796" t="s">
        <v>6</v>
      </c>
      <c r="F796">
        <v>0.13755000000000001</v>
      </c>
    </row>
    <row r="797" spans="1:6" x14ac:dyDescent="0.3">
      <c r="A797" t="s">
        <v>22</v>
      </c>
      <c r="B797" s="1">
        <v>45691</v>
      </c>
      <c r="C797">
        <v>4</v>
      </c>
      <c r="D797">
        <v>0.20699999999999999</v>
      </c>
      <c r="E797" t="s">
        <v>6</v>
      </c>
      <c r="F797">
        <v>0.13961000000000001</v>
      </c>
    </row>
    <row r="798" spans="1:6" x14ac:dyDescent="0.3">
      <c r="A798" t="s">
        <v>22</v>
      </c>
      <c r="B798" s="1">
        <v>45691</v>
      </c>
      <c r="C798">
        <v>5</v>
      </c>
      <c r="D798">
        <v>0.157</v>
      </c>
      <c r="E798" t="s">
        <v>6</v>
      </c>
      <c r="F798">
        <v>0.13891999999999999</v>
      </c>
    </row>
    <row r="799" spans="1:6" x14ac:dyDescent="0.3">
      <c r="A799" t="s">
        <v>22</v>
      </c>
      <c r="B799" s="1">
        <v>45691</v>
      </c>
      <c r="C799">
        <v>6</v>
      </c>
      <c r="D799">
        <v>0.14000000000000001</v>
      </c>
      <c r="E799" t="s">
        <v>6</v>
      </c>
      <c r="F799">
        <v>0.14166000000000001</v>
      </c>
    </row>
    <row r="800" spans="1:6" x14ac:dyDescent="0.3">
      <c r="A800" t="s">
        <v>22</v>
      </c>
      <c r="B800" s="1">
        <v>45691</v>
      </c>
      <c r="C800">
        <v>7</v>
      </c>
      <c r="D800">
        <v>0.23699999999999999</v>
      </c>
      <c r="E800" t="s">
        <v>6</v>
      </c>
      <c r="F800">
        <v>0.13391999999999998</v>
      </c>
    </row>
    <row r="801" spans="1:6" x14ac:dyDescent="0.3">
      <c r="A801" t="s">
        <v>22</v>
      </c>
      <c r="B801" s="1">
        <v>45691</v>
      </c>
      <c r="C801">
        <v>8</v>
      </c>
      <c r="D801">
        <v>2.633</v>
      </c>
      <c r="E801" t="s">
        <v>6</v>
      </c>
      <c r="F801">
        <v>0.17265</v>
      </c>
    </row>
    <row r="802" spans="1:6" x14ac:dyDescent="0.3">
      <c r="A802" t="s">
        <v>22</v>
      </c>
      <c r="B802" s="1">
        <v>45691</v>
      </c>
      <c r="C802">
        <v>9</v>
      </c>
      <c r="D802">
        <v>3.67</v>
      </c>
      <c r="E802" t="s">
        <v>6</v>
      </c>
      <c r="F802">
        <v>0.21918000000000001</v>
      </c>
    </row>
    <row r="803" spans="1:6" x14ac:dyDescent="0.3">
      <c r="A803" t="s">
        <v>22</v>
      </c>
      <c r="B803" s="1">
        <v>45691</v>
      </c>
      <c r="C803">
        <v>10</v>
      </c>
      <c r="D803">
        <v>3.407</v>
      </c>
      <c r="E803" t="s">
        <v>6</v>
      </c>
      <c r="F803">
        <v>0.20374</v>
      </c>
    </row>
    <row r="804" spans="1:6" x14ac:dyDescent="0.3">
      <c r="A804" t="s">
        <v>22</v>
      </c>
      <c r="B804" s="1">
        <v>45691</v>
      </c>
      <c r="C804">
        <v>11</v>
      </c>
      <c r="D804">
        <v>0.498</v>
      </c>
      <c r="E804" t="s">
        <v>6</v>
      </c>
      <c r="F804">
        <v>0.21913999999999997</v>
      </c>
    </row>
    <row r="805" spans="1:6" x14ac:dyDescent="0.3">
      <c r="A805" t="s">
        <v>22</v>
      </c>
      <c r="B805" s="1">
        <v>45691</v>
      </c>
      <c r="C805">
        <v>12</v>
      </c>
      <c r="D805">
        <v>0</v>
      </c>
      <c r="E805" t="s">
        <v>6</v>
      </c>
      <c r="F805">
        <v>0.21046000000000001</v>
      </c>
    </row>
    <row r="806" spans="1:6" x14ac:dyDescent="0.3">
      <c r="A806" t="s">
        <v>22</v>
      </c>
      <c r="B806" s="1">
        <v>45691</v>
      </c>
      <c r="C806">
        <v>13</v>
      </c>
      <c r="D806">
        <v>0</v>
      </c>
      <c r="E806" t="s">
        <v>6</v>
      </c>
      <c r="F806">
        <v>0.21051</v>
      </c>
    </row>
    <row r="807" spans="1:6" x14ac:dyDescent="0.3">
      <c r="A807" t="s">
        <v>22</v>
      </c>
      <c r="B807" s="1">
        <v>45691</v>
      </c>
      <c r="C807">
        <v>14</v>
      </c>
      <c r="D807">
        <v>0</v>
      </c>
      <c r="E807" t="s">
        <v>6</v>
      </c>
      <c r="F807">
        <v>0.20818</v>
      </c>
    </row>
    <row r="808" spans="1:6" x14ac:dyDescent="0.3">
      <c r="A808" t="s">
        <v>22</v>
      </c>
      <c r="B808" s="1">
        <v>45691</v>
      </c>
      <c r="C808">
        <v>15</v>
      </c>
      <c r="D808">
        <v>0</v>
      </c>
      <c r="E808" t="s">
        <v>6</v>
      </c>
      <c r="F808">
        <v>0.14318999999999998</v>
      </c>
    </row>
    <row r="809" spans="1:6" x14ac:dyDescent="0.3">
      <c r="A809" t="s">
        <v>22</v>
      </c>
      <c r="B809" s="1">
        <v>45691</v>
      </c>
      <c r="C809">
        <v>16</v>
      </c>
      <c r="D809">
        <v>0</v>
      </c>
      <c r="E809" t="s">
        <v>6</v>
      </c>
      <c r="F809">
        <v>0.15719999999999998</v>
      </c>
    </row>
    <row r="810" spans="1:6" x14ac:dyDescent="0.3">
      <c r="A810" t="s">
        <v>22</v>
      </c>
      <c r="B810" s="1">
        <v>45691</v>
      </c>
      <c r="C810">
        <v>17</v>
      </c>
      <c r="D810">
        <v>0</v>
      </c>
      <c r="E810" t="s">
        <v>6</v>
      </c>
      <c r="F810">
        <v>0.16752</v>
      </c>
    </row>
    <row r="811" spans="1:6" x14ac:dyDescent="0.3">
      <c r="A811" t="s">
        <v>22</v>
      </c>
      <c r="B811" s="1">
        <v>45691</v>
      </c>
      <c r="C811">
        <v>18</v>
      </c>
      <c r="D811">
        <v>0.17100000000000001</v>
      </c>
      <c r="E811" t="s">
        <v>6</v>
      </c>
      <c r="F811">
        <v>0.19059999999999999</v>
      </c>
    </row>
    <row r="812" spans="1:6" x14ac:dyDescent="0.3">
      <c r="A812" t="s">
        <v>22</v>
      </c>
      <c r="B812" s="1">
        <v>45691</v>
      </c>
      <c r="C812">
        <v>19</v>
      </c>
      <c r="D812">
        <v>0.318</v>
      </c>
      <c r="E812" t="s">
        <v>6</v>
      </c>
      <c r="F812">
        <v>0.32625999999999999</v>
      </c>
    </row>
    <row r="813" spans="1:6" x14ac:dyDescent="0.3">
      <c r="A813" t="s">
        <v>22</v>
      </c>
      <c r="B813" s="1">
        <v>45691</v>
      </c>
      <c r="C813">
        <v>20</v>
      </c>
      <c r="D813">
        <v>0.38100000000000001</v>
      </c>
      <c r="E813" t="s">
        <v>6</v>
      </c>
      <c r="F813">
        <v>0.32697000000000004</v>
      </c>
    </row>
    <row r="814" spans="1:6" x14ac:dyDescent="0.3">
      <c r="A814" t="s">
        <v>22</v>
      </c>
      <c r="B814" s="1">
        <v>45691</v>
      </c>
      <c r="C814">
        <v>21</v>
      </c>
      <c r="D814">
        <v>0.93400000000000005</v>
      </c>
      <c r="E814" t="s">
        <v>6</v>
      </c>
      <c r="F814">
        <v>0.36069999999999997</v>
      </c>
    </row>
    <row r="815" spans="1:6" x14ac:dyDescent="0.3">
      <c r="A815" t="s">
        <v>22</v>
      </c>
      <c r="B815" s="1">
        <v>45691</v>
      </c>
      <c r="C815">
        <v>22</v>
      </c>
      <c r="D815">
        <v>0.34599999999999997</v>
      </c>
      <c r="E815" t="s">
        <v>6</v>
      </c>
      <c r="F815">
        <v>0.31114999999999998</v>
      </c>
    </row>
    <row r="816" spans="1:6" x14ac:dyDescent="0.3">
      <c r="A816" t="s">
        <v>22</v>
      </c>
      <c r="B816" s="1">
        <v>45691</v>
      </c>
      <c r="C816">
        <v>23</v>
      </c>
      <c r="D816">
        <v>0.33300000000000002</v>
      </c>
      <c r="E816" t="s">
        <v>6</v>
      </c>
      <c r="F816">
        <v>0.20294000000000001</v>
      </c>
    </row>
    <row r="817" spans="1:6" x14ac:dyDescent="0.3">
      <c r="A817" t="s">
        <v>22</v>
      </c>
      <c r="B817" s="1">
        <v>45691</v>
      </c>
      <c r="C817">
        <v>24</v>
      </c>
      <c r="D817">
        <v>0.26500000000000001</v>
      </c>
      <c r="E817" t="s">
        <v>6</v>
      </c>
      <c r="F817">
        <v>0.18643000000000001</v>
      </c>
    </row>
    <row r="818" spans="1:6" x14ac:dyDescent="0.3">
      <c r="A818" t="s">
        <v>22</v>
      </c>
      <c r="B818" s="1">
        <v>45692</v>
      </c>
      <c r="C818">
        <v>1</v>
      </c>
      <c r="D818">
        <v>0.94699999999999995</v>
      </c>
      <c r="E818" t="s">
        <v>6</v>
      </c>
      <c r="F818">
        <v>0.15737000000000001</v>
      </c>
    </row>
    <row r="819" spans="1:6" x14ac:dyDescent="0.3">
      <c r="A819" t="s">
        <v>22</v>
      </c>
      <c r="B819" s="1">
        <v>45692</v>
      </c>
      <c r="C819">
        <v>2</v>
      </c>
      <c r="D819">
        <v>4.2480000000000002</v>
      </c>
      <c r="E819" t="s">
        <v>6</v>
      </c>
      <c r="F819">
        <v>0.15108000000000002</v>
      </c>
    </row>
    <row r="820" spans="1:6" x14ac:dyDescent="0.3">
      <c r="A820" t="s">
        <v>22</v>
      </c>
      <c r="B820" s="1">
        <v>45692</v>
      </c>
      <c r="C820">
        <v>3</v>
      </c>
      <c r="D820">
        <v>4.9880000000000004</v>
      </c>
      <c r="E820" t="s">
        <v>6</v>
      </c>
      <c r="F820">
        <v>0.15086000000000002</v>
      </c>
    </row>
    <row r="821" spans="1:6" x14ac:dyDescent="0.3">
      <c r="A821" t="s">
        <v>22</v>
      </c>
      <c r="B821" s="1">
        <v>45692</v>
      </c>
      <c r="C821">
        <v>4</v>
      </c>
      <c r="D821">
        <v>4.5049999999999999</v>
      </c>
      <c r="E821" t="s">
        <v>6</v>
      </c>
      <c r="F821">
        <v>0.14896000000000001</v>
      </c>
    </row>
    <row r="822" spans="1:6" x14ac:dyDescent="0.3">
      <c r="A822" t="s">
        <v>22</v>
      </c>
      <c r="B822" s="1">
        <v>45692</v>
      </c>
      <c r="C822">
        <v>5</v>
      </c>
      <c r="D822">
        <v>4.2270000000000003</v>
      </c>
      <c r="E822" t="s">
        <v>6</v>
      </c>
      <c r="F822">
        <v>0.14815999999999999</v>
      </c>
    </row>
    <row r="823" spans="1:6" x14ac:dyDescent="0.3">
      <c r="A823" t="s">
        <v>22</v>
      </c>
      <c r="B823" s="1">
        <v>45692</v>
      </c>
      <c r="C823">
        <v>6</v>
      </c>
      <c r="D823">
        <v>4.694</v>
      </c>
      <c r="E823" t="s">
        <v>6</v>
      </c>
      <c r="F823">
        <v>0.15143000000000001</v>
      </c>
    </row>
    <row r="824" spans="1:6" x14ac:dyDescent="0.3">
      <c r="A824" t="s">
        <v>22</v>
      </c>
      <c r="B824" s="1">
        <v>45692</v>
      </c>
      <c r="C824">
        <v>7</v>
      </c>
      <c r="D824">
        <v>4.3819999999999997</v>
      </c>
      <c r="E824" t="s">
        <v>6</v>
      </c>
      <c r="F824">
        <v>0.16988999999999999</v>
      </c>
    </row>
    <row r="825" spans="1:6" x14ac:dyDescent="0.3">
      <c r="A825" t="s">
        <v>22</v>
      </c>
      <c r="B825" s="1">
        <v>45692</v>
      </c>
      <c r="C825">
        <v>8</v>
      </c>
      <c r="D825">
        <v>5.2350000000000003</v>
      </c>
      <c r="E825" t="s">
        <v>6</v>
      </c>
      <c r="F825">
        <v>0.21649000000000002</v>
      </c>
    </row>
    <row r="826" spans="1:6" x14ac:dyDescent="0.3">
      <c r="A826" t="s">
        <v>22</v>
      </c>
      <c r="B826" s="1">
        <v>45692</v>
      </c>
      <c r="C826">
        <v>9</v>
      </c>
      <c r="D826">
        <v>4.0780000000000003</v>
      </c>
      <c r="E826" t="s">
        <v>6</v>
      </c>
      <c r="F826">
        <v>0.27029999999999998</v>
      </c>
    </row>
    <row r="827" spans="1:6" x14ac:dyDescent="0.3">
      <c r="A827" t="s">
        <v>22</v>
      </c>
      <c r="B827" s="1">
        <v>45692</v>
      </c>
      <c r="C827">
        <v>10</v>
      </c>
      <c r="D827">
        <v>2.91</v>
      </c>
      <c r="E827" t="s">
        <v>6</v>
      </c>
      <c r="F827">
        <v>0.20967</v>
      </c>
    </row>
    <row r="828" spans="1:6" x14ac:dyDescent="0.3">
      <c r="A828" t="s">
        <v>22</v>
      </c>
      <c r="B828" s="1">
        <v>45692</v>
      </c>
      <c r="C828">
        <v>11</v>
      </c>
      <c r="D828">
        <v>0</v>
      </c>
      <c r="E828" t="s">
        <v>6</v>
      </c>
      <c r="F828">
        <v>0.24127000000000001</v>
      </c>
    </row>
    <row r="829" spans="1:6" x14ac:dyDescent="0.3">
      <c r="A829" t="s">
        <v>22</v>
      </c>
      <c r="B829" s="1">
        <v>45692</v>
      </c>
      <c r="C829">
        <v>12</v>
      </c>
      <c r="D829">
        <v>0</v>
      </c>
      <c r="E829" t="s">
        <v>6</v>
      </c>
      <c r="F829">
        <v>0.21750999999999998</v>
      </c>
    </row>
    <row r="830" spans="1:6" x14ac:dyDescent="0.3">
      <c r="A830" t="s">
        <v>22</v>
      </c>
      <c r="B830" s="1">
        <v>45692</v>
      </c>
      <c r="C830">
        <v>13</v>
      </c>
      <c r="D830">
        <v>0</v>
      </c>
      <c r="E830" t="s">
        <v>6</v>
      </c>
      <c r="F830">
        <v>0.20462</v>
      </c>
    </row>
    <row r="831" spans="1:6" x14ac:dyDescent="0.3">
      <c r="A831" t="s">
        <v>22</v>
      </c>
      <c r="B831" s="1">
        <v>45692</v>
      </c>
      <c r="C831">
        <v>14</v>
      </c>
      <c r="D831">
        <v>0</v>
      </c>
      <c r="E831" t="s">
        <v>6</v>
      </c>
      <c r="F831">
        <v>0.20066000000000001</v>
      </c>
    </row>
    <row r="832" spans="1:6" x14ac:dyDescent="0.3">
      <c r="A832" t="s">
        <v>22</v>
      </c>
      <c r="B832" s="1">
        <v>45692</v>
      </c>
      <c r="C832">
        <v>15</v>
      </c>
      <c r="D832">
        <v>0</v>
      </c>
      <c r="E832" t="s">
        <v>6</v>
      </c>
      <c r="F832">
        <v>0.13313999999999998</v>
      </c>
    </row>
    <row r="833" spans="1:6" x14ac:dyDescent="0.3">
      <c r="A833" t="s">
        <v>22</v>
      </c>
      <c r="B833" s="1">
        <v>45692</v>
      </c>
      <c r="C833">
        <v>16</v>
      </c>
      <c r="D833">
        <v>0</v>
      </c>
      <c r="E833" t="s">
        <v>6</v>
      </c>
      <c r="F833">
        <v>0.13578999999999999</v>
      </c>
    </row>
    <row r="834" spans="1:6" x14ac:dyDescent="0.3">
      <c r="A834" t="s">
        <v>22</v>
      </c>
      <c r="B834" s="1">
        <v>45692</v>
      </c>
      <c r="C834">
        <v>17</v>
      </c>
      <c r="D834">
        <v>0</v>
      </c>
      <c r="E834" t="s">
        <v>6</v>
      </c>
      <c r="F834">
        <v>0.14416999999999999</v>
      </c>
    </row>
    <row r="835" spans="1:6" x14ac:dyDescent="0.3">
      <c r="A835" t="s">
        <v>22</v>
      </c>
      <c r="B835" s="1">
        <v>45692</v>
      </c>
      <c r="C835">
        <v>18</v>
      </c>
      <c r="D835">
        <v>0.17499999999999999</v>
      </c>
      <c r="E835" t="s">
        <v>6</v>
      </c>
      <c r="F835">
        <v>0.17387</v>
      </c>
    </row>
    <row r="836" spans="1:6" x14ac:dyDescent="0.3">
      <c r="A836" t="s">
        <v>22</v>
      </c>
      <c r="B836" s="1">
        <v>45692</v>
      </c>
      <c r="C836">
        <v>19</v>
      </c>
      <c r="D836">
        <v>1.087</v>
      </c>
      <c r="E836" t="s">
        <v>6</v>
      </c>
      <c r="F836">
        <v>0.29020000000000001</v>
      </c>
    </row>
    <row r="837" spans="1:6" x14ac:dyDescent="0.3">
      <c r="A837" t="s">
        <v>22</v>
      </c>
      <c r="B837" s="1">
        <v>45692</v>
      </c>
      <c r="C837">
        <v>20</v>
      </c>
      <c r="D837">
        <v>2.2149999999999999</v>
      </c>
      <c r="E837" t="s">
        <v>6</v>
      </c>
      <c r="F837">
        <v>0.34202999999999995</v>
      </c>
    </row>
    <row r="838" spans="1:6" x14ac:dyDescent="0.3">
      <c r="A838" t="s">
        <v>22</v>
      </c>
      <c r="B838" s="1">
        <v>45692</v>
      </c>
      <c r="C838">
        <v>21</v>
      </c>
      <c r="D838">
        <v>1.081</v>
      </c>
      <c r="E838" t="s">
        <v>6</v>
      </c>
      <c r="F838">
        <v>0.37235000000000001</v>
      </c>
    </row>
    <row r="839" spans="1:6" x14ac:dyDescent="0.3">
      <c r="A839" t="s">
        <v>22</v>
      </c>
      <c r="B839" s="1">
        <v>45692</v>
      </c>
      <c r="C839">
        <v>22</v>
      </c>
      <c r="D839">
        <v>0.40899999999999997</v>
      </c>
      <c r="E839" t="s">
        <v>6</v>
      </c>
      <c r="F839">
        <v>0.27873000000000003</v>
      </c>
    </row>
    <row r="840" spans="1:6" x14ac:dyDescent="0.3">
      <c r="A840" t="s">
        <v>22</v>
      </c>
      <c r="B840" s="1">
        <v>45692</v>
      </c>
      <c r="C840">
        <v>23</v>
      </c>
      <c r="D840">
        <v>0.27700000000000002</v>
      </c>
      <c r="E840" t="s">
        <v>6</v>
      </c>
      <c r="F840">
        <v>0.19178000000000001</v>
      </c>
    </row>
    <row r="841" spans="1:6" x14ac:dyDescent="0.3">
      <c r="A841" t="s">
        <v>22</v>
      </c>
      <c r="B841" s="1">
        <v>45692</v>
      </c>
      <c r="C841">
        <v>24</v>
      </c>
      <c r="D841">
        <v>0.17599999999999999</v>
      </c>
      <c r="E841" t="s">
        <v>6</v>
      </c>
      <c r="F841">
        <v>0.18725999999999998</v>
      </c>
    </row>
    <row r="842" spans="1:6" x14ac:dyDescent="0.3">
      <c r="A842" t="s">
        <v>22</v>
      </c>
      <c r="B842" s="1">
        <v>45693</v>
      </c>
      <c r="C842">
        <v>1</v>
      </c>
      <c r="D842">
        <v>0.248</v>
      </c>
      <c r="E842" t="s">
        <v>6</v>
      </c>
      <c r="F842">
        <v>0.16447000000000001</v>
      </c>
    </row>
    <row r="843" spans="1:6" x14ac:dyDescent="0.3">
      <c r="A843" t="s">
        <v>22</v>
      </c>
      <c r="B843" s="1">
        <v>45693</v>
      </c>
      <c r="C843">
        <v>2</v>
      </c>
      <c r="D843">
        <v>0.152</v>
      </c>
      <c r="E843" t="s">
        <v>6</v>
      </c>
      <c r="F843">
        <v>0.15653999999999998</v>
      </c>
    </row>
    <row r="844" spans="1:6" x14ac:dyDescent="0.3">
      <c r="A844" t="s">
        <v>22</v>
      </c>
      <c r="B844" s="1">
        <v>45693</v>
      </c>
      <c r="C844">
        <v>3</v>
      </c>
      <c r="D844">
        <v>0.13200000000000001</v>
      </c>
      <c r="E844" t="s">
        <v>6</v>
      </c>
      <c r="F844">
        <v>0.15559999999999999</v>
      </c>
    </row>
    <row r="845" spans="1:6" x14ac:dyDescent="0.3">
      <c r="A845" t="s">
        <v>22</v>
      </c>
      <c r="B845" s="1">
        <v>45693</v>
      </c>
      <c r="C845">
        <v>4</v>
      </c>
      <c r="D845">
        <v>0.184</v>
      </c>
      <c r="E845" t="s">
        <v>6</v>
      </c>
      <c r="F845">
        <v>0.15453999999999998</v>
      </c>
    </row>
    <row r="846" spans="1:6" x14ac:dyDescent="0.3">
      <c r="A846" t="s">
        <v>22</v>
      </c>
      <c r="B846" s="1">
        <v>45693</v>
      </c>
      <c r="C846">
        <v>5</v>
      </c>
      <c r="D846">
        <v>2.903</v>
      </c>
      <c r="E846" t="s">
        <v>6</v>
      </c>
      <c r="F846">
        <v>0.15865000000000001</v>
      </c>
    </row>
    <row r="847" spans="1:6" x14ac:dyDescent="0.3">
      <c r="A847" t="s">
        <v>22</v>
      </c>
      <c r="B847" s="1">
        <v>45693</v>
      </c>
      <c r="C847">
        <v>6</v>
      </c>
      <c r="D847">
        <v>4.4320000000000004</v>
      </c>
      <c r="E847" t="s">
        <v>6</v>
      </c>
      <c r="F847">
        <v>0.16374</v>
      </c>
    </row>
    <row r="848" spans="1:6" x14ac:dyDescent="0.3">
      <c r="A848" t="s">
        <v>22</v>
      </c>
      <c r="B848" s="1">
        <v>45693</v>
      </c>
      <c r="C848">
        <v>7</v>
      </c>
      <c r="D848">
        <v>4.5060000000000002</v>
      </c>
      <c r="E848" t="s">
        <v>6</v>
      </c>
      <c r="F848">
        <v>0.17562</v>
      </c>
    </row>
    <row r="849" spans="1:6" x14ac:dyDescent="0.3">
      <c r="A849" t="s">
        <v>22</v>
      </c>
      <c r="B849" s="1">
        <v>45693</v>
      </c>
      <c r="C849">
        <v>8</v>
      </c>
      <c r="D849">
        <v>5.2190000000000003</v>
      </c>
      <c r="E849" t="s">
        <v>6</v>
      </c>
      <c r="F849">
        <v>0.20801</v>
      </c>
    </row>
    <row r="850" spans="1:6" x14ac:dyDescent="0.3">
      <c r="A850" t="s">
        <v>22</v>
      </c>
      <c r="B850" s="1">
        <v>45693</v>
      </c>
      <c r="C850">
        <v>9</v>
      </c>
      <c r="D850">
        <v>4.9980000000000002</v>
      </c>
      <c r="E850" t="s">
        <v>6</v>
      </c>
      <c r="F850">
        <v>0.24530000000000002</v>
      </c>
    </row>
    <row r="851" spans="1:6" x14ac:dyDescent="0.3">
      <c r="A851" t="s">
        <v>22</v>
      </c>
      <c r="B851" s="1">
        <v>45693</v>
      </c>
      <c r="C851">
        <v>10</v>
      </c>
      <c r="D851">
        <v>1.8720000000000001</v>
      </c>
      <c r="E851" t="s">
        <v>6</v>
      </c>
      <c r="F851">
        <v>0.20494000000000001</v>
      </c>
    </row>
    <row r="852" spans="1:6" x14ac:dyDescent="0.3">
      <c r="A852" t="s">
        <v>22</v>
      </c>
      <c r="B852" s="1">
        <v>45693</v>
      </c>
      <c r="C852">
        <v>11</v>
      </c>
      <c r="D852">
        <v>0.33900000000000002</v>
      </c>
      <c r="E852" t="s">
        <v>6</v>
      </c>
      <c r="F852">
        <v>0.21425</v>
      </c>
    </row>
    <row r="853" spans="1:6" x14ac:dyDescent="0.3">
      <c r="A853" t="s">
        <v>22</v>
      </c>
      <c r="B853" s="1">
        <v>45693</v>
      </c>
      <c r="C853">
        <v>12</v>
      </c>
      <c r="D853">
        <v>0</v>
      </c>
      <c r="E853" t="s">
        <v>6</v>
      </c>
      <c r="F853">
        <v>0.15200999999999998</v>
      </c>
    </row>
    <row r="854" spans="1:6" x14ac:dyDescent="0.3">
      <c r="A854" t="s">
        <v>22</v>
      </c>
      <c r="B854" s="1">
        <v>45693</v>
      </c>
      <c r="C854">
        <v>13</v>
      </c>
      <c r="D854">
        <v>0</v>
      </c>
      <c r="E854" t="s">
        <v>6</v>
      </c>
      <c r="F854">
        <v>0.13075999999999999</v>
      </c>
    </row>
    <row r="855" spans="1:6" x14ac:dyDescent="0.3">
      <c r="A855" t="s">
        <v>22</v>
      </c>
      <c r="B855" s="1">
        <v>45693</v>
      </c>
      <c r="C855">
        <v>14</v>
      </c>
      <c r="D855">
        <v>0</v>
      </c>
      <c r="E855" t="s">
        <v>6</v>
      </c>
      <c r="F855">
        <v>0.13425000000000001</v>
      </c>
    </row>
    <row r="856" spans="1:6" x14ac:dyDescent="0.3">
      <c r="A856" t="s">
        <v>22</v>
      </c>
      <c r="B856" s="1">
        <v>45693</v>
      </c>
      <c r="C856">
        <v>15</v>
      </c>
      <c r="D856">
        <v>0.77900000000000003</v>
      </c>
      <c r="E856" t="s">
        <v>6</v>
      </c>
      <c r="F856">
        <v>6.3490000000000005E-2</v>
      </c>
    </row>
    <row r="857" spans="1:6" x14ac:dyDescent="0.3">
      <c r="A857" t="s">
        <v>22</v>
      </c>
      <c r="B857" s="1">
        <v>45693</v>
      </c>
      <c r="C857">
        <v>16</v>
      </c>
      <c r="D857">
        <v>2.778</v>
      </c>
      <c r="E857" t="s">
        <v>6</v>
      </c>
      <c r="F857">
        <v>7.5670000000000001E-2</v>
      </c>
    </row>
    <row r="858" spans="1:6" x14ac:dyDescent="0.3">
      <c r="A858" t="s">
        <v>22</v>
      </c>
      <c r="B858" s="1">
        <v>45693</v>
      </c>
      <c r="C858">
        <v>17</v>
      </c>
      <c r="D858">
        <v>2.4500000000000002</v>
      </c>
      <c r="E858" t="s">
        <v>6</v>
      </c>
      <c r="F858">
        <v>0.11377</v>
      </c>
    </row>
    <row r="859" spans="1:6" x14ac:dyDescent="0.3">
      <c r="A859" t="s">
        <v>22</v>
      </c>
      <c r="B859" s="1">
        <v>45693</v>
      </c>
      <c r="C859">
        <v>18</v>
      </c>
      <c r="D859">
        <v>1.3939999999999999</v>
      </c>
      <c r="E859" t="s">
        <v>6</v>
      </c>
      <c r="F859">
        <v>0.17455000000000001</v>
      </c>
    </row>
    <row r="860" spans="1:6" x14ac:dyDescent="0.3">
      <c r="A860" t="s">
        <v>22</v>
      </c>
      <c r="B860" s="1">
        <v>45693</v>
      </c>
      <c r="C860">
        <v>19</v>
      </c>
      <c r="D860">
        <v>1.625</v>
      </c>
      <c r="E860" t="s">
        <v>6</v>
      </c>
      <c r="F860">
        <v>0.31981999999999999</v>
      </c>
    </row>
    <row r="861" spans="1:6" x14ac:dyDescent="0.3">
      <c r="A861" t="s">
        <v>22</v>
      </c>
      <c r="B861" s="1">
        <v>45693</v>
      </c>
      <c r="C861">
        <v>20</v>
      </c>
      <c r="D861">
        <v>0.61499999999999999</v>
      </c>
      <c r="E861" t="s">
        <v>6</v>
      </c>
      <c r="F861">
        <v>0.31945000000000001</v>
      </c>
    </row>
    <row r="862" spans="1:6" x14ac:dyDescent="0.3">
      <c r="A862" t="s">
        <v>22</v>
      </c>
      <c r="B862" s="1">
        <v>45693</v>
      </c>
      <c r="C862">
        <v>21</v>
      </c>
      <c r="D862">
        <v>1.353</v>
      </c>
      <c r="E862" t="s">
        <v>6</v>
      </c>
      <c r="F862">
        <v>0.29548000000000002</v>
      </c>
    </row>
    <row r="863" spans="1:6" x14ac:dyDescent="0.3">
      <c r="A863" t="s">
        <v>22</v>
      </c>
      <c r="B863" s="1">
        <v>45693</v>
      </c>
      <c r="C863">
        <v>22</v>
      </c>
      <c r="D863">
        <v>1.3480000000000001</v>
      </c>
      <c r="E863" t="s">
        <v>6</v>
      </c>
      <c r="F863">
        <v>0.27904000000000001</v>
      </c>
    </row>
    <row r="864" spans="1:6" x14ac:dyDescent="0.3">
      <c r="A864" t="s">
        <v>22</v>
      </c>
      <c r="B864" s="1">
        <v>45693</v>
      </c>
      <c r="C864">
        <v>23</v>
      </c>
      <c r="D864">
        <v>1.905</v>
      </c>
      <c r="E864" t="s">
        <v>6</v>
      </c>
      <c r="F864">
        <v>0.20080000000000001</v>
      </c>
    </row>
    <row r="865" spans="1:6" x14ac:dyDescent="0.3">
      <c r="A865" t="s">
        <v>22</v>
      </c>
      <c r="B865" s="1">
        <v>45693</v>
      </c>
      <c r="C865">
        <v>24</v>
      </c>
      <c r="D865">
        <v>0.17799999999999999</v>
      </c>
      <c r="E865" t="s">
        <v>6</v>
      </c>
      <c r="F865">
        <v>0.19497999999999999</v>
      </c>
    </row>
    <row r="866" spans="1:6" x14ac:dyDescent="0.3">
      <c r="A866" t="s">
        <v>22</v>
      </c>
      <c r="B866" s="1">
        <v>45694</v>
      </c>
      <c r="C866">
        <v>1</v>
      </c>
      <c r="D866">
        <v>0.187</v>
      </c>
      <c r="E866" t="s">
        <v>6</v>
      </c>
      <c r="F866">
        <v>0.15919</v>
      </c>
    </row>
    <row r="867" spans="1:6" x14ac:dyDescent="0.3">
      <c r="A867" t="s">
        <v>22</v>
      </c>
      <c r="B867" s="1">
        <v>45694</v>
      </c>
      <c r="C867">
        <v>2</v>
      </c>
      <c r="D867">
        <v>0.16700000000000001</v>
      </c>
      <c r="E867" t="s">
        <v>6</v>
      </c>
      <c r="F867">
        <v>0.15894999999999998</v>
      </c>
    </row>
    <row r="868" spans="1:6" x14ac:dyDescent="0.3">
      <c r="A868" t="s">
        <v>22</v>
      </c>
      <c r="B868" s="1">
        <v>45694</v>
      </c>
      <c r="C868">
        <v>3</v>
      </c>
      <c r="D868">
        <v>0.124</v>
      </c>
      <c r="E868" t="s">
        <v>6</v>
      </c>
      <c r="F868">
        <v>0.15759000000000001</v>
      </c>
    </row>
    <row r="869" spans="1:6" x14ac:dyDescent="0.3">
      <c r="A869" t="s">
        <v>22</v>
      </c>
      <c r="B869" s="1">
        <v>45694</v>
      </c>
      <c r="C869">
        <v>4</v>
      </c>
      <c r="D869">
        <v>0.13500000000000001</v>
      </c>
      <c r="E869" t="s">
        <v>6</v>
      </c>
      <c r="F869">
        <v>0.15311000000000002</v>
      </c>
    </row>
    <row r="870" spans="1:6" x14ac:dyDescent="0.3">
      <c r="A870" t="s">
        <v>22</v>
      </c>
      <c r="B870" s="1">
        <v>45694</v>
      </c>
      <c r="C870">
        <v>5</v>
      </c>
      <c r="D870">
        <v>0.20599999999999999</v>
      </c>
      <c r="E870" t="s">
        <v>6</v>
      </c>
      <c r="F870">
        <v>0.15237999999999999</v>
      </c>
    </row>
    <row r="871" spans="1:6" x14ac:dyDescent="0.3">
      <c r="A871" t="s">
        <v>22</v>
      </c>
      <c r="B871" s="1">
        <v>45694</v>
      </c>
      <c r="C871">
        <v>6</v>
      </c>
      <c r="D871">
        <v>2.7440000000000002</v>
      </c>
      <c r="E871" t="s">
        <v>6</v>
      </c>
      <c r="F871">
        <v>0.15774000000000002</v>
      </c>
    </row>
    <row r="872" spans="1:6" x14ac:dyDescent="0.3">
      <c r="A872" t="s">
        <v>22</v>
      </c>
      <c r="B872" s="1">
        <v>45694</v>
      </c>
      <c r="C872">
        <v>7</v>
      </c>
      <c r="D872">
        <v>4.26</v>
      </c>
      <c r="E872" t="s">
        <v>6</v>
      </c>
      <c r="F872">
        <v>0.17030000000000001</v>
      </c>
    </row>
    <row r="873" spans="1:6" x14ac:dyDescent="0.3">
      <c r="A873" t="s">
        <v>22</v>
      </c>
      <c r="B873" s="1">
        <v>45694</v>
      </c>
      <c r="C873">
        <v>8</v>
      </c>
      <c r="D873">
        <v>5.0140000000000002</v>
      </c>
      <c r="E873" t="s">
        <v>6</v>
      </c>
      <c r="F873">
        <v>0.20834</v>
      </c>
    </row>
    <row r="874" spans="1:6" x14ac:dyDescent="0.3">
      <c r="A874" t="s">
        <v>22</v>
      </c>
      <c r="B874" s="1">
        <v>45694</v>
      </c>
      <c r="C874">
        <v>9</v>
      </c>
      <c r="D874">
        <v>4.1619999999999999</v>
      </c>
      <c r="E874" t="s">
        <v>6</v>
      </c>
      <c r="F874">
        <v>0.26998</v>
      </c>
    </row>
    <row r="875" spans="1:6" x14ac:dyDescent="0.3">
      <c r="A875" t="s">
        <v>22</v>
      </c>
      <c r="B875" s="1">
        <v>45694</v>
      </c>
      <c r="C875">
        <v>10</v>
      </c>
      <c r="D875">
        <v>1.496</v>
      </c>
      <c r="E875" t="s">
        <v>6</v>
      </c>
      <c r="F875">
        <v>0.20358999999999999</v>
      </c>
    </row>
    <row r="876" spans="1:6" x14ac:dyDescent="0.3">
      <c r="A876" t="s">
        <v>22</v>
      </c>
      <c r="B876" s="1">
        <v>45694</v>
      </c>
      <c r="C876">
        <v>11</v>
      </c>
      <c r="D876">
        <v>0</v>
      </c>
      <c r="E876" t="s">
        <v>6</v>
      </c>
      <c r="F876">
        <v>0.22390000000000002</v>
      </c>
    </row>
    <row r="877" spans="1:6" x14ac:dyDescent="0.3">
      <c r="A877" t="s">
        <v>22</v>
      </c>
      <c r="B877" s="1">
        <v>45694</v>
      </c>
      <c r="C877">
        <v>12</v>
      </c>
      <c r="D877">
        <v>0</v>
      </c>
      <c r="E877" t="s">
        <v>6</v>
      </c>
      <c r="F877">
        <v>0.19787000000000002</v>
      </c>
    </row>
    <row r="878" spans="1:6" x14ac:dyDescent="0.3">
      <c r="A878" t="s">
        <v>22</v>
      </c>
      <c r="B878" s="1">
        <v>45694</v>
      </c>
      <c r="C878">
        <v>13</v>
      </c>
      <c r="D878">
        <v>0</v>
      </c>
      <c r="E878" t="s">
        <v>6</v>
      </c>
      <c r="F878">
        <v>0.19425000000000001</v>
      </c>
    </row>
    <row r="879" spans="1:6" x14ac:dyDescent="0.3">
      <c r="A879" t="s">
        <v>22</v>
      </c>
      <c r="B879" s="1">
        <v>45694</v>
      </c>
      <c r="C879">
        <v>14</v>
      </c>
      <c r="D879">
        <v>0</v>
      </c>
      <c r="E879" t="s">
        <v>6</v>
      </c>
      <c r="F879">
        <v>0.19030000000000002</v>
      </c>
    </row>
    <row r="880" spans="1:6" x14ac:dyDescent="0.3">
      <c r="A880" t="s">
        <v>22</v>
      </c>
      <c r="B880" s="1">
        <v>45694</v>
      </c>
      <c r="C880">
        <v>15</v>
      </c>
      <c r="D880">
        <v>0</v>
      </c>
      <c r="E880" t="s">
        <v>6</v>
      </c>
      <c r="F880">
        <v>0.11981</v>
      </c>
    </row>
    <row r="881" spans="1:6" x14ac:dyDescent="0.3">
      <c r="A881" t="s">
        <v>22</v>
      </c>
      <c r="B881" s="1">
        <v>45694</v>
      </c>
      <c r="C881">
        <v>16</v>
      </c>
      <c r="D881">
        <v>0</v>
      </c>
      <c r="E881" t="s">
        <v>6</v>
      </c>
      <c r="F881">
        <v>0.12468000000000001</v>
      </c>
    </row>
    <row r="882" spans="1:6" x14ac:dyDescent="0.3">
      <c r="A882" t="s">
        <v>22</v>
      </c>
      <c r="B882" s="1">
        <v>45694</v>
      </c>
      <c r="C882">
        <v>17</v>
      </c>
      <c r="D882">
        <v>0</v>
      </c>
      <c r="E882" t="s">
        <v>6</v>
      </c>
      <c r="F882">
        <v>0.15212000000000001</v>
      </c>
    </row>
    <row r="883" spans="1:6" x14ac:dyDescent="0.3">
      <c r="A883" t="s">
        <v>22</v>
      </c>
      <c r="B883" s="1">
        <v>45694</v>
      </c>
      <c r="C883">
        <v>18</v>
      </c>
      <c r="D883">
        <v>0.05</v>
      </c>
      <c r="E883" t="s">
        <v>6</v>
      </c>
      <c r="F883">
        <v>0.18383000000000002</v>
      </c>
    </row>
    <row r="884" spans="1:6" x14ac:dyDescent="0.3">
      <c r="A884" t="s">
        <v>22</v>
      </c>
      <c r="B884" s="1">
        <v>45694</v>
      </c>
      <c r="C884">
        <v>19</v>
      </c>
      <c r="D884">
        <v>0.315</v>
      </c>
      <c r="E884" t="s">
        <v>6</v>
      </c>
      <c r="F884">
        <v>0.28667000000000004</v>
      </c>
    </row>
    <row r="885" spans="1:6" x14ac:dyDescent="0.3">
      <c r="A885" t="s">
        <v>22</v>
      </c>
      <c r="B885" s="1">
        <v>45694</v>
      </c>
      <c r="C885">
        <v>20</v>
      </c>
      <c r="D885">
        <v>2.76</v>
      </c>
      <c r="E885" t="s">
        <v>6</v>
      </c>
      <c r="F885">
        <v>0.31269000000000002</v>
      </c>
    </row>
    <row r="886" spans="1:6" x14ac:dyDescent="0.3">
      <c r="A886" t="s">
        <v>22</v>
      </c>
      <c r="B886" s="1">
        <v>45694</v>
      </c>
      <c r="C886">
        <v>21</v>
      </c>
      <c r="D886">
        <v>4.1539999999999999</v>
      </c>
      <c r="E886" t="s">
        <v>6</v>
      </c>
      <c r="F886">
        <v>0.36313999999999996</v>
      </c>
    </row>
    <row r="887" spans="1:6" x14ac:dyDescent="0.3">
      <c r="A887" t="s">
        <v>22</v>
      </c>
      <c r="B887" s="1">
        <v>45694</v>
      </c>
      <c r="C887">
        <v>22</v>
      </c>
      <c r="D887">
        <v>4.0149999999999997</v>
      </c>
      <c r="E887" t="s">
        <v>6</v>
      </c>
      <c r="F887">
        <v>0.27876000000000001</v>
      </c>
    </row>
    <row r="888" spans="1:6" x14ac:dyDescent="0.3">
      <c r="A888" t="s">
        <v>22</v>
      </c>
      <c r="B888" s="1">
        <v>45694</v>
      </c>
      <c r="C888">
        <v>23</v>
      </c>
      <c r="D888">
        <v>3.641</v>
      </c>
      <c r="E888" t="s">
        <v>6</v>
      </c>
      <c r="F888">
        <v>0.19700000000000001</v>
      </c>
    </row>
    <row r="889" spans="1:6" x14ac:dyDescent="0.3">
      <c r="A889" t="s">
        <v>22</v>
      </c>
      <c r="B889" s="1">
        <v>45694</v>
      </c>
      <c r="C889">
        <v>24</v>
      </c>
      <c r="D889">
        <v>3.5569999999999999</v>
      </c>
      <c r="E889" t="s">
        <v>6</v>
      </c>
      <c r="F889">
        <v>0.19262000000000001</v>
      </c>
    </row>
    <row r="890" spans="1:6" x14ac:dyDescent="0.3">
      <c r="A890" t="s">
        <v>22</v>
      </c>
      <c r="B890" s="1">
        <v>45695</v>
      </c>
      <c r="C890">
        <v>1</v>
      </c>
      <c r="D890">
        <v>3.1480000000000001</v>
      </c>
      <c r="E890" t="s">
        <v>6</v>
      </c>
      <c r="F890">
        <v>0.16269999999999998</v>
      </c>
    </row>
    <row r="891" spans="1:6" x14ac:dyDescent="0.3">
      <c r="A891" t="s">
        <v>22</v>
      </c>
      <c r="B891" s="1">
        <v>45695</v>
      </c>
      <c r="C891">
        <v>2</v>
      </c>
      <c r="D891">
        <v>3.0939999999999999</v>
      </c>
      <c r="E891" t="s">
        <v>6</v>
      </c>
      <c r="F891">
        <v>0.14673</v>
      </c>
    </row>
    <row r="892" spans="1:6" x14ac:dyDescent="0.3">
      <c r="A892" t="s">
        <v>22</v>
      </c>
      <c r="B892" s="1">
        <v>45695</v>
      </c>
      <c r="C892">
        <v>3</v>
      </c>
      <c r="D892">
        <v>2.5310000000000001</v>
      </c>
      <c r="E892" t="s">
        <v>6</v>
      </c>
      <c r="F892">
        <v>0.14636000000000002</v>
      </c>
    </row>
    <row r="893" spans="1:6" x14ac:dyDescent="0.3">
      <c r="A893" t="s">
        <v>22</v>
      </c>
      <c r="B893" s="1">
        <v>45695</v>
      </c>
      <c r="C893">
        <v>4</v>
      </c>
      <c r="D893">
        <v>2.9910000000000001</v>
      </c>
      <c r="E893" t="s">
        <v>6</v>
      </c>
      <c r="F893">
        <v>0.14000000000000001</v>
      </c>
    </row>
    <row r="894" spans="1:6" x14ac:dyDescent="0.3">
      <c r="A894" t="s">
        <v>22</v>
      </c>
      <c r="B894" s="1">
        <v>45695</v>
      </c>
      <c r="C894">
        <v>5</v>
      </c>
      <c r="D894">
        <v>2.6880000000000002</v>
      </c>
      <c r="E894" t="s">
        <v>6</v>
      </c>
      <c r="F894">
        <v>0.14101</v>
      </c>
    </row>
    <row r="895" spans="1:6" x14ac:dyDescent="0.3">
      <c r="A895" t="s">
        <v>22</v>
      </c>
      <c r="B895" s="1">
        <v>45695</v>
      </c>
      <c r="C895">
        <v>6</v>
      </c>
      <c r="D895">
        <v>2.9169999999999998</v>
      </c>
      <c r="E895" t="s">
        <v>6</v>
      </c>
      <c r="F895">
        <v>0.14147999999999999</v>
      </c>
    </row>
    <row r="896" spans="1:6" x14ac:dyDescent="0.3">
      <c r="A896" t="s">
        <v>22</v>
      </c>
      <c r="B896" s="1">
        <v>45695</v>
      </c>
      <c r="C896">
        <v>7</v>
      </c>
      <c r="D896">
        <v>2.6269999999999998</v>
      </c>
      <c r="E896" t="s">
        <v>6</v>
      </c>
      <c r="F896">
        <v>0.14953</v>
      </c>
    </row>
    <row r="897" spans="1:6" x14ac:dyDescent="0.3">
      <c r="A897" t="s">
        <v>22</v>
      </c>
      <c r="B897" s="1">
        <v>45695</v>
      </c>
      <c r="C897">
        <v>8</v>
      </c>
      <c r="D897">
        <v>4.0460000000000003</v>
      </c>
      <c r="E897" t="s">
        <v>6</v>
      </c>
      <c r="F897">
        <v>0.17579</v>
      </c>
    </row>
    <row r="898" spans="1:6" x14ac:dyDescent="0.3">
      <c r="A898" t="s">
        <v>22</v>
      </c>
      <c r="B898" s="1">
        <v>45695</v>
      </c>
      <c r="C898">
        <v>9</v>
      </c>
      <c r="D898">
        <v>3.4609999999999999</v>
      </c>
      <c r="E898" t="s">
        <v>6</v>
      </c>
      <c r="F898">
        <v>0.22857</v>
      </c>
    </row>
    <row r="899" spans="1:6" x14ac:dyDescent="0.3">
      <c r="A899" t="s">
        <v>22</v>
      </c>
      <c r="B899" s="1">
        <v>45695</v>
      </c>
      <c r="C899">
        <v>10</v>
      </c>
      <c r="D899">
        <v>1.9950000000000001</v>
      </c>
      <c r="E899" t="s">
        <v>6</v>
      </c>
      <c r="F899">
        <v>0.20612</v>
      </c>
    </row>
    <row r="900" spans="1:6" x14ac:dyDescent="0.3">
      <c r="A900" t="s">
        <v>22</v>
      </c>
      <c r="B900" s="1">
        <v>45695</v>
      </c>
      <c r="C900">
        <v>11</v>
      </c>
      <c r="D900">
        <v>1.4750000000000001</v>
      </c>
      <c r="E900" t="s">
        <v>6</v>
      </c>
      <c r="F900">
        <v>0.2238</v>
      </c>
    </row>
    <row r="901" spans="1:6" x14ac:dyDescent="0.3">
      <c r="A901" t="s">
        <v>22</v>
      </c>
      <c r="B901" s="1">
        <v>45695</v>
      </c>
      <c r="C901">
        <v>12</v>
      </c>
      <c r="D901">
        <v>1.82</v>
      </c>
      <c r="E901" t="s">
        <v>6</v>
      </c>
      <c r="F901">
        <v>0.21221000000000001</v>
      </c>
    </row>
    <row r="902" spans="1:6" x14ac:dyDescent="0.3">
      <c r="A902" t="s">
        <v>22</v>
      </c>
      <c r="B902" s="1">
        <v>45695</v>
      </c>
      <c r="C902">
        <v>13</v>
      </c>
      <c r="D902">
        <v>2.1549999999999998</v>
      </c>
      <c r="E902" t="s">
        <v>6</v>
      </c>
      <c r="F902">
        <v>0.20546999999999999</v>
      </c>
    </row>
    <row r="903" spans="1:6" x14ac:dyDescent="0.3">
      <c r="A903" t="s">
        <v>22</v>
      </c>
      <c r="B903" s="1">
        <v>45695</v>
      </c>
      <c r="C903">
        <v>14</v>
      </c>
      <c r="D903">
        <v>2.1549999999999998</v>
      </c>
      <c r="E903" t="s">
        <v>6</v>
      </c>
      <c r="F903">
        <v>0.2001</v>
      </c>
    </row>
    <row r="904" spans="1:6" x14ac:dyDescent="0.3">
      <c r="A904" t="s">
        <v>22</v>
      </c>
      <c r="B904" s="1">
        <v>45695</v>
      </c>
      <c r="C904">
        <v>15</v>
      </c>
      <c r="D904">
        <v>0.16500000000000001</v>
      </c>
      <c r="E904" t="s">
        <v>6</v>
      </c>
      <c r="F904">
        <v>0.13245999999999999</v>
      </c>
    </row>
    <row r="905" spans="1:6" x14ac:dyDescent="0.3">
      <c r="A905" t="s">
        <v>22</v>
      </c>
      <c r="B905" s="1">
        <v>45695</v>
      </c>
      <c r="C905">
        <v>16</v>
      </c>
      <c r="D905">
        <v>1.2370000000000001</v>
      </c>
      <c r="E905" t="s">
        <v>6</v>
      </c>
      <c r="F905">
        <v>0.13743</v>
      </c>
    </row>
    <row r="906" spans="1:6" x14ac:dyDescent="0.3">
      <c r="A906" t="s">
        <v>22</v>
      </c>
      <c r="B906" s="1">
        <v>45695</v>
      </c>
      <c r="C906">
        <v>17</v>
      </c>
      <c r="D906">
        <v>2.0920000000000001</v>
      </c>
      <c r="E906" t="s">
        <v>6</v>
      </c>
      <c r="F906">
        <v>0.14155999999999999</v>
      </c>
    </row>
    <row r="907" spans="1:6" x14ac:dyDescent="0.3">
      <c r="A907" t="s">
        <v>22</v>
      </c>
      <c r="B907" s="1">
        <v>45695</v>
      </c>
      <c r="C907">
        <v>18</v>
      </c>
      <c r="D907">
        <v>3.4350000000000001</v>
      </c>
      <c r="E907" t="s">
        <v>6</v>
      </c>
      <c r="F907">
        <v>0.16131000000000001</v>
      </c>
    </row>
    <row r="908" spans="1:6" x14ac:dyDescent="0.3">
      <c r="A908" t="s">
        <v>22</v>
      </c>
      <c r="B908" s="1">
        <v>45695</v>
      </c>
      <c r="C908">
        <v>19</v>
      </c>
      <c r="D908">
        <v>2.9750000000000001</v>
      </c>
      <c r="E908" t="s">
        <v>6</v>
      </c>
      <c r="F908">
        <v>0.25912000000000002</v>
      </c>
    </row>
    <row r="909" spans="1:6" x14ac:dyDescent="0.3">
      <c r="A909" t="s">
        <v>22</v>
      </c>
      <c r="B909" s="1">
        <v>45695</v>
      </c>
      <c r="C909">
        <v>20</v>
      </c>
      <c r="D909">
        <v>2.71</v>
      </c>
      <c r="E909" t="s">
        <v>6</v>
      </c>
      <c r="F909">
        <v>0.27112999999999998</v>
      </c>
    </row>
    <row r="910" spans="1:6" x14ac:dyDescent="0.3">
      <c r="A910" t="s">
        <v>22</v>
      </c>
      <c r="B910" s="1">
        <v>45695</v>
      </c>
      <c r="C910">
        <v>21</v>
      </c>
      <c r="D910">
        <v>2.2930000000000001</v>
      </c>
      <c r="E910" t="s">
        <v>6</v>
      </c>
      <c r="F910">
        <v>0.26501999999999998</v>
      </c>
    </row>
    <row r="911" spans="1:6" x14ac:dyDescent="0.3">
      <c r="A911" t="s">
        <v>22</v>
      </c>
      <c r="B911" s="1">
        <v>45695</v>
      </c>
      <c r="C911">
        <v>22</v>
      </c>
      <c r="D911">
        <v>2.161</v>
      </c>
      <c r="E911" t="s">
        <v>6</v>
      </c>
      <c r="F911">
        <v>0.25266</v>
      </c>
    </row>
    <row r="912" spans="1:6" x14ac:dyDescent="0.3">
      <c r="A912" t="s">
        <v>22</v>
      </c>
      <c r="B912" s="1">
        <v>45695</v>
      </c>
      <c r="C912">
        <v>23</v>
      </c>
      <c r="D912">
        <v>0.77700000000000002</v>
      </c>
      <c r="E912" t="s">
        <v>6</v>
      </c>
      <c r="F912">
        <v>0.18711000000000003</v>
      </c>
    </row>
    <row r="913" spans="1:6" x14ac:dyDescent="0.3">
      <c r="A913" t="s">
        <v>22</v>
      </c>
      <c r="B913" s="1">
        <v>45695</v>
      </c>
      <c r="C913">
        <v>24</v>
      </c>
      <c r="D913">
        <v>0.45500000000000002</v>
      </c>
      <c r="E913" t="s">
        <v>6</v>
      </c>
      <c r="F913">
        <v>0.17530000000000001</v>
      </c>
    </row>
    <row r="914" spans="1:6" x14ac:dyDescent="0.3">
      <c r="A914" t="s">
        <v>22</v>
      </c>
      <c r="B914" s="1">
        <v>45696</v>
      </c>
      <c r="C914">
        <v>1</v>
      </c>
      <c r="D914">
        <v>0.40300000000000002</v>
      </c>
      <c r="E914" t="s">
        <v>6</v>
      </c>
      <c r="F914">
        <v>0.14554</v>
      </c>
    </row>
    <row r="915" spans="1:6" x14ac:dyDescent="0.3">
      <c r="A915" t="s">
        <v>22</v>
      </c>
      <c r="B915" s="1">
        <v>45696</v>
      </c>
      <c r="C915">
        <v>2</v>
      </c>
      <c r="D915">
        <v>0.40600000000000003</v>
      </c>
      <c r="E915" t="s">
        <v>6</v>
      </c>
      <c r="F915">
        <v>0.13643</v>
      </c>
    </row>
    <row r="916" spans="1:6" x14ac:dyDescent="0.3">
      <c r="A916" t="s">
        <v>22</v>
      </c>
      <c r="B916" s="1">
        <v>45696</v>
      </c>
      <c r="C916">
        <v>3</v>
      </c>
      <c r="D916">
        <v>0.15</v>
      </c>
      <c r="E916" t="s">
        <v>6</v>
      </c>
      <c r="F916">
        <v>0.13063999999999998</v>
      </c>
    </row>
    <row r="917" spans="1:6" x14ac:dyDescent="0.3">
      <c r="A917" t="s">
        <v>22</v>
      </c>
      <c r="B917" s="1">
        <v>45696</v>
      </c>
      <c r="C917">
        <v>4</v>
      </c>
      <c r="D917">
        <v>0.112</v>
      </c>
      <c r="E917" t="s">
        <v>6</v>
      </c>
      <c r="F917">
        <v>0.13392999999999999</v>
      </c>
    </row>
    <row r="918" spans="1:6" x14ac:dyDescent="0.3">
      <c r="A918" t="s">
        <v>22</v>
      </c>
      <c r="B918" s="1">
        <v>45696</v>
      </c>
      <c r="C918">
        <v>5</v>
      </c>
      <c r="D918">
        <v>0.13600000000000001</v>
      </c>
      <c r="E918" t="s">
        <v>6</v>
      </c>
      <c r="F918">
        <v>0.12916</v>
      </c>
    </row>
    <row r="919" spans="1:6" x14ac:dyDescent="0.3">
      <c r="A919" t="s">
        <v>22</v>
      </c>
      <c r="B919" s="1">
        <v>45696</v>
      </c>
      <c r="C919">
        <v>6</v>
      </c>
      <c r="D919">
        <v>0.14799999999999999</v>
      </c>
      <c r="E919" t="s">
        <v>6</v>
      </c>
      <c r="F919">
        <v>0.13040000000000002</v>
      </c>
    </row>
    <row r="920" spans="1:6" x14ac:dyDescent="0.3">
      <c r="A920" t="s">
        <v>22</v>
      </c>
      <c r="B920" s="1">
        <v>45696</v>
      </c>
      <c r="C920">
        <v>7</v>
      </c>
      <c r="D920">
        <v>9.5000000000000001E-2</v>
      </c>
      <c r="E920" t="s">
        <v>6</v>
      </c>
      <c r="F920">
        <v>0.13638</v>
      </c>
    </row>
    <row r="921" spans="1:6" x14ac:dyDescent="0.3">
      <c r="A921" t="s">
        <v>22</v>
      </c>
      <c r="B921" s="1">
        <v>45696</v>
      </c>
      <c r="C921">
        <v>8</v>
      </c>
      <c r="D921">
        <v>1.056</v>
      </c>
      <c r="E921" t="s">
        <v>6</v>
      </c>
      <c r="F921">
        <v>0.15275999999999998</v>
      </c>
    </row>
    <row r="922" spans="1:6" x14ac:dyDescent="0.3">
      <c r="A922" t="s">
        <v>22</v>
      </c>
      <c r="B922" s="1">
        <v>45696</v>
      </c>
      <c r="C922">
        <v>9</v>
      </c>
      <c r="D922">
        <v>3.7050000000000001</v>
      </c>
      <c r="E922" t="s">
        <v>6</v>
      </c>
      <c r="F922">
        <v>0.15180000000000002</v>
      </c>
    </row>
    <row r="923" spans="1:6" x14ac:dyDescent="0.3">
      <c r="A923" t="s">
        <v>22</v>
      </c>
      <c r="B923" s="1">
        <v>45696</v>
      </c>
      <c r="C923">
        <v>10</v>
      </c>
      <c r="D923">
        <v>3.6669999999999998</v>
      </c>
      <c r="E923" t="s">
        <v>6</v>
      </c>
      <c r="F923">
        <v>0.14054</v>
      </c>
    </row>
    <row r="924" spans="1:6" x14ac:dyDescent="0.3">
      <c r="A924" t="s">
        <v>22</v>
      </c>
      <c r="B924" s="1">
        <v>45696</v>
      </c>
      <c r="C924">
        <v>11</v>
      </c>
      <c r="D924">
        <v>2.117</v>
      </c>
      <c r="E924" t="s">
        <v>6</v>
      </c>
      <c r="F924">
        <v>0.10628</v>
      </c>
    </row>
    <row r="925" spans="1:6" x14ac:dyDescent="0.3">
      <c r="A925" t="s">
        <v>22</v>
      </c>
      <c r="B925" s="1">
        <v>45696</v>
      </c>
      <c r="C925">
        <v>12</v>
      </c>
      <c r="D925">
        <v>3.419</v>
      </c>
      <c r="E925" t="s">
        <v>6</v>
      </c>
      <c r="F925">
        <v>0.11864</v>
      </c>
    </row>
    <row r="926" spans="1:6" x14ac:dyDescent="0.3">
      <c r="A926" t="s">
        <v>22</v>
      </c>
      <c r="B926" s="1">
        <v>45696</v>
      </c>
      <c r="C926">
        <v>13</v>
      </c>
      <c r="D926">
        <v>2.3439999999999999</v>
      </c>
      <c r="E926" t="s">
        <v>6</v>
      </c>
      <c r="F926">
        <v>8.3849999999999994E-2</v>
      </c>
    </row>
    <row r="927" spans="1:6" x14ac:dyDescent="0.3">
      <c r="A927" t="s">
        <v>22</v>
      </c>
      <c r="B927" s="1">
        <v>45696</v>
      </c>
      <c r="C927">
        <v>14</v>
      </c>
      <c r="D927">
        <v>0</v>
      </c>
      <c r="E927" t="s">
        <v>6</v>
      </c>
      <c r="F927">
        <v>7.2969999999999993E-2</v>
      </c>
    </row>
    <row r="928" spans="1:6" x14ac:dyDescent="0.3">
      <c r="A928" t="s">
        <v>22</v>
      </c>
      <c r="B928" s="1">
        <v>45696</v>
      </c>
      <c r="C928">
        <v>15</v>
      </c>
      <c r="D928">
        <v>0</v>
      </c>
      <c r="E928" t="s">
        <v>6</v>
      </c>
      <c r="F928">
        <v>6.7720000000000002E-2</v>
      </c>
    </row>
    <row r="929" spans="1:6" x14ac:dyDescent="0.3">
      <c r="A929" t="s">
        <v>22</v>
      </c>
      <c r="B929" s="1">
        <v>45696</v>
      </c>
      <c r="C929">
        <v>16</v>
      </c>
      <c r="D929">
        <v>0</v>
      </c>
      <c r="E929" t="s">
        <v>6</v>
      </c>
      <c r="F929">
        <v>6.2859999999999999E-2</v>
      </c>
    </row>
    <row r="930" spans="1:6" x14ac:dyDescent="0.3">
      <c r="A930" t="s">
        <v>22</v>
      </c>
      <c r="B930" s="1">
        <v>45696</v>
      </c>
      <c r="C930">
        <v>17</v>
      </c>
      <c r="D930">
        <v>0</v>
      </c>
      <c r="E930" t="s">
        <v>6</v>
      </c>
      <c r="F930">
        <v>9.4129999999999991E-2</v>
      </c>
    </row>
    <row r="931" spans="1:6" x14ac:dyDescent="0.3">
      <c r="A931" t="s">
        <v>22</v>
      </c>
      <c r="B931" s="1">
        <v>45696</v>
      </c>
      <c r="C931">
        <v>18</v>
      </c>
      <c r="D931">
        <v>3.6970000000000001</v>
      </c>
      <c r="E931" t="s">
        <v>6</v>
      </c>
      <c r="F931">
        <v>0.15292</v>
      </c>
    </row>
    <row r="932" spans="1:6" x14ac:dyDescent="0.3">
      <c r="A932" t="s">
        <v>22</v>
      </c>
      <c r="B932" s="1">
        <v>45696</v>
      </c>
      <c r="C932">
        <v>19</v>
      </c>
      <c r="D932">
        <v>4.6440000000000001</v>
      </c>
      <c r="E932" t="s">
        <v>6</v>
      </c>
      <c r="F932">
        <v>0.20024</v>
      </c>
    </row>
    <row r="933" spans="1:6" x14ac:dyDescent="0.3">
      <c r="A933" t="s">
        <v>22</v>
      </c>
      <c r="B933" s="1">
        <v>45696</v>
      </c>
      <c r="C933">
        <v>20</v>
      </c>
      <c r="D933">
        <v>4.6470000000000002</v>
      </c>
      <c r="E933" t="s">
        <v>6</v>
      </c>
      <c r="F933">
        <v>0.20648</v>
      </c>
    </row>
    <row r="934" spans="1:6" x14ac:dyDescent="0.3">
      <c r="A934" t="s">
        <v>22</v>
      </c>
      <c r="B934" s="1">
        <v>45696</v>
      </c>
      <c r="C934">
        <v>21</v>
      </c>
      <c r="D934">
        <v>4.3620000000000001</v>
      </c>
      <c r="E934" t="s">
        <v>6</v>
      </c>
      <c r="F934">
        <v>0.20372000000000001</v>
      </c>
    </row>
    <row r="935" spans="1:6" x14ac:dyDescent="0.3">
      <c r="A935" t="s">
        <v>22</v>
      </c>
      <c r="B935" s="1">
        <v>45696</v>
      </c>
      <c r="C935">
        <v>22</v>
      </c>
      <c r="D935">
        <v>4.0869999999999997</v>
      </c>
      <c r="E935" t="s">
        <v>6</v>
      </c>
      <c r="F935">
        <v>0.19158</v>
      </c>
    </row>
    <row r="936" spans="1:6" x14ac:dyDescent="0.3">
      <c r="A936" t="s">
        <v>22</v>
      </c>
      <c r="B936" s="1">
        <v>45696</v>
      </c>
      <c r="C936">
        <v>23</v>
      </c>
      <c r="D936">
        <v>4.101</v>
      </c>
      <c r="E936" t="s">
        <v>6</v>
      </c>
      <c r="F936">
        <v>0.18862999999999999</v>
      </c>
    </row>
    <row r="937" spans="1:6" x14ac:dyDescent="0.3">
      <c r="A937" t="s">
        <v>22</v>
      </c>
      <c r="B937" s="1">
        <v>45696</v>
      </c>
      <c r="C937">
        <v>24</v>
      </c>
      <c r="D937">
        <v>3.9540000000000002</v>
      </c>
      <c r="E937" t="s">
        <v>6</v>
      </c>
      <c r="F937">
        <v>0.18572999999999998</v>
      </c>
    </row>
    <row r="938" spans="1:6" x14ac:dyDescent="0.3">
      <c r="A938" t="s">
        <v>22</v>
      </c>
      <c r="B938" s="1">
        <v>45697</v>
      </c>
      <c r="C938">
        <v>1</v>
      </c>
      <c r="D938">
        <v>4.1630000000000003</v>
      </c>
      <c r="E938" t="s">
        <v>6</v>
      </c>
      <c r="F938">
        <v>0.16969000000000001</v>
      </c>
    </row>
    <row r="939" spans="1:6" x14ac:dyDescent="0.3">
      <c r="A939" t="s">
        <v>22</v>
      </c>
      <c r="B939" s="1">
        <v>45697</v>
      </c>
      <c r="C939">
        <v>2</v>
      </c>
      <c r="D939">
        <v>4.18</v>
      </c>
      <c r="E939" t="s">
        <v>6</v>
      </c>
      <c r="F939">
        <v>0.15436000000000002</v>
      </c>
    </row>
    <row r="940" spans="1:6" x14ac:dyDescent="0.3">
      <c r="A940" t="s">
        <v>22</v>
      </c>
      <c r="B940" s="1">
        <v>45697</v>
      </c>
      <c r="C940">
        <v>3</v>
      </c>
      <c r="D940">
        <v>2.3180000000000001</v>
      </c>
      <c r="E940" t="s">
        <v>6</v>
      </c>
      <c r="F940">
        <v>0.14784999999999998</v>
      </c>
    </row>
    <row r="941" spans="1:6" x14ac:dyDescent="0.3">
      <c r="A941" t="s">
        <v>22</v>
      </c>
      <c r="B941" s="1">
        <v>45697</v>
      </c>
      <c r="C941">
        <v>4</v>
      </c>
      <c r="D941">
        <v>0.14399999999999999</v>
      </c>
      <c r="E941" t="s">
        <v>6</v>
      </c>
      <c r="F941">
        <v>0.14426</v>
      </c>
    </row>
    <row r="942" spans="1:6" x14ac:dyDescent="0.3">
      <c r="A942" t="s">
        <v>22</v>
      </c>
      <c r="B942" s="1">
        <v>45697</v>
      </c>
      <c r="C942">
        <v>5</v>
      </c>
      <c r="D942">
        <v>0.114</v>
      </c>
      <c r="E942" t="s">
        <v>6</v>
      </c>
      <c r="F942">
        <v>0.13702</v>
      </c>
    </row>
    <row r="943" spans="1:6" x14ac:dyDescent="0.3">
      <c r="A943" t="s">
        <v>22</v>
      </c>
      <c r="B943" s="1">
        <v>45697</v>
      </c>
      <c r="C943">
        <v>6</v>
      </c>
      <c r="D943">
        <v>2.52</v>
      </c>
      <c r="E943" t="s">
        <v>6</v>
      </c>
      <c r="F943">
        <v>0.13697000000000001</v>
      </c>
    </row>
    <row r="944" spans="1:6" x14ac:dyDescent="0.3">
      <c r="A944" t="s">
        <v>22</v>
      </c>
      <c r="B944" s="1">
        <v>45697</v>
      </c>
      <c r="C944">
        <v>7</v>
      </c>
      <c r="D944">
        <v>3.8490000000000002</v>
      </c>
      <c r="E944" t="s">
        <v>6</v>
      </c>
      <c r="F944">
        <v>0.14577999999999999</v>
      </c>
    </row>
    <row r="945" spans="1:6" x14ac:dyDescent="0.3">
      <c r="A945" t="s">
        <v>22</v>
      </c>
      <c r="B945" s="1">
        <v>45697</v>
      </c>
      <c r="C945">
        <v>8</v>
      </c>
      <c r="D945">
        <v>4.3250000000000002</v>
      </c>
      <c r="E945" t="s">
        <v>6</v>
      </c>
      <c r="F945">
        <v>0.15355000000000002</v>
      </c>
    </row>
    <row r="946" spans="1:6" x14ac:dyDescent="0.3">
      <c r="A946" t="s">
        <v>22</v>
      </c>
      <c r="B946" s="1">
        <v>45697</v>
      </c>
      <c r="C946">
        <v>9</v>
      </c>
      <c r="D946">
        <v>4.3280000000000003</v>
      </c>
      <c r="E946" t="s">
        <v>6</v>
      </c>
      <c r="F946">
        <v>0.15215000000000001</v>
      </c>
    </row>
    <row r="947" spans="1:6" x14ac:dyDescent="0.3">
      <c r="A947" t="s">
        <v>22</v>
      </c>
      <c r="B947" s="1">
        <v>45697</v>
      </c>
      <c r="C947">
        <v>10</v>
      </c>
      <c r="D947">
        <v>3.9460000000000002</v>
      </c>
      <c r="E947" t="s">
        <v>6</v>
      </c>
      <c r="F947">
        <v>0.13843</v>
      </c>
    </row>
    <row r="948" spans="1:6" x14ac:dyDescent="0.3">
      <c r="A948" t="s">
        <v>22</v>
      </c>
      <c r="B948" s="1">
        <v>45697</v>
      </c>
      <c r="C948">
        <v>11</v>
      </c>
      <c r="D948">
        <v>1.2629999999999999</v>
      </c>
      <c r="E948" t="s">
        <v>6</v>
      </c>
      <c r="F948">
        <v>0.10105</v>
      </c>
    </row>
    <row r="949" spans="1:6" x14ac:dyDescent="0.3">
      <c r="A949" t="s">
        <v>22</v>
      </c>
      <c r="B949" s="1">
        <v>45697</v>
      </c>
      <c r="C949">
        <v>12</v>
      </c>
      <c r="D949">
        <v>0</v>
      </c>
      <c r="E949" t="s">
        <v>6</v>
      </c>
      <c r="F949">
        <v>9.0950000000000003E-2</v>
      </c>
    </row>
    <row r="950" spans="1:6" x14ac:dyDescent="0.3">
      <c r="A950" t="s">
        <v>22</v>
      </c>
      <c r="B950" s="1">
        <v>45697</v>
      </c>
      <c r="C950">
        <v>13</v>
      </c>
      <c r="D950">
        <v>0</v>
      </c>
      <c r="E950" t="s">
        <v>6</v>
      </c>
      <c r="F950">
        <v>8.4129999999999996E-2</v>
      </c>
    </row>
    <row r="951" spans="1:6" x14ac:dyDescent="0.3">
      <c r="A951" t="s">
        <v>22</v>
      </c>
      <c r="B951" s="1">
        <v>45697</v>
      </c>
      <c r="C951">
        <v>14</v>
      </c>
      <c r="D951">
        <v>0</v>
      </c>
      <c r="E951" t="s">
        <v>6</v>
      </c>
      <c r="F951">
        <v>9.3189999999999995E-2</v>
      </c>
    </row>
    <row r="952" spans="1:6" x14ac:dyDescent="0.3">
      <c r="A952" t="s">
        <v>22</v>
      </c>
      <c r="B952" s="1">
        <v>45697</v>
      </c>
      <c r="C952">
        <v>15</v>
      </c>
      <c r="D952">
        <v>1.4219999999999999</v>
      </c>
      <c r="E952" t="s">
        <v>6</v>
      </c>
      <c r="F952">
        <v>9.3469999999999998E-2</v>
      </c>
    </row>
    <row r="953" spans="1:6" x14ac:dyDescent="0.3">
      <c r="A953" t="s">
        <v>22</v>
      </c>
      <c r="B953" s="1">
        <v>45697</v>
      </c>
      <c r="C953">
        <v>16</v>
      </c>
      <c r="D953">
        <v>2.169</v>
      </c>
      <c r="E953" t="s">
        <v>6</v>
      </c>
      <c r="F953">
        <v>9.4989999999999991E-2</v>
      </c>
    </row>
    <row r="954" spans="1:6" x14ac:dyDescent="0.3">
      <c r="A954" t="s">
        <v>22</v>
      </c>
      <c r="B954" s="1">
        <v>45697</v>
      </c>
      <c r="C954">
        <v>17</v>
      </c>
      <c r="D954">
        <v>0.28499999999999998</v>
      </c>
      <c r="E954" t="s">
        <v>6</v>
      </c>
      <c r="F954">
        <v>0.12512000000000001</v>
      </c>
    </row>
    <row r="955" spans="1:6" x14ac:dyDescent="0.3">
      <c r="A955" t="s">
        <v>22</v>
      </c>
      <c r="B955" s="1">
        <v>45697</v>
      </c>
      <c r="C955">
        <v>18</v>
      </c>
      <c r="D955">
        <v>0.126</v>
      </c>
      <c r="E955" t="s">
        <v>6</v>
      </c>
      <c r="F955">
        <v>0.15224000000000001</v>
      </c>
    </row>
    <row r="956" spans="1:6" x14ac:dyDescent="0.3">
      <c r="A956" t="s">
        <v>22</v>
      </c>
      <c r="B956" s="1">
        <v>45697</v>
      </c>
      <c r="C956">
        <v>19</v>
      </c>
      <c r="D956">
        <v>0.21</v>
      </c>
      <c r="E956" t="s">
        <v>6</v>
      </c>
      <c r="F956">
        <v>0.20980000000000001</v>
      </c>
    </row>
    <row r="957" spans="1:6" x14ac:dyDescent="0.3">
      <c r="A957" t="s">
        <v>22</v>
      </c>
      <c r="B957" s="1">
        <v>45697</v>
      </c>
      <c r="C957">
        <v>20</v>
      </c>
      <c r="D957">
        <v>2.5830000000000002</v>
      </c>
      <c r="E957" t="s">
        <v>6</v>
      </c>
      <c r="F957">
        <v>0.20846999999999999</v>
      </c>
    </row>
    <row r="958" spans="1:6" x14ac:dyDescent="0.3">
      <c r="A958" t="s">
        <v>22</v>
      </c>
      <c r="B958" s="1">
        <v>45697</v>
      </c>
      <c r="C958">
        <v>21</v>
      </c>
      <c r="D958">
        <v>3.7069999999999999</v>
      </c>
      <c r="E958" t="s">
        <v>6</v>
      </c>
      <c r="F958">
        <v>0.23222999999999999</v>
      </c>
    </row>
    <row r="959" spans="1:6" x14ac:dyDescent="0.3">
      <c r="A959" t="s">
        <v>22</v>
      </c>
      <c r="B959" s="1">
        <v>45697</v>
      </c>
      <c r="C959">
        <v>22</v>
      </c>
      <c r="D959">
        <v>3.5310000000000001</v>
      </c>
      <c r="E959" t="s">
        <v>6</v>
      </c>
      <c r="F959">
        <v>0.21475</v>
      </c>
    </row>
    <row r="960" spans="1:6" x14ac:dyDescent="0.3">
      <c r="A960" t="s">
        <v>22</v>
      </c>
      <c r="B960" s="1">
        <v>45697</v>
      </c>
      <c r="C960">
        <v>23</v>
      </c>
      <c r="D960">
        <v>4.0250000000000004</v>
      </c>
      <c r="E960" t="s">
        <v>6</v>
      </c>
      <c r="F960">
        <v>0.18958000000000003</v>
      </c>
    </row>
    <row r="961" spans="1:6" x14ac:dyDescent="0.3">
      <c r="A961" t="s">
        <v>22</v>
      </c>
      <c r="B961" s="1">
        <v>45697</v>
      </c>
      <c r="C961">
        <v>24</v>
      </c>
      <c r="D961">
        <v>3.3420000000000001</v>
      </c>
      <c r="E961" t="s">
        <v>6</v>
      </c>
      <c r="F961">
        <v>0.17608000000000001</v>
      </c>
    </row>
    <row r="962" spans="1:6" x14ac:dyDescent="0.3">
      <c r="A962" t="s">
        <v>22</v>
      </c>
      <c r="B962" s="1">
        <v>45698</v>
      </c>
      <c r="C962">
        <v>1</v>
      </c>
      <c r="D962">
        <v>3.3889999999999998</v>
      </c>
      <c r="E962" t="s">
        <v>6</v>
      </c>
      <c r="F962">
        <v>0.15334</v>
      </c>
    </row>
    <row r="963" spans="1:6" x14ac:dyDescent="0.3">
      <c r="A963" t="s">
        <v>22</v>
      </c>
      <c r="B963" s="1">
        <v>45698</v>
      </c>
      <c r="C963">
        <v>2</v>
      </c>
      <c r="D963">
        <v>2.968</v>
      </c>
      <c r="E963" t="s">
        <v>6</v>
      </c>
      <c r="F963">
        <v>0.15758000000000003</v>
      </c>
    </row>
    <row r="964" spans="1:6" x14ac:dyDescent="0.3">
      <c r="A964" t="s">
        <v>22</v>
      </c>
      <c r="B964" s="1">
        <v>45698</v>
      </c>
      <c r="C964">
        <v>3</v>
      </c>
      <c r="D964">
        <v>3.4060000000000001</v>
      </c>
      <c r="E964" t="s">
        <v>6</v>
      </c>
      <c r="F964">
        <v>0.15594</v>
      </c>
    </row>
    <row r="965" spans="1:6" x14ac:dyDescent="0.3">
      <c r="A965" t="s">
        <v>22</v>
      </c>
      <c r="B965" s="1">
        <v>45698</v>
      </c>
      <c r="C965">
        <v>4</v>
      </c>
      <c r="D965">
        <v>2.8559999999999999</v>
      </c>
      <c r="E965" t="s">
        <v>6</v>
      </c>
      <c r="F965">
        <v>0.14937999999999999</v>
      </c>
    </row>
    <row r="966" spans="1:6" x14ac:dyDescent="0.3">
      <c r="A966" t="s">
        <v>22</v>
      </c>
      <c r="B966" s="1">
        <v>45698</v>
      </c>
      <c r="C966">
        <v>5</v>
      </c>
      <c r="D966">
        <v>3.141</v>
      </c>
      <c r="E966" t="s">
        <v>6</v>
      </c>
      <c r="F966">
        <v>0.14878</v>
      </c>
    </row>
    <row r="967" spans="1:6" x14ac:dyDescent="0.3">
      <c r="A967" t="s">
        <v>22</v>
      </c>
      <c r="B967" s="1">
        <v>45698</v>
      </c>
      <c r="C967">
        <v>6</v>
      </c>
      <c r="D967">
        <v>3.4039999999999999</v>
      </c>
      <c r="E967" t="s">
        <v>6</v>
      </c>
      <c r="F967">
        <v>0.15302000000000002</v>
      </c>
    </row>
    <row r="968" spans="1:6" x14ac:dyDescent="0.3">
      <c r="A968" t="s">
        <v>22</v>
      </c>
      <c r="B968" s="1">
        <v>45698</v>
      </c>
      <c r="C968">
        <v>7</v>
      </c>
      <c r="D968">
        <v>3.4390000000000001</v>
      </c>
      <c r="E968" t="s">
        <v>6</v>
      </c>
      <c r="F968">
        <v>0.17513999999999999</v>
      </c>
    </row>
    <row r="969" spans="1:6" x14ac:dyDescent="0.3">
      <c r="A969" t="s">
        <v>22</v>
      </c>
      <c r="B969" s="1">
        <v>45698</v>
      </c>
      <c r="C969">
        <v>8</v>
      </c>
      <c r="D969">
        <v>3.52</v>
      </c>
      <c r="E969" t="s">
        <v>6</v>
      </c>
      <c r="F969">
        <v>0.19119</v>
      </c>
    </row>
    <row r="970" spans="1:6" x14ac:dyDescent="0.3">
      <c r="A970" t="s">
        <v>22</v>
      </c>
      <c r="B970" s="1">
        <v>45698</v>
      </c>
      <c r="C970">
        <v>9</v>
      </c>
      <c r="D970">
        <v>3.0779999999999998</v>
      </c>
      <c r="E970" t="s">
        <v>6</v>
      </c>
      <c r="F970">
        <v>0.23272999999999999</v>
      </c>
    </row>
    <row r="971" spans="1:6" x14ac:dyDescent="0.3">
      <c r="A971" t="s">
        <v>22</v>
      </c>
      <c r="B971" s="1">
        <v>45698</v>
      </c>
      <c r="C971">
        <v>10</v>
      </c>
      <c r="D971">
        <v>2.4420000000000002</v>
      </c>
      <c r="E971" t="s">
        <v>6</v>
      </c>
      <c r="F971">
        <v>0.21111000000000002</v>
      </c>
    </row>
    <row r="972" spans="1:6" x14ac:dyDescent="0.3">
      <c r="A972" t="s">
        <v>22</v>
      </c>
      <c r="B972" s="1">
        <v>45698</v>
      </c>
      <c r="C972">
        <v>11</v>
      </c>
      <c r="D972">
        <v>5.2999999999999999E-2</v>
      </c>
      <c r="E972" t="s">
        <v>6</v>
      </c>
      <c r="F972">
        <v>0.25881999999999999</v>
      </c>
    </row>
    <row r="973" spans="1:6" x14ac:dyDescent="0.3">
      <c r="A973" t="s">
        <v>22</v>
      </c>
      <c r="B973" s="1">
        <v>45698</v>
      </c>
      <c r="C973">
        <v>12</v>
      </c>
      <c r="D973">
        <v>0</v>
      </c>
      <c r="E973" t="s">
        <v>6</v>
      </c>
      <c r="F973">
        <v>0.22374000000000002</v>
      </c>
    </row>
    <row r="974" spans="1:6" x14ac:dyDescent="0.3">
      <c r="A974" t="s">
        <v>22</v>
      </c>
      <c r="B974" s="1">
        <v>45698</v>
      </c>
      <c r="C974">
        <v>13</v>
      </c>
      <c r="D974">
        <v>0</v>
      </c>
      <c r="E974" t="s">
        <v>6</v>
      </c>
      <c r="F974">
        <v>0.22452</v>
      </c>
    </row>
    <row r="975" spans="1:6" x14ac:dyDescent="0.3">
      <c r="A975" t="s">
        <v>22</v>
      </c>
      <c r="B975" s="1">
        <v>45698</v>
      </c>
      <c r="C975">
        <v>14</v>
      </c>
      <c r="D975">
        <v>0</v>
      </c>
      <c r="E975" t="s">
        <v>6</v>
      </c>
      <c r="F975">
        <v>0.22316</v>
      </c>
    </row>
    <row r="976" spans="1:6" x14ac:dyDescent="0.3">
      <c r="A976" t="s">
        <v>22</v>
      </c>
      <c r="B976" s="1">
        <v>45698</v>
      </c>
      <c r="C976">
        <v>15</v>
      </c>
      <c r="D976">
        <v>0</v>
      </c>
      <c r="E976" t="s">
        <v>6</v>
      </c>
      <c r="F976">
        <v>0.15380000000000002</v>
      </c>
    </row>
    <row r="977" spans="1:6" x14ac:dyDescent="0.3">
      <c r="A977" t="s">
        <v>22</v>
      </c>
      <c r="B977" s="1">
        <v>45698</v>
      </c>
      <c r="C977">
        <v>16</v>
      </c>
      <c r="D977">
        <v>0</v>
      </c>
      <c r="E977" t="s">
        <v>6</v>
      </c>
      <c r="F977">
        <v>0.16044</v>
      </c>
    </row>
    <row r="978" spans="1:6" x14ac:dyDescent="0.3">
      <c r="A978" t="s">
        <v>22</v>
      </c>
      <c r="B978" s="1">
        <v>45698</v>
      </c>
      <c r="C978">
        <v>17</v>
      </c>
      <c r="D978">
        <v>0</v>
      </c>
      <c r="E978" t="s">
        <v>6</v>
      </c>
      <c r="F978">
        <v>0.16122999999999998</v>
      </c>
    </row>
    <row r="979" spans="1:6" x14ac:dyDescent="0.3">
      <c r="A979" t="s">
        <v>22</v>
      </c>
      <c r="B979" s="1">
        <v>45698</v>
      </c>
      <c r="C979">
        <v>18</v>
      </c>
      <c r="D979">
        <v>0</v>
      </c>
      <c r="E979" t="s">
        <v>6</v>
      </c>
      <c r="F979">
        <v>0.26939999999999997</v>
      </c>
    </row>
    <row r="980" spans="1:6" x14ac:dyDescent="0.3">
      <c r="A980" t="s">
        <v>22</v>
      </c>
      <c r="B980" s="1">
        <v>45698</v>
      </c>
      <c r="C980">
        <v>19</v>
      </c>
      <c r="D980">
        <v>0.378</v>
      </c>
      <c r="E980" t="s">
        <v>6</v>
      </c>
      <c r="F980">
        <v>0.28027999999999997</v>
      </c>
    </row>
    <row r="981" spans="1:6" x14ac:dyDescent="0.3">
      <c r="A981" t="s">
        <v>22</v>
      </c>
      <c r="B981" s="1">
        <v>45698</v>
      </c>
      <c r="C981">
        <v>20</v>
      </c>
      <c r="D981">
        <v>1.8180000000000001</v>
      </c>
      <c r="E981" t="s">
        <v>6</v>
      </c>
      <c r="F981">
        <v>0.30160000000000003</v>
      </c>
    </row>
    <row r="982" spans="1:6" x14ac:dyDescent="0.3">
      <c r="A982" t="s">
        <v>22</v>
      </c>
      <c r="B982" s="1">
        <v>45698</v>
      </c>
      <c r="C982">
        <v>21</v>
      </c>
      <c r="D982">
        <v>3.3690000000000002</v>
      </c>
      <c r="E982" t="s">
        <v>6</v>
      </c>
      <c r="F982">
        <v>0.32305</v>
      </c>
    </row>
    <row r="983" spans="1:6" x14ac:dyDescent="0.3">
      <c r="A983" t="s">
        <v>22</v>
      </c>
      <c r="B983" s="1">
        <v>45698</v>
      </c>
      <c r="C983">
        <v>22</v>
      </c>
      <c r="D983">
        <v>1.1950000000000001</v>
      </c>
      <c r="E983" t="s">
        <v>6</v>
      </c>
      <c r="F983">
        <v>0.27564</v>
      </c>
    </row>
    <row r="984" spans="1:6" x14ac:dyDescent="0.3">
      <c r="A984" t="s">
        <v>22</v>
      </c>
      <c r="B984" s="1">
        <v>45698</v>
      </c>
      <c r="C984">
        <v>23</v>
      </c>
      <c r="D984">
        <v>0.314</v>
      </c>
      <c r="E984" t="s">
        <v>6</v>
      </c>
      <c r="F984">
        <v>0.20033999999999999</v>
      </c>
    </row>
    <row r="985" spans="1:6" x14ac:dyDescent="0.3">
      <c r="A985" t="s">
        <v>22</v>
      </c>
      <c r="B985" s="1">
        <v>45698</v>
      </c>
      <c r="C985">
        <v>24</v>
      </c>
      <c r="D985">
        <v>0.27400000000000002</v>
      </c>
      <c r="E985" t="s">
        <v>6</v>
      </c>
      <c r="F985">
        <v>0.18497</v>
      </c>
    </row>
    <row r="986" spans="1:6" x14ac:dyDescent="0.3">
      <c r="A986" t="s">
        <v>22</v>
      </c>
      <c r="B986" s="1">
        <v>45699</v>
      </c>
      <c r="C986">
        <v>1</v>
      </c>
      <c r="D986">
        <v>0.127</v>
      </c>
      <c r="E986" t="s">
        <v>6</v>
      </c>
      <c r="F986">
        <v>0.14802999999999999</v>
      </c>
    </row>
    <row r="987" spans="1:6" x14ac:dyDescent="0.3">
      <c r="A987" t="s">
        <v>22</v>
      </c>
      <c r="B987" s="1">
        <v>45699</v>
      </c>
      <c r="C987">
        <v>2</v>
      </c>
      <c r="D987">
        <v>0.108</v>
      </c>
      <c r="E987" t="s">
        <v>6</v>
      </c>
      <c r="F987">
        <v>0.15058000000000002</v>
      </c>
    </row>
    <row r="988" spans="1:6" x14ac:dyDescent="0.3">
      <c r="A988" t="s">
        <v>22</v>
      </c>
      <c r="B988" s="1">
        <v>45699</v>
      </c>
      <c r="C988">
        <v>3</v>
      </c>
      <c r="D988">
        <v>1.9159999999999999</v>
      </c>
      <c r="E988" t="s">
        <v>6</v>
      </c>
      <c r="F988">
        <v>0.14928</v>
      </c>
    </row>
    <row r="989" spans="1:6" x14ac:dyDescent="0.3">
      <c r="A989" t="s">
        <v>22</v>
      </c>
      <c r="B989" s="1">
        <v>45699</v>
      </c>
      <c r="C989">
        <v>4</v>
      </c>
      <c r="D989">
        <v>0.13700000000000001</v>
      </c>
      <c r="E989" t="s">
        <v>6</v>
      </c>
      <c r="F989">
        <v>0.14202000000000001</v>
      </c>
    </row>
    <row r="990" spans="1:6" x14ac:dyDescent="0.3">
      <c r="A990" t="s">
        <v>22</v>
      </c>
      <c r="B990" s="1">
        <v>45699</v>
      </c>
      <c r="C990">
        <v>5</v>
      </c>
      <c r="D990">
        <v>1.0880000000000001</v>
      </c>
      <c r="E990" t="s">
        <v>6</v>
      </c>
      <c r="F990">
        <v>0.13772000000000001</v>
      </c>
    </row>
    <row r="991" spans="1:6" x14ac:dyDescent="0.3">
      <c r="A991" t="s">
        <v>22</v>
      </c>
      <c r="B991" s="1">
        <v>45699</v>
      </c>
      <c r="C991">
        <v>6</v>
      </c>
      <c r="D991">
        <v>2.8039999999999998</v>
      </c>
      <c r="E991" t="s">
        <v>6</v>
      </c>
      <c r="F991">
        <v>0.13874</v>
      </c>
    </row>
    <row r="992" spans="1:6" x14ac:dyDescent="0.3">
      <c r="A992" t="s">
        <v>22</v>
      </c>
      <c r="B992" s="1">
        <v>45699</v>
      </c>
      <c r="C992">
        <v>7</v>
      </c>
      <c r="D992">
        <v>2.258</v>
      </c>
      <c r="E992" t="s">
        <v>6</v>
      </c>
      <c r="F992">
        <v>0.1545</v>
      </c>
    </row>
    <row r="993" spans="1:6" x14ac:dyDescent="0.3">
      <c r="A993" t="s">
        <v>22</v>
      </c>
      <c r="B993" s="1">
        <v>45699</v>
      </c>
      <c r="C993">
        <v>8</v>
      </c>
      <c r="D993">
        <v>2.1160000000000001</v>
      </c>
      <c r="E993" t="s">
        <v>6</v>
      </c>
      <c r="F993">
        <v>0.18462000000000001</v>
      </c>
    </row>
    <row r="994" spans="1:6" x14ac:dyDescent="0.3">
      <c r="A994" t="s">
        <v>22</v>
      </c>
      <c r="B994" s="1">
        <v>45699</v>
      </c>
      <c r="C994">
        <v>9</v>
      </c>
      <c r="D994">
        <v>2.0430000000000001</v>
      </c>
      <c r="E994" t="s">
        <v>6</v>
      </c>
      <c r="F994">
        <v>0.21725999999999998</v>
      </c>
    </row>
    <row r="995" spans="1:6" x14ac:dyDescent="0.3">
      <c r="A995" t="s">
        <v>22</v>
      </c>
      <c r="B995" s="1">
        <v>45699</v>
      </c>
      <c r="C995">
        <v>10</v>
      </c>
      <c r="D995">
        <v>2.0579999999999998</v>
      </c>
      <c r="E995" t="s">
        <v>6</v>
      </c>
      <c r="F995">
        <v>0.20335</v>
      </c>
    </row>
    <row r="996" spans="1:6" x14ac:dyDescent="0.3">
      <c r="A996" t="s">
        <v>22</v>
      </c>
      <c r="B996" s="1">
        <v>45699</v>
      </c>
      <c r="C996">
        <v>11</v>
      </c>
      <c r="D996">
        <v>0</v>
      </c>
      <c r="E996" t="s">
        <v>6</v>
      </c>
      <c r="F996">
        <v>0.23413</v>
      </c>
    </row>
    <row r="997" spans="1:6" x14ac:dyDescent="0.3">
      <c r="A997" t="s">
        <v>22</v>
      </c>
      <c r="B997" s="1">
        <v>45699</v>
      </c>
      <c r="C997">
        <v>12</v>
      </c>
      <c r="D997">
        <v>0.29799999999999999</v>
      </c>
      <c r="E997" t="s">
        <v>6</v>
      </c>
      <c r="F997">
        <v>0.23300999999999999</v>
      </c>
    </row>
    <row r="998" spans="1:6" x14ac:dyDescent="0.3">
      <c r="A998" t="s">
        <v>22</v>
      </c>
      <c r="B998" s="1">
        <v>45699</v>
      </c>
      <c r="C998">
        <v>13</v>
      </c>
      <c r="D998">
        <v>1.2190000000000001</v>
      </c>
      <c r="E998" t="s">
        <v>6</v>
      </c>
      <c r="F998">
        <v>0.21818000000000001</v>
      </c>
    </row>
    <row r="999" spans="1:6" x14ac:dyDescent="0.3">
      <c r="A999" t="s">
        <v>22</v>
      </c>
      <c r="B999" s="1">
        <v>45699</v>
      </c>
      <c r="C999">
        <v>14</v>
      </c>
      <c r="D999">
        <v>1.65</v>
      </c>
      <c r="E999" t="s">
        <v>6</v>
      </c>
      <c r="F999">
        <v>0.21256999999999998</v>
      </c>
    </row>
    <row r="1000" spans="1:6" x14ac:dyDescent="0.3">
      <c r="A1000" t="s">
        <v>22</v>
      </c>
      <c r="B1000" s="1">
        <v>45699</v>
      </c>
      <c r="C1000">
        <v>15</v>
      </c>
      <c r="D1000">
        <v>1.2869999999999999</v>
      </c>
      <c r="E1000" t="s">
        <v>6</v>
      </c>
      <c r="F1000">
        <v>0.15218999999999999</v>
      </c>
    </row>
    <row r="1001" spans="1:6" x14ac:dyDescent="0.3">
      <c r="A1001" t="s">
        <v>22</v>
      </c>
      <c r="B1001" s="1">
        <v>45699</v>
      </c>
      <c r="C1001">
        <v>16</v>
      </c>
      <c r="D1001">
        <v>4.2350000000000003</v>
      </c>
      <c r="E1001" t="s">
        <v>6</v>
      </c>
      <c r="F1001">
        <v>0.15228999999999998</v>
      </c>
    </row>
    <row r="1002" spans="1:6" x14ac:dyDescent="0.3">
      <c r="A1002" t="s">
        <v>22</v>
      </c>
      <c r="B1002" s="1">
        <v>45699</v>
      </c>
      <c r="C1002">
        <v>17</v>
      </c>
      <c r="D1002">
        <v>4.1769999999999996</v>
      </c>
      <c r="E1002" t="s">
        <v>6</v>
      </c>
      <c r="F1002">
        <v>0.16961000000000001</v>
      </c>
    </row>
    <row r="1003" spans="1:6" x14ac:dyDescent="0.3">
      <c r="A1003" t="s">
        <v>22</v>
      </c>
      <c r="B1003" s="1">
        <v>45699</v>
      </c>
      <c r="C1003">
        <v>18</v>
      </c>
      <c r="D1003">
        <v>4.0149999999999997</v>
      </c>
      <c r="E1003" t="s">
        <v>6</v>
      </c>
      <c r="F1003">
        <v>0.20688999999999999</v>
      </c>
    </row>
    <row r="1004" spans="1:6" x14ac:dyDescent="0.3">
      <c r="A1004" t="s">
        <v>22</v>
      </c>
      <c r="B1004" s="1">
        <v>45699</v>
      </c>
      <c r="C1004">
        <v>19</v>
      </c>
      <c r="D1004">
        <v>1.823</v>
      </c>
      <c r="E1004" t="s">
        <v>6</v>
      </c>
      <c r="F1004">
        <v>0.29468</v>
      </c>
    </row>
    <row r="1005" spans="1:6" x14ac:dyDescent="0.3">
      <c r="A1005" t="s">
        <v>22</v>
      </c>
      <c r="B1005" s="1">
        <v>45699</v>
      </c>
      <c r="C1005">
        <v>20</v>
      </c>
      <c r="D1005">
        <v>3.121</v>
      </c>
      <c r="E1005" t="s">
        <v>6</v>
      </c>
      <c r="F1005">
        <v>0.31186000000000003</v>
      </c>
    </row>
    <row r="1006" spans="1:6" x14ac:dyDescent="0.3">
      <c r="A1006" t="s">
        <v>22</v>
      </c>
      <c r="B1006" s="1">
        <v>45699</v>
      </c>
      <c r="C1006">
        <v>21</v>
      </c>
      <c r="D1006">
        <v>3.04</v>
      </c>
      <c r="E1006" t="s">
        <v>6</v>
      </c>
      <c r="F1006">
        <v>0.31888</v>
      </c>
    </row>
    <row r="1007" spans="1:6" x14ac:dyDescent="0.3">
      <c r="A1007" t="s">
        <v>22</v>
      </c>
      <c r="B1007" s="1">
        <v>45699</v>
      </c>
      <c r="C1007">
        <v>22</v>
      </c>
      <c r="D1007">
        <v>2.7719999999999998</v>
      </c>
      <c r="E1007" t="s">
        <v>6</v>
      </c>
      <c r="F1007">
        <v>0.27570999999999996</v>
      </c>
    </row>
    <row r="1008" spans="1:6" x14ac:dyDescent="0.3">
      <c r="A1008" t="s">
        <v>22</v>
      </c>
      <c r="B1008" s="1">
        <v>45699</v>
      </c>
      <c r="C1008">
        <v>23</v>
      </c>
      <c r="D1008">
        <v>2.57</v>
      </c>
      <c r="E1008" t="s">
        <v>6</v>
      </c>
      <c r="F1008">
        <v>0.19761000000000001</v>
      </c>
    </row>
    <row r="1009" spans="1:6" x14ac:dyDescent="0.3">
      <c r="A1009" t="s">
        <v>22</v>
      </c>
      <c r="B1009" s="1">
        <v>45699</v>
      </c>
      <c r="C1009">
        <v>24</v>
      </c>
      <c r="D1009">
        <v>2.3410000000000002</v>
      </c>
      <c r="E1009" t="s">
        <v>6</v>
      </c>
      <c r="F1009">
        <v>0.18252000000000002</v>
      </c>
    </row>
    <row r="1010" spans="1:6" x14ac:dyDescent="0.3">
      <c r="A1010" t="s">
        <v>22</v>
      </c>
      <c r="B1010" s="1">
        <v>45700</v>
      </c>
      <c r="C1010">
        <v>1</v>
      </c>
      <c r="D1010">
        <v>2.2530000000000001</v>
      </c>
      <c r="E1010" t="s">
        <v>6</v>
      </c>
      <c r="F1010">
        <v>0.15458000000000002</v>
      </c>
    </row>
    <row r="1011" spans="1:6" x14ac:dyDescent="0.3">
      <c r="A1011" t="s">
        <v>22</v>
      </c>
      <c r="B1011" s="1">
        <v>45700</v>
      </c>
      <c r="C1011">
        <v>2</v>
      </c>
      <c r="D1011">
        <v>1.9970000000000001</v>
      </c>
      <c r="E1011" t="s">
        <v>6</v>
      </c>
      <c r="F1011">
        <v>0.14757000000000001</v>
      </c>
    </row>
    <row r="1012" spans="1:6" x14ac:dyDescent="0.3">
      <c r="A1012" t="s">
        <v>22</v>
      </c>
      <c r="B1012" s="1">
        <v>45700</v>
      </c>
      <c r="C1012">
        <v>3</v>
      </c>
      <c r="D1012">
        <v>2.6360000000000001</v>
      </c>
      <c r="E1012" t="s">
        <v>6</v>
      </c>
      <c r="F1012">
        <v>0.14924999999999999</v>
      </c>
    </row>
    <row r="1013" spans="1:6" x14ac:dyDescent="0.3">
      <c r="A1013" t="s">
        <v>22</v>
      </c>
      <c r="B1013" s="1">
        <v>45700</v>
      </c>
      <c r="C1013">
        <v>4</v>
      </c>
      <c r="D1013">
        <v>2.5409999999999999</v>
      </c>
      <c r="E1013" t="s">
        <v>6</v>
      </c>
      <c r="F1013">
        <v>0.14449000000000001</v>
      </c>
    </row>
    <row r="1014" spans="1:6" x14ac:dyDescent="0.3">
      <c r="A1014" t="s">
        <v>22</v>
      </c>
      <c r="B1014" s="1">
        <v>45700</v>
      </c>
      <c r="C1014">
        <v>5</v>
      </c>
      <c r="D1014">
        <v>2.286</v>
      </c>
      <c r="E1014" t="s">
        <v>6</v>
      </c>
      <c r="F1014">
        <v>0.14188999999999999</v>
      </c>
    </row>
    <row r="1015" spans="1:6" x14ac:dyDescent="0.3">
      <c r="A1015" t="s">
        <v>22</v>
      </c>
      <c r="B1015" s="1">
        <v>45700</v>
      </c>
      <c r="C1015">
        <v>6</v>
      </c>
      <c r="D1015">
        <v>2.9470000000000001</v>
      </c>
      <c r="E1015" t="s">
        <v>6</v>
      </c>
      <c r="F1015">
        <v>0.14424000000000001</v>
      </c>
    </row>
    <row r="1016" spans="1:6" x14ac:dyDescent="0.3">
      <c r="A1016" t="s">
        <v>22</v>
      </c>
      <c r="B1016" s="1">
        <v>45700</v>
      </c>
      <c r="C1016">
        <v>7</v>
      </c>
      <c r="D1016">
        <v>2.726</v>
      </c>
      <c r="E1016" t="s">
        <v>6</v>
      </c>
      <c r="F1016">
        <v>0.14771000000000001</v>
      </c>
    </row>
    <row r="1017" spans="1:6" x14ac:dyDescent="0.3">
      <c r="A1017" t="s">
        <v>22</v>
      </c>
      <c r="B1017" s="1">
        <v>45700</v>
      </c>
      <c r="C1017">
        <v>8</v>
      </c>
      <c r="D1017">
        <v>3.2480000000000002</v>
      </c>
      <c r="E1017" t="s">
        <v>6</v>
      </c>
      <c r="F1017">
        <v>0.19419999999999998</v>
      </c>
    </row>
    <row r="1018" spans="1:6" x14ac:dyDescent="0.3">
      <c r="A1018" t="s">
        <v>22</v>
      </c>
      <c r="B1018" s="1">
        <v>45700</v>
      </c>
      <c r="C1018">
        <v>9</v>
      </c>
      <c r="D1018">
        <v>2.6030000000000002</v>
      </c>
      <c r="E1018" t="s">
        <v>6</v>
      </c>
      <c r="F1018">
        <v>0.24481</v>
      </c>
    </row>
    <row r="1019" spans="1:6" x14ac:dyDescent="0.3">
      <c r="A1019" t="s">
        <v>22</v>
      </c>
      <c r="B1019" s="1">
        <v>45700</v>
      </c>
      <c r="C1019">
        <v>10</v>
      </c>
      <c r="D1019">
        <v>1.978</v>
      </c>
      <c r="E1019" t="s">
        <v>6</v>
      </c>
      <c r="F1019">
        <v>0.20727000000000001</v>
      </c>
    </row>
    <row r="1020" spans="1:6" x14ac:dyDescent="0.3">
      <c r="A1020" t="s">
        <v>22</v>
      </c>
      <c r="B1020" s="1">
        <v>45700</v>
      </c>
      <c r="C1020">
        <v>11</v>
      </c>
      <c r="D1020">
        <v>1.113</v>
      </c>
      <c r="E1020" t="s">
        <v>6</v>
      </c>
      <c r="F1020">
        <v>0.22134999999999999</v>
      </c>
    </row>
    <row r="1021" spans="1:6" x14ac:dyDescent="0.3">
      <c r="A1021" t="s">
        <v>22</v>
      </c>
      <c r="B1021" s="1">
        <v>45700</v>
      </c>
      <c r="C1021">
        <v>12</v>
      </c>
      <c r="D1021">
        <v>1.139</v>
      </c>
      <c r="E1021" t="s">
        <v>6</v>
      </c>
      <c r="F1021">
        <v>0.19475999999999999</v>
      </c>
    </row>
    <row r="1022" spans="1:6" x14ac:dyDescent="0.3">
      <c r="A1022" t="s">
        <v>22</v>
      </c>
      <c r="B1022" s="1">
        <v>45700</v>
      </c>
      <c r="C1022">
        <v>13</v>
      </c>
      <c r="D1022">
        <v>2.0489999999999999</v>
      </c>
      <c r="E1022" t="s">
        <v>6</v>
      </c>
      <c r="F1022">
        <v>0.18084</v>
      </c>
    </row>
    <row r="1023" spans="1:6" x14ac:dyDescent="0.3">
      <c r="A1023" t="s">
        <v>22</v>
      </c>
      <c r="B1023" s="1">
        <v>45700</v>
      </c>
      <c r="C1023">
        <v>14</v>
      </c>
      <c r="D1023">
        <v>1.651</v>
      </c>
      <c r="E1023" t="s">
        <v>6</v>
      </c>
      <c r="F1023">
        <v>0.18703999999999998</v>
      </c>
    </row>
    <row r="1024" spans="1:6" x14ac:dyDescent="0.3">
      <c r="A1024" t="s">
        <v>22</v>
      </c>
      <c r="B1024" s="1">
        <v>45700</v>
      </c>
      <c r="C1024">
        <v>15</v>
      </c>
      <c r="D1024">
        <v>0.76300000000000001</v>
      </c>
      <c r="E1024" t="s">
        <v>6</v>
      </c>
      <c r="F1024">
        <v>0.10511</v>
      </c>
    </row>
    <row r="1025" spans="1:6" x14ac:dyDescent="0.3">
      <c r="A1025" t="s">
        <v>22</v>
      </c>
      <c r="B1025" s="1">
        <v>45700</v>
      </c>
      <c r="C1025">
        <v>16</v>
      </c>
      <c r="D1025">
        <v>1.2609999999999999</v>
      </c>
      <c r="E1025" t="s">
        <v>6</v>
      </c>
      <c r="F1025">
        <v>0.1036</v>
      </c>
    </row>
    <row r="1026" spans="1:6" x14ac:dyDescent="0.3">
      <c r="A1026" t="s">
        <v>22</v>
      </c>
      <c r="B1026" s="1">
        <v>45700</v>
      </c>
      <c r="C1026">
        <v>17</v>
      </c>
      <c r="D1026">
        <v>1.3879999999999999</v>
      </c>
      <c r="E1026" t="s">
        <v>6</v>
      </c>
      <c r="F1026">
        <v>0.12803999999999999</v>
      </c>
    </row>
    <row r="1027" spans="1:6" x14ac:dyDescent="0.3">
      <c r="A1027" t="s">
        <v>22</v>
      </c>
      <c r="B1027" s="1">
        <v>45700</v>
      </c>
      <c r="C1027">
        <v>18</v>
      </c>
      <c r="D1027">
        <v>1.6879999999999999</v>
      </c>
      <c r="E1027" t="s">
        <v>6</v>
      </c>
      <c r="F1027">
        <v>0.15827000000000002</v>
      </c>
    </row>
    <row r="1028" spans="1:6" x14ac:dyDescent="0.3">
      <c r="A1028" t="s">
        <v>22</v>
      </c>
      <c r="B1028" s="1">
        <v>45700</v>
      </c>
      <c r="C1028">
        <v>19</v>
      </c>
      <c r="D1028">
        <v>1.5720000000000001</v>
      </c>
      <c r="E1028" t="s">
        <v>6</v>
      </c>
      <c r="F1028">
        <v>0.26823000000000002</v>
      </c>
    </row>
    <row r="1029" spans="1:6" x14ac:dyDescent="0.3">
      <c r="A1029" t="s">
        <v>22</v>
      </c>
      <c r="B1029" s="1">
        <v>45700</v>
      </c>
      <c r="C1029">
        <v>20</v>
      </c>
      <c r="D1029">
        <v>0.40300000000000002</v>
      </c>
      <c r="E1029" t="s">
        <v>6</v>
      </c>
      <c r="F1029">
        <v>0.32344000000000001</v>
      </c>
    </row>
    <row r="1030" spans="1:6" x14ac:dyDescent="0.3">
      <c r="A1030" t="s">
        <v>22</v>
      </c>
      <c r="B1030" s="1">
        <v>45700</v>
      </c>
      <c r="C1030">
        <v>21</v>
      </c>
      <c r="D1030">
        <v>0.95099999999999996</v>
      </c>
      <c r="E1030" t="s">
        <v>6</v>
      </c>
      <c r="F1030">
        <v>0.30323</v>
      </c>
    </row>
    <row r="1031" spans="1:6" x14ac:dyDescent="0.3">
      <c r="A1031" t="s">
        <v>22</v>
      </c>
      <c r="B1031" s="1">
        <v>45700</v>
      </c>
      <c r="C1031">
        <v>22</v>
      </c>
      <c r="D1031">
        <v>0.372</v>
      </c>
      <c r="E1031" t="s">
        <v>6</v>
      </c>
      <c r="F1031">
        <v>0.27985000000000004</v>
      </c>
    </row>
    <row r="1032" spans="1:6" x14ac:dyDescent="0.3">
      <c r="A1032" t="s">
        <v>22</v>
      </c>
      <c r="B1032" s="1">
        <v>45700</v>
      </c>
      <c r="C1032">
        <v>23</v>
      </c>
      <c r="D1032">
        <v>1.353</v>
      </c>
      <c r="E1032" t="s">
        <v>6</v>
      </c>
      <c r="F1032">
        <v>0.20995</v>
      </c>
    </row>
    <row r="1033" spans="1:6" x14ac:dyDescent="0.3">
      <c r="A1033" t="s">
        <v>22</v>
      </c>
      <c r="B1033" s="1">
        <v>45700</v>
      </c>
      <c r="C1033">
        <v>24</v>
      </c>
      <c r="D1033">
        <v>0.83899999999999997</v>
      </c>
      <c r="E1033" t="s">
        <v>6</v>
      </c>
      <c r="F1033">
        <v>0.19902</v>
      </c>
    </row>
    <row r="1034" spans="1:6" x14ac:dyDescent="0.3">
      <c r="A1034" t="s">
        <v>22</v>
      </c>
      <c r="B1034" s="1">
        <v>45701</v>
      </c>
      <c r="C1034">
        <v>1</v>
      </c>
      <c r="D1034">
        <v>0.193</v>
      </c>
      <c r="E1034" t="s">
        <v>6</v>
      </c>
      <c r="F1034">
        <v>0.15531</v>
      </c>
    </row>
    <row r="1035" spans="1:6" x14ac:dyDescent="0.3">
      <c r="A1035" t="s">
        <v>22</v>
      </c>
      <c r="B1035" s="1">
        <v>45701</v>
      </c>
      <c r="C1035">
        <v>2</v>
      </c>
      <c r="D1035">
        <v>0.11899999999999999</v>
      </c>
      <c r="E1035" t="s">
        <v>6</v>
      </c>
      <c r="F1035">
        <v>0.14837</v>
      </c>
    </row>
    <row r="1036" spans="1:6" x14ac:dyDescent="0.3">
      <c r="A1036" t="s">
        <v>22</v>
      </c>
      <c r="B1036" s="1">
        <v>45701</v>
      </c>
      <c r="C1036">
        <v>3</v>
      </c>
      <c r="D1036">
        <v>0.112</v>
      </c>
      <c r="E1036" t="s">
        <v>6</v>
      </c>
      <c r="F1036">
        <v>0.15928</v>
      </c>
    </row>
    <row r="1037" spans="1:6" x14ac:dyDescent="0.3">
      <c r="A1037" t="s">
        <v>22</v>
      </c>
      <c r="B1037" s="1">
        <v>45701</v>
      </c>
      <c r="C1037">
        <v>4</v>
      </c>
      <c r="D1037">
        <v>0.192</v>
      </c>
      <c r="E1037" t="s">
        <v>6</v>
      </c>
      <c r="F1037">
        <v>0.14843999999999999</v>
      </c>
    </row>
    <row r="1038" spans="1:6" x14ac:dyDescent="0.3">
      <c r="A1038" t="s">
        <v>22</v>
      </c>
      <c r="B1038" s="1">
        <v>45701</v>
      </c>
      <c r="C1038">
        <v>5</v>
      </c>
      <c r="D1038">
        <v>0.124</v>
      </c>
      <c r="E1038" t="s">
        <v>6</v>
      </c>
      <c r="F1038">
        <v>0.14324999999999999</v>
      </c>
    </row>
    <row r="1039" spans="1:6" x14ac:dyDescent="0.3">
      <c r="A1039" t="s">
        <v>22</v>
      </c>
      <c r="B1039" s="1">
        <v>45701</v>
      </c>
      <c r="C1039">
        <v>6</v>
      </c>
      <c r="D1039">
        <v>0.10299999999999999</v>
      </c>
      <c r="E1039" t="s">
        <v>6</v>
      </c>
      <c r="F1039">
        <v>0.13300999999999999</v>
      </c>
    </row>
    <row r="1040" spans="1:6" x14ac:dyDescent="0.3">
      <c r="A1040" t="s">
        <v>22</v>
      </c>
      <c r="B1040" s="1">
        <v>45701</v>
      </c>
      <c r="C1040">
        <v>7</v>
      </c>
      <c r="D1040">
        <v>0.21299999999999999</v>
      </c>
      <c r="E1040" t="s">
        <v>6</v>
      </c>
      <c r="F1040">
        <v>0.15894999999999998</v>
      </c>
    </row>
    <row r="1041" spans="1:6" x14ac:dyDescent="0.3">
      <c r="A1041" t="s">
        <v>22</v>
      </c>
      <c r="B1041" s="1">
        <v>45701</v>
      </c>
      <c r="C1041">
        <v>8</v>
      </c>
      <c r="D1041">
        <v>0.41499999999999998</v>
      </c>
      <c r="E1041" t="s">
        <v>6</v>
      </c>
      <c r="F1041">
        <v>0.19115000000000001</v>
      </c>
    </row>
    <row r="1042" spans="1:6" x14ac:dyDescent="0.3">
      <c r="A1042" t="s">
        <v>22</v>
      </c>
      <c r="B1042" s="1">
        <v>45701</v>
      </c>
      <c r="C1042">
        <v>9</v>
      </c>
      <c r="D1042">
        <v>0.90500000000000003</v>
      </c>
      <c r="E1042" t="s">
        <v>6</v>
      </c>
      <c r="F1042">
        <v>0.25564999999999999</v>
      </c>
    </row>
    <row r="1043" spans="1:6" x14ac:dyDescent="0.3">
      <c r="A1043" t="s">
        <v>22</v>
      </c>
      <c r="B1043" s="1">
        <v>45701</v>
      </c>
      <c r="C1043">
        <v>10</v>
      </c>
      <c r="D1043">
        <v>8.2000000000000003E-2</v>
      </c>
      <c r="E1043" t="s">
        <v>6</v>
      </c>
      <c r="F1043">
        <v>0.20185</v>
      </c>
    </row>
    <row r="1044" spans="1:6" x14ac:dyDescent="0.3">
      <c r="A1044" t="s">
        <v>22</v>
      </c>
      <c r="B1044" s="1">
        <v>45701</v>
      </c>
      <c r="C1044">
        <v>11</v>
      </c>
      <c r="D1044">
        <v>2.786</v>
      </c>
      <c r="E1044" t="s">
        <v>6</v>
      </c>
      <c r="F1044">
        <v>0.20885000000000001</v>
      </c>
    </row>
    <row r="1045" spans="1:6" x14ac:dyDescent="0.3">
      <c r="A1045" t="s">
        <v>22</v>
      </c>
      <c r="B1045" s="1">
        <v>45701</v>
      </c>
      <c r="C1045">
        <v>12</v>
      </c>
      <c r="D1045">
        <v>2.6339999999999999</v>
      </c>
      <c r="E1045" t="s">
        <v>6</v>
      </c>
      <c r="F1045">
        <v>0.19950999999999999</v>
      </c>
    </row>
    <row r="1046" spans="1:6" x14ac:dyDescent="0.3">
      <c r="A1046" t="s">
        <v>22</v>
      </c>
      <c r="B1046" s="1">
        <v>45701</v>
      </c>
      <c r="C1046">
        <v>13</v>
      </c>
      <c r="D1046">
        <v>3.3220000000000001</v>
      </c>
      <c r="E1046" t="s">
        <v>6</v>
      </c>
      <c r="F1046">
        <v>0.19700999999999999</v>
      </c>
    </row>
    <row r="1047" spans="1:6" x14ac:dyDescent="0.3">
      <c r="A1047" t="s">
        <v>22</v>
      </c>
      <c r="B1047" s="1">
        <v>45701</v>
      </c>
      <c r="C1047">
        <v>14</v>
      </c>
      <c r="D1047">
        <v>3.5710000000000002</v>
      </c>
      <c r="E1047" t="s">
        <v>6</v>
      </c>
      <c r="F1047">
        <v>0.18621000000000001</v>
      </c>
    </row>
    <row r="1048" spans="1:6" x14ac:dyDescent="0.3">
      <c r="A1048" t="s">
        <v>22</v>
      </c>
      <c r="B1048" s="1">
        <v>45701</v>
      </c>
      <c r="C1048">
        <v>15</v>
      </c>
      <c r="D1048">
        <v>0.88200000000000001</v>
      </c>
      <c r="E1048" t="s">
        <v>6</v>
      </c>
      <c r="F1048">
        <v>0.11774</v>
      </c>
    </row>
    <row r="1049" spans="1:6" x14ac:dyDescent="0.3">
      <c r="A1049" t="s">
        <v>22</v>
      </c>
      <c r="B1049" s="1">
        <v>45701</v>
      </c>
      <c r="C1049">
        <v>16</v>
      </c>
      <c r="D1049">
        <v>0</v>
      </c>
      <c r="E1049" t="s">
        <v>6</v>
      </c>
      <c r="F1049">
        <v>0.12276999999999999</v>
      </c>
    </row>
    <row r="1050" spans="1:6" x14ac:dyDescent="0.3">
      <c r="A1050" t="s">
        <v>22</v>
      </c>
      <c r="B1050" s="1">
        <v>45701</v>
      </c>
      <c r="C1050">
        <v>17</v>
      </c>
      <c r="D1050">
        <v>1.35</v>
      </c>
      <c r="E1050" t="s">
        <v>6</v>
      </c>
      <c r="F1050">
        <v>0.13506000000000001</v>
      </c>
    </row>
    <row r="1051" spans="1:6" x14ac:dyDescent="0.3">
      <c r="A1051" t="s">
        <v>22</v>
      </c>
      <c r="B1051" s="1">
        <v>45701</v>
      </c>
      <c r="C1051">
        <v>18</v>
      </c>
      <c r="D1051">
        <v>1.6240000000000001</v>
      </c>
      <c r="E1051" t="s">
        <v>6</v>
      </c>
      <c r="F1051">
        <v>0.18004000000000001</v>
      </c>
    </row>
    <row r="1052" spans="1:6" x14ac:dyDescent="0.3">
      <c r="A1052" t="s">
        <v>22</v>
      </c>
      <c r="B1052" s="1">
        <v>45701</v>
      </c>
      <c r="C1052">
        <v>19</v>
      </c>
      <c r="D1052">
        <v>1.724</v>
      </c>
      <c r="E1052" t="s">
        <v>6</v>
      </c>
      <c r="F1052">
        <v>0.30920999999999998</v>
      </c>
    </row>
    <row r="1053" spans="1:6" x14ac:dyDescent="0.3">
      <c r="A1053" t="s">
        <v>22</v>
      </c>
      <c r="B1053" s="1">
        <v>45701</v>
      </c>
      <c r="C1053">
        <v>20</v>
      </c>
      <c r="D1053">
        <v>1.94</v>
      </c>
      <c r="E1053" t="s">
        <v>6</v>
      </c>
      <c r="F1053">
        <v>0.32066</v>
      </c>
    </row>
    <row r="1054" spans="1:6" x14ac:dyDescent="0.3">
      <c r="A1054" t="s">
        <v>22</v>
      </c>
      <c r="B1054" s="1">
        <v>45701</v>
      </c>
      <c r="C1054">
        <v>21</v>
      </c>
      <c r="D1054">
        <v>2.7280000000000002</v>
      </c>
      <c r="E1054" t="s">
        <v>6</v>
      </c>
      <c r="F1054">
        <v>0.32583999999999996</v>
      </c>
    </row>
    <row r="1055" spans="1:6" x14ac:dyDescent="0.3">
      <c r="A1055" t="s">
        <v>22</v>
      </c>
      <c r="B1055" s="1">
        <v>45701</v>
      </c>
      <c r="C1055">
        <v>22</v>
      </c>
      <c r="D1055">
        <v>3.2559999999999998</v>
      </c>
      <c r="E1055" t="s">
        <v>6</v>
      </c>
      <c r="F1055">
        <v>0.28648000000000001</v>
      </c>
    </row>
    <row r="1056" spans="1:6" x14ac:dyDescent="0.3">
      <c r="A1056" t="s">
        <v>22</v>
      </c>
      <c r="B1056" s="1">
        <v>45701</v>
      </c>
      <c r="C1056">
        <v>23</v>
      </c>
      <c r="D1056">
        <v>2.8980000000000001</v>
      </c>
      <c r="E1056" t="s">
        <v>6</v>
      </c>
      <c r="F1056">
        <v>0.20397999999999999</v>
      </c>
    </row>
    <row r="1057" spans="1:6" x14ac:dyDescent="0.3">
      <c r="A1057" t="s">
        <v>22</v>
      </c>
      <c r="B1057" s="1">
        <v>45701</v>
      </c>
      <c r="C1057">
        <v>24</v>
      </c>
      <c r="D1057">
        <v>2.4889999999999999</v>
      </c>
      <c r="E1057" t="s">
        <v>6</v>
      </c>
      <c r="F1057">
        <v>0.19321000000000002</v>
      </c>
    </row>
    <row r="1058" spans="1:6" x14ac:dyDescent="0.3">
      <c r="A1058" t="s">
        <v>22</v>
      </c>
      <c r="B1058" s="1">
        <v>45702</v>
      </c>
      <c r="C1058">
        <v>1</v>
      </c>
      <c r="D1058">
        <v>2.4420000000000002</v>
      </c>
      <c r="E1058" t="s">
        <v>6</v>
      </c>
      <c r="F1058">
        <v>0.15866</v>
      </c>
    </row>
    <row r="1059" spans="1:6" x14ac:dyDescent="0.3">
      <c r="A1059" t="s">
        <v>22</v>
      </c>
      <c r="B1059" s="1">
        <v>45702</v>
      </c>
      <c r="C1059">
        <v>2</v>
      </c>
      <c r="D1059">
        <v>2.15</v>
      </c>
      <c r="E1059" t="s">
        <v>6</v>
      </c>
      <c r="F1059">
        <v>0.15816999999999998</v>
      </c>
    </row>
    <row r="1060" spans="1:6" x14ac:dyDescent="0.3">
      <c r="A1060" t="s">
        <v>22</v>
      </c>
      <c r="B1060" s="1">
        <v>45702</v>
      </c>
      <c r="C1060">
        <v>3</v>
      </c>
      <c r="D1060">
        <v>2.1240000000000001</v>
      </c>
      <c r="E1060" t="s">
        <v>6</v>
      </c>
      <c r="F1060">
        <v>0.14868999999999999</v>
      </c>
    </row>
    <row r="1061" spans="1:6" x14ac:dyDescent="0.3">
      <c r="A1061" t="s">
        <v>22</v>
      </c>
      <c r="B1061" s="1">
        <v>45702</v>
      </c>
      <c r="C1061">
        <v>4</v>
      </c>
      <c r="D1061">
        <v>2.15</v>
      </c>
      <c r="E1061" t="s">
        <v>6</v>
      </c>
      <c r="F1061">
        <v>0.13958000000000001</v>
      </c>
    </row>
    <row r="1062" spans="1:6" x14ac:dyDescent="0.3">
      <c r="A1062" t="s">
        <v>22</v>
      </c>
      <c r="B1062" s="1">
        <v>45702</v>
      </c>
      <c r="C1062">
        <v>5</v>
      </c>
      <c r="D1062">
        <v>2.1920000000000002</v>
      </c>
      <c r="E1062" t="s">
        <v>6</v>
      </c>
      <c r="F1062">
        <v>0.13478000000000001</v>
      </c>
    </row>
    <row r="1063" spans="1:6" x14ac:dyDescent="0.3">
      <c r="A1063" t="s">
        <v>22</v>
      </c>
      <c r="B1063" s="1">
        <v>45702</v>
      </c>
      <c r="C1063">
        <v>6</v>
      </c>
      <c r="D1063">
        <v>2.44</v>
      </c>
      <c r="E1063" t="s">
        <v>6</v>
      </c>
      <c r="F1063">
        <v>0.14638999999999999</v>
      </c>
    </row>
    <row r="1064" spans="1:6" x14ac:dyDescent="0.3">
      <c r="A1064" t="s">
        <v>22</v>
      </c>
      <c r="B1064" s="1">
        <v>45702</v>
      </c>
      <c r="C1064">
        <v>7</v>
      </c>
      <c r="D1064">
        <v>2.415</v>
      </c>
      <c r="E1064" t="s">
        <v>6</v>
      </c>
      <c r="F1064">
        <v>0.16096000000000002</v>
      </c>
    </row>
    <row r="1065" spans="1:6" x14ac:dyDescent="0.3">
      <c r="A1065" t="s">
        <v>22</v>
      </c>
      <c r="B1065" s="1">
        <v>45702</v>
      </c>
      <c r="C1065">
        <v>8</v>
      </c>
      <c r="D1065">
        <v>3.927</v>
      </c>
      <c r="E1065" t="s">
        <v>6</v>
      </c>
      <c r="F1065">
        <v>0.19322999999999999</v>
      </c>
    </row>
    <row r="1066" spans="1:6" x14ac:dyDescent="0.3">
      <c r="A1066" t="s">
        <v>22</v>
      </c>
      <c r="B1066" s="1">
        <v>45702</v>
      </c>
      <c r="C1066">
        <v>9</v>
      </c>
      <c r="D1066">
        <v>2.9809999999999999</v>
      </c>
      <c r="E1066" t="s">
        <v>6</v>
      </c>
      <c r="F1066">
        <v>0.25080000000000002</v>
      </c>
    </row>
    <row r="1067" spans="1:6" x14ac:dyDescent="0.3">
      <c r="A1067" t="s">
        <v>22</v>
      </c>
      <c r="B1067" s="1">
        <v>45702</v>
      </c>
      <c r="C1067">
        <v>10</v>
      </c>
      <c r="D1067">
        <v>1.958</v>
      </c>
      <c r="E1067" t="s">
        <v>6</v>
      </c>
      <c r="F1067">
        <v>0.18143000000000001</v>
      </c>
    </row>
    <row r="1068" spans="1:6" x14ac:dyDescent="0.3">
      <c r="A1068" t="s">
        <v>22</v>
      </c>
      <c r="B1068" s="1">
        <v>45702</v>
      </c>
      <c r="C1068">
        <v>11</v>
      </c>
      <c r="D1068">
        <v>0.80700000000000005</v>
      </c>
      <c r="E1068" t="s">
        <v>6</v>
      </c>
      <c r="F1068">
        <v>0.20200000000000001</v>
      </c>
    </row>
    <row r="1069" spans="1:6" x14ac:dyDescent="0.3">
      <c r="A1069" t="s">
        <v>22</v>
      </c>
      <c r="B1069" s="1">
        <v>45702</v>
      </c>
      <c r="C1069">
        <v>12</v>
      </c>
      <c r="D1069">
        <v>0</v>
      </c>
      <c r="E1069" t="s">
        <v>6</v>
      </c>
      <c r="F1069">
        <v>0.1754</v>
      </c>
    </row>
    <row r="1070" spans="1:6" x14ac:dyDescent="0.3">
      <c r="A1070" t="s">
        <v>22</v>
      </c>
      <c r="B1070" s="1">
        <v>45702</v>
      </c>
      <c r="C1070">
        <v>13</v>
      </c>
      <c r="D1070">
        <v>0</v>
      </c>
      <c r="E1070" t="s">
        <v>6</v>
      </c>
      <c r="F1070">
        <v>0.16388</v>
      </c>
    </row>
    <row r="1071" spans="1:6" x14ac:dyDescent="0.3">
      <c r="A1071" t="s">
        <v>22</v>
      </c>
      <c r="B1071" s="1">
        <v>45702</v>
      </c>
      <c r="C1071">
        <v>14</v>
      </c>
      <c r="D1071">
        <v>0</v>
      </c>
      <c r="E1071" t="s">
        <v>6</v>
      </c>
      <c r="F1071">
        <v>0.16709000000000002</v>
      </c>
    </row>
    <row r="1072" spans="1:6" x14ac:dyDescent="0.3">
      <c r="A1072" t="s">
        <v>22</v>
      </c>
      <c r="B1072" s="1">
        <v>45702</v>
      </c>
      <c r="C1072">
        <v>15</v>
      </c>
      <c r="D1072">
        <v>2.343</v>
      </c>
      <c r="E1072" t="s">
        <v>6</v>
      </c>
      <c r="F1072">
        <v>9.0020000000000003E-2</v>
      </c>
    </row>
    <row r="1073" spans="1:6" x14ac:dyDescent="0.3">
      <c r="A1073" t="s">
        <v>22</v>
      </c>
      <c r="B1073" s="1">
        <v>45702</v>
      </c>
      <c r="C1073">
        <v>16</v>
      </c>
      <c r="D1073">
        <v>2.2269999999999999</v>
      </c>
      <c r="E1073" t="s">
        <v>6</v>
      </c>
      <c r="F1073">
        <v>9.0680000000000011E-2</v>
      </c>
    </row>
    <row r="1074" spans="1:6" x14ac:dyDescent="0.3">
      <c r="A1074" t="s">
        <v>22</v>
      </c>
      <c r="B1074" s="1">
        <v>45702</v>
      </c>
      <c r="C1074">
        <v>17</v>
      </c>
      <c r="D1074">
        <v>1.4339999999999999</v>
      </c>
      <c r="E1074" t="s">
        <v>6</v>
      </c>
      <c r="F1074">
        <v>0.10488</v>
      </c>
    </row>
    <row r="1075" spans="1:6" x14ac:dyDescent="0.3">
      <c r="A1075" t="s">
        <v>22</v>
      </c>
      <c r="B1075" s="1">
        <v>45702</v>
      </c>
      <c r="C1075">
        <v>18</v>
      </c>
      <c r="D1075">
        <v>1.359</v>
      </c>
      <c r="E1075" t="s">
        <v>6</v>
      </c>
      <c r="F1075">
        <v>0.16355</v>
      </c>
    </row>
    <row r="1076" spans="1:6" x14ac:dyDescent="0.3">
      <c r="A1076" t="s">
        <v>22</v>
      </c>
      <c r="B1076" s="1">
        <v>45702</v>
      </c>
      <c r="C1076">
        <v>19</v>
      </c>
      <c r="D1076">
        <v>0.60699999999999998</v>
      </c>
      <c r="E1076" t="s">
        <v>6</v>
      </c>
      <c r="F1076">
        <v>0.29148000000000002</v>
      </c>
    </row>
    <row r="1077" spans="1:6" x14ac:dyDescent="0.3">
      <c r="A1077" t="s">
        <v>22</v>
      </c>
      <c r="B1077" s="1">
        <v>45702</v>
      </c>
      <c r="C1077">
        <v>20</v>
      </c>
      <c r="D1077">
        <v>0.44500000000000001</v>
      </c>
      <c r="E1077" t="s">
        <v>6</v>
      </c>
      <c r="F1077">
        <v>0.33111000000000002</v>
      </c>
    </row>
    <row r="1078" spans="1:6" x14ac:dyDescent="0.3">
      <c r="A1078" t="s">
        <v>22</v>
      </c>
      <c r="B1078" s="1">
        <v>45702</v>
      </c>
      <c r="C1078">
        <v>21</v>
      </c>
      <c r="D1078">
        <v>0.42599999999999999</v>
      </c>
      <c r="E1078" t="s">
        <v>6</v>
      </c>
      <c r="F1078">
        <v>0.30942000000000003</v>
      </c>
    </row>
    <row r="1079" spans="1:6" x14ac:dyDescent="0.3">
      <c r="A1079" t="s">
        <v>22</v>
      </c>
      <c r="B1079" s="1">
        <v>45702</v>
      </c>
      <c r="C1079">
        <v>22</v>
      </c>
      <c r="D1079">
        <v>0.22700000000000001</v>
      </c>
      <c r="E1079" t="s">
        <v>6</v>
      </c>
      <c r="F1079">
        <v>0.28160000000000002</v>
      </c>
    </row>
    <row r="1080" spans="1:6" x14ac:dyDescent="0.3">
      <c r="A1080" t="s">
        <v>22</v>
      </c>
      <c r="B1080" s="1">
        <v>45702</v>
      </c>
      <c r="C1080">
        <v>23</v>
      </c>
      <c r="D1080">
        <v>0.18</v>
      </c>
      <c r="E1080" t="s">
        <v>6</v>
      </c>
      <c r="F1080">
        <v>0.20773</v>
      </c>
    </row>
    <row r="1081" spans="1:6" x14ac:dyDescent="0.3">
      <c r="A1081" t="s">
        <v>22</v>
      </c>
      <c r="B1081" s="1">
        <v>45702</v>
      </c>
      <c r="C1081">
        <v>24</v>
      </c>
      <c r="D1081">
        <v>2.0019999999999998</v>
      </c>
      <c r="E1081" t="s">
        <v>6</v>
      </c>
      <c r="F1081">
        <v>0.19515000000000002</v>
      </c>
    </row>
    <row r="1082" spans="1:6" x14ac:dyDescent="0.3">
      <c r="A1082" t="s">
        <v>22</v>
      </c>
      <c r="B1082" s="1">
        <v>45703</v>
      </c>
      <c r="C1082">
        <v>1</v>
      </c>
      <c r="D1082">
        <v>1.946</v>
      </c>
      <c r="E1082" t="s">
        <v>6</v>
      </c>
      <c r="F1082">
        <v>0.16319999999999998</v>
      </c>
    </row>
    <row r="1083" spans="1:6" x14ac:dyDescent="0.3">
      <c r="A1083" t="s">
        <v>22</v>
      </c>
      <c r="B1083" s="1">
        <v>45703</v>
      </c>
      <c r="C1083">
        <v>2</v>
      </c>
      <c r="D1083">
        <v>1.71</v>
      </c>
      <c r="E1083" t="s">
        <v>6</v>
      </c>
      <c r="F1083">
        <v>0.16174000000000002</v>
      </c>
    </row>
    <row r="1084" spans="1:6" x14ac:dyDescent="0.3">
      <c r="A1084" t="s">
        <v>22</v>
      </c>
      <c r="B1084" s="1">
        <v>45703</v>
      </c>
      <c r="C1084">
        <v>3</v>
      </c>
      <c r="D1084">
        <v>2.367</v>
      </c>
      <c r="E1084" t="s">
        <v>6</v>
      </c>
      <c r="F1084">
        <v>0.15243999999999999</v>
      </c>
    </row>
    <row r="1085" spans="1:6" x14ac:dyDescent="0.3">
      <c r="A1085" t="s">
        <v>22</v>
      </c>
      <c r="B1085" s="1">
        <v>45703</v>
      </c>
      <c r="C1085">
        <v>4</v>
      </c>
      <c r="D1085">
        <v>1.9390000000000001</v>
      </c>
      <c r="E1085" t="s">
        <v>6</v>
      </c>
      <c r="F1085">
        <v>0.14654</v>
      </c>
    </row>
    <row r="1086" spans="1:6" x14ac:dyDescent="0.3">
      <c r="A1086" t="s">
        <v>22</v>
      </c>
      <c r="B1086" s="1">
        <v>45703</v>
      </c>
      <c r="C1086">
        <v>5</v>
      </c>
      <c r="D1086">
        <v>1.9</v>
      </c>
      <c r="E1086" t="s">
        <v>6</v>
      </c>
      <c r="F1086">
        <v>0.14701</v>
      </c>
    </row>
    <row r="1087" spans="1:6" x14ac:dyDescent="0.3">
      <c r="A1087" t="s">
        <v>22</v>
      </c>
      <c r="B1087" s="1">
        <v>45703</v>
      </c>
      <c r="C1087">
        <v>6</v>
      </c>
      <c r="D1087">
        <v>1.74</v>
      </c>
      <c r="E1087" t="s">
        <v>6</v>
      </c>
      <c r="F1087">
        <v>0.14709999999999998</v>
      </c>
    </row>
    <row r="1088" spans="1:6" x14ac:dyDescent="0.3">
      <c r="A1088" t="s">
        <v>22</v>
      </c>
      <c r="B1088" s="1">
        <v>45703</v>
      </c>
      <c r="C1088">
        <v>7</v>
      </c>
      <c r="D1088">
        <v>1.748</v>
      </c>
      <c r="E1088" t="s">
        <v>6</v>
      </c>
      <c r="F1088">
        <v>0.1434</v>
      </c>
    </row>
    <row r="1089" spans="1:6" x14ac:dyDescent="0.3">
      <c r="A1089" t="s">
        <v>22</v>
      </c>
      <c r="B1089" s="1">
        <v>45703</v>
      </c>
      <c r="C1089">
        <v>8</v>
      </c>
      <c r="D1089">
        <v>1.778</v>
      </c>
      <c r="E1089" t="s">
        <v>6</v>
      </c>
      <c r="F1089">
        <v>0.14587999999999998</v>
      </c>
    </row>
    <row r="1090" spans="1:6" x14ac:dyDescent="0.3">
      <c r="A1090" t="s">
        <v>22</v>
      </c>
      <c r="B1090" s="1">
        <v>45703</v>
      </c>
      <c r="C1090">
        <v>9</v>
      </c>
      <c r="D1090">
        <v>2.4750000000000001</v>
      </c>
      <c r="E1090" t="s">
        <v>6</v>
      </c>
      <c r="F1090">
        <v>0.14202999999999999</v>
      </c>
    </row>
    <row r="1091" spans="1:6" x14ac:dyDescent="0.3">
      <c r="A1091" t="s">
        <v>22</v>
      </c>
      <c r="B1091" s="1">
        <v>45703</v>
      </c>
      <c r="C1091">
        <v>10</v>
      </c>
      <c r="D1091">
        <v>1.6160000000000001</v>
      </c>
      <c r="E1091" t="s">
        <v>6</v>
      </c>
      <c r="F1091">
        <v>0.12440000000000001</v>
      </c>
    </row>
    <row r="1092" spans="1:6" x14ac:dyDescent="0.3">
      <c r="A1092" t="s">
        <v>22</v>
      </c>
      <c r="B1092" s="1">
        <v>45703</v>
      </c>
      <c r="C1092">
        <v>11</v>
      </c>
      <c r="D1092">
        <v>1.647</v>
      </c>
      <c r="E1092" t="s">
        <v>6</v>
      </c>
      <c r="F1092">
        <v>9.7250000000000003E-2</v>
      </c>
    </row>
    <row r="1093" spans="1:6" x14ac:dyDescent="0.3">
      <c r="A1093" t="s">
        <v>22</v>
      </c>
      <c r="B1093" s="1">
        <v>45703</v>
      </c>
      <c r="C1093">
        <v>12</v>
      </c>
      <c r="D1093">
        <v>2.0489999999999999</v>
      </c>
      <c r="E1093" t="s">
        <v>6</v>
      </c>
      <c r="F1093">
        <v>7.7849999999999989E-2</v>
      </c>
    </row>
    <row r="1094" spans="1:6" x14ac:dyDescent="0.3">
      <c r="A1094" t="s">
        <v>22</v>
      </c>
      <c r="B1094" s="1">
        <v>45703</v>
      </c>
      <c r="C1094">
        <v>13</v>
      </c>
      <c r="D1094">
        <v>2.964</v>
      </c>
      <c r="E1094" t="s">
        <v>6</v>
      </c>
      <c r="F1094">
        <v>5.883E-2</v>
      </c>
    </row>
    <row r="1095" spans="1:6" x14ac:dyDescent="0.3">
      <c r="A1095" t="s">
        <v>22</v>
      </c>
      <c r="B1095" s="1">
        <v>45703</v>
      </c>
      <c r="C1095">
        <v>14</v>
      </c>
      <c r="D1095">
        <v>3.2160000000000002</v>
      </c>
      <c r="E1095" t="s">
        <v>6</v>
      </c>
      <c r="F1095">
        <v>5.0220000000000001E-2</v>
      </c>
    </row>
    <row r="1096" spans="1:6" x14ac:dyDescent="0.3">
      <c r="A1096" t="s">
        <v>22</v>
      </c>
      <c r="B1096" s="1">
        <v>45703</v>
      </c>
      <c r="C1096">
        <v>15</v>
      </c>
      <c r="D1096">
        <v>4.1980000000000004</v>
      </c>
      <c r="E1096" t="s">
        <v>6</v>
      </c>
      <c r="F1096">
        <v>4.1369999999999997E-2</v>
      </c>
    </row>
    <row r="1097" spans="1:6" x14ac:dyDescent="0.3">
      <c r="A1097" t="s">
        <v>22</v>
      </c>
      <c r="B1097" s="1">
        <v>45703</v>
      </c>
      <c r="C1097">
        <v>16</v>
      </c>
      <c r="D1097">
        <v>6.141</v>
      </c>
      <c r="E1097" t="s">
        <v>6</v>
      </c>
      <c r="F1097">
        <v>5.151E-2</v>
      </c>
    </row>
    <row r="1098" spans="1:6" x14ac:dyDescent="0.3">
      <c r="A1098" t="s">
        <v>22</v>
      </c>
      <c r="B1098" s="1">
        <v>45703</v>
      </c>
      <c r="C1098">
        <v>17</v>
      </c>
      <c r="D1098">
        <v>2.6190000000000002</v>
      </c>
      <c r="E1098" t="s">
        <v>6</v>
      </c>
      <c r="F1098">
        <v>7.6450000000000004E-2</v>
      </c>
    </row>
    <row r="1099" spans="1:6" x14ac:dyDescent="0.3">
      <c r="A1099" t="s">
        <v>22</v>
      </c>
      <c r="B1099" s="1">
        <v>45703</v>
      </c>
      <c r="C1099">
        <v>18</v>
      </c>
      <c r="D1099">
        <v>1.641</v>
      </c>
      <c r="E1099" t="s">
        <v>6</v>
      </c>
      <c r="F1099">
        <v>0.10624</v>
      </c>
    </row>
    <row r="1100" spans="1:6" x14ac:dyDescent="0.3">
      <c r="A1100" t="s">
        <v>22</v>
      </c>
      <c r="B1100" s="1">
        <v>45703</v>
      </c>
      <c r="C1100">
        <v>19</v>
      </c>
      <c r="D1100">
        <v>2.859</v>
      </c>
      <c r="E1100" t="s">
        <v>6</v>
      </c>
      <c r="F1100">
        <v>0.14357</v>
      </c>
    </row>
    <row r="1101" spans="1:6" x14ac:dyDescent="0.3">
      <c r="A1101" t="s">
        <v>22</v>
      </c>
      <c r="B1101" s="1">
        <v>45703</v>
      </c>
      <c r="C1101">
        <v>20</v>
      </c>
      <c r="D1101">
        <v>2.6280000000000001</v>
      </c>
      <c r="E1101" t="s">
        <v>6</v>
      </c>
      <c r="F1101">
        <v>0.1668</v>
      </c>
    </row>
    <row r="1102" spans="1:6" x14ac:dyDescent="0.3">
      <c r="A1102" t="s">
        <v>22</v>
      </c>
      <c r="B1102" s="1">
        <v>45703</v>
      </c>
      <c r="C1102">
        <v>21</v>
      </c>
      <c r="D1102">
        <v>0.34699999999999998</v>
      </c>
      <c r="E1102" t="s">
        <v>6</v>
      </c>
      <c r="F1102">
        <v>0.16716</v>
      </c>
    </row>
    <row r="1103" spans="1:6" x14ac:dyDescent="0.3">
      <c r="A1103" t="s">
        <v>22</v>
      </c>
      <c r="B1103" s="1">
        <v>45703</v>
      </c>
      <c r="C1103">
        <v>22</v>
      </c>
      <c r="D1103">
        <v>0.66</v>
      </c>
      <c r="E1103" t="s">
        <v>6</v>
      </c>
      <c r="F1103">
        <v>0.16312000000000001</v>
      </c>
    </row>
    <row r="1104" spans="1:6" x14ac:dyDescent="0.3">
      <c r="A1104" t="s">
        <v>22</v>
      </c>
      <c r="B1104" s="1">
        <v>45703</v>
      </c>
      <c r="C1104">
        <v>23</v>
      </c>
      <c r="D1104">
        <v>0.29099999999999998</v>
      </c>
      <c r="E1104" t="s">
        <v>6</v>
      </c>
      <c r="F1104">
        <v>0.16206999999999999</v>
      </c>
    </row>
    <row r="1105" spans="1:6" x14ac:dyDescent="0.3">
      <c r="A1105" t="s">
        <v>22</v>
      </c>
      <c r="B1105" s="1">
        <v>45703</v>
      </c>
      <c r="C1105">
        <v>24</v>
      </c>
      <c r="D1105">
        <v>0.26500000000000001</v>
      </c>
      <c r="E1105" t="s">
        <v>6</v>
      </c>
      <c r="F1105">
        <v>0.15637999999999999</v>
      </c>
    </row>
    <row r="1106" spans="1:6" x14ac:dyDescent="0.3">
      <c r="A1106" t="s">
        <v>22</v>
      </c>
      <c r="B1106" s="1">
        <v>45704</v>
      </c>
      <c r="C1106">
        <v>1</v>
      </c>
      <c r="D1106">
        <v>0.22500000000000001</v>
      </c>
      <c r="E1106" t="s">
        <v>6</v>
      </c>
      <c r="F1106">
        <v>0.14061999999999999</v>
      </c>
    </row>
    <row r="1107" spans="1:6" x14ac:dyDescent="0.3">
      <c r="A1107" t="s">
        <v>22</v>
      </c>
      <c r="B1107" s="1">
        <v>45704</v>
      </c>
      <c r="C1107">
        <v>2</v>
      </c>
      <c r="D1107">
        <v>0.16200000000000001</v>
      </c>
      <c r="E1107" t="s">
        <v>6</v>
      </c>
      <c r="F1107">
        <v>0.13572999999999999</v>
      </c>
    </row>
    <row r="1108" spans="1:6" x14ac:dyDescent="0.3">
      <c r="A1108" t="s">
        <v>22</v>
      </c>
      <c r="B1108" s="1">
        <v>45704</v>
      </c>
      <c r="C1108">
        <v>3</v>
      </c>
      <c r="D1108">
        <v>0.112</v>
      </c>
      <c r="E1108" t="s">
        <v>6</v>
      </c>
      <c r="F1108">
        <v>0.14493</v>
      </c>
    </row>
    <row r="1109" spans="1:6" x14ac:dyDescent="0.3">
      <c r="A1109" t="s">
        <v>22</v>
      </c>
      <c r="B1109" s="1">
        <v>45704</v>
      </c>
      <c r="C1109">
        <v>4</v>
      </c>
      <c r="D1109">
        <v>0.123</v>
      </c>
      <c r="E1109" t="s">
        <v>6</v>
      </c>
      <c r="F1109">
        <v>0.14852000000000001</v>
      </c>
    </row>
    <row r="1110" spans="1:6" x14ac:dyDescent="0.3">
      <c r="A1110" t="s">
        <v>22</v>
      </c>
      <c r="B1110" s="1">
        <v>45704</v>
      </c>
      <c r="C1110">
        <v>5</v>
      </c>
      <c r="D1110">
        <v>0.17599999999999999</v>
      </c>
      <c r="E1110" t="s">
        <v>6</v>
      </c>
      <c r="F1110">
        <v>0.14436000000000002</v>
      </c>
    </row>
    <row r="1111" spans="1:6" x14ac:dyDescent="0.3">
      <c r="A1111" t="s">
        <v>22</v>
      </c>
      <c r="B1111" s="1">
        <v>45704</v>
      </c>
      <c r="C1111">
        <v>6</v>
      </c>
      <c r="D1111">
        <v>0.752</v>
      </c>
      <c r="E1111" t="s">
        <v>6</v>
      </c>
      <c r="F1111">
        <v>0.14540999999999998</v>
      </c>
    </row>
    <row r="1112" spans="1:6" x14ac:dyDescent="0.3">
      <c r="A1112" t="s">
        <v>22</v>
      </c>
      <c r="B1112" s="1">
        <v>45704</v>
      </c>
      <c r="C1112">
        <v>7</v>
      </c>
      <c r="D1112">
        <v>0.104</v>
      </c>
      <c r="E1112" t="s">
        <v>6</v>
      </c>
      <c r="F1112">
        <v>0.15255000000000002</v>
      </c>
    </row>
    <row r="1113" spans="1:6" x14ac:dyDescent="0.3">
      <c r="A1113" t="s">
        <v>22</v>
      </c>
      <c r="B1113" s="1">
        <v>45704</v>
      </c>
      <c r="C1113">
        <v>8</v>
      </c>
      <c r="D1113">
        <v>1.4690000000000001</v>
      </c>
      <c r="E1113" t="s">
        <v>6</v>
      </c>
      <c r="F1113">
        <v>0.15436000000000002</v>
      </c>
    </row>
    <row r="1114" spans="1:6" x14ac:dyDescent="0.3">
      <c r="A1114" t="s">
        <v>22</v>
      </c>
      <c r="B1114" s="1">
        <v>45704</v>
      </c>
      <c r="C1114">
        <v>9</v>
      </c>
      <c r="D1114">
        <v>2.8450000000000002</v>
      </c>
      <c r="E1114" t="s">
        <v>6</v>
      </c>
      <c r="F1114">
        <v>0.1507</v>
      </c>
    </row>
    <row r="1115" spans="1:6" x14ac:dyDescent="0.3">
      <c r="A1115" t="s">
        <v>22</v>
      </c>
      <c r="B1115" s="1">
        <v>45704</v>
      </c>
      <c r="C1115">
        <v>10</v>
      </c>
      <c r="D1115">
        <v>2.2309999999999999</v>
      </c>
      <c r="E1115" t="s">
        <v>6</v>
      </c>
      <c r="F1115">
        <v>0.123</v>
      </c>
    </row>
    <row r="1116" spans="1:6" x14ac:dyDescent="0.3">
      <c r="A1116" t="s">
        <v>22</v>
      </c>
      <c r="B1116" s="1">
        <v>45704</v>
      </c>
      <c r="C1116">
        <v>11</v>
      </c>
      <c r="D1116">
        <v>1.6519999999999999</v>
      </c>
      <c r="E1116" t="s">
        <v>6</v>
      </c>
      <c r="F1116">
        <v>9.282E-2</v>
      </c>
    </row>
    <row r="1117" spans="1:6" x14ac:dyDescent="0.3">
      <c r="A1117" t="s">
        <v>22</v>
      </c>
      <c r="B1117" s="1">
        <v>45704</v>
      </c>
      <c r="C1117">
        <v>12</v>
      </c>
      <c r="D1117">
        <v>1.5189999999999999</v>
      </c>
      <c r="E1117" t="s">
        <v>6</v>
      </c>
      <c r="F1117">
        <v>7.8569999999999987E-2</v>
      </c>
    </row>
    <row r="1118" spans="1:6" x14ac:dyDescent="0.3">
      <c r="A1118" t="s">
        <v>22</v>
      </c>
      <c r="B1118" s="1">
        <v>45704</v>
      </c>
      <c r="C1118">
        <v>13</v>
      </c>
      <c r="D1118">
        <v>1.286</v>
      </c>
      <c r="E1118" t="s">
        <v>6</v>
      </c>
      <c r="F1118">
        <v>6.4200000000000007E-2</v>
      </c>
    </row>
    <row r="1119" spans="1:6" x14ac:dyDescent="0.3">
      <c r="A1119" t="s">
        <v>22</v>
      </c>
      <c r="B1119" s="1">
        <v>45704</v>
      </c>
      <c r="C1119">
        <v>14</v>
      </c>
      <c r="D1119">
        <v>1.5149999999999999</v>
      </c>
      <c r="E1119" t="s">
        <v>6</v>
      </c>
      <c r="F1119">
        <v>5.8130000000000001E-2</v>
      </c>
    </row>
    <row r="1120" spans="1:6" x14ac:dyDescent="0.3">
      <c r="A1120" t="s">
        <v>22</v>
      </c>
      <c r="B1120" s="1">
        <v>45704</v>
      </c>
      <c r="C1120">
        <v>15</v>
      </c>
      <c r="D1120">
        <v>0</v>
      </c>
      <c r="E1120" t="s">
        <v>6</v>
      </c>
      <c r="F1120">
        <v>4.1239999999999999E-2</v>
      </c>
    </row>
    <row r="1121" spans="1:6" x14ac:dyDescent="0.3">
      <c r="A1121" t="s">
        <v>22</v>
      </c>
      <c r="B1121" s="1">
        <v>45704</v>
      </c>
      <c r="C1121">
        <v>16</v>
      </c>
      <c r="D1121">
        <v>0</v>
      </c>
      <c r="E1121" t="s">
        <v>6</v>
      </c>
      <c r="F1121">
        <v>3.1850000000000003E-2</v>
      </c>
    </row>
    <row r="1122" spans="1:6" x14ac:dyDescent="0.3">
      <c r="A1122" t="s">
        <v>22</v>
      </c>
      <c r="B1122" s="1">
        <v>45704</v>
      </c>
      <c r="C1122">
        <v>17</v>
      </c>
      <c r="D1122">
        <v>0</v>
      </c>
      <c r="E1122" t="s">
        <v>6</v>
      </c>
      <c r="F1122">
        <v>6.8879999999999997E-2</v>
      </c>
    </row>
    <row r="1123" spans="1:6" x14ac:dyDescent="0.3">
      <c r="A1123" t="s">
        <v>22</v>
      </c>
      <c r="B1123" s="1">
        <v>45704</v>
      </c>
      <c r="C1123">
        <v>18</v>
      </c>
      <c r="D1123">
        <v>9.0999999999999998E-2</v>
      </c>
      <c r="E1123" t="s">
        <v>6</v>
      </c>
      <c r="F1123">
        <v>0.11473999999999999</v>
      </c>
    </row>
    <row r="1124" spans="1:6" x14ac:dyDescent="0.3">
      <c r="A1124" t="s">
        <v>22</v>
      </c>
      <c r="B1124" s="1">
        <v>45704</v>
      </c>
      <c r="C1124">
        <v>19</v>
      </c>
      <c r="D1124">
        <v>0.27300000000000002</v>
      </c>
      <c r="E1124" t="s">
        <v>6</v>
      </c>
      <c r="F1124">
        <v>0.16491</v>
      </c>
    </row>
    <row r="1125" spans="1:6" x14ac:dyDescent="0.3">
      <c r="A1125" t="s">
        <v>22</v>
      </c>
      <c r="B1125" s="1">
        <v>45704</v>
      </c>
      <c r="C1125">
        <v>20</v>
      </c>
      <c r="D1125">
        <v>0.51500000000000001</v>
      </c>
      <c r="E1125" t="s">
        <v>6</v>
      </c>
      <c r="F1125">
        <v>0.20683000000000001</v>
      </c>
    </row>
    <row r="1126" spans="1:6" x14ac:dyDescent="0.3">
      <c r="A1126" t="s">
        <v>22</v>
      </c>
      <c r="B1126" s="1">
        <v>45704</v>
      </c>
      <c r="C1126">
        <v>21</v>
      </c>
      <c r="D1126">
        <v>0.65600000000000003</v>
      </c>
      <c r="E1126" t="s">
        <v>6</v>
      </c>
      <c r="F1126">
        <v>0.19888999999999998</v>
      </c>
    </row>
    <row r="1127" spans="1:6" x14ac:dyDescent="0.3">
      <c r="A1127" t="s">
        <v>22</v>
      </c>
      <c r="B1127" s="1">
        <v>45704</v>
      </c>
      <c r="C1127">
        <v>22</v>
      </c>
      <c r="D1127">
        <v>2.9380000000000002</v>
      </c>
      <c r="E1127" t="s">
        <v>6</v>
      </c>
      <c r="F1127">
        <v>0.18289</v>
      </c>
    </row>
    <row r="1128" spans="1:6" x14ac:dyDescent="0.3">
      <c r="A1128" t="s">
        <v>22</v>
      </c>
      <c r="B1128" s="1">
        <v>45704</v>
      </c>
      <c r="C1128">
        <v>23</v>
      </c>
      <c r="D1128">
        <v>2.42</v>
      </c>
      <c r="E1128" t="s">
        <v>6</v>
      </c>
      <c r="F1128">
        <v>0.18289</v>
      </c>
    </row>
    <row r="1129" spans="1:6" x14ac:dyDescent="0.3">
      <c r="A1129" t="s">
        <v>22</v>
      </c>
      <c r="B1129" s="1">
        <v>45704</v>
      </c>
      <c r="C1129">
        <v>24</v>
      </c>
      <c r="D1129">
        <v>2.8220000000000001</v>
      </c>
      <c r="E1129" t="s">
        <v>6</v>
      </c>
      <c r="F1129">
        <v>0.17830000000000001</v>
      </c>
    </row>
    <row r="1130" spans="1:6" x14ac:dyDescent="0.3">
      <c r="A1130" t="s">
        <v>22</v>
      </c>
      <c r="B1130" s="1">
        <v>45705</v>
      </c>
      <c r="C1130">
        <v>1</v>
      </c>
      <c r="D1130">
        <v>2.9969999999999999</v>
      </c>
      <c r="E1130" t="s">
        <v>6</v>
      </c>
      <c r="F1130">
        <v>0.14833000000000002</v>
      </c>
    </row>
    <row r="1131" spans="1:6" x14ac:dyDescent="0.3">
      <c r="A1131" t="s">
        <v>22</v>
      </c>
      <c r="B1131" s="1">
        <v>45705</v>
      </c>
      <c r="C1131">
        <v>2</v>
      </c>
      <c r="D1131">
        <v>2.71</v>
      </c>
      <c r="E1131" t="s">
        <v>6</v>
      </c>
      <c r="F1131">
        <v>0.14433000000000001</v>
      </c>
    </row>
    <row r="1132" spans="1:6" x14ac:dyDescent="0.3">
      <c r="A1132" t="s">
        <v>22</v>
      </c>
      <c r="B1132" s="1">
        <v>45705</v>
      </c>
      <c r="C1132">
        <v>3</v>
      </c>
      <c r="D1132">
        <v>2.2930000000000001</v>
      </c>
      <c r="E1132" t="s">
        <v>6</v>
      </c>
      <c r="F1132">
        <v>0.15062999999999999</v>
      </c>
    </row>
    <row r="1133" spans="1:6" x14ac:dyDescent="0.3">
      <c r="A1133" t="s">
        <v>22</v>
      </c>
      <c r="B1133" s="1">
        <v>45705</v>
      </c>
      <c r="C1133">
        <v>4</v>
      </c>
      <c r="D1133">
        <v>2.4129999999999998</v>
      </c>
      <c r="E1133" t="s">
        <v>6</v>
      </c>
      <c r="F1133">
        <v>0.14743999999999999</v>
      </c>
    </row>
    <row r="1134" spans="1:6" x14ac:dyDescent="0.3">
      <c r="A1134" t="s">
        <v>22</v>
      </c>
      <c r="B1134" s="1">
        <v>45705</v>
      </c>
      <c r="C1134">
        <v>5</v>
      </c>
      <c r="D1134">
        <v>2.714</v>
      </c>
      <c r="E1134" t="s">
        <v>6</v>
      </c>
      <c r="F1134">
        <v>0.14746000000000001</v>
      </c>
    </row>
    <row r="1135" spans="1:6" x14ac:dyDescent="0.3">
      <c r="A1135" t="s">
        <v>22</v>
      </c>
      <c r="B1135" s="1">
        <v>45705</v>
      </c>
      <c r="C1135">
        <v>6</v>
      </c>
      <c r="D1135">
        <v>2.7330000000000001</v>
      </c>
      <c r="E1135" t="s">
        <v>6</v>
      </c>
      <c r="F1135">
        <v>0.15039</v>
      </c>
    </row>
    <row r="1136" spans="1:6" x14ac:dyDescent="0.3">
      <c r="A1136" t="s">
        <v>22</v>
      </c>
      <c r="B1136" s="1">
        <v>45705</v>
      </c>
      <c r="C1136">
        <v>7</v>
      </c>
      <c r="D1136">
        <v>2.8130000000000002</v>
      </c>
      <c r="E1136" t="s">
        <v>6</v>
      </c>
      <c r="F1136">
        <v>0.15281</v>
      </c>
    </row>
    <row r="1137" spans="1:6" x14ac:dyDescent="0.3">
      <c r="A1137" t="s">
        <v>22</v>
      </c>
      <c r="B1137" s="1">
        <v>45705</v>
      </c>
      <c r="C1137">
        <v>8</v>
      </c>
      <c r="D1137">
        <v>3.0840000000000001</v>
      </c>
      <c r="E1137" t="s">
        <v>6</v>
      </c>
      <c r="F1137">
        <v>0.23649999999999999</v>
      </c>
    </row>
    <row r="1138" spans="1:6" x14ac:dyDescent="0.3">
      <c r="A1138" t="s">
        <v>22</v>
      </c>
      <c r="B1138" s="1">
        <v>45705</v>
      </c>
      <c r="C1138">
        <v>9</v>
      </c>
      <c r="D1138">
        <v>1.9630000000000001</v>
      </c>
      <c r="E1138" t="s">
        <v>6</v>
      </c>
      <c r="F1138">
        <v>0.26543</v>
      </c>
    </row>
    <row r="1139" spans="1:6" x14ac:dyDescent="0.3">
      <c r="A1139" t="s">
        <v>22</v>
      </c>
      <c r="B1139" s="1">
        <v>45705</v>
      </c>
      <c r="C1139">
        <v>10</v>
      </c>
      <c r="D1139">
        <v>0</v>
      </c>
      <c r="E1139" t="s">
        <v>6</v>
      </c>
      <c r="F1139">
        <v>0.17871999999999999</v>
      </c>
    </row>
    <row r="1140" spans="1:6" x14ac:dyDescent="0.3">
      <c r="A1140" t="s">
        <v>22</v>
      </c>
      <c r="B1140" s="1">
        <v>45705</v>
      </c>
      <c r="C1140">
        <v>11</v>
      </c>
      <c r="D1140">
        <v>0</v>
      </c>
      <c r="E1140" t="s">
        <v>6</v>
      </c>
      <c r="F1140">
        <v>0.22236</v>
      </c>
    </row>
    <row r="1141" spans="1:6" x14ac:dyDescent="0.3">
      <c r="A1141" t="s">
        <v>22</v>
      </c>
      <c r="B1141" s="1">
        <v>45705</v>
      </c>
      <c r="C1141">
        <v>12</v>
      </c>
      <c r="D1141">
        <v>0.53300000000000003</v>
      </c>
      <c r="E1141" t="s">
        <v>6</v>
      </c>
      <c r="F1141">
        <v>0.21837000000000001</v>
      </c>
    </row>
    <row r="1142" spans="1:6" x14ac:dyDescent="0.3">
      <c r="A1142" t="s">
        <v>22</v>
      </c>
      <c r="B1142" s="1">
        <v>45705</v>
      </c>
      <c r="C1142">
        <v>13</v>
      </c>
      <c r="D1142">
        <v>0</v>
      </c>
      <c r="E1142" t="s">
        <v>6</v>
      </c>
      <c r="F1142">
        <v>0.21052999999999999</v>
      </c>
    </row>
    <row r="1143" spans="1:6" x14ac:dyDescent="0.3">
      <c r="A1143" t="s">
        <v>22</v>
      </c>
      <c r="B1143" s="1">
        <v>45705</v>
      </c>
      <c r="C1143">
        <v>14</v>
      </c>
      <c r="D1143">
        <v>0</v>
      </c>
      <c r="E1143" t="s">
        <v>6</v>
      </c>
      <c r="F1143">
        <v>0.19681000000000001</v>
      </c>
    </row>
    <row r="1144" spans="1:6" x14ac:dyDescent="0.3">
      <c r="A1144" t="s">
        <v>22</v>
      </c>
      <c r="B1144" s="1">
        <v>45705</v>
      </c>
      <c r="C1144">
        <v>15</v>
      </c>
      <c r="D1144">
        <v>0</v>
      </c>
      <c r="E1144" t="s">
        <v>6</v>
      </c>
      <c r="F1144">
        <v>0.13072999999999999</v>
      </c>
    </row>
    <row r="1145" spans="1:6" x14ac:dyDescent="0.3">
      <c r="A1145" t="s">
        <v>22</v>
      </c>
      <c r="B1145" s="1">
        <v>45705</v>
      </c>
      <c r="C1145">
        <v>16</v>
      </c>
      <c r="D1145">
        <v>0.432</v>
      </c>
      <c r="E1145" t="s">
        <v>6</v>
      </c>
      <c r="F1145">
        <v>0.13305</v>
      </c>
    </row>
    <row r="1146" spans="1:6" x14ac:dyDescent="0.3">
      <c r="A1146" t="s">
        <v>22</v>
      </c>
      <c r="B1146" s="1">
        <v>45705</v>
      </c>
      <c r="C1146">
        <v>17</v>
      </c>
      <c r="D1146">
        <v>0</v>
      </c>
      <c r="E1146" t="s">
        <v>6</v>
      </c>
      <c r="F1146">
        <v>0.14610000000000001</v>
      </c>
    </row>
    <row r="1147" spans="1:6" x14ac:dyDescent="0.3">
      <c r="A1147" t="s">
        <v>22</v>
      </c>
      <c r="B1147" s="1">
        <v>45705</v>
      </c>
      <c r="C1147">
        <v>18</v>
      </c>
      <c r="D1147">
        <v>0.45900000000000002</v>
      </c>
      <c r="E1147" t="s">
        <v>6</v>
      </c>
      <c r="F1147">
        <v>0.16846</v>
      </c>
    </row>
    <row r="1148" spans="1:6" x14ac:dyDescent="0.3">
      <c r="A1148" t="s">
        <v>22</v>
      </c>
      <c r="B1148" s="1">
        <v>45705</v>
      </c>
      <c r="C1148">
        <v>19</v>
      </c>
      <c r="D1148">
        <v>0.45200000000000001</v>
      </c>
      <c r="E1148" t="s">
        <v>6</v>
      </c>
      <c r="F1148">
        <v>0.29394999999999999</v>
      </c>
    </row>
    <row r="1149" spans="1:6" x14ac:dyDescent="0.3">
      <c r="A1149" t="s">
        <v>22</v>
      </c>
      <c r="B1149" s="1">
        <v>45705</v>
      </c>
      <c r="C1149">
        <v>20</v>
      </c>
      <c r="D1149">
        <v>0.624</v>
      </c>
      <c r="E1149" t="s">
        <v>6</v>
      </c>
      <c r="F1149">
        <v>0.33799000000000001</v>
      </c>
    </row>
    <row r="1150" spans="1:6" x14ac:dyDescent="0.3">
      <c r="A1150" t="s">
        <v>22</v>
      </c>
      <c r="B1150" s="1">
        <v>45705</v>
      </c>
      <c r="C1150">
        <v>21</v>
      </c>
      <c r="D1150">
        <v>2.8260000000000001</v>
      </c>
      <c r="E1150" t="s">
        <v>6</v>
      </c>
      <c r="F1150">
        <v>0.31962999999999997</v>
      </c>
    </row>
    <row r="1151" spans="1:6" x14ac:dyDescent="0.3">
      <c r="A1151" t="s">
        <v>22</v>
      </c>
      <c r="B1151" s="1">
        <v>45705</v>
      </c>
      <c r="C1151">
        <v>22</v>
      </c>
      <c r="D1151">
        <v>0.84599999999999997</v>
      </c>
      <c r="E1151" t="s">
        <v>6</v>
      </c>
      <c r="F1151">
        <v>0.26656000000000002</v>
      </c>
    </row>
    <row r="1152" spans="1:6" x14ac:dyDescent="0.3">
      <c r="A1152" t="s">
        <v>22</v>
      </c>
      <c r="B1152" s="1">
        <v>45705</v>
      </c>
      <c r="C1152">
        <v>23</v>
      </c>
      <c r="D1152">
        <v>1.97</v>
      </c>
      <c r="E1152" t="s">
        <v>6</v>
      </c>
      <c r="F1152">
        <v>0.18380000000000002</v>
      </c>
    </row>
    <row r="1153" spans="1:6" x14ac:dyDescent="0.3">
      <c r="A1153" t="s">
        <v>22</v>
      </c>
      <c r="B1153" s="1">
        <v>45705</v>
      </c>
      <c r="C1153">
        <v>24</v>
      </c>
      <c r="D1153">
        <v>2.0099999999999998</v>
      </c>
      <c r="E1153" t="s">
        <v>6</v>
      </c>
      <c r="F1153">
        <v>0.17487</v>
      </c>
    </row>
    <row r="1154" spans="1:6" x14ac:dyDescent="0.3">
      <c r="A1154" t="s">
        <v>22</v>
      </c>
      <c r="B1154" s="1">
        <v>45706</v>
      </c>
      <c r="C1154">
        <v>1</v>
      </c>
      <c r="D1154">
        <v>1.8360000000000001</v>
      </c>
      <c r="E1154" t="s">
        <v>6</v>
      </c>
      <c r="F1154">
        <v>0.14945</v>
      </c>
    </row>
    <row r="1155" spans="1:6" x14ac:dyDescent="0.3">
      <c r="A1155" t="s">
        <v>22</v>
      </c>
      <c r="B1155" s="1">
        <v>45706</v>
      </c>
      <c r="C1155">
        <v>2</v>
      </c>
      <c r="D1155">
        <v>1.8069999999999999</v>
      </c>
      <c r="E1155" t="s">
        <v>6</v>
      </c>
      <c r="F1155">
        <v>0.13278999999999999</v>
      </c>
    </row>
    <row r="1156" spans="1:6" x14ac:dyDescent="0.3">
      <c r="A1156" t="s">
        <v>22</v>
      </c>
      <c r="B1156" s="1">
        <v>45706</v>
      </c>
      <c r="C1156">
        <v>3</v>
      </c>
      <c r="D1156">
        <v>1.74</v>
      </c>
      <c r="E1156" t="s">
        <v>6</v>
      </c>
      <c r="F1156">
        <v>0.12182999999999999</v>
      </c>
    </row>
    <row r="1157" spans="1:6" x14ac:dyDescent="0.3">
      <c r="A1157" t="s">
        <v>22</v>
      </c>
      <c r="B1157" s="1">
        <v>45706</v>
      </c>
      <c r="C1157">
        <v>4</v>
      </c>
      <c r="D1157">
        <v>1.75</v>
      </c>
      <c r="E1157" t="s">
        <v>6</v>
      </c>
      <c r="F1157">
        <v>0.11170999999999999</v>
      </c>
    </row>
    <row r="1158" spans="1:6" x14ac:dyDescent="0.3">
      <c r="A1158" t="s">
        <v>22</v>
      </c>
      <c r="B1158" s="1">
        <v>45706</v>
      </c>
      <c r="C1158">
        <v>5</v>
      </c>
      <c r="D1158">
        <v>1.8460000000000001</v>
      </c>
      <c r="E1158" t="s">
        <v>6</v>
      </c>
      <c r="F1158">
        <v>0.10421999999999999</v>
      </c>
    </row>
    <row r="1159" spans="1:6" x14ac:dyDescent="0.3">
      <c r="A1159" t="s">
        <v>22</v>
      </c>
      <c r="B1159" s="1">
        <v>45706</v>
      </c>
      <c r="C1159">
        <v>6</v>
      </c>
      <c r="D1159">
        <v>1.91</v>
      </c>
      <c r="E1159" t="s">
        <v>6</v>
      </c>
      <c r="F1159">
        <v>0.10073</v>
      </c>
    </row>
    <row r="1160" spans="1:6" x14ac:dyDescent="0.3">
      <c r="A1160" t="s">
        <v>22</v>
      </c>
      <c r="B1160" s="1">
        <v>45706</v>
      </c>
      <c r="C1160">
        <v>7</v>
      </c>
      <c r="D1160">
        <v>3.379</v>
      </c>
      <c r="E1160" t="s">
        <v>6</v>
      </c>
      <c r="F1160">
        <v>0.10925</v>
      </c>
    </row>
    <row r="1161" spans="1:6" x14ac:dyDescent="0.3">
      <c r="A1161" t="s">
        <v>22</v>
      </c>
      <c r="B1161" s="1">
        <v>45706</v>
      </c>
      <c r="C1161">
        <v>8</v>
      </c>
      <c r="D1161">
        <v>3.0870000000000002</v>
      </c>
      <c r="E1161" t="s">
        <v>6</v>
      </c>
      <c r="F1161">
        <v>0.13611000000000001</v>
      </c>
    </row>
    <row r="1162" spans="1:6" x14ac:dyDescent="0.3">
      <c r="A1162" t="s">
        <v>22</v>
      </c>
      <c r="B1162" s="1">
        <v>45706</v>
      </c>
      <c r="C1162">
        <v>9</v>
      </c>
      <c r="D1162">
        <v>2.4420000000000002</v>
      </c>
      <c r="E1162" t="s">
        <v>6</v>
      </c>
      <c r="F1162">
        <v>0.17038</v>
      </c>
    </row>
    <row r="1163" spans="1:6" x14ac:dyDescent="0.3">
      <c r="A1163" t="s">
        <v>22</v>
      </c>
      <c r="B1163" s="1">
        <v>45706</v>
      </c>
      <c r="C1163">
        <v>10</v>
      </c>
      <c r="D1163">
        <v>0.81299999999999994</v>
      </c>
      <c r="E1163" t="s">
        <v>6</v>
      </c>
      <c r="F1163">
        <v>0.13928000000000001</v>
      </c>
    </row>
    <row r="1164" spans="1:6" x14ac:dyDescent="0.3">
      <c r="A1164" t="s">
        <v>22</v>
      </c>
      <c r="B1164" s="1">
        <v>45706</v>
      </c>
      <c r="C1164">
        <v>11</v>
      </c>
      <c r="D1164">
        <v>0.92800000000000005</v>
      </c>
      <c r="E1164" t="s">
        <v>6</v>
      </c>
      <c r="F1164">
        <v>0.18703999999999998</v>
      </c>
    </row>
    <row r="1165" spans="1:6" x14ac:dyDescent="0.3">
      <c r="A1165" t="s">
        <v>22</v>
      </c>
      <c r="B1165" s="1">
        <v>45706</v>
      </c>
      <c r="C1165">
        <v>12</v>
      </c>
      <c r="D1165">
        <v>5.7000000000000002E-2</v>
      </c>
      <c r="E1165" t="s">
        <v>6</v>
      </c>
      <c r="F1165">
        <v>0.16757</v>
      </c>
    </row>
    <row r="1166" spans="1:6" x14ac:dyDescent="0.3">
      <c r="A1166" t="s">
        <v>22</v>
      </c>
      <c r="B1166" s="1">
        <v>45706</v>
      </c>
      <c r="C1166">
        <v>13</v>
      </c>
      <c r="D1166">
        <v>1.5640000000000001</v>
      </c>
      <c r="E1166" t="s">
        <v>6</v>
      </c>
      <c r="F1166">
        <v>0.12569</v>
      </c>
    </row>
    <row r="1167" spans="1:6" x14ac:dyDescent="0.3">
      <c r="A1167" t="s">
        <v>22</v>
      </c>
      <c r="B1167" s="1">
        <v>45706</v>
      </c>
      <c r="C1167">
        <v>14</v>
      </c>
      <c r="D1167">
        <v>0.873</v>
      </c>
      <c r="E1167" t="s">
        <v>6</v>
      </c>
      <c r="F1167">
        <v>0.11309999999999999</v>
      </c>
    </row>
    <row r="1168" spans="1:6" x14ac:dyDescent="0.3">
      <c r="A1168" t="s">
        <v>22</v>
      </c>
      <c r="B1168" s="1">
        <v>45706</v>
      </c>
      <c r="C1168">
        <v>15</v>
      </c>
      <c r="D1168">
        <v>0.89700000000000002</v>
      </c>
      <c r="E1168" t="s">
        <v>6</v>
      </c>
      <c r="F1168">
        <v>5.1619999999999999E-2</v>
      </c>
    </row>
    <row r="1169" spans="1:6" x14ac:dyDescent="0.3">
      <c r="A1169" t="s">
        <v>22</v>
      </c>
      <c r="B1169" s="1">
        <v>45706</v>
      </c>
      <c r="C1169">
        <v>16</v>
      </c>
      <c r="D1169">
        <v>0</v>
      </c>
      <c r="E1169" t="s">
        <v>6</v>
      </c>
      <c r="F1169">
        <v>7.1440000000000003E-2</v>
      </c>
    </row>
    <row r="1170" spans="1:6" x14ac:dyDescent="0.3">
      <c r="A1170" t="s">
        <v>22</v>
      </c>
      <c r="B1170" s="1">
        <v>45706</v>
      </c>
      <c r="C1170">
        <v>17</v>
      </c>
      <c r="D1170">
        <v>0</v>
      </c>
      <c r="E1170" t="s">
        <v>6</v>
      </c>
      <c r="F1170">
        <v>0.11466</v>
      </c>
    </row>
    <row r="1171" spans="1:6" x14ac:dyDescent="0.3">
      <c r="A1171" t="s">
        <v>22</v>
      </c>
      <c r="B1171" s="1">
        <v>45706</v>
      </c>
      <c r="C1171">
        <v>18</v>
      </c>
      <c r="D1171">
        <v>1.3520000000000001</v>
      </c>
      <c r="E1171" t="s">
        <v>6</v>
      </c>
      <c r="F1171">
        <v>0.14021</v>
      </c>
    </row>
    <row r="1172" spans="1:6" x14ac:dyDescent="0.3">
      <c r="A1172" t="s">
        <v>22</v>
      </c>
      <c r="B1172" s="1">
        <v>45706</v>
      </c>
      <c r="C1172">
        <v>19</v>
      </c>
      <c r="D1172">
        <v>1.452</v>
      </c>
      <c r="E1172" t="s">
        <v>6</v>
      </c>
      <c r="F1172">
        <v>0.24358000000000002</v>
      </c>
    </row>
    <row r="1173" spans="1:6" x14ac:dyDescent="0.3">
      <c r="A1173" t="s">
        <v>22</v>
      </c>
      <c r="B1173" s="1">
        <v>45706</v>
      </c>
      <c r="C1173">
        <v>20</v>
      </c>
      <c r="D1173">
        <v>1.9390000000000001</v>
      </c>
      <c r="E1173" t="s">
        <v>6</v>
      </c>
      <c r="F1173">
        <v>0.29693000000000003</v>
      </c>
    </row>
    <row r="1174" spans="1:6" x14ac:dyDescent="0.3">
      <c r="A1174" t="s">
        <v>22</v>
      </c>
      <c r="B1174" s="1">
        <v>45706</v>
      </c>
      <c r="C1174">
        <v>21</v>
      </c>
      <c r="D1174">
        <v>2.7349999999999999</v>
      </c>
      <c r="E1174" t="s">
        <v>6</v>
      </c>
      <c r="F1174">
        <v>0.28131</v>
      </c>
    </row>
    <row r="1175" spans="1:6" x14ac:dyDescent="0.3">
      <c r="A1175" t="s">
        <v>22</v>
      </c>
      <c r="B1175" s="1">
        <v>45706</v>
      </c>
      <c r="C1175">
        <v>22</v>
      </c>
      <c r="D1175">
        <v>2.5209999999999999</v>
      </c>
      <c r="E1175" t="s">
        <v>6</v>
      </c>
      <c r="F1175">
        <v>0.26962000000000003</v>
      </c>
    </row>
    <row r="1176" spans="1:6" x14ac:dyDescent="0.3">
      <c r="A1176" t="s">
        <v>22</v>
      </c>
      <c r="B1176" s="1">
        <v>45706</v>
      </c>
      <c r="C1176">
        <v>23</v>
      </c>
      <c r="D1176">
        <v>2.42</v>
      </c>
      <c r="E1176" t="s">
        <v>6</v>
      </c>
      <c r="F1176">
        <v>0.19495999999999999</v>
      </c>
    </row>
    <row r="1177" spans="1:6" x14ac:dyDescent="0.3">
      <c r="A1177" t="s">
        <v>22</v>
      </c>
      <c r="B1177" s="1">
        <v>45706</v>
      </c>
      <c r="C1177">
        <v>24</v>
      </c>
      <c r="D1177">
        <v>2.12</v>
      </c>
      <c r="E1177" t="s">
        <v>6</v>
      </c>
      <c r="F1177">
        <v>0.18715000000000001</v>
      </c>
    </row>
    <row r="1178" spans="1:6" x14ac:dyDescent="0.3">
      <c r="A1178" t="s">
        <v>22</v>
      </c>
      <c r="B1178" s="1">
        <v>45707</v>
      </c>
      <c r="C1178">
        <v>1</v>
      </c>
      <c r="D1178">
        <v>2.0049999999999999</v>
      </c>
      <c r="E1178" t="s">
        <v>6</v>
      </c>
      <c r="F1178">
        <v>0.13406999999999999</v>
      </c>
    </row>
    <row r="1179" spans="1:6" x14ac:dyDescent="0.3">
      <c r="A1179" t="s">
        <v>22</v>
      </c>
      <c r="B1179" s="1">
        <v>45707</v>
      </c>
      <c r="C1179">
        <v>2</v>
      </c>
      <c r="D1179">
        <v>1.9970000000000001</v>
      </c>
      <c r="E1179" t="s">
        <v>6</v>
      </c>
      <c r="F1179">
        <v>0.13116999999999998</v>
      </c>
    </row>
    <row r="1180" spans="1:6" x14ac:dyDescent="0.3">
      <c r="A1180" t="s">
        <v>22</v>
      </c>
      <c r="B1180" s="1">
        <v>45707</v>
      </c>
      <c r="C1180">
        <v>3</v>
      </c>
      <c r="D1180">
        <v>2.8359999999999999</v>
      </c>
      <c r="E1180" t="s">
        <v>6</v>
      </c>
      <c r="F1180">
        <v>0.13415000000000002</v>
      </c>
    </row>
    <row r="1181" spans="1:6" x14ac:dyDescent="0.3">
      <c r="A1181" t="s">
        <v>22</v>
      </c>
      <c r="B1181" s="1">
        <v>45707</v>
      </c>
      <c r="C1181">
        <v>4</v>
      </c>
      <c r="D1181">
        <v>2.5880000000000001</v>
      </c>
      <c r="E1181" t="s">
        <v>6</v>
      </c>
      <c r="F1181">
        <v>0.12912000000000001</v>
      </c>
    </row>
    <row r="1182" spans="1:6" x14ac:dyDescent="0.3">
      <c r="A1182" t="s">
        <v>22</v>
      </c>
      <c r="B1182" s="1">
        <v>45707</v>
      </c>
      <c r="C1182">
        <v>5</v>
      </c>
      <c r="D1182">
        <v>2.5059999999999998</v>
      </c>
      <c r="E1182" t="s">
        <v>6</v>
      </c>
      <c r="F1182">
        <v>0.12626000000000001</v>
      </c>
    </row>
    <row r="1183" spans="1:6" x14ac:dyDescent="0.3">
      <c r="A1183" t="s">
        <v>22</v>
      </c>
      <c r="B1183" s="1">
        <v>45707</v>
      </c>
      <c r="C1183">
        <v>6</v>
      </c>
      <c r="D1183">
        <v>2.3220000000000001</v>
      </c>
      <c r="E1183" t="s">
        <v>6</v>
      </c>
      <c r="F1183">
        <v>0.13088</v>
      </c>
    </row>
    <row r="1184" spans="1:6" x14ac:dyDescent="0.3">
      <c r="A1184" t="s">
        <v>22</v>
      </c>
      <c r="B1184" s="1">
        <v>45707</v>
      </c>
      <c r="C1184">
        <v>7</v>
      </c>
      <c r="D1184">
        <v>2.8180000000000001</v>
      </c>
      <c r="E1184" t="s">
        <v>6</v>
      </c>
      <c r="F1184">
        <v>0.14686000000000002</v>
      </c>
    </row>
    <row r="1185" spans="1:6" x14ac:dyDescent="0.3">
      <c r="A1185" t="s">
        <v>22</v>
      </c>
      <c r="B1185" s="1">
        <v>45707</v>
      </c>
      <c r="C1185">
        <v>8</v>
      </c>
      <c r="D1185">
        <v>3.371</v>
      </c>
      <c r="E1185" t="s">
        <v>6</v>
      </c>
      <c r="F1185">
        <v>0.17496</v>
      </c>
    </row>
    <row r="1186" spans="1:6" x14ac:dyDescent="0.3">
      <c r="A1186" t="s">
        <v>22</v>
      </c>
      <c r="B1186" s="1">
        <v>45707</v>
      </c>
      <c r="C1186">
        <v>9</v>
      </c>
      <c r="D1186">
        <v>2.2280000000000002</v>
      </c>
      <c r="E1186" t="s">
        <v>6</v>
      </c>
      <c r="F1186">
        <v>0.22066999999999998</v>
      </c>
    </row>
    <row r="1187" spans="1:6" x14ac:dyDescent="0.3">
      <c r="A1187" t="s">
        <v>22</v>
      </c>
      <c r="B1187" s="1">
        <v>45707</v>
      </c>
      <c r="C1187">
        <v>10</v>
      </c>
      <c r="D1187">
        <v>1.889</v>
      </c>
      <c r="E1187" t="s">
        <v>6</v>
      </c>
      <c r="F1187">
        <v>0.18414</v>
      </c>
    </row>
    <row r="1188" spans="1:6" x14ac:dyDescent="0.3">
      <c r="A1188" t="s">
        <v>22</v>
      </c>
      <c r="B1188" s="1">
        <v>45707</v>
      </c>
      <c r="C1188">
        <v>11</v>
      </c>
      <c r="D1188">
        <v>0</v>
      </c>
      <c r="E1188" t="s">
        <v>6</v>
      </c>
      <c r="F1188">
        <v>0.22331000000000001</v>
      </c>
    </row>
    <row r="1189" spans="1:6" x14ac:dyDescent="0.3">
      <c r="A1189" t="s">
        <v>22</v>
      </c>
      <c r="B1189" s="1">
        <v>45707</v>
      </c>
      <c r="C1189">
        <v>12</v>
      </c>
      <c r="D1189">
        <v>0</v>
      </c>
      <c r="E1189" t="s">
        <v>6</v>
      </c>
      <c r="F1189">
        <v>0.21653</v>
      </c>
    </row>
    <row r="1190" spans="1:6" x14ac:dyDescent="0.3">
      <c r="A1190" t="s">
        <v>22</v>
      </c>
      <c r="B1190" s="1">
        <v>45707</v>
      </c>
      <c r="C1190">
        <v>13</v>
      </c>
      <c r="D1190">
        <v>0</v>
      </c>
      <c r="E1190" t="s">
        <v>6</v>
      </c>
      <c r="F1190">
        <v>0.21205000000000002</v>
      </c>
    </row>
    <row r="1191" spans="1:6" x14ac:dyDescent="0.3">
      <c r="A1191" t="s">
        <v>22</v>
      </c>
      <c r="B1191" s="1">
        <v>45707</v>
      </c>
      <c r="C1191">
        <v>14</v>
      </c>
      <c r="D1191">
        <v>0</v>
      </c>
      <c r="E1191" t="s">
        <v>6</v>
      </c>
      <c r="F1191">
        <v>0.20097000000000001</v>
      </c>
    </row>
    <row r="1192" spans="1:6" x14ac:dyDescent="0.3">
      <c r="A1192" t="s">
        <v>22</v>
      </c>
      <c r="B1192" s="1">
        <v>45707</v>
      </c>
      <c r="C1192">
        <v>15</v>
      </c>
      <c r="D1192">
        <v>0</v>
      </c>
      <c r="E1192" t="s">
        <v>6</v>
      </c>
      <c r="F1192">
        <v>0.12869999999999998</v>
      </c>
    </row>
    <row r="1193" spans="1:6" x14ac:dyDescent="0.3">
      <c r="A1193" t="s">
        <v>22</v>
      </c>
      <c r="B1193" s="1">
        <v>45707</v>
      </c>
      <c r="C1193">
        <v>16</v>
      </c>
      <c r="D1193">
        <v>0.42699999999999999</v>
      </c>
      <c r="E1193" t="s">
        <v>6</v>
      </c>
      <c r="F1193">
        <v>0.12938</v>
      </c>
    </row>
    <row r="1194" spans="1:6" x14ac:dyDescent="0.3">
      <c r="A1194" t="s">
        <v>22</v>
      </c>
      <c r="B1194" s="1">
        <v>45707</v>
      </c>
      <c r="C1194">
        <v>17</v>
      </c>
      <c r="D1194">
        <v>4.3</v>
      </c>
      <c r="E1194" t="s">
        <v>6</v>
      </c>
      <c r="F1194">
        <v>0.14584</v>
      </c>
    </row>
    <row r="1195" spans="1:6" x14ac:dyDescent="0.3">
      <c r="A1195" t="s">
        <v>22</v>
      </c>
      <c r="B1195" s="1">
        <v>45707</v>
      </c>
      <c r="C1195">
        <v>18</v>
      </c>
      <c r="D1195">
        <v>2.02</v>
      </c>
      <c r="E1195" t="s">
        <v>6</v>
      </c>
      <c r="F1195">
        <v>0.16734000000000002</v>
      </c>
    </row>
    <row r="1196" spans="1:6" x14ac:dyDescent="0.3">
      <c r="A1196" t="s">
        <v>22</v>
      </c>
      <c r="B1196" s="1">
        <v>45707</v>
      </c>
      <c r="C1196">
        <v>19</v>
      </c>
      <c r="D1196">
        <v>1.9390000000000001</v>
      </c>
      <c r="E1196" t="s">
        <v>6</v>
      </c>
      <c r="F1196">
        <v>0.26599</v>
      </c>
    </row>
    <row r="1197" spans="1:6" x14ac:dyDescent="0.3">
      <c r="A1197" t="s">
        <v>22</v>
      </c>
      <c r="B1197" s="1">
        <v>45707</v>
      </c>
      <c r="C1197">
        <v>20</v>
      </c>
      <c r="D1197">
        <v>1.738</v>
      </c>
      <c r="E1197" t="s">
        <v>6</v>
      </c>
      <c r="F1197">
        <v>0.30701999999999996</v>
      </c>
    </row>
    <row r="1198" spans="1:6" x14ac:dyDescent="0.3">
      <c r="A1198" t="s">
        <v>22</v>
      </c>
      <c r="B1198" s="1">
        <v>45707</v>
      </c>
      <c r="C1198">
        <v>21</v>
      </c>
      <c r="D1198">
        <v>2.5859999999999999</v>
      </c>
      <c r="E1198" t="s">
        <v>6</v>
      </c>
      <c r="F1198">
        <v>0.33249000000000001</v>
      </c>
    </row>
    <row r="1199" spans="1:6" x14ac:dyDescent="0.3">
      <c r="A1199" t="s">
        <v>22</v>
      </c>
      <c r="B1199" s="1">
        <v>45707</v>
      </c>
      <c r="C1199">
        <v>22</v>
      </c>
      <c r="D1199">
        <v>2.4889999999999999</v>
      </c>
      <c r="E1199" t="s">
        <v>6</v>
      </c>
      <c r="F1199">
        <v>0.29125999999999996</v>
      </c>
    </row>
    <row r="1200" spans="1:6" x14ac:dyDescent="0.3">
      <c r="A1200" t="s">
        <v>22</v>
      </c>
      <c r="B1200" s="1">
        <v>45707</v>
      </c>
      <c r="C1200">
        <v>23</v>
      </c>
      <c r="D1200">
        <v>1.8819999999999999</v>
      </c>
      <c r="E1200" t="s">
        <v>6</v>
      </c>
      <c r="F1200">
        <v>0.19069</v>
      </c>
    </row>
    <row r="1201" spans="1:6" x14ac:dyDescent="0.3">
      <c r="A1201" t="s">
        <v>22</v>
      </c>
      <c r="B1201" s="1">
        <v>45707</v>
      </c>
      <c r="C1201">
        <v>24</v>
      </c>
      <c r="D1201">
        <v>1.57</v>
      </c>
      <c r="E1201" t="s">
        <v>6</v>
      </c>
      <c r="F1201">
        <v>0.16928000000000001</v>
      </c>
    </row>
    <row r="1202" spans="1:6" x14ac:dyDescent="0.3">
      <c r="A1202" t="s">
        <v>22</v>
      </c>
      <c r="B1202" s="1">
        <v>45708</v>
      </c>
      <c r="C1202">
        <v>1</v>
      </c>
      <c r="D1202">
        <v>1.5269999999999999</v>
      </c>
      <c r="E1202" t="s">
        <v>6</v>
      </c>
      <c r="F1202">
        <v>0.14157</v>
      </c>
    </row>
    <row r="1203" spans="1:6" x14ac:dyDescent="0.3">
      <c r="A1203" t="s">
        <v>22</v>
      </c>
      <c r="B1203" s="1">
        <v>45708</v>
      </c>
      <c r="C1203">
        <v>2</v>
      </c>
      <c r="D1203">
        <v>1.5249999999999999</v>
      </c>
      <c r="E1203" t="s">
        <v>6</v>
      </c>
      <c r="F1203">
        <v>0.13880999999999999</v>
      </c>
    </row>
    <row r="1204" spans="1:6" x14ac:dyDescent="0.3">
      <c r="A1204" t="s">
        <v>22</v>
      </c>
      <c r="B1204" s="1">
        <v>45708</v>
      </c>
      <c r="C1204">
        <v>3</v>
      </c>
      <c r="D1204">
        <v>1.512</v>
      </c>
      <c r="E1204" t="s">
        <v>6</v>
      </c>
      <c r="F1204">
        <v>0.14019000000000001</v>
      </c>
    </row>
    <row r="1205" spans="1:6" x14ac:dyDescent="0.3">
      <c r="A1205" t="s">
        <v>22</v>
      </c>
      <c r="B1205" s="1">
        <v>45708</v>
      </c>
      <c r="C1205">
        <v>4</v>
      </c>
      <c r="D1205">
        <v>2.613</v>
      </c>
      <c r="E1205" t="s">
        <v>6</v>
      </c>
      <c r="F1205">
        <v>0.12996000000000002</v>
      </c>
    </row>
    <row r="1206" spans="1:6" x14ac:dyDescent="0.3">
      <c r="A1206" t="s">
        <v>22</v>
      </c>
      <c r="B1206" s="1">
        <v>45708</v>
      </c>
      <c r="C1206">
        <v>5</v>
      </c>
      <c r="D1206">
        <v>1.7310000000000001</v>
      </c>
      <c r="E1206" t="s">
        <v>6</v>
      </c>
      <c r="F1206">
        <v>0.12890000000000001</v>
      </c>
    </row>
    <row r="1207" spans="1:6" x14ac:dyDescent="0.3">
      <c r="A1207" t="s">
        <v>22</v>
      </c>
      <c r="B1207" s="1">
        <v>45708</v>
      </c>
      <c r="C1207">
        <v>6</v>
      </c>
      <c r="D1207">
        <v>1.5469999999999999</v>
      </c>
      <c r="E1207" t="s">
        <v>6</v>
      </c>
      <c r="F1207">
        <v>0.12990000000000002</v>
      </c>
    </row>
    <row r="1208" spans="1:6" x14ac:dyDescent="0.3">
      <c r="A1208" t="s">
        <v>22</v>
      </c>
      <c r="B1208" s="1">
        <v>45708</v>
      </c>
      <c r="C1208">
        <v>7</v>
      </c>
      <c r="D1208">
        <v>1.55</v>
      </c>
      <c r="E1208" t="s">
        <v>6</v>
      </c>
      <c r="F1208">
        <v>0.13929</v>
      </c>
    </row>
    <row r="1209" spans="1:6" x14ac:dyDescent="0.3">
      <c r="A1209" t="s">
        <v>22</v>
      </c>
      <c r="B1209" s="1">
        <v>45708</v>
      </c>
      <c r="C1209">
        <v>8</v>
      </c>
      <c r="D1209">
        <v>1.819</v>
      </c>
      <c r="E1209" t="s">
        <v>6</v>
      </c>
      <c r="F1209">
        <v>0.15064</v>
      </c>
    </row>
    <row r="1210" spans="1:6" x14ac:dyDescent="0.3">
      <c r="A1210" t="s">
        <v>22</v>
      </c>
      <c r="B1210" s="1">
        <v>45708</v>
      </c>
      <c r="C1210">
        <v>9</v>
      </c>
      <c r="D1210">
        <v>1.7709999999999999</v>
      </c>
      <c r="E1210" t="s">
        <v>6</v>
      </c>
      <c r="F1210">
        <v>0.19594999999999999</v>
      </c>
    </row>
    <row r="1211" spans="1:6" x14ac:dyDescent="0.3">
      <c r="A1211" t="s">
        <v>22</v>
      </c>
      <c r="B1211" s="1">
        <v>45708</v>
      </c>
      <c r="C1211">
        <v>10</v>
      </c>
      <c r="D1211">
        <v>0.70499999999999996</v>
      </c>
      <c r="E1211" t="s">
        <v>6</v>
      </c>
      <c r="F1211">
        <v>0.16261</v>
      </c>
    </row>
    <row r="1212" spans="1:6" x14ac:dyDescent="0.3">
      <c r="A1212" t="s">
        <v>22</v>
      </c>
      <c r="B1212" s="1">
        <v>45708</v>
      </c>
      <c r="C1212">
        <v>11</v>
      </c>
      <c r="D1212">
        <v>1.1950000000000001</v>
      </c>
      <c r="E1212" t="s">
        <v>6</v>
      </c>
      <c r="F1212">
        <v>0.19775999999999999</v>
      </c>
    </row>
    <row r="1213" spans="1:6" x14ac:dyDescent="0.3">
      <c r="A1213" t="s">
        <v>22</v>
      </c>
      <c r="B1213" s="1">
        <v>45708</v>
      </c>
      <c r="C1213">
        <v>12</v>
      </c>
      <c r="D1213">
        <v>1.3620000000000001</v>
      </c>
      <c r="E1213" t="s">
        <v>6</v>
      </c>
      <c r="F1213">
        <v>0.16952</v>
      </c>
    </row>
    <row r="1214" spans="1:6" x14ac:dyDescent="0.3">
      <c r="A1214" t="s">
        <v>22</v>
      </c>
      <c r="B1214" s="1">
        <v>45708</v>
      </c>
      <c r="C1214">
        <v>13</v>
      </c>
      <c r="D1214">
        <v>1.1140000000000001</v>
      </c>
      <c r="E1214" t="s">
        <v>6</v>
      </c>
      <c r="F1214">
        <v>0.14757000000000001</v>
      </c>
    </row>
    <row r="1215" spans="1:6" x14ac:dyDescent="0.3">
      <c r="A1215" t="s">
        <v>22</v>
      </c>
      <c r="B1215" s="1">
        <v>45708</v>
      </c>
      <c r="C1215">
        <v>14</v>
      </c>
      <c r="D1215">
        <v>0.55100000000000005</v>
      </c>
      <c r="E1215" t="s">
        <v>6</v>
      </c>
      <c r="F1215">
        <v>0.13700000000000001</v>
      </c>
    </row>
    <row r="1216" spans="1:6" x14ac:dyDescent="0.3">
      <c r="A1216" t="s">
        <v>22</v>
      </c>
      <c r="B1216" s="1">
        <v>45708</v>
      </c>
      <c r="C1216">
        <v>15</v>
      </c>
      <c r="D1216">
        <v>0</v>
      </c>
      <c r="E1216" t="s">
        <v>6</v>
      </c>
      <c r="F1216">
        <v>6.2729999999999994E-2</v>
      </c>
    </row>
    <row r="1217" spans="1:6" x14ac:dyDescent="0.3">
      <c r="A1217" t="s">
        <v>22</v>
      </c>
      <c r="B1217" s="1">
        <v>45708</v>
      </c>
      <c r="C1217">
        <v>16</v>
      </c>
      <c r="D1217">
        <v>1.821</v>
      </c>
      <c r="E1217" t="s">
        <v>6</v>
      </c>
      <c r="F1217">
        <v>7.2489999999999999E-2</v>
      </c>
    </row>
    <row r="1218" spans="1:6" x14ac:dyDescent="0.3">
      <c r="A1218" t="s">
        <v>22</v>
      </c>
      <c r="B1218" s="1">
        <v>45708</v>
      </c>
      <c r="C1218">
        <v>17</v>
      </c>
      <c r="D1218">
        <v>0.68</v>
      </c>
      <c r="E1218" t="s">
        <v>6</v>
      </c>
      <c r="F1218">
        <v>0.10084</v>
      </c>
    </row>
    <row r="1219" spans="1:6" x14ac:dyDescent="0.3">
      <c r="A1219" t="s">
        <v>22</v>
      </c>
      <c r="B1219" s="1">
        <v>45708</v>
      </c>
      <c r="C1219">
        <v>18</v>
      </c>
      <c r="D1219">
        <v>0</v>
      </c>
      <c r="E1219" t="s">
        <v>6</v>
      </c>
      <c r="F1219">
        <v>0.13513</v>
      </c>
    </row>
    <row r="1220" spans="1:6" x14ac:dyDescent="0.3">
      <c r="A1220" t="s">
        <v>22</v>
      </c>
      <c r="B1220" s="1">
        <v>45708</v>
      </c>
      <c r="C1220">
        <v>19</v>
      </c>
      <c r="D1220">
        <v>0.41899999999999998</v>
      </c>
      <c r="E1220" t="s">
        <v>6</v>
      </c>
      <c r="F1220">
        <v>0.25496999999999997</v>
      </c>
    </row>
    <row r="1221" spans="1:6" x14ac:dyDescent="0.3">
      <c r="A1221" t="s">
        <v>22</v>
      </c>
      <c r="B1221" s="1">
        <v>45708</v>
      </c>
      <c r="C1221">
        <v>20</v>
      </c>
      <c r="D1221">
        <v>0.21299999999999999</v>
      </c>
      <c r="E1221" t="s">
        <v>6</v>
      </c>
      <c r="F1221">
        <v>0.27385000000000004</v>
      </c>
    </row>
    <row r="1222" spans="1:6" x14ac:dyDescent="0.3">
      <c r="A1222" t="s">
        <v>22</v>
      </c>
      <c r="B1222" s="1">
        <v>45708</v>
      </c>
      <c r="C1222">
        <v>21</v>
      </c>
      <c r="D1222">
        <v>2.4820000000000002</v>
      </c>
      <c r="E1222" t="s">
        <v>6</v>
      </c>
      <c r="F1222">
        <v>0.28455000000000003</v>
      </c>
    </row>
    <row r="1223" spans="1:6" x14ac:dyDescent="0.3">
      <c r="A1223" t="s">
        <v>22</v>
      </c>
      <c r="B1223" s="1">
        <v>45708</v>
      </c>
      <c r="C1223">
        <v>22</v>
      </c>
      <c r="D1223">
        <v>2.4900000000000002</v>
      </c>
      <c r="E1223" t="s">
        <v>6</v>
      </c>
      <c r="F1223">
        <v>0.26230999999999999</v>
      </c>
    </row>
    <row r="1224" spans="1:6" x14ac:dyDescent="0.3">
      <c r="A1224" t="s">
        <v>22</v>
      </c>
      <c r="B1224" s="1">
        <v>45708</v>
      </c>
      <c r="C1224">
        <v>23</v>
      </c>
      <c r="D1224">
        <v>2.3540000000000001</v>
      </c>
      <c r="E1224" t="s">
        <v>6</v>
      </c>
      <c r="F1224">
        <v>0.16406999999999999</v>
      </c>
    </row>
    <row r="1225" spans="1:6" x14ac:dyDescent="0.3">
      <c r="A1225" t="s">
        <v>22</v>
      </c>
      <c r="B1225" s="1">
        <v>45708</v>
      </c>
      <c r="C1225">
        <v>24</v>
      </c>
      <c r="D1225">
        <v>1.5980000000000001</v>
      </c>
      <c r="E1225" t="s">
        <v>6</v>
      </c>
      <c r="F1225">
        <v>0.1535</v>
      </c>
    </row>
    <row r="1226" spans="1:6" x14ac:dyDescent="0.3">
      <c r="A1226" t="s">
        <v>22</v>
      </c>
      <c r="B1226" s="1">
        <v>45709</v>
      </c>
      <c r="C1226">
        <v>1</v>
      </c>
      <c r="D1226">
        <v>1.774</v>
      </c>
      <c r="E1226" t="s">
        <v>6</v>
      </c>
      <c r="F1226">
        <v>0.13200000000000001</v>
      </c>
    </row>
    <row r="1227" spans="1:6" x14ac:dyDescent="0.3">
      <c r="A1227" t="s">
        <v>22</v>
      </c>
      <c r="B1227" s="1">
        <v>45709</v>
      </c>
      <c r="C1227">
        <v>2</v>
      </c>
      <c r="D1227">
        <v>2.2309999999999999</v>
      </c>
      <c r="E1227" t="s">
        <v>6</v>
      </c>
      <c r="F1227">
        <v>0.12900999999999999</v>
      </c>
    </row>
    <row r="1228" spans="1:6" x14ac:dyDescent="0.3">
      <c r="A1228" t="s">
        <v>22</v>
      </c>
      <c r="B1228" s="1">
        <v>45709</v>
      </c>
      <c r="C1228">
        <v>3</v>
      </c>
      <c r="D1228">
        <v>1.821</v>
      </c>
      <c r="E1228" t="s">
        <v>6</v>
      </c>
      <c r="F1228">
        <v>0.10945000000000001</v>
      </c>
    </row>
    <row r="1229" spans="1:6" x14ac:dyDescent="0.3">
      <c r="A1229" t="s">
        <v>22</v>
      </c>
      <c r="B1229" s="1">
        <v>45709</v>
      </c>
      <c r="C1229">
        <v>4</v>
      </c>
      <c r="D1229">
        <v>1.6970000000000001</v>
      </c>
      <c r="E1229" t="s">
        <v>6</v>
      </c>
      <c r="F1229">
        <v>0.10732999999999999</v>
      </c>
    </row>
    <row r="1230" spans="1:6" x14ac:dyDescent="0.3">
      <c r="A1230" t="s">
        <v>22</v>
      </c>
      <c r="B1230" s="1">
        <v>45709</v>
      </c>
      <c r="C1230">
        <v>5</v>
      </c>
      <c r="D1230">
        <v>1.9339999999999999</v>
      </c>
      <c r="E1230" t="s">
        <v>6</v>
      </c>
      <c r="F1230">
        <v>9.376000000000001E-2</v>
      </c>
    </row>
    <row r="1231" spans="1:6" x14ac:dyDescent="0.3">
      <c r="A1231" t="s">
        <v>22</v>
      </c>
      <c r="B1231" s="1">
        <v>45709</v>
      </c>
      <c r="C1231">
        <v>6</v>
      </c>
      <c r="D1231">
        <v>1.724</v>
      </c>
      <c r="E1231" t="s">
        <v>6</v>
      </c>
      <c r="F1231">
        <v>9.1920000000000002E-2</v>
      </c>
    </row>
    <row r="1232" spans="1:6" x14ac:dyDescent="0.3">
      <c r="A1232" t="s">
        <v>22</v>
      </c>
      <c r="B1232" s="1">
        <v>45709</v>
      </c>
      <c r="C1232">
        <v>7</v>
      </c>
      <c r="D1232">
        <v>1.5189999999999999</v>
      </c>
      <c r="E1232" t="s">
        <v>6</v>
      </c>
      <c r="F1232">
        <v>0.10865000000000001</v>
      </c>
    </row>
    <row r="1233" spans="1:6" x14ac:dyDescent="0.3">
      <c r="A1233" t="s">
        <v>22</v>
      </c>
      <c r="B1233" s="1">
        <v>45709</v>
      </c>
      <c r="C1233">
        <v>8</v>
      </c>
      <c r="D1233">
        <v>1.83</v>
      </c>
      <c r="E1233" t="s">
        <v>6</v>
      </c>
      <c r="F1233">
        <v>0.11612</v>
      </c>
    </row>
    <row r="1234" spans="1:6" x14ac:dyDescent="0.3">
      <c r="A1234" t="s">
        <v>22</v>
      </c>
      <c r="B1234" s="1">
        <v>45709</v>
      </c>
      <c r="C1234">
        <v>9</v>
      </c>
      <c r="D1234">
        <v>2.472</v>
      </c>
      <c r="E1234" t="s">
        <v>6</v>
      </c>
      <c r="F1234">
        <v>0.14454</v>
      </c>
    </row>
    <row r="1235" spans="1:6" x14ac:dyDescent="0.3">
      <c r="A1235" t="s">
        <v>22</v>
      </c>
      <c r="B1235" s="1">
        <v>45709</v>
      </c>
      <c r="C1235">
        <v>10</v>
      </c>
      <c r="D1235">
        <v>1.948</v>
      </c>
      <c r="E1235" t="s">
        <v>6</v>
      </c>
      <c r="F1235">
        <v>0.14041000000000001</v>
      </c>
    </row>
    <row r="1236" spans="1:6" x14ac:dyDescent="0.3">
      <c r="A1236" t="s">
        <v>22</v>
      </c>
      <c r="B1236" s="1">
        <v>45709</v>
      </c>
      <c r="C1236">
        <v>11</v>
      </c>
      <c r="D1236">
        <v>1.3240000000000001</v>
      </c>
      <c r="E1236" t="s">
        <v>6</v>
      </c>
      <c r="F1236">
        <v>0.17887</v>
      </c>
    </row>
    <row r="1237" spans="1:6" x14ac:dyDescent="0.3">
      <c r="A1237" t="s">
        <v>22</v>
      </c>
      <c r="B1237" s="1">
        <v>45709</v>
      </c>
      <c r="C1237">
        <v>12</v>
      </c>
      <c r="D1237">
        <v>1.37</v>
      </c>
      <c r="E1237" t="s">
        <v>6</v>
      </c>
      <c r="F1237">
        <v>0.14025000000000001</v>
      </c>
    </row>
    <row r="1238" spans="1:6" x14ac:dyDescent="0.3">
      <c r="A1238" t="s">
        <v>22</v>
      </c>
      <c r="B1238" s="1">
        <v>45709</v>
      </c>
      <c r="C1238">
        <v>13</v>
      </c>
      <c r="D1238">
        <v>0.96899999999999997</v>
      </c>
      <c r="E1238" t="s">
        <v>6</v>
      </c>
      <c r="F1238">
        <v>0.12806000000000001</v>
      </c>
    </row>
    <row r="1239" spans="1:6" x14ac:dyDescent="0.3">
      <c r="A1239" t="s">
        <v>22</v>
      </c>
      <c r="B1239" s="1">
        <v>45709</v>
      </c>
      <c r="C1239">
        <v>14</v>
      </c>
      <c r="D1239">
        <v>1.2470000000000001</v>
      </c>
      <c r="E1239" t="s">
        <v>6</v>
      </c>
      <c r="F1239">
        <v>0.12545999999999999</v>
      </c>
    </row>
    <row r="1240" spans="1:6" x14ac:dyDescent="0.3">
      <c r="A1240" t="s">
        <v>22</v>
      </c>
      <c r="B1240" s="1">
        <v>45709</v>
      </c>
      <c r="C1240">
        <v>15</v>
      </c>
      <c r="D1240">
        <v>0.69</v>
      </c>
      <c r="E1240" t="s">
        <v>6</v>
      </c>
      <c r="F1240">
        <v>6.0499999999999998E-2</v>
      </c>
    </row>
    <row r="1241" spans="1:6" x14ac:dyDescent="0.3">
      <c r="A1241" t="s">
        <v>22</v>
      </c>
      <c r="B1241" s="1">
        <v>45709</v>
      </c>
      <c r="C1241">
        <v>16</v>
      </c>
      <c r="D1241">
        <v>1.0529999999999999</v>
      </c>
      <c r="E1241" t="s">
        <v>6</v>
      </c>
      <c r="F1241">
        <v>6.1499999999999999E-2</v>
      </c>
    </row>
    <row r="1242" spans="1:6" x14ac:dyDescent="0.3">
      <c r="A1242" t="s">
        <v>22</v>
      </c>
      <c r="B1242" s="1">
        <v>45709</v>
      </c>
      <c r="C1242">
        <v>17</v>
      </c>
      <c r="D1242">
        <v>0.89</v>
      </c>
      <c r="E1242" t="s">
        <v>6</v>
      </c>
      <c r="F1242">
        <v>6.4939999999999998E-2</v>
      </c>
    </row>
    <row r="1243" spans="1:6" x14ac:dyDescent="0.3">
      <c r="A1243" t="s">
        <v>22</v>
      </c>
      <c r="B1243" s="1">
        <v>45709</v>
      </c>
      <c r="C1243">
        <v>18</v>
      </c>
      <c r="D1243">
        <v>1.0960000000000001</v>
      </c>
      <c r="E1243" t="s">
        <v>6</v>
      </c>
      <c r="F1243">
        <v>0.11201999999999999</v>
      </c>
    </row>
    <row r="1244" spans="1:6" x14ac:dyDescent="0.3">
      <c r="A1244" t="s">
        <v>22</v>
      </c>
      <c r="B1244" s="1">
        <v>45709</v>
      </c>
      <c r="C1244">
        <v>19</v>
      </c>
      <c r="D1244">
        <v>1.6759999999999999</v>
      </c>
      <c r="E1244" t="s">
        <v>6</v>
      </c>
      <c r="F1244">
        <v>0.18994</v>
      </c>
    </row>
    <row r="1245" spans="1:6" x14ac:dyDescent="0.3">
      <c r="A1245" t="s">
        <v>22</v>
      </c>
      <c r="B1245" s="1">
        <v>45709</v>
      </c>
      <c r="C1245">
        <v>20</v>
      </c>
      <c r="D1245">
        <v>0.57299999999999995</v>
      </c>
      <c r="E1245" t="s">
        <v>6</v>
      </c>
      <c r="F1245">
        <v>0.23691999999999999</v>
      </c>
    </row>
    <row r="1246" spans="1:6" x14ac:dyDescent="0.3">
      <c r="A1246" t="s">
        <v>22</v>
      </c>
      <c r="B1246" s="1">
        <v>45709</v>
      </c>
      <c r="C1246">
        <v>21</v>
      </c>
      <c r="D1246">
        <v>0.81499999999999995</v>
      </c>
      <c r="E1246" t="s">
        <v>6</v>
      </c>
      <c r="F1246">
        <v>0.22686000000000001</v>
      </c>
    </row>
    <row r="1247" spans="1:6" x14ac:dyDescent="0.3">
      <c r="A1247" t="s">
        <v>22</v>
      </c>
      <c r="B1247" s="1">
        <v>45709</v>
      </c>
      <c r="C1247">
        <v>22</v>
      </c>
      <c r="D1247">
        <v>1.635</v>
      </c>
      <c r="E1247" t="s">
        <v>6</v>
      </c>
      <c r="F1247">
        <v>0.21129000000000001</v>
      </c>
    </row>
    <row r="1248" spans="1:6" x14ac:dyDescent="0.3">
      <c r="A1248" t="s">
        <v>22</v>
      </c>
      <c r="B1248" s="1">
        <v>45709</v>
      </c>
      <c r="C1248">
        <v>23</v>
      </c>
      <c r="D1248">
        <v>0.56999999999999995</v>
      </c>
      <c r="E1248" t="s">
        <v>6</v>
      </c>
      <c r="F1248">
        <v>0.14476</v>
      </c>
    </row>
    <row r="1249" spans="1:6" x14ac:dyDescent="0.3">
      <c r="A1249" t="s">
        <v>22</v>
      </c>
      <c r="B1249" s="1">
        <v>45709</v>
      </c>
      <c r="C1249">
        <v>24</v>
      </c>
      <c r="D1249">
        <v>0.57099999999999995</v>
      </c>
      <c r="E1249" t="s">
        <v>6</v>
      </c>
      <c r="F1249">
        <v>0.14867</v>
      </c>
    </row>
    <row r="1250" spans="1:6" x14ac:dyDescent="0.3">
      <c r="A1250" t="s">
        <v>22</v>
      </c>
      <c r="B1250" s="1">
        <v>45710</v>
      </c>
      <c r="C1250">
        <v>1</v>
      </c>
      <c r="D1250">
        <v>0.53300000000000003</v>
      </c>
      <c r="E1250" t="s">
        <v>6</v>
      </c>
      <c r="F1250">
        <v>0.10365000000000001</v>
      </c>
    </row>
    <row r="1251" spans="1:6" x14ac:dyDescent="0.3">
      <c r="A1251" t="s">
        <v>22</v>
      </c>
      <c r="B1251" s="1">
        <v>45710</v>
      </c>
      <c r="C1251">
        <v>2</v>
      </c>
      <c r="D1251">
        <v>0.42799999999999999</v>
      </c>
      <c r="E1251" t="s">
        <v>6</v>
      </c>
      <c r="F1251">
        <v>9.9049999999999999E-2</v>
      </c>
    </row>
    <row r="1252" spans="1:6" x14ac:dyDescent="0.3">
      <c r="A1252" t="s">
        <v>22</v>
      </c>
      <c r="B1252" s="1">
        <v>45710</v>
      </c>
      <c r="C1252">
        <v>3</v>
      </c>
      <c r="D1252">
        <v>0.30399999999999999</v>
      </c>
      <c r="E1252" t="s">
        <v>6</v>
      </c>
      <c r="F1252">
        <v>0.10174999999999999</v>
      </c>
    </row>
    <row r="1253" spans="1:6" x14ac:dyDescent="0.3">
      <c r="A1253" t="s">
        <v>22</v>
      </c>
      <c r="B1253" s="1">
        <v>45710</v>
      </c>
      <c r="C1253">
        <v>4</v>
      </c>
      <c r="D1253">
        <v>0.27500000000000002</v>
      </c>
      <c r="E1253" t="s">
        <v>6</v>
      </c>
      <c r="F1253">
        <v>9.6329999999999999E-2</v>
      </c>
    </row>
    <row r="1254" spans="1:6" x14ac:dyDescent="0.3">
      <c r="A1254" t="s">
        <v>22</v>
      </c>
      <c r="B1254" s="1">
        <v>45710</v>
      </c>
      <c r="C1254">
        <v>5</v>
      </c>
      <c r="D1254">
        <v>1.8240000000000001</v>
      </c>
      <c r="E1254" t="s">
        <v>6</v>
      </c>
      <c r="F1254">
        <v>9.3900000000000011E-2</v>
      </c>
    </row>
    <row r="1255" spans="1:6" x14ac:dyDescent="0.3">
      <c r="A1255" t="s">
        <v>22</v>
      </c>
      <c r="B1255" s="1">
        <v>45710</v>
      </c>
      <c r="C1255">
        <v>6</v>
      </c>
      <c r="D1255">
        <v>2.5640000000000001</v>
      </c>
      <c r="E1255" t="s">
        <v>6</v>
      </c>
      <c r="F1255">
        <v>0.10823999999999999</v>
      </c>
    </row>
    <row r="1256" spans="1:6" x14ac:dyDescent="0.3">
      <c r="A1256" t="s">
        <v>22</v>
      </c>
      <c r="B1256" s="1">
        <v>45710</v>
      </c>
      <c r="C1256">
        <v>7</v>
      </c>
      <c r="D1256">
        <v>1.9470000000000001</v>
      </c>
      <c r="E1256" t="s">
        <v>6</v>
      </c>
      <c r="F1256">
        <v>0.1082</v>
      </c>
    </row>
    <row r="1257" spans="1:6" x14ac:dyDescent="0.3">
      <c r="A1257" t="s">
        <v>22</v>
      </c>
      <c r="B1257" s="1">
        <v>45710</v>
      </c>
      <c r="C1257">
        <v>8</v>
      </c>
      <c r="D1257">
        <v>1.786</v>
      </c>
      <c r="E1257" t="s">
        <v>6</v>
      </c>
      <c r="F1257">
        <v>0.11164</v>
      </c>
    </row>
    <row r="1258" spans="1:6" x14ac:dyDescent="0.3">
      <c r="A1258" t="s">
        <v>22</v>
      </c>
      <c r="B1258" s="1">
        <v>45710</v>
      </c>
      <c r="C1258">
        <v>9</v>
      </c>
      <c r="D1258">
        <v>1.4450000000000001</v>
      </c>
      <c r="E1258" t="s">
        <v>6</v>
      </c>
      <c r="F1258">
        <v>0.11417000000000001</v>
      </c>
    </row>
    <row r="1259" spans="1:6" x14ac:dyDescent="0.3">
      <c r="A1259" t="s">
        <v>22</v>
      </c>
      <c r="B1259" s="1">
        <v>45710</v>
      </c>
      <c r="C1259">
        <v>10</v>
      </c>
      <c r="D1259">
        <v>1.7270000000000001</v>
      </c>
      <c r="E1259" t="s">
        <v>6</v>
      </c>
      <c r="F1259">
        <v>0.11667</v>
      </c>
    </row>
    <row r="1260" spans="1:6" x14ac:dyDescent="0.3">
      <c r="A1260" t="s">
        <v>22</v>
      </c>
      <c r="B1260" s="1">
        <v>45710</v>
      </c>
      <c r="C1260">
        <v>11</v>
      </c>
      <c r="D1260">
        <v>0.56699999999999995</v>
      </c>
      <c r="E1260" t="s">
        <v>6</v>
      </c>
      <c r="F1260">
        <v>0.10274</v>
      </c>
    </row>
    <row r="1261" spans="1:6" x14ac:dyDescent="0.3">
      <c r="A1261" t="s">
        <v>22</v>
      </c>
      <c r="B1261" s="1">
        <v>45710</v>
      </c>
      <c r="C1261">
        <v>12</v>
      </c>
      <c r="D1261">
        <v>0.46</v>
      </c>
      <c r="E1261" t="s">
        <v>6</v>
      </c>
      <c r="F1261">
        <v>0.10093000000000001</v>
      </c>
    </row>
    <row r="1262" spans="1:6" x14ac:dyDescent="0.3">
      <c r="A1262" t="s">
        <v>22</v>
      </c>
      <c r="B1262" s="1">
        <v>45710</v>
      </c>
      <c r="C1262">
        <v>13</v>
      </c>
      <c r="D1262">
        <v>1.9350000000000001</v>
      </c>
      <c r="E1262" t="s">
        <v>6</v>
      </c>
      <c r="F1262">
        <v>8.5559999999999997E-2</v>
      </c>
    </row>
    <row r="1263" spans="1:6" x14ac:dyDescent="0.3">
      <c r="A1263" t="s">
        <v>22</v>
      </c>
      <c r="B1263" s="1">
        <v>45710</v>
      </c>
      <c r="C1263">
        <v>14</v>
      </c>
      <c r="D1263">
        <v>1.514</v>
      </c>
      <c r="E1263" t="s">
        <v>6</v>
      </c>
      <c r="F1263">
        <v>7.7560000000000004E-2</v>
      </c>
    </row>
    <row r="1264" spans="1:6" x14ac:dyDescent="0.3">
      <c r="A1264" t="s">
        <v>22</v>
      </c>
      <c r="B1264" s="1">
        <v>45710</v>
      </c>
      <c r="C1264">
        <v>15</v>
      </c>
      <c r="D1264">
        <v>1.7589999999999999</v>
      </c>
      <c r="E1264" t="s">
        <v>6</v>
      </c>
      <c r="F1264">
        <v>7.4380000000000002E-2</v>
      </c>
    </row>
    <row r="1265" spans="1:6" x14ac:dyDescent="0.3">
      <c r="A1265" t="s">
        <v>22</v>
      </c>
      <c r="B1265" s="1">
        <v>45710</v>
      </c>
      <c r="C1265">
        <v>16</v>
      </c>
      <c r="D1265">
        <v>0.26600000000000001</v>
      </c>
      <c r="E1265" t="s">
        <v>6</v>
      </c>
      <c r="F1265">
        <v>7.3790000000000008E-2</v>
      </c>
    </row>
    <row r="1266" spans="1:6" x14ac:dyDescent="0.3">
      <c r="A1266" t="s">
        <v>22</v>
      </c>
      <c r="B1266" s="1">
        <v>45710</v>
      </c>
      <c r="C1266">
        <v>17</v>
      </c>
      <c r="D1266">
        <v>0.13100000000000001</v>
      </c>
      <c r="E1266" t="s">
        <v>6</v>
      </c>
      <c r="F1266">
        <v>8.2970000000000002E-2</v>
      </c>
    </row>
    <row r="1267" spans="1:6" x14ac:dyDescent="0.3">
      <c r="A1267" t="s">
        <v>22</v>
      </c>
      <c r="B1267" s="1">
        <v>45710</v>
      </c>
      <c r="C1267">
        <v>18</v>
      </c>
      <c r="D1267">
        <v>0.15</v>
      </c>
      <c r="E1267" t="s">
        <v>6</v>
      </c>
      <c r="F1267">
        <v>0.12107</v>
      </c>
    </row>
    <row r="1268" spans="1:6" x14ac:dyDescent="0.3">
      <c r="A1268" t="s">
        <v>22</v>
      </c>
      <c r="B1268" s="1">
        <v>45710</v>
      </c>
      <c r="C1268">
        <v>19</v>
      </c>
      <c r="D1268">
        <v>0.54900000000000004</v>
      </c>
      <c r="E1268" t="s">
        <v>6</v>
      </c>
      <c r="F1268">
        <v>0.16947999999999999</v>
      </c>
    </row>
    <row r="1269" spans="1:6" x14ac:dyDescent="0.3">
      <c r="A1269" t="s">
        <v>22</v>
      </c>
      <c r="B1269" s="1">
        <v>45710</v>
      </c>
      <c r="C1269">
        <v>20</v>
      </c>
      <c r="D1269">
        <v>0.41299999999999998</v>
      </c>
      <c r="E1269" t="s">
        <v>6</v>
      </c>
      <c r="F1269">
        <v>0.17699999999999999</v>
      </c>
    </row>
    <row r="1270" spans="1:6" x14ac:dyDescent="0.3">
      <c r="A1270" t="s">
        <v>22</v>
      </c>
      <c r="B1270" s="1">
        <v>45710</v>
      </c>
      <c r="C1270">
        <v>21</v>
      </c>
      <c r="D1270">
        <v>0.45400000000000001</v>
      </c>
      <c r="E1270" t="s">
        <v>6</v>
      </c>
      <c r="F1270">
        <v>0.16550999999999999</v>
      </c>
    </row>
    <row r="1271" spans="1:6" x14ac:dyDescent="0.3">
      <c r="A1271" t="s">
        <v>22</v>
      </c>
      <c r="B1271" s="1">
        <v>45710</v>
      </c>
      <c r="C1271">
        <v>22</v>
      </c>
      <c r="D1271">
        <v>0.55100000000000005</v>
      </c>
      <c r="E1271" t="s">
        <v>6</v>
      </c>
      <c r="F1271">
        <v>0.15694999999999998</v>
      </c>
    </row>
    <row r="1272" spans="1:6" x14ac:dyDescent="0.3">
      <c r="A1272" t="s">
        <v>22</v>
      </c>
      <c r="B1272" s="1">
        <v>45710</v>
      </c>
      <c r="C1272">
        <v>23</v>
      </c>
      <c r="D1272">
        <v>0.47099999999999997</v>
      </c>
      <c r="E1272" t="s">
        <v>6</v>
      </c>
      <c r="F1272">
        <v>0.15393000000000001</v>
      </c>
    </row>
    <row r="1273" spans="1:6" x14ac:dyDescent="0.3">
      <c r="A1273" t="s">
        <v>22</v>
      </c>
      <c r="B1273" s="1">
        <v>45710</v>
      </c>
      <c r="C1273">
        <v>24</v>
      </c>
      <c r="D1273">
        <v>0.47399999999999998</v>
      </c>
      <c r="E1273" t="s">
        <v>6</v>
      </c>
      <c r="F1273">
        <v>0.15290999999999999</v>
      </c>
    </row>
    <row r="1274" spans="1:6" x14ac:dyDescent="0.3">
      <c r="A1274" t="s">
        <v>22</v>
      </c>
      <c r="B1274" s="1">
        <v>45711</v>
      </c>
      <c r="C1274">
        <v>1</v>
      </c>
      <c r="D1274">
        <v>0.44500000000000001</v>
      </c>
      <c r="E1274" t="s">
        <v>6</v>
      </c>
      <c r="F1274">
        <v>0.14015</v>
      </c>
    </row>
    <row r="1275" spans="1:6" x14ac:dyDescent="0.3">
      <c r="A1275" t="s">
        <v>22</v>
      </c>
      <c r="B1275" s="1">
        <v>45711</v>
      </c>
      <c r="C1275">
        <v>2</v>
      </c>
      <c r="D1275">
        <v>0.40500000000000003</v>
      </c>
      <c r="E1275" t="s">
        <v>6</v>
      </c>
      <c r="F1275">
        <v>0.13346</v>
      </c>
    </row>
    <row r="1276" spans="1:6" x14ac:dyDescent="0.3">
      <c r="A1276" t="s">
        <v>22</v>
      </c>
      <c r="B1276" s="1">
        <v>45711</v>
      </c>
      <c r="C1276">
        <v>3</v>
      </c>
      <c r="D1276">
        <v>0.123</v>
      </c>
      <c r="E1276" t="s">
        <v>6</v>
      </c>
      <c r="F1276">
        <v>0.13508000000000001</v>
      </c>
    </row>
    <row r="1277" spans="1:6" x14ac:dyDescent="0.3">
      <c r="A1277" t="s">
        <v>22</v>
      </c>
      <c r="B1277" s="1">
        <v>45711</v>
      </c>
      <c r="C1277">
        <v>4</v>
      </c>
      <c r="D1277">
        <v>0.14599999999999999</v>
      </c>
      <c r="E1277" t="s">
        <v>6</v>
      </c>
      <c r="F1277">
        <v>0.13733999999999999</v>
      </c>
    </row>
    <row r="1278" spans="1:6" x14ac:dyDescent="0.3">
      <c r="A1278" t="s">
        <v>22</v>
      </c>
      <c r="B1278" s="1">
        <v>45711</v>
      </c>
      <c r="C1278">
        <v>5</v>
      </c>
      <c r="D1278">
        <v>0.17</v>
      </c>
      <c r="E1278" t="s">
        <v>6</v>
      </c>
      <c r="F1278">
        <v>0.1358</v>
      </c>
    </row>
    <row r="1279" spans="1:6" x14ac:dyDescent="0.3">
      <c r="A1279" t="s">
        <v>22</v>
      </c>
      <c r="B1279" s="1">
        <v>45711</v>
      </c>
      <c r="C1279">
        <v>6</v>
      </c>
      <c r="D1279">
        <v>0.10299999999999999</v>
      </c>
      <c r="E1279" t="s">
        <v>6</v>
      </c>
      <c r="F1279">
        <v>0.13704</v>
      </c>
    </row>
    <row r="1280" spans="1:6" x14ac:dyDescent="0.3">
      <c r="A1280" t="s">
        <v>22</v>
      </c>
      <c r="B1280" s="1">
        <v>45711</v>
      </c>
      <c r="C1280">
        <v>7</v>
      </c>
      <c r="D1280">
        <v>0.92200000000000004</v>
      </c>
      <c r="E1280" t="s">
        <v>6</v>
      </c>
      <c r="F1280">
        <v>0.13994999999999999</v>
      </c>
    </row>
    <row r="1281" spans="1:6" x14ac:dyDescent="0.3">
      <c r="A1281" t="s">
        <v>22</v>
      </c>
      <c r="B1281" s="1">
        <v>45711</v>
      </c>
      <c r="C1281">
        <v>8</v>
      </c>
      <c r="D1281">
        <v>4.1070000000000002</v>
      </c>
      <c r="E1281" t="s">
        <v>6</v>
      </c>
      <c r="F1281">
        <v>0.13711000000000001</v>
      </c>
    </row>
    <row r="1282" spans="1:6" x14ac:dyDescent="0.3">
      <c r="A1282" t="s">
        <v>22</v>
      </c>
      <c r="B1282" s="1">
        <v>45711</v>
      </c>
      <c r="C1282">
        <v>9</v>
      </c>
      <c r="D1282">
        <v>2.7959999999999998</v>
      </c>
      <c r="E1282" t="s">
        <v>6</v>
      </c>
      <c r="F1282">
        <v>0.12997</v>
      </c>
    </row>
    <row r="1283" spans="1:6" x14ac:dyDescent="0.3">
      <c r="A1283" t="s">
        <v>22</v>
      </c>
      <c r="B1283" s="1">
        <v>45711</v>
      </c>
      <c r="C1283">
        <v>10</v>
      </c>
      <c r="D1283">
        <v>1.7250000000000001</v>
      </c>
      <c r="E1283" t="s">
        <v>6</v>
      </c>
      <c r="F1283">
        <v>0.11394</v>
      </c>
    </row>
    <row r="1284" spans="1:6" x14ac:dyDescent="0.3">
      <c r="A1284" t="s">
        <v>22</v>
      </c>
      <c r="B1284" s="1">
        <v>45711</v>
      </c>
      <c r="C1284">
        <v>11</v>
      </c>
      <c r="D1284">
        <v>2.0630000000000002</v>
      </c>
      <c r="E1284" t="s">
        <v>6</v>
      </c>
      <c r="F1284">
        <v>6.1869999999999994E-2</v>
      </c>
    </row>
    <row r="1285" spans="1:6" x14ac:dyDescent="0.3">
      <c r="A1285" t="s">
        <v>22</v>
      </c>
      <c r="B1285" s="1">
        <v>45711</v>
      </c>
      <c r="C1285">
        <v>12</v>
      </c>
      <c r="D1285">
        <v>0</v>
      </c>
      <c r="E1285" t="s">
        <v>6</v>
      </c>
      <c r="F1285">
        <v>4.6210000000000001E-2</v>
      </c>
    </row>
    <row r="1286" spans="1:6" x14ac:dyDescent="0.3">
      <c r="A1286" t="s">
        <v>22</v>
      </c>
      <c r="B1286" s="1">
        <v>45711</v>
      </c>
      <c r="C1286">
        <v>13</v>
      </c>
      <c r="D1286">
        <v>0</v>
      </c>
      <c r="E1286" t="s">
        <v>6</v>
      </c>
      <c r="F1286">
        <v>3.5020000000000003E-2</v>
      </c>
    </row>
    <row r="1287" spans="1:6" x14ac:dyDescent="0.3">
      <c r="A1287" t="s">
        <v>22</v>
      </c>
      <c r="B1287" s="1">
        <v>45711</v>
      </c>
      <c r="C1287">
        <v>14</v>
      </c>
      <c r="D1287">
        <v>0</v>
      </c>
      <c r="E1287" t="s">
        <v>6</v>
      </c>
      <c r="F1287">
        <v>4.122E-2</v>
      </c>
    </row>
    <row r="1288" spans="1:6" x14ac:dyDescent="0.3">
      <c r="A1288" t="s">
        <v>22</v>
      </c>
      <c r="B1288" s="1">
        <v>45711</v>
      </c>
      <c r="C1288">
        <v>15</v>
      </c>
      <c r="D1288">
        <v>0</v>
      </c>
      <c r="E1288" t="s">
        <v>6</v>
      </c>
      <c r="F1288">
        <v>4.1000000000000002E-2</v>
      </c>
    </row>
    <row r="1289" spans="1:6" x14ac:dyDescent="0.3">
      <c r="A1289" t="s">
        <v>22</v>
      </c>
      <c r="B1289" s="1">
        <v>45711</v>
      </c>
      <c r="C1289">
        <v>16</v>
      </c>
      <c r="D1289">
        <v>0</v>
      </c>
      <c r="E1289" t="s">
        <v>6</v>
      </c>
      <c r="F1289">
        <v>3.2659999999999995E-2</v>
      </c>
    </row>
    <row r="1290" spans="1:6" x14ac:dyDescent="0.3">
      <c r="A1290" t="s">
        <v>22</v>
      </c>
      <c r="B1290" s="1">
        <v>45711</v>
      </c>
      <c r="C1290">
        <v>17</v>
      </c>
      <c r="D1290">
        <v>2.2160000000000002</v>
      </c>
      <c r="E1290" t="s">
        <v>6</v>
      </c>
      <c r="F1290">
        <v>4.1520000000000001E-2</v>
      </c>
    </row>
    <row r="1291" spans="1:6" x14ac:dyDescent="0.3">
      <c r="A1291" t="s">
        <v>22</v>
      </c>
      <c r="B1291" s="1">
        <v>45711</v>
      </c>
      <c r="C1291">
        <v>18</v>
      </c>
      <c r="D1291">
        <v>4.0620000000000003</v>
      </c>
      <c r="E1291" t="s">
        <v>6</v>
      </c>
      <c r="F1291">
        <v>9.4090000000000007E-2</v>
      </c>
    </row>
    <row r="1292" spans="1:6" x14ac:dyDescent="0.3">
      <c r="A1292" t="s">
        <v>22</v>
      </c>
      <c r="B1292" s="1">
        <v>45711</v>
      </c>
      <c r="C1292">
        <v>19</v>
      </c>
      <c r="D1292">
        <v>2.7989999999999999</v>
      </c>
      <c r="E1292" t="s">
        <v>6</v>
      </c>
      <c r="F1292">
        <v>0.15105000000000002</v>
      </c>
    </row>
    <row r="1293" spans="1:6" x14ac:dyDescent="0.3">
      <c r="A1293" t="s">
        <v>22</v>
      </c>
      <c r="B1293" s="1">
        <v>45711</v>
      </c>
      <c r="C1293">
        <v>20</v>
      </c>
      <c r="D1293">
        <v>2.2040000000000002</v>
      </c>
      <c r="E1293" t="s">
        <v>6</v>
      </c>
      <c r="F1293">
        <v>0.17046</v>
      </c>
    </row>
    <row r="1294" spans="1:6" x14ac:dyDescent="0.3">
      <c r="A1294" t="s">
        <v>22</v>
      </c>
      <c r="B1294" s="1">
        <v>45711</v>
      </c>
      <c r="C1294">
        <v>21</v>
      </c>
      <c r="D1294">
        <v>0.53400000000000003</v>
      </c>
      <c r="E1294" t="s">
        <v>6</v>
      </c>
      <c r="F1294">
        <v>0.18533000000000002</v>
      </c>
    </row>
    <row r="1295" spans="1:6" x14ac:dyDescent="0.3">
      <c r="A1295" t="s">
        <v>22</v>
      </c>
      <c r="B1295" s="1">
        <v>45711</v>
      </c>
      <c r="C1295">
        <v>22</v>
      </c>
      <c r="D1295">
        <v>0.70699999999999996</v>
      </c>
      <c r="E1295" t="s">
        <v>6</v>
      </c>
      <c r="F1295">
        <v>0.17468</v>
      </c>
    </row>
    <row r="1296" spans="1:6" x14ac:dyDescent="0.3">
      <c r="A1296" t="s">
        <v>22</v>
      </c>
      <c r="B1296" s="1">
        <v>45711</v>
      </c>
      <c r="C1296">
        <v>23</v>
      </c>
      <c r="D1296">
        <v>0.71099999999999997</v>
      </c>
      <c r="E1296" t="s">
        <v>6</v>
      </c>
      <c r="F1296">
        <v>0.15115999999999999</v>
      </c>
    </row>
    <row r="1297" spans="1:6" x14ac:dyDescent="0.3">
      <c r="A1297" t="s">
        <v>22</v>
      </c>
      <c r="B1297" s="1">
        <v>45711</v>
      </c>
      <c r="C1297">
        <v>24</v>
      </c>
      <c r="D1297">
        <v>0.435</v>
      </c>
      <c r="E1297" t="s">
        <v>6</v>
      </c>
      <c r="F1297">
        <v>0.13224</v>
      </c>
    </row>
    <row r="1298" spans="1:6" x14ac:dyDescent="0.3">
      <c r="A1298" t="s">
        <v>22</v>
      </c>
      <c r="B1298" s="1">
        <v>45712</v>
      </c>
      <c r="C1298">
        <v>1</v>
      </c>
      <c r="D1298">
        <v>0.23699999999999999</v>
      </c>
      <c r="E1298" t="s">
        <v>6</v>
      </c>
      <c r="F1298">
        <v>0.12254000000000001</v>
      </c>
    </row>
    <row r="1299" spans="1:6" x14ac:dyDescent="0.3">
      <c r="A1299" t="s">
        <v>22</v>
      </c>
      <c r="B1299" s="1">
        <v>45712</v>
      </c>
      <c r="C1299">
        <v>2</v>
      </c>
      <c r="D1299">
        <v>0.245</v>
      </c>
      <c r="E1299" t="s">
        <v>6</v>
      </c>
      <c r="F1299">
        <v>0.11042</v>
      </c>
    </row>
    <row r="1300" spans="1:6" x14ac:dyDescent="0.3">
      <c r="A1300" t="s">
        <v>22</v>
      </c>
      <c r="B1300" s="1">
        <v>45712</v>
      </c>
      <c r="C1300">
        <v>3</v>
      </c>
      <c r="D1300">
        <v>0.193</v>
      </c>
      <c r="E1300" t="s">
        <v>6</v>
      </c>
      <c r="F1300">
        <v>0.10387</v>
      </c>
    </row>
    <row r="1301" spans="1:6" x14ac:dyDescent="0.3">
      <c r="A1301" t="s">
        <v>22</v>
      </c>
      <c r="B1301" s="1">
        <v>45712</v>
      </c>
      <c r="C1301">
        <v>4</v>
      </c>
      <c r="D1301">
        <v>0.88300000000000001</v>
      </c>
      <c r="E1301" t="s">
        <v>6</v>
      </c>
      <c r="F1301">
        <v>9.8400000000000001E-2</v>
      </c>
    </row>
    <row r="1302" spans="1:6" x14ac:dyDescent="0.3">
      <c r="A1302" t="s">
        <v>22</v>
      </c>
      <c r="B1302" s="1">
        <v>45712</v>
      </c>
      <c r="C1302">
        <v>5</v>
      </c>
      <c r="D1302">
        <v>3.8580000000000001</v>
      </c>
      <c r="E1302" t="s">
        <v>6</v>
      </c>
      <c r="F1302">
        <v>9.5260000000000011E-2</v>
      </c>
    </row>
    <row r="1303" spans="1:6" x14ac:dyDescent="0.3">
      <c r="A1303" t="s">
        <v>22</v>
      </c>
      <c r="B1303" s="1">
        <v>45712</v>
      </c>
      <c r="C1303">
        <v>6</v>
      </c>
      <c r="D1303">
        <v>3.3479999999999999</v>
      </c>
      <c r="E1303" t="s">
        <v>6</v>
      </c>
      <c r="F1303">
        <v>0.10363</v>
      </c>
    </row>
    <row r="1304" spans="1:6" x14ac:dyDescent="0.3">
      <c r="A1304" t="s">
        <v>22</v>
      </c>
      <c r="B1304" s="1">
        <v>45712</v>
      </c>
      <c r="C1304">
        <v>7</v>
      </c>
      <c r="D1304">
        <v>3.3719999999999999</v>
      </c>
      <c r="E1304" t="s">
        <v>6</v>
      </c>
      <c r="F1304">
        <v>0.11851</v>
      </c>
    </row>
    <row r="1305" spans="1:6" x14ac:dyDescent="0.3">
      <c r="A1305" t="s">
        <v>22</v>
      </c>
      <c r="B1305" s="1">
        <v>45712</v>
      </c>
      <c r="C1305">
        <v>8</v>
      </c>
      <c r="D1305">
        <v>4.2519999999999998</v>
      </c>
      <c r="E1305" t="s">
        <v>6</v>
      </c>
      <c r="F1305">
        <v>0.14463999999999999</v>
      </c>
    </row>
    <row r="1306" spans="1:6" x14ac:dyDescent="0.3">
      <c r="A1306" t="s">
        <v>22</v>
      </c>
      <c r="B1306" s="1">
        <v>45712</v>
      </c>
      <c r="C1306">
        <v>9</v>
      </c>
      <c r="D1306">
        <v>3.01</v>
      </c>
      <c r="E1306" t="s">
        <v>6</v>
      </c>
      <c r="F1306">
        <v>0.18158000000000002</v>
      </c>
    </row>
    <row r="1307" spans="1:6" x14ac:dyDescent="0.3">
      <c r="A1307" t="s">
        <v>22</v>
      </c>
      <c r="B1307" s="1">
        <v>45712</v>
      </c>
      <c r="C1307">
        <v>10</v>
      </c>
      <c r="D1307">
        <v>2.6360000000000001</v>
      </c>
      <c r="E1307" t="s">
        <v>6</v>
      </c>
      <c r="F1307">
        <v>0.16708000000000001</v>
      </c>
    </row>
    <row r="1308" spans="1:6" x14ac:dyDescent="0.3">
      <c r="A1308" t="s">
        <v>22</v>
      </c>
      <c r="B1308" s="1">
        <v>45712</v>
      </c>
      <c r="C1308">
        <v>11</v>
      </c>
      <c r="D1308">
        <v>2.653</v>
      </c>
      <c r="E1308" t="s">
        <v>6</v>
      </c>
      <c r="F1308">
        <v>0.21768000000000001</v>
      </c>
    </row>
    <row r="1309" spans="1:6" x14ac:dyDescent="0.3">
      <c r="A1309" t="s">
        <v>22</v>
      </c>
      <c r="B1309" s="1">
        <v>45712</v>
      </c>
      <c r="C1309">
        <v>12</v>
      </c>
      <c r="D1309">
        <v>1.464</v>
      </c>
      <c r="E1309" t="s">
        <v>6</v>
      </c>
      <c r="F1309">
        <v>0.20119999999999999</v>
      </c>
    </row>
    <row r="1310" spans="1:6" x14ac:dyDescent="0.3">
      <c r="A1310" t="s">
        <v>22</v>
      </c>
      <c r="B1310" s="1">
        <v>45712</v>
      </c>
      <c r="C1310">
        <v>13</v>
      </c>
      <c r="D1310">
        <v>0.42799999999999999</v>
      </c>
      <c r="E1310" t="s">
        <v>6</v>
      </c>
      <c r="F1310">
        <v>0.1802</v>
      </c>
    </row>
    <row r="1311" spans="1:6" x14ac:dyDescent="0.3">
      <c r="A1311" t="s">
        <v>22</v>
      </c>
      <c r="B1311" s="1">
        <v>45712</v>
      </c>
      <c r="C1311">
        <v>14</v>
      </c>
      <c r="D1311">
        <v>0</v>
      </c>
      <c r="E1311" t="s">
        <v>6</v>
      </c>
      <c r="F1311">
        <v>0.15966</v>
      </c>
    </row>
    <row r="1312" spans="1:6" x14ac:dyDescent="0.3">
      <c r="A1312" t="s">
        <v>22</v>
      </c>
      <c r="B1312" s="1">
        <v>45712</v>
      </c>
      <c r="C1312">
        <v>15</v>
      </c>
      <c r="D1312">
        <v>0.68600000000000005</v>
      </c>
      <c r="E1312" t="s">
        <v>6</v>
      </c>
      <c r="F1312">
        <v>8.5180000000000006E-2</v>
      </c>
    </row>
    <row r="1313" spans="1:6" x14ac:dyDescent="0.3">
      <c r="A1313" t="s">
        <v>22</v>
      </c>
      <c r="B1313" s="1">
        <v>45712</v>
      </c>
      <c r="C1313">
        <v>16</v>
      </c>
      <c r="D1313">
        <v>4.0679999999999996</v>
      </c>
      <c r="E1313" t="s">
        <v>6</v>
      </c>
      <c r="F1313">
        <v>8.7719999999999992E-2</v>
      </c>
    </row>
    <row r="1314" spans="1:6" x14ac:dyDescent="0.3">
      <c r="A1314" t="s">
        <v>22</v>
      </c>
      <c r="B1314" s="1">
        <v>45712</v>
      </c>
      <c r="C1314">
        <v>17</v>
      </c>
      <c r="D1314">
        <v>4.5629999999999997</v>
      </c>
      <c r="E1314" t="s">
        <v>6</v>
      </c>
      <c r="F1314">
        <v>9.8290000000000002E-2</v>
      </c>
    </row>
    <row r="1315" spans="1:6" x14ac:dyDescent="0.3">
      <c r="A1315" t="s">
        <v>22</v>
      </c>
      <c r="B1315" s="1">
        <v>45712</v>
      </c>
      <c r="C1315">
        <v>18</v>
      </c>
      <c r="D1315">
        <v>1.1220000000000001</v>
      </c>
      <c r="E1315" t="s">
        <v>6</v>
      </c>
      <c r="F1315">
        <v>0.12755</v>
      </c>
    </row>
    <row r="1316" spans="1:6" x14ac:dyDescent="0.3">
      <c r="A1316" t="s">
        <v>22</v>
      </c>
      <c r="B1316" s="1">
        <v>45712</v>
      </c>
      <c r="C1316">
        <v>19</v>
      </c>
      <c r="D1316">
        <v>2.3149999999999999</v>
      </c>
      <c r="E1316" t="s">
        <v>6</v>
      </c>
      <c r="F1316">
        <v>0.24065999999999999</v>
      </c>
    </row>
    <row r="1317" spans="1:6" x14ac:dyDescent="0.3">
      <c r="A1317" t="s">
        <v>22</v>
      </c>
      <c r="B1317" s="1">
        <v>45712</v>
      </c>
      <c r="C1317">
        <v>20</v>
      </c>
      <c r="D1317">
        <v>1.595</v>
      </c>
      <c r="E1317" t="s">
        <v>6</v>
      </c>
      <c r="F1317">
        <v>0.29763999999999996</v>
      </c>
    </row>
    <row r="1318" spans="1:6" x14ac:dyDescent="0.3">
      <c r="A1318" t="s">
        <v>22</v>
      </c>
      <c r="B1318" s="1">
        <v>45712</v>
      </c>
      <c r="C1318">
        <v>21</v>
      </c>
      <c r="D1318">
        <v>1.772</v>
      </c>
      <c r="E1318" t="s">
        <v>6</v>
      </c>
      <c r="F1318">
        <v>0.26793</v>
      </c>
    </row>
    <row r="1319" spans="1:6" x14ac:dyDescent="0.3">
      <c r="A1319" t="s">
        <v>22</v>
      </c>
      <c r="B1319" s="1">
        <v>45712</v>
      </c>
      <c r="C1319">
        <v>22</v>
      </c>
      <c r="D1319">
        <v>0.97399999999999998</v>
      </c>
      <c r="E1319" t="s">
        <v>6</v>
      </c>
      <c r="F1319">
        <v>0.24702000000000002</v>
      </c>
    </row>
    <row r="1320" spans="1:6" x14ac:dyDescent="0.3">
      <c r="A1320" t="s">
        <v>22</v>
      </c>
      <c r="B1320" s="1">
        <v>45712</v>
      </c>
      <c r="C1320">
        <v>23</v>
      </c>
      <c r="D1320">
        <v>0.26700000000000002</v>
      </c>
      <c r="E1320" t="s">
        <v>6</v>
      </c>
      <c r="F1320">
        <v>0.16553999999999999</v>
      </c>
    </row>
    <row r="1321" spans="1:6" x14ac:dyDescent="0.3">
      <c r="A1321" t="s">
        <v>22</v>
      </c>
      <c r="B1321" s="1">
        <v>45712</v>
      </c>
      <c r="C1321">
        <v>24</v>
      </c>
      <c r="D1321">
        <v>0.186</v>
      </c>
      <c r="E1321" t="s">
        <v>6</v>
      </c>
      <c r="F1321">
        <v>0.14546000000000001</v>
      </c>
    </row>
    <row r="1322" spans="1:6" x14ac:dyDescent="0.3">
      <c r="A1322" t="s">
        <v>22</v>
      </c>
      <c r="B1322" s="1">
        <v>45713</v>
      </c>
      <c r="C1322">
        <v>1</v>
      </c>
      <c r="D1322">
        <v>0.128</v>
      </c>
      <c r="E1322" t="s">
        <v>6</v>
      </c>
      <c r="F1322">
        <v>0.10656</v>
      </c>
    </row>
    <row r="1323" spans="1:6" x14ac:dyDescent="0.3">
      <c r="A1323" t="s">
        <v>22</v>
      </c>
      <c r="B1323" s="1">
        <v>45713</v>
      </c>
      <c r="C1323">
        <v>2</v>
      </c>
      <c r="D1323">
        <v>0.125</v>
      </c>
      <c r="E1323" t="s">
        <v>6</v>
      </c>
      <c r="F1323">
        <v>0.10862999999999999</v>
      </c>
    </row>
    <row r="1324" spans="1:6" x14ac:dyDescent="0.3">
      <c r="A1324" t="s">
        <v>22</v>
      </c>
      <c r="B1324" s="1">
        <v>45713</v>
      </c>
      <c r="C1324">
        <v>3</v>
      </c>
      <c r="D1324">
        <v>0.20100000000000001</v>
      </c>
      <c r="E1324" t="s">
        <v>6</v>
      </c>
      <c r="F1324">
        <v>0.11028</v>
      </c>
    </row>
    <row r="1325" spans="1:6" x14ac:dyDescent="0.3">
      <c r="A1325" t="s">
        <v>22</v>
      </c>
      <c r="B1325" s="1">
        <v>45713</v>
      </c>
      <c r="C1325">
        <v>4</v>
      </c>
      <c r="D1325">
        <v>0.159</v>
      </c>
      <c r="E1325" t="s">
        <v>6</v>
      </c>
      <c r="F1325">
        <v>0.10981</v>
      </c>
    </row>
    <row r="1326" spans="1:6" x14ac:dyDescent="0.3">
      <c r="A1326" t="s">
        <v>22</v>
      </c>
      <c r="B1326" s="1">
        <v>45713</v>
      </c>
      <c r="C1326">
        <v>5</v>
      </c>
      <c r="D1326">
        <v>0.14799999999999999</v>
      </c>
      <c r="E1326" t="s">
        <v>6</v>
      </c>
      <c r="F1326">
        <v>0.11869</v>
      </c>
    </row>
    <row r="1327" spans="1:6" x14ac:dyDescent="0.3">
      <c r="A1327" t="s">
        <v>22</v>
      </c>
      <c r="B1327" s="1">
        <v>45713</v>
      </c>
      <c r="C1327">
        <v>6</v>
      </c>
      <c r="D1327">
        <v>1.24</v>
      </c>
      <c r="E1327" t="s">
        <v>6</v>
      </c>
      <c r="F1327">
        <v>0.12802000000000002</v>
      </c>
    </row>
    <row r="1328" spans="1:6" x14ac:dyDescent="0.3">
      <c r="A1328" t="s">
        <v>22</v>
      </c>
      <c r="B1328" s="1">
        <v>45713</v>
      </c>
      <c r="C1328">
        <v>7</v>
      </c>
      <c r="D1328">
        <v>3.0960000000000001</v>
      </c>
      <c r="E1328" t="s">
        <v>6</v>
      </c>
      <c r="F1328">
        <v>0.13671</v>
      </c>
    </row>
    <row r="1329" spans="1:6" x14ac:dyDescent="0.3">
      <c r="A1329" t="s">
        <v>22</v>
      </c>
      <c r="B1329" s="1">
        <v>45713</v>
      </c>
      <c r="C1329">
        <v>8</v>
      </c>
      <c r="D1329">
        <v>3.0030000000000001</v>
      </c>
      <c r="E1329" t="s">
        <v>6</v>
      </c>
      <c r="F1329">
        <v>0.16244999999999998</v>
      </c>
    </row>
    <row r="1330" spans="1:6" x14ac:dyDescent="0.3">
      <c r="A1330" t="s">
        <v>22</v>
      </c>
      <c r="B1330" s="1">
        <v>45713</v>
      </c>
      <c r="C1330">
        <v>9</v>
      </c>
      <c r="D1330">
        <v>2.1379999999999999</v>
      </c>
      <c r="E1330" t="s">
        <v>6</v>
      </c>
      <c r="F1330">
        <v>0.20111000000000001</v>
      </c>
    </row>
    <row r="1331" spans="1:6" x14ac:dyDescent="0.3">
      <c r="A1331" t="s">
        <v>22</v>
      </c>
      <c r="B1331" s="1">
        <v>45713</v>
      </c>
      <c r="C1331">
        <v>10</v>
      </c>
      <c r="D1331">
        <v>2.306</v>
      </c>
      <c r="E1331" t="s">
        <v>6</v>
      </c>
      <c r="F1331">
        <v>0.18840999999999999</v>
      </c>
    </row>
    <row r="1332" spans="1:6" x14ac:dyDescent="0.3">
      <c r="A1332" t="s">
        <v>22</v>
      </c>
      <c r="B1332" s="1">
        <v>45713</v>
      </c>
      <c r="C1332">
        <v>11</v>
      </c>
      <c r="D1332">
        <v>1.1140000000000001</v>
      </c>
      <c r="E1332" t="s">
        <v>6</v>
      </c>
      <c r="F1332">
        <v>0.23249</v>
      </c>
    </row>
    <row r="1333" spans="1:6" x14ac:dyDescent="0.3">
      <c r="A1333" t="s">
        <v>22</v>
      </c>
      <c r="B1333" s="1">
        <v>45713</v>
      </c>
      <c r="C1333">
        <v>12</v>
      </c>
      <c r="D1333">
        <v>1.3959999999999999</v>
      </c>
      <c r="E1333" t="s">
        <v>6</v>
      </c>
      <c r="F1333">
        <v>0.21051</v>
      </c>
    </row>
    <row r="1334" spans="1:6" x14ac:dyDescent="0.3">
      <c r="A1334" t="s">
        <v>22</v>
      </c>
      <c r="B1334" s="1">
        <v>45713</v>
      </c>
      <c r="C1334">
        <v>13</v>
      </c>
      <c r="D1334">
        <v>1.4390000000000001</v>
      </c>
      <c r="E1334" t="s">
        <v>6</v>
      </c>
      <c r="F1334">
        <v>0.19478000000000001</v>
      </c>
    </row>
    <row r="1335" spans="1:6" x14ac:dyDescent="0.3">
      <c r="A1335" t="s">
        <v>22</v>
      </c>
      <c r="B1335" s="1">
        <v>45713</v>
      </c>
      <c r="C1335">
        <v>14</v>
      </c>
      <c r="D1335">
        <v>1.728</v>
      </c>
      <c r="E1335" t="s">
        <v>6</v>
      </c>
      <c r="F1335">
        <v>0.18736000000000003</v>
      </c>
    </row>
    <row r="1336" spans="1:6" x14ac:dyDescent="0.3">
      <c r="A1336" t="s">
        <v>22</v>
      </c>
      <c r="B1336" s="1">
        <v>45713</v>
      </c>
      <c r="C1336">
        <v>15</v>
      </c>
      <c r="D1336">
        <v>1.544</v>
      </c>
      <c r="E1336" t="s">
        <v>6</v>
      </c>
      <c r="F1336">
        <v>0.10817</v>
      </c>
    </row>
    <row r="1337" spans="1:6" x14ac:dyDescent="0.3">
      <c r="A1337" t="s">
        <v>22</v>
      </c>
      <c r="B1337" s="1">
        <v>45713</v>
      </c>
      <c r="C1337">
        <v>16</v>
      </c>
      <c r="D1337">
        <v>2.0640000000000001</v>
      </c>
      <c r="E1337" t="s">
        <v>6</v>
      </c>
      <c r="F1337">
        <v>0.10514</v>
      </c>
    </row>
    <row r="1338" spans="1:6" x14ac:dyDescent="0.3">
      <c r="A1338" t="s">
        <v>22</v>
      </c>
      <c r="B1338" s="1">
        <v>45713</v>
      </c>
      <c r="C1338">
        <v>17</v>
      </c>
      <c r="D1338">
        <v>2.2509999999999999</v>
      </c>
      <c r="E1338" t="s">
        <v>6</v>
      </c>
      <c r="F1338">
        <v>0.10859999999999999</v>
      </c>
    </row>
    <row r="1339" spans="1:6" x14ac:dyDescent="0.3">
      <c r="A1339" t="s">
        <v>22</v>
      </c>
      <c r="B1339" s="1">
        <v>45713</v>
      </c>
      <c r="C1339">
        <v>18</v>
      </c>
      <c r="D1339">
        <v>1.67</v>
      </c>
      <c r="E1339" t="s">
        <v>6</v>
      </c>
      <c r="F1339">
        <v>0.13275000000000001</v>
      </c>
    </row>
    <row r="1340" spans="1:6" x14ac:dyDescent="0.3">
      <c r="A1340" t="s">
        <v>22</v>
      </c>
      <c r="B1340" s="1">
        <v>45713</v>
      </c>
      <c r="C1340">
        <v>19</v>
      </c>
      <c r="D1340">
        <v>1.7430000000000001</v>
      </c>
      <c r="E1340" t="s">
        <v>6</v>
      </c>
      <c r="F1340">
        <v>0.23158000000000001</v>
      </c>
    </row>
    <row r="1341" spans="1:6" x14ac:dyDescent="0.3">
      <c r="A1341" t="s">
        <v>22</v>
      </c>
      <c r="B1341" s="1">
        <v>45713</v>
      </c>
      <c r="C1341">
        <v>20</v>
      </c>
      <c r="D1341">
        <v>1.925</v>
      </c>
      <c r="E1341" t="s">
        <v>6</v>
      </c>
      <c r="F1341">
        <v>0.26780999999999999</v>
      </c>
    </row>
    <row r="1342" spans="1:6" x14ac:dyDescent="0.3">
      <c r="A1342" t="s">
        <v>22</v>
      </c>
      <c r="B1342" s="1">
        <v>45713</v>
      </c>
      <c r="C1342">
        <v>21</v>
      </c>
      <c r="D1342">
        <v>1.708</v>
      </c>
      <c r="E1342" t="s">
        <v>6</v>
      </c>
      <c r="F1342">
        <v>0.26504</v>
      </c>
    </row>
    <row r="1343" spans="1:6" x14ac:dyDescent="0.3">
      <c r="A1343" t="s">
        <v>22</v>
      </c>
      <c r="B1343" s="1">
        <v>45713</v>
      </c>
      <c r="C1343">
        <v>22</v>
      </c>
      <c r="D1343">
        <v>0.378</v>
      </c>
      <c r="E1343" t="s">
        <v>6</v>
      </c>
      <c r="F1343">
        <v>0.25535000000000002</v>
      </c>
    </row>
    <row r="1344" spans="1:6" x14ac:dyDescent="0.3">
      <c r="A1344" t="s">
        <v>22</v>
      </c>
      <c r="B1344" s="1">
        <v>45713</v>
      </c>
      <c r="C1344">
        <v>23</v>
      </c>
      <c r="D1344">
        <v>0.25</v>
      </c>
      <c r="E1344" t="s">
        <v>6</v>
      </c>
      <c r="F1344">
        <v>0.17343</v>
      </c>
    </row>
    <row r="1345" spans="1:6" x14ac:dyDescent="0.3">
      <c r="A1345" t="s">
        <v>22</v>
      </c>
      <c r="B1345" s="1">
        <v>45713</v>
      </c>
      <c r="C1345">
        <v>24</v>
      </c>
      <c r="D1345">
        <v>0.36899999999999999</v>
      </c>
      <c r="E1345" t="s">
        <v>6</v>
      </c>
      <c r="F1345">
        <v>0.15991</v>
      </c>
    </row>
    <row r="1346" spans="1:6" x14ac:dyDescent="0.3">
      <c r="A1346" t="s">
        <v>22</v>
      </c>
      <c r="B1346" s="1">
        <v>45714</v>
      </c>
      <c r="C1346">
        <v>1</v>
      </c>
      <c r="D1346">
        <v>0.153</v>
      </c>
      <c r="E1346" t="s">
        <v>6</v>
      </c>
      <c r="F1346">
        <v>0.13453999999999999</v>
      </c>
    </row>
    <row r="1347" spans="1:6" x14ac:dyDescent="0.3">
      <c r="A1347" t="s">
        <v>22</v>
      </c>
      <c r="B1347" s="1">
        <v>45714</v>
      </c>
      <c r="C1347">
        <v>2</v>
      </c>
      <c r="D1347">
        <v>0.14899999999999999</v>
      </c>
      <c r="E1347" t="s">
        <v>6</v>
      </c>
      <c r="F1347">
        <v>0.1179</v>
      </c>
    </row>
    <row r="1348" spans="1:6" x14ac:dyDescent="0.3">
      <c r="A1348" t="s">
        <v>22</v>
      </c>
      <c r="B1348" s="1">
        <v>45714</v>
      </c>
      <c r="C1348">
        <v>3</v>
      </c>
      <c r="D1348">
        <v>0.123</v>
      </c>
      <c r="E1348" t="s">
        <v>6</v>
      </c>
      <c r="F1348">
        <v>0.12997999999999998</v>
      </c>
    </row>
    <row r="1349" spans="1:6" x14ac:dyDescent="0.3">
      <c r="A1349" t="s">
        <v>22</v>
      </c>
      <c r="B1349" s="1">
        <v>45714</v>
      </c>
      <c r="C1349">
        <v>4</v>
      </c>
      <c r="D1349">
        <v>0.20699999999999999</v>
      </c>
      <c r="E1349" t="s">
        <v>6</v>
      </c>
      <c r="F1349">
        <v>0.1201</v>
      </c>
    </row>
    <row r="1350" spans="1:6" x14ac:dyDescent="0.3">
      <c r="A1350" t="s">
        <v>22</v>
      </c>
      <c r="B1350" s="1">
        <v>45714</v>
      </c>
      <c r="C1350">
        <v>5</v>
      </c>
      <c r="D1350">
        <v>2.1669999999999998</v>
      </c>
      <c r="E1350" t="s">
        <v>6</v>
      </c>
      <c r="F1350">
        <v>0.12282</v>
      </c>
    </row>
    <row r="1351" spans="1:6" x14ac:dyDescent="0.3">
      <c r="A1351" t="s">
        <v>22</v>
      </c>
      <c r="B1351" s="1">
        <v>45714</v>
      </c>
      <c r="C1351">
        <v>6</v>
      </c>
      <c r="D1351">
        <v>4.5069999999999997</v>
      </c>
      <c r="E1351" t="s">
        <v>6</v>
      </c>
      <c r="F1351">
        <v>0.13220999999999999</v>
      </c>
    </row>
    <row r="1352" spans="1:6" x14ac:dyDescent="0.3">
      <c r="A1352" t="s">
        <v>22</v>
      </c>
      <c r="B1352" s="1">
        <v>45714</v>
      </c>
      <c r="C1352">
        <v>7</v>
      </c>
      <c r="D1352">
        <v>4.0460000000000003</v>
      </c>
      <c r="E1352" t="s">
        <v>6</v>
      </c>
      <c r="F1352">
        <v>0.14559</v>
      </c>
    </row>
    <row r="1353" spans="1:6" x14ac:dyDescent="0.3">
      <c r="A1353" t="s">
        <v>22</v>
      </c>
      <c r="B1353" s="1">
        <v>45714</v>
      </c>
      <c r="C1353">
        <v>8</v>
      </c>
      <c r="D1353">
        <v>3.8559999999999999</v>
      </c>
      <c r="E1353" t="s">
        <v>6</v>
      </c>
      <c r="F1353">
        <v>0.16971</v>
      </c>
    </row>
    <row r="1354" spans="1:6" x14ac:dyDescent="0.3">
      <c r="A1354" t="s">
        <v>22</v>
      </c>
      <c r="B1354" s="1">
        <v>45714</v>
      </c>
      <c r="C1354">
        <v>9</v>
      </c>
      <c r="D1354">
        <v>3.218</v>
      </c>
      <c r="E1354" t="s">
        <v>6</v>
      </c>
      <c r="F1354">
        <v>0.19675000000000001</v>
      </c>
    </row>
    <row r="1355" spans="1:6" x14ac:dyDescent="0.3">
      <c r="A1355" t="s">
        <v>22</v>
      </c>
      <c r="B1355" s="1">
        <v>45714</v>
      </c>
      <c r="C1355">
        <v>10</v>
      </c>
      <c r="D1355">
        <v>1.9379999999999999</v>
      </c>
      <c r="E1355" t="s">
        <v>6</v>
      </c>
      <c r="F1355">
        <v>0.16021000000000002</v>
      </c>
    </row>
    <row r="1356" spans="1:6" x14ac:dyDescent="0.3">
      <c r="A1356" t="s">
        <v>22</v>
      </c>
      <c r="B1356" s="1">
        <v>45714</v>
      </c>
      <c r="C1356">
        <v>11</v>
      </c>
      <c r="D1356">
        <v>0</v>
      </c>
      <c r="E1356" t="s">
        <v>6</v>
      </c>
      <c r="F1356">
        <v>0.17630999999999999</v>
      </c>
    </row>
    <row r="1357" spans="1:6" x14ac:dyDescent="0.3">
      <c r="A1357" t="s">
        <v>22</v>
      </c>
      <c r="B1357" s="1">
        <v>45714</v>
      </c>
      <c r="C1357">
        <v>12</v>
      </c>
      <c r="D1357">
        <v>0</v>
      </c>
      <c r="E1357" t="s">
        <v>6</v>
      </c>
      <c r="F1357">
        <v>0.18203</v>
      </c>
    </row>
    <row r="1358" spans="1:6" x14ac:dyDescent="0.3">
      <c r="A1358" t="s">
        <v>22</v>
      </c>
      <c r="B1358" s="1">
        <v>45714</v>
      </c>
      <c r="C1358">
        <v>13</v>
      </c>
      <c r="D1358">
        <v>0</v>
      </c>
      <c r="E1358" t="s">
        <v>6</v>
      </c>
      <c r="F1358">
        <v>0.16919999999999999</v>
      </c>
    </row>
    <row r="1359" spans="1:6" x14ac:dyDescent="0.3">
      <c r="A1359" t="s">
        <v>22</v>
      </c>
      <c r="B1359" s="1">
        <v>45714</v>
      </c>
      <c r="C1359">
        <v>14</v>
      </c>
      <c r="D1359">
        <v>0</v>
      </c>
      <c r="E1359" t="s">
        <v>6</v>
      </c>
      <c r="F1359">
        <v>0.16513</v>
      </c>
    </row>
    <row r="1360" spans="1:6" x14ac:dyDescent="0.3">
      <c r="A1360" t="s">
        <v>22</v>
      </c>
      <c r="B1360" s="1">
        <v>45714</v>
      </c>
      <c r="C1360">
        <v>15</v>
      </c>
      <c r="D1360">
        <v>0.63500000000000001</v>
      </c>
      <c r="E1360" t="s">
        <v>6</v>
      </c>
      <c r="F1360">
        <v>9.6290000000000001E-2</v>
      </c>
    </row>
    <row r="1361" spans="1:6" x14ac:dyDescent="0.3">
      <c r="A1361" t="s">
        <v>22</v>
      </c>
      <c r="B1361" s="1">
        <v>45714</v>
      </c>
      <c r="C1361">
        <v>16</v>
      </c>
      <c r="D1361">
        <v>0</v>
      </c>
      <c r="E1361" t="s">
        <v>6</v>
      </c>
      <c r="F1361">
        <v>0.10127</v>
      </c>
    </row>
    <row r="1362" spans="1:6" x14ac:dyDescent="0.3">
      <c r="A1362" t="s">
        <v>22</v>
      </c>
      <c r="B1362" s="1">
        <v>45714</v>
      </c>
      <c r="C1362">
        <v>17</v>
      </c>
      <c r="D1362">
        <v>0</v>
      </c>
      <c r="E1362" t="s">
        <v>6</v>
      </c>
      <c r="F1362">
        <v>0.11688</v>
      </c>
    </row>
    <row r="1363" spans="1:6" x14ac:dyDescent="0.3">
      <c r="A1363" t="s">
        <v>22</v>
      </c>
      <c r="B1363" s="1">
        <v>45714</v>
      </c>
      <c r="C1363">
        <v>18</v>
      </c>
      <c r="D1363">
        <v>0</v>
      </c>
      <c r="E1363" t="s">
        <v>6</v>
      </c>
      <c r="F1363">
        <v>0.14533000000000001</v>
      </c>
    </row>
    <row r="1364" spans="1:6" x14ac:dyDescent="0.3">
      <c r="A1364" t="s">
        <v>22</v>
      </c>
      <c r="B1364" s="1">
        <v>45714</v>
      </c>
      <c r="C1364">
        <v>19</v>
      </c>
      <c r="D1364">
        <v>8.5999999999999993E-2</v>
      </c>
      <c r="E1364" t="s">
        <v>6</v>
      </c>
      <c r="F1364">
        <v>0.24631</v>
      </c>
    </row>
    <row r="1365" spans="1:6" x14ac:dyDescent="0.3">
      <c r="A1365" t="s">
        <v>22</v>
      </c>
      <c r="B1365" s="1">
        <v>45714</v>
      </c>
      <c r="C1365">
        <v>20</v>
      </c>
      <c r="D1365">
        <v>1.141</v>
      </c>
      <c r="E1365" t="s">
        <v>6</v>
      </c>
      <c r="F1365">
        <v>0.28936000000000001</v>
      </c>
    </row>
    <row r="1366" spans="1:6" x14ac:dyDescent="0.3">
      <c r="A1366" t="s">
        <v>22</v>
      </c>
      <c r="B1366" s="1">
        <v>45714</v>
      </c>
      <c r="C1366">
        <v>21</v>
      </c>
      <c r="D1366">
        <v>3.4910000000000001</v>
      </c>
      <c r="E1366" t="s">
        <v>6</v>
      </c>
      <c r="F1366">
        <v>0.36793999999999999</v>
      </c>
    </row>
    <row r="1367" spans="1:6" x14ac:dyDescent="0.3">
      <c r="A1367" t="s">
        <v>22</v>
      </c>
      <c r="B1367" s="1">
        <v>45714</v>
      </c>
      <c r="C1367">
        <v>22</v>
      </c>
      <c r="D1367">
        <v>3.9369999999999998</v>
      </c>
      <c r="E1367" t="s">
        <v>6</v>
      </c>
      <c r="F1367">
        <v>0.31457000000000002</v>
      </c>
    </row>
    <row r="1368" spans="1:6" x14ac:dyDescent="0.3">
      <c r="A1368" t="s">
        <v>22</v>
      </c>
      <c r="B1368" s="1">
        <v>45714</v>
      </c>
      <c r="C1368">
        <v>23</v>
      </c>
      <c r="D1368">
        <v>2.8540000000000001</v>
      </c>
      <c r="E1368" t="s">
        <v>6</v>
      </c>
      <c r="F1368">
        <v>0.18250999999999998</v>
      </c>
    </row>
    <row r="1369" spans="1:6" x14ac:dyDescent="0.3">
      <c r="A1369" t="s">
        <v>22</v>
      </c>
      <c r="B1369" s="1">
        <v>45714</v>
      </c>
      <c r="C1369">
        <v>24</v>
      </c>
      <c r="D1369">
        <v>2.7240000000000002</v>
      </c>
      <c r="E1369" t="s">
        <v>6</v>
      </c>
      <c r="F1369">
        <v>0.18368000000000001</v>
      </c>
    </row>
    <row r="1370" spans="1:6" x14ac:dyDescent="0.3">
      <c r="A1370" t="s">
        <v>22</v>
      </c>
      <c r="B1370" s="1">
        <v>45715</v>
      </c>
      <c r="C1370">
        <v>1</v>
      </c>
      <c r="D1370">
        <v>2.8010000000000002</v>
      </c>
      <c r="E1370" t="s">
        <v>6</v>
      </c>
      <c r="F1370">
        <v>0.14646000000000001</v>
      </c>
    </row>
    <row r="1371" spans="1:6" x14ac:dyDescent="0.3">
      <c r="A1371" t="s">
        <v>22</v>
      </c>
      <c r="B1371" s="1">
        <v>45715</v>
      </c>
      <c r="C1371">
        <v>2</v>
      </c>
      <c r="D1371">
        <v>3.0310000000000001</v>
      </c>
      <c r="E1371" t="s">
        <v>6</v>
      </c>
      <c r="F1371">
        <v>0.14452999999999999</v>
      </c>
    </row>
    <row r="1372" spans="1:6" x14ac:dyDescent="0.3">
      <c r="A1372" t="s">
        <v>22</v>
      </c>
      <c r="B1372" s="1">
        <v>45715</v>
      </c>
      <c r="C1372">
        <v>3</v>
      </c>
      <c r="D1372">
        <v>2.8929999999999998</v>
      </c>
      <c r="E1372" t="s">
        <v>6</v>
      </c>
      <c r="F1372">
        <v>0.13774</v>
      </c>
    </row>
    <row r="1373" spans="1:6" x14ac:dyDescent="0.3">
      <c r="A1373" t="s">
        <v>22</v>
      </c>
      <c r="B1373" s="1">
        <v>45715</v>
      </c>
      <c r="C1373">
        <v>4</v>
      </c>
      <c r="D1373">
        <v>3.262</v>
      </c>
      <c r="E1373" t="s">
        <v>6</v>
      </c>
      <c r="F1373">
        <v>0.13281000000000001</v>
      </c>
    </row>
    <row r="1374" spans="1:6" x14ac:dyDescent="0.3">
      <c r="A1374" t="s">
        <v>22</v>
      </c>
      <c r="B1374" s="1">
        <v>45715</v>
      </c>
      <c r="C1374">
        <v>5</v>
      </c>
      <c r="D1374">
        <v>3.319</v>
      </c>
      <c r="E1374" t="s">
        <v>6</v>
      </c>
      <c r="F1374">
        <v>0.12984000000000001</v>
      </c>
    </row>
    <row r="1375" spans="1:6" x14ac:dyDescent="0.3">
      <c r="A1375" t="s">
        <v>22</v>
      </c>
      <c r="B1375" s="1">
        <v>45715</v>
      </c>
      <c r="C1375">
        <v>6</v>
      </c>
      <c r="D1375">
        <v>2.9590000000000001</v>
      </c>
      <c r="E1375" t="s">
        <v>6</v>
      </c>
      <c r="F1375">
        <v>0.13206999999999999</v>
      </c>
    </row>
    <row r="1376" spans="1:6" x14ac:dyDescent="0.3">
      <c r="A1376" t="s">
        <v>22</v>
      </c>
      <c r="B1376" s="1">
        <v>45715</v>
      </c>
      <c r="C1376">
        <v>7</v>
      </c>
      <c r="D1376">
        <v>3.5209999999999999</v>
      </c>
      <c r="E1376" t="s">
        <v>6</v>
      </c>
      <c r="F1376">
        <v>0.14333000000000001</v>
      </c>
    </row>
    <row r="1377" spans="1:6" x14ac:dyDescent="0.3">
      <c r="A1377" t="s">
        <v>22</v>
      </c>
      <c r="B1377" s="1">
        <v>45715</v>
      </c>
      <c r="C1377">
        <v>8</v>
      </c>
      <c r="D1377">
        <v>3.7469999999999999</v>
      </c>
      <c r="E1377" t="s">
        <v>6</v>
      </c>
      <c r="F1377">
        <v>0.17169000000000001</v>
      </c>
    </row>
    <row r="1378" spans="1:6" x14ac:dyDescent="0.3">
      <c r="A1378" t="s">
        <v>22</v>
      </c>
      <c r="B1378" s="1">
        <v>45715</v>
      </c>
      <c r="C1378">
        <v>9</v>
      </c>
      <c r="D1378">
        <v>2.5790000000000002</v>
      </c>
      <c r="E1378" t="s">
        <v>6</v>
      </c>
      <c r="F1378">
        <v>0.22496000000000002</v>
      </c>
    </row>
    <row r="1379" spans="1:6" x14ac:dyDescent="0.3">
      <c r="A1379" t="s">
        <v>22</v>
      </c>
      <c r="B1379" s="1">
        <v>45715</v>
      </c>
      <c r="C1379">
        <v>10</v>
      </c>
      <c r="D1379">
        <v>1.504</v>
      </c>
      <c r="E1379" t="s">
        <v>6</v>
      </c>
      <c r="F1379">
        <v>0.17688999999999999</v>
      </c>
    </row>
    <row r="1380" spans="1:6" x14ac:dyDescent="0.3">
      <c r="A1380" t="s">
        <v>22</v>
      </c>
      <c r="B1380" s="1">
        <v>45715</v>
      </c>
      <c r="C1380">
        <v>11</v>
      </c>
      <c r="D1380">
        <v>0</v>
      </c>
      <c r="E1380" t="s">
        <v>6</v>
      </c>
      <c r="F1380">
        <v>0.22015999999999999</v>
      </c>
    </row>
    <row r="1381" spans="1:6" x14ac:dyDescent="0.3">
      <c r="A1381" t="s">
        <v>22</v>
      </c>
      <c r="B1381" s="1">
        <v>45715</v>
      </c>
      <c r="C1381">
        <v>12</v>
      </c>
      <c r="D1381">
        <v>0</v>
      </c>
      <c r="E1381" t="s">
        <v>6</v>
      </c>
      <c r="F1381">
        <v>0.20930000000000001</v>
      </c>
    </row>
    <row r="1382" spans="1:6" x14ac:dyDescent="0.3">
      <c r="A1382" t="s">
        <v>22</v>
      </c>
      <c r="B1382" s="1">
        <v>45715</v>
      </c>
      <c r="C1382">
        <v>13</v>
      </c>
      <c r="D1382">
        <v>0.16700000000000001</v>
      </c>
      <c r="E1382" t="s">
        <v>6</v>
      </c>
      <c r="F1382">
        <v>0.19982</v>
      </c>
    </row>
    <row r="1383" spans="1:6" x14ac:dyDescent="0.3">
      <c r="A1383" t="s">
        <v>22</v>
      </c>
      <c r="B1383" s="1">
        <v>45715</v>
      </c>
      <c r="C1383">
        <v>14</v>
      </c>
      <c r="D1383">
        <v>0</v>
      </c>
      <c r="E1383" t="s">
        <v>6</v>
      </c>
      <c r="F1383">
        <v>0.19308</v>
      </c>
    </row>
    <row r="1384" spans="1:6" x14ac:dyDescent="0.3">
      <c r="A1384" t="s">
        <v>22</v>
      </c>
      <c r="B1384" s="1">
        <v>45715</v>
      </c>
      <c r="C1384">
        <v>15</v>
      </c>
      <c r="D1384">
        <v>0</v>
      </c>
      <c r="E1384" t="s">
        <v>6</v>
      </c>
      <c r="F1384">
        <v>0.12542</v>
      </c>
    </row>
    <row r="1385" spans="1:6" x14ac:dyDescent="0.3">
      <c r="A1385" t="s">
        <v>22</v>
      </c>
      <c r="B1385" s="1">
        <v>45715</v>
      </c>
      <c r="C1385">
        <v>16</v>
      </c>
      <c r="D1385">
        <v>0</v>
      </c>
      <c r="E1385" t="s">
        <v>6</v>
      </c>
      <c r="F1385">
        <v>0.12812999999999999</v>
      </c>
    </row>
    <row r="1386" spans="1:6" x14ac:dyDescent="0.3">
      <c r="A1386" t="s">
        <v>22</v>
      </c>
      <c r="B1386" s="1">
        <v>45715</v>
      </c>
      <c r="C1386">
        <v>17</v>
      </c>
      <c r="D1386">
        <v>3.2000000000000001E-2</v>
      </c>
      <c r="E1386" t="s">
        <v>6</v>
      </c>
      <c r="F1386">
        <v>0.14484</v>
      </c>
    </row>
    <row r="1387" spans="1:6" x14ac:dyDescent="0.3">
      <c r="A1387" t="s">
        <v>22</v>
      </c>
      <c r="B1387" s="1">
        <v>45715</v>
      </c>
      <c r="C1387">
        <v>18</v>
      </c>
      <c r="D1387">
        <v>0.88200000000000001</v>
      </c>
      <c r="E1387" t="s">
        <v>6</v>
      </c>
      <c r="F1387">
        <v>0.16306999999999999</v>
      </c>
    </row>
    <row r="1388" spans="1:6" x14ac:dyDescent="0.3">
      <c r="A1388" t="s">
        <v>22</v>
      </c>
      <c r="B1388" s="1">
        <v>45715</v>
      </c>
      <c r="C1388">
        <v>19</v>
      </c>
      <c r="D1388">
        <v>1.6830000000000001</v>
      </c>
      <c r="E1388" t="s">
        <v>6</v>
      </c>
      <c r="F1388">
        <v>0.25039</v>
      </c>
    </row>
    <row r="1389" spans="1:6" x14ac:dyDescent="0.3">
      <c r="A1389" t="s">
        <v>22</v>
      </c>
      <c r="B1389" s="1">
        <v>45715</v>
      </c>
      <c r="C1389">
        <v>20</v>
      </c>
      <c r="D1389">
        <v>2.6440000000000001</v>
      </c>
      <c r="E1389" t="s">
        <v>6</v>
      </c>
      <c r="F1389">
        <v>0.28538999999999998</v>
      </c>
    </row>
    <row r="1390" spans="1:6" x14ac:dyDescent="0.3">
      <c r="A1390" t="s">
        <v>22</v>
      </c>
      <c r="B1390" s="1">
        <v>45715</v>
      </c>
      <c r="C1390">
        <v>21</v>
      </c>
      <c r="D1390">
        <v>2.976</v>
      </c>
      <c r="E1390" t="s">
        <v>6</v>
      </c>
      <c r="F1390">
        <v>0.35308</v>
      </c>
    </row>
    <row r="1391" spans="1:6" x14ac:dyDescent="0.3">
      <c r="A1391" t="s">
        <v>22</v>
      </c>
      <c r="B1391" s="1">
        <v>45715</v>
      </c>
      <c r="C1391">
        <v>22</v>
      </c>
      <c r="D1391">
        <v>2.323</v>
      </c>
      <c r="E1391" t="s">
        <v>6</v>
      </c>
      <c r="F1391">
        <v>0.26452999999999999</v>
      </c>
    </row>
    <row r="1392" spans="1:6" x14ac:dyDescent="0.3">
      <c r="A1392" t="s">
        <v>22</v>
      </c>
      <c r="B1392" s="1">
        <v>45715</v>
      </c>
      <c r="C1392">
        <v>23</v>
      </c>
      <c r="D1392">
        <v>2.0670000000000002</v>
      </c>
      <c r="E1392" t="s">
        <v>6</v>
      </c>
      <c r="F1392">
        <v>0.17083000000000001</v>
      </c>
    </row>
    <row r="1393" spans="1:6" x14ac:dyDescent="0.3">
      <c r="A1393" t="s">
        <v>22</v>
      </c>
      <c r="B1393" s="1">
        <v>45715</v>
      </c>
      <c r="C1393">
        <v>24</v>
      </c>
      <c r="D1393">
        <v>2.1970000000000001</v>
      </c>
      <c r="E1393" t="s">
        <v>6</v>
      </c>
      <c r="F1393">
        <v>0.16340000000000002</v>
      </c>
    </row>
    <row r="1394" spans="1:6" x14ac:dyDescent="0.3">
      <c r="A1394" t="s">
        <v>22</v>
      </c>
      <c r="B1394" s="1">
        <v>45716</v>
      </c>
      <c r="C1394">
        <v>1</v>
      </c>
      <c r="D1394">
        <v>2.133</v>
      </c>
      <c r="E1394" t="s">
        <v>6</v>
      </c>
      <c r="F1394">
        <v>0.14768000000000001</v>
      </c>
    </row>
    <row r="1395" spans="1:6" x14ac:dyDescent="0.3">
      <c r="A1395" t="s">
        <v>22</v>
      </c>
      <c r="B1395" s="1">
        <v>45716</v>
      </c>
      <c r="C1395">
        <v>2</v>
      </c>
      <c r="D1395">
        <v>1.9710000000000001</v>
      </c>
      <c r="E1395" t="s">
        <v>6</v>
      </c>
      <c r="F1395">
        <v>0.14204</v>
      </c>
    </row>
    <row r="1396" spans="1:6" x14ac:dyDescent="0.3">
      <c r="A1396" t="s">
        <v>22</v>
      </c>
      <c r="B1396" s="1">
        <v>45716</v>
      </c>
      <c r="C1396">
        <v>3</v>
      </c>
      <c r="D1396">
        <v>2.0310000000000001</v>
      </c>
      <c r="E1396" t="s">
        <v>6</v>
      </c>
      <c r="F1396">
        <v>0.14201</v>
      </c>
    </row>
    <row r="1397" spans="1:6" x14ac:dyDescent="0.3">
      <c r="A1397" t="s">
        <v>22</v>
      </c>
      <c r="B1397" s="1">
        <v>45716</v>
      </c>
      <c r="C1397">
        <v>4</v>
      </c>
      <c r="D1397">
        <v>2.34</v>
      </c>
      <c r="E1397" t="s">
        <v>6</v>
      </c>
      <c r="F1397">
        <v>0.13425000000000001</v>
      </c>
    </row>
    <row r="1398" spans="1:6" x14ac:dyDescent="0.3">
      <c r="A1398" t="s">
        <v>22</v>
      </c>
      <c r="B1398" s="1">
        <v>45716</v>
      </c>
      <c r="C1398">
        <v>5</v>
      </c>
      <c r="D1398">
        <v>2.3679999999999999</v>
      </c>
      <c r="E1398" t="s">
        <v>6</v>
      </c>
      <c r="F1398">
        <v>0.13340000000000002</v>
      </c>
    </row>
    <row r="1399" spans="1:6" x14ac:dyDescent="0.3">
      <c r="A1399" t="s">
        <v>22</v>
      </c>
      <c r="B1399" s="1">
        <v>45716</v>
      </c>
      <c r="C1399">
        <v>6</v>
      </c>
      <c r="D1399">
        <v>2.6619999999999999</v>
      </c>
      <c r="E1399" t="s">
        <v>6</v>
      </c>
      <c r="F1399">
        <v>0.13263</v>
      </c>
    </row>
    <row r="1400" spans="1:6" x14ac:dyDescent="0.3">
      <c r="A1400" t="s">
        <v>22</v>
      </c>
      <c r="B1400" s="1">
        <v>45716</v>
      </c>
      <c r="C1400">
        <v>7</v>
      </c>
      <c r="D1400">
        <v>2.363</v>
      </c>
      <c r="E1400" t="s">
        <v>6</v>
      </c>
      <c r="F1400">
        <v>0.14488999999999999</v>
      </c>
    </row>
    <row r="1401" spans="1:6" x14ac:dyDescent="0.3">
      <c r="A1401" t="s">
        <v>22</v>
      </c>
      <c r="B1401" s="1">
        <v>45716</v>
      </c>
      <c r="C1401">
        <v>8</v>
      </c>
      <c r="D1401">
        <v>3.3540000000000001</v>
      </c>
      <c r="E1401" t="s">
        <v>6</v>
      </c>
      <c r="F1401">
        <v>0.16244999999999998</v>
      </c>
    </row>
    <row r="1402" spans="1:6" x14ac:dyDescent="0.3">
      <c r="A1402" t="s">
        <v>22</v>
      </c>
      <c r="B1402" s="1">
        <v>45716</v>
      </c>
      <c r="C1402">
        <v>9</v>
      </c>
      <c r="D1402">
        <v>1.097</v>
      </c>
      <c r="E1402" t="s">
        <v>6</v>
      </c>
      <c r="F1402">
        <v>0.19717999999999999</v>
      </c>
    </row>
    <row r="1403" spans="1:6" x14ac:dyDescent="0.3">
      <c r="A1403" t="s">
        <v>22</v>
      </c>
      <c r="B1403" s="1">
        <v>45716</v>
      </c>
      <c r="C1403">
        <v>10</v>
      </c>
      <c r="D1403">
        <v>0</v>
      </c>
      <c r="E1403" t="s">
        <v>6</v>
      </c>
      <c r="F1403">
        <v>0.16588</v>
      </c>
    </row>
    <row r="1404" spans="1:6" x14ac:dyDescent="0.3">
      <c r="A1404" t="s">
        <v>22</v>
      </c>
      <c r="B1404" s="1">
        <v>45716</v>
      </c>
      <c r="C1404">
        <v>11</v>
      </c>
      <c r="D1404">
        <v>0</v>
      </c>
      <c r="E1404" t="s">
        <v>6</v>
      </c>
      <c r="F1404">
        <v>0.21468999999999999</v>
      </c>
    </row>
    <row r="1405" spans="1:6" x14ac:dyDescent="0.3">
      <c r="A1405" t="s">
        <v>22</v>
      </c>
      <c r="B1405" s="1">
        <v>45716</v>
      </c>
      <c r="C1405">
        <v>12</v>
      </c>
      <c r="D1405">
        <v>0</v>
      </c>
      <c r="E1405" t="s">
        <v>6</v>
      </c>
      <c r="F1405">
        <v>0.20479</v>
      </c>
    </row>
    <row r="1406" spans="1:6" x14ac:dyDescent="0.3">
      <c r="A1406" t="s">
        <v>22</v>
      </c>
      <c r="B1406" s="1">
        <v>45716</v>
      </c>
      <c r="C1406">
        <v>13</v>
      </c>
      <c r="D1406">
        <v>0</v>
      </c>
      <c r="E1406" t="s">
        <v>6</v>
      </c>
      <c r="F1406">
        <v>0.20208999999999999</v>
      </c>
    </row>
    <row r="1407" spans="1:6" x14ac:dyDescent="0.3">
      <c r="A1407" t="s">
        <v>22</v>
      </c>
      <c r="B1407" s="1">
        <v>45716</v>
      </c>
      <c r="C1407">
        <v>14</v>
      </c>
      <c r="D1407">
        <v>0</v>
      </c>
      <c r="E1407" t="s">
        <v>6</v>
      </c>
      <c r="F1407">
        <v>0.18686000000000003</v>
      </c>
    </row>
    <row r="1408" spans="1:6" x14ac:dyDescent="0.3">
      <c r="A1408" t="s">
        <v>22</v>
      </c>
      <c r="B1408" s="1">
        <v>45716</v>
      </c>
      <c r="C1408">
        <v>15</v>
      </c>
      <c r="D1408">
        <v>1.462</v>
      </c>
      <c r="E1408" t="s">
        <v>6</v>
      </c>
      <c r="F1408">
        <v>0.12852000000000002</v>
      </c>
    </row>
    <row r="1409" spans="1:6" x14ac:dyDescent="0.3">
      <c r="A1409" t="s">
        <v>22</v>
      </c>
      <c r="B1409" s="1">
        <v>45716</v>
      </c>
      <c r="C1409">
        <v>16</v>
      </c>
      <c r="D1409">
        <v>0</v>
      </c>
      <c r="E1409" t="s">
        <v>6</v>
      </c>
      <c r="F1409">
        <v>0.13883000000000001</v>
      </c>
    </row>
    <row r="1410" spans="1:6" x14ac:dyDescent="0.3">
      <c r="A1410" t="s">
        <v>22</v>
      </c>
      <c r="B1410" s="1">
        <v>45716</v>
      </c>
      <c r="C1410">
        <v>17</v>
      </c>
      <c r="D1410">
        <v>4.1000000000000002E-2</v>
      </c>
      <c r="E1410" t="s">
        <v>6</v>
      </c>
      <c r="F1410">
        <v>0.14407</v>
      </c>
    </row>
    <row r="1411" spans="1:6" x14ac:dyDescent="0.3">
      <c r="A1411" t="s">
        <v>22</v>
      </c>
      <c r="B1411" s="1">
        <v>45716</v>
      </c>
      <c r="C1411">
        <v>18</v>
      </c>
      <c r="D1411">
        <v>1.236</v>
      </c>
      <c r="E1411" t="s">
        <v>6</v>
      </c>
      <c r="F1411">
        <v>0.16863999999999998</v>
      </c>
    </row>
    <row r="1412" spans="1:6" x14ac:dyDescent="0.3">
      <c r="A1412" t="s">
        <v>22</v>
      </c>
      <c r="B1412" s="1">
        <v>45716</v>
      </c>
      <c r="C1412">
        <v>19</v>
      </c>
      <c r="D1412">
        <v>0.99399999999999999</v>
      </c>
      <c r="E1412" t="s">
        <v>6</v>
      </c>
      <c r="F1412">
        <v>0.23890999999999998</v>
      </c>
    </row>
    <row r="1413" spans="1:6" x14ac:dyDescent="0.3">
      <c r="A1413" t="s">
        <v>22</v>
      </c>
      <c r="B1413" s="1">
        <v>45716</v>
      </c>
      <c r="C1413">
        <v>20</v>
      </c>
      <c r="D1413">
        <v>0.97199999999999998</v>
      </c>
      <c r="E1413" t="s">
        <v>6</v>
      </c>
      <c r="F1413">
        <v>0.27407999999999999</v>
      </c>
    </row>
    <row r="1414" spans="1:6" x14ac:dyDescent="0.3">
      <c r="A1414" t="s">
        <v>22</v>
      </c>
      <c r="B1414" s="1">
        <v>45716</v>
      </c>
      <c r="C1414">
        <v>21</v>
      </c>
      <c r="D1414">
        <v>2.7469999999999999</v>
      </c>
      <c r="E1414" t="s">
        <v>6</v>
      </c>
      <c r="F1414">
        <v>0.25281999999999999</v>
      </c>
    </row>
    <row r="1415" spans="1:6" x14ac:dyDescent="0.3">
      <c r="A1415" t="s">
        <v>22</v>
      </c>
      <c r="B1415" s="1">
        <v>45716</v>
      </c>
      <c r="C1415">
        <v>22</v>
      </c>
      <c r="D1415">
        <v>3.806</v>
      </c>
      <c r="E1415" t="s">
        <v>6</v>
      </c>
      <c r="F1415">
        <v>0.23863000000000001</v>
      </c>
    </row>
    <row r="1416" spans="1:6" x14ac:dyDescent="0.3">
      <c r="A1416" t="s">
        <v>22</v>
      </c>
      <c r="B1416" s="1">
        <v>45716</v>
      </c>
      <c r="C1416">
        <v>23</v>
      </c>
      <c r="D1416">
        <v>2.1749999999999998</v>
      </c>
      <c r="E1416" t="s">
        <v>6</v>
      </c>
      <c r="F1416">
        <v>0.16569</v>
      </c>
    </row>
    <row r="1417" spans="1:6" x14ac:dyDescent="0.3">
      <c r="A1417" t="s">
        <v>22</v>
      </c>
      <c r="B1417" s="1">
        <v>45716</v>
      </c>
      <c r="C1417">
        <v>24</v>
      </c>
      <c r="D1417">
        <v>0.67800000000000005</v>
      </c>
      <c r="E1417" t="s">
        <v>6</v>
      </c>
      <c r="F1417">
        <v>0.15691999999999998</v>
      </c>
    </row>
    <row r="1418" spans="1:6" x14ac:dyDescent="0.3">
      <c r="A1418" t="s">
        <v>22</v>
      </c>
      <c r="B1418" s="1">
        <v>45717</v>
      </c>
      <c r="C1418">
        <v>1</v>
      </c>
      <c r="D1418">
        <v>3.008</v>
      </c>
      <c r="E1418" t="s">
        <v>6</v>
      </c>
      <c r="F1418">
        <v>0.15416999999999997</v>
      </c>
    </row>
    <row r="1419" spans="1:6" x14ac:dyDescent="0.3">
      <c r="A1419" t="s">
        <v>22</v>
      </c>
      <c r="B1419" s="1">
        <v>45717</v>
      </c>
      <c r="C1419">
        <v>2</v>
      </c>
      <c r="D1419">
        <v>2.2250000000000001</v>
      </c>
      <c r="E1419" t="s">
        <v>6</v>
      </c>
      <c r="F1419">
        <v>0.13295999999999999</v>
      </c>
    </row>
    <row r="1420" spans="1:6" x14ac:dyDescent="0.3">
      <c r="A1420" t="s">
        <v>22</v>
      </c>
      <c r="B1420" s="1">
        <v>45717</v>
      </c>
      <c r="C1420">
        <v>3</v>
      </c>
      <c r="D1420">
        <v>2.149</v>
      </c>
      <c r="E1420" t="s">
        <v>6</v>
      </c>
      <c r="F1420">
        <v>0.13163</v>
      </c>
    </row>
    <row r="1421" spans="1:6" x14ac:dyDescent="0.3">
      <c r="A1421" t="s">
        <v>22</v>
      </c>
      <c r="B1421" s="1">
        <v>45717</v>
      </c>
      <c r="C1421">
        <v>4</v>
      </c>
      <c r="D1421">
        <v>2.9220000000000002</v>
      </c>
      <c r="E1421" t="s">
        <v>6</v>
      </c>
      <c r="F1421">
        <v>0.12615000000000001</v>
      </c>
    </row>
    <row r="1422" spans="1:6" x14ac:dyDescent="0.3">
      <c r="A1422" t="s">
        <v>22</v>
      </c>
      <c r="B1422" s="1">
        <v>45717</v>
      </c>
      <c r="C1422">
        <v>5</v>
      </c>
      <c r="D1422">
        <v>2.3159999999999998</v>
      </c>
      <c r="E1422" t="s">
        <v>6</v>
      </c>
      <c r="F1422">
        <v>0.12029999999999999</v>
      </c>
    </row>
    <row r="1423" spans="1:6" x14ac:dyDescent="0.3">
      <c r="A1423" t="s">
        <v>22</v>
      </c>
      <c r="B1423" s="1">
        <v>45717</v>
      </c>
      <c r="C1423">
        <v>6</v>
      </c>
      <c r="D1423">
        <v>1.9910000000000001</v>
      </c>
      <c r="E1423" t="s">
        <v>6</v>
      </c>
      <c r="F1423">
        <v>0.11543</v>
      </c>
    </row>
    <row r="1424" spans="1:6" x14ac:dyDescent="0.3">
      <c r="A1424" t="s">
        <v>22</v>
      </c>
      <c r="B1424" s="1">
        <v>45717</v>
      </c>
      <c r="C1424">
        <v>7</v>
      </c>
      <c r="D1424">
        <v>2.0259999999999998</v>
      </c>
      <c r="E1424" t="s">
        <v>6</v>
      </c>
      <c r="F1424">
        <v>0.12401000000000001</v>
      </c>
    </row>
    <row r="1425" spans="1:6" x14ac:dyDescent="0.3">
      <c r="A1425" t="s">
        <v>22</v>
      </c>
      <c r="B1425" s="1">
        <v>45717</v>
      </c>
      <c r="C1425">
        <v>8</v>
      </c>
      <c r="D1425">
        <v>2.4409999999999998</v>
      </c>
      <c r="E1425" t="s">
        <v>6</v>
      </c>
      <c r="F1425">
        <v>0.12593000000000001</v>
      </c>
    </row>
    <row r="1426" spans="1:6" x14ac:dyDescent="0.3">
      <c r="A1426" t="s">
        <v>22</v>
      </c>
      <c r="B1426" s="1">
        <v>45717</v>
      </c>
      <c r="C1426">
        <v>9</v>
      </c>
      <c r="D1426">
        <v>2.14</v>
      </c>
      <c r="E1426" t="s">
        <v>6</v>
      </c>
      <c r="F1426">
        <v>0.12162000000000001</v>
      </c>
    </row>
    <row r="1427" spans="1:6" x14ac:dyDescent="0.3">
      <c r="A1427" t="s">
        <v>22</v>
      </c>
      <c r="B1427" s="1">
        <v>45717</v>
      </c>
      <c r="C1427">
        <v>10</v>
      </c>
      <c r="D1427">
        <v>1.19</v>
      </c>
      <c r="E1427" t="s">
        <v>6</v>
      </c>
      <c r="F1427">
        <v>0.11234000000000001</v>
      </c>
    </row>
    <row r="1428" spans="1:6" x14ac:dyDescent="0.3">
      <c r="A1428" t="s">
        <v>22</v>
      </c>
      <c r="B1428" s="1">
        <v>45717</v>
      </c>
      <c r="C1428">
        <v>11</v>
      </c>
      <c r="D1428">
        <v>0</v>
      </c>
      <c r="E1428" t="s">
        <v>6</v>
      </c>
      <c r="F1428">
        <v>8.8569999999999996E-2</v>
      </c>
    </row>
    <row r="1429" spans="1:6" x14ac:dyDescent="0.3">
      <c r="A1429" t="s">
        <v>22</v>
      </c>
      <c r="B1429" s="1">
        <v>45717</v>
      </c>
      <c r="C1429">
        <v>12</v>
      </c>
      <c r="D1429">
        <v>0</v>
      </c>
      <c r="E1429" t="s">
        <v>6</v>
      </c>
      <c r="F1429">
        <v>7.5639999999999999E-2</v>
      </c>
    </row>
    <row r="1430" spans="1:6" x14ac:dyDescent="0.3">
      <c r="A1430" t="s">
        <v>22</v>
      </c>
      <c r="B1430" s="1">
        <v>45717</v>
      </c>
      <c r="C1430">
        <v>13</v>
      </c>
      <c r="D1430">
        <v>0.77900000000000003</v>
      </c>
      <c r="E1430" t="s">
        <v>6</v>
      </c>
      <c r="F1430">
        <v>6.8970000000000004E-2</v>
      </c>
    </row>
    <row r="1431" spans="1:6" x14ac:dyDescent="0.3">
      <c r="A1431" t="s">
        <v>22</v>
      </c>
      <c r="B1431" s="1">
        <v>45717</v>
      </c>
      <c r="C1431">
        <v>14</v>
      </c>
      <c r="D1431">
        <v>2.2589999999999999</v>
      </c>
      <c r="E1431" t="s">
        <v>6</v>
      </c>
      <c r="F1431">
        <v>6.8459999999999993E-2</v>
      </c>
    </row>
    <row r="1432" spans="1:6" x14ac:dyDescent="0.3">
      <c r="A1432" t="s">
        <v>22</v>
      </c>
      <c r="B1432" s="1">
        <v>45717</v>
      </c>
      <c r="C1432">
        <v>15</v>
      </c>
      <c r="D1432">
        <v>2.7280000000000002</v>
      </c>
      <c r="E1432" t="s">
        <v>6</v>
      </c>
      <c r="F1432">
        <v>6.336E-2</v>
      </c>
    </row>
    <row r="1433" spans="1:6" x14ac:dyDescent="0.3">
      <c r="A1433" t="s">
        <v>22</v>
      </c>
      <c r="B1433" s="1">
        <v>45717</v>
      </c>
      <c r="C1433">
        <v>16</v>
      </c>
      <c r="D1433">
        <v>2.68</v>
      </c>
      <c r="E1433" t="s">
        <v>6</v>
      </c>
      <c r="F1433">
        <v>6.021E-2</v>
      </c>
    </row>
    <row r="1434" spans="1:6" x14ac:dyDescent="0.3">
      <c r="A1434" t="s">
        <v>22</v>
      </c>
      <c r="B1434" s="1">
        <v>45717</v>
      </c>
      <c r="C1434">
        <v>17</v>
      </c>
      <c r="D1434">
        <v>1.875</v>
      </c>
      <c r="E1434" t="s">
        <v>6</v>
      </c>
      <c r="F1434">
        <v>6.812E-2</v>
      </c>
    </row>
    <row r="1435" spans="1:6" x14ac:dyDescent="0.3">
      <c r="A1435" t="s">
        <v>22</v>
      </c>
      <c r="B1435" s="1">
        <v>45717</v>
      </c>
      <c r="C1435">
        <v>18</v>
      </c>
      <c r="D1435">
        <v>2.9329999999999998</v>
      </c>
      <c r="E1435" t="s">
        <v>6</v>
      </c>
      <c r="F1435">
        <v>7.3700000000000002E-2</v>
      </c>
    </row>
    <row r="1436" spans="1:6" x14ac:dyDescent="0.3">
      <c r="A1436" t="s">
        <v>22</v>
      </c>
      <c r="B1436" s="1">
        <v>45717</v>
      </c>
      <c r="C1436">
        <v>19</v>
      </c>
      <c r="D1436">
        <v>2.13</v>
      </c>
      <c r="E1436" t="s">
        <v>6</v>
      </c>
      <c r="F1436">
        <v>0.10198</v>
      </c>
    </row>
    <row r="1437" spans="1:6" x14ac:dyDescent="0.3">
      <c r="A1437" t="s">
        <v>22</v>
      </c>
      <c r="B1437" s="1">
        <v>45717</v>
      </c>
      <c r="C1437">
        <v>20</v>
      </c>
      <c r="D1437">
        <v>1.1919999999999999</v>
      </c>
      <c r="E1437" t="s">
        <v>6</v>
      </c>
      <c r="F1437">
        <v>0.10787000000000001</v>
      </c>
    </row>
    <row r="1438" spans="1:6" x14ac:dyDescent="0.3">
      <c r="A1438" t="s">
        <v>22</v>
      </c>
      <c r="B1438" s="1">
        <v>45717</v>
      </c>
      <c r="C1438">
        <v>21</v>
      </c>
      <c r="D1438">
        <v>0.63800000000000001</v>
      </c>
      <c r="E1438" t="s">
        <v>6</v>
      </c>
      <c r="F1438">
        <v>0.11853</v>
      </c>
    </row>
    <row r="1439" spans="1:6" x14ac:dyDescent="0.3">
      <c r="A1439" t="s">
        <v>22</v>
      </c>
      <c r="B1439" s="1">
        <v>45717</v>
      </c>
      <c r="C1439">
        <v>22</v>
      </c>
      <c r="D1439">
        <v>0.751</v>
      </c>
      <c r="E1439" t="s">
        <v>6</v>
      </c>
      <c r="F1439">
        <v>0.11874</v>
      </c>
    </row>
    <row r="1440" spans="1:6" x14ac:dyDescent="0.3">
      <c r="A1440" t="s">
        <v>22</v>
      </c>
      <c r="B1440" s="1">
        <v>45717</v>
      </c>
      <c r="C1440">
        <v>23</v>
      </c>
      <c r="D1440">
        <v>0.61199999999999999</v>
      </c>
      <c r="E1440" t="s">
        <v>6</v>
      </c>
      <c r="F1440">
        <v>0.12465999999999999</v>
      </c>
    </row>
    <row r="1441" spans="1:6" x14ac:dyDescent="0.3">
      <c r="A1441" t="s">
        <v>22</v>
      </c>
      <c r="B1441" s="1">
        <v>45717</v>
      </c>
      <c r="C1441">
        <v>24</v>
      </c>
      <c r="D1441">
        <v>0.191</v>
      </c>
      <c r="E1441" t="s">
        <v>6</v>
      </c>
      <c r="F1441">
        <v>0.10460999999999999</v>
      </c>
    </row>
    <row r="1442" spans="1:6" x14ac:dyDescent="0.3">
      <c r="A1442" t="s">
        <v>22</v>
      </c>
      <c r="B1442" s="1">
        <v>45718</v>
      </c>
      <c r="C1442">
        <v>1</v>
      </c>
      <c r="D1442">
        <v>0.17299999999999999</v>
      </c>
      <c r="E1442" t="s">
        <v>6</v>
      </c>
      <c r="F1442">
        <v>0.10315000000000001</v>
      </c>
    </row>
    <row r="1443" spans="1:6" x14ac:dyDescent="0.3">
      <c r="A1443" t="s">
        <v>22</v>
      </c>
      <c r="B1443" s="1">
        <v>45718</v>
      </c>
      <c r="C1443">
        <v>2</v>
      </c>
      <c r="D1443">
        <v>0.104</v>
      </c>
      <c r="E1443" t="s">
        <v>6</v>
      </c>
      <c r="F1443">
        <v>9.3530000000000002E-2</v>
      </c>
    </row>
    <row r="1444" spans="1:6" x14ac:dyDescent="0.3">
      <c r="A1444" t="s">
        <v>22</v>
      </c>
      <c r="B1444" s="1">
        <v>45718</v>
      </c>
      <c r="C1444">
        <v>3</v>
      </c>
      <c r="D1444">
        <v>0.112</v>
      </c>
      <c r="E1444" t="s">
        <v>6</v>
      </c>
      <c r="F1444">
        <v>9.4349999999999989E-2</v>
      </c>
    </row>
    <row r="1445" spans="1:6" x14ac:dyDescent="0.3">
      <c r="A1445" t="s">
        <v>22</v>
      </c>
      <c r="B1445" s="1">
        <v>45718</v>
      </c>
      <c r="C1445">
        <v>4</v>
      </c>
      <c r="D1445">
        <v>0.16700000000000001</v>
      </c>
      <c r="E1445" t="s">
        <v>6</v>
      </c>
      <c r="F1445">
        <v>9.5439999999999997E-2</v>
      </c>
    </row>
    <row r="1446" spans="1:6" x14ac:dyDescent="0.3">
      <c r="A1446" t="s">
        <v>22</v>
      </c>
      <c r="B1446" s="1">
        <v>45718</v>
      </c>
      <c r="C1446">
        <v>5</v>
      </c>
      <c r="D1446">
        <v>0.13100000000000001</v>
      </c>
      <c r="E1446" t="s">
        <v>6</v>
      </c>
      <c r="F1446">
        <v>9.7659999999999997E-2</v>
      </c>
    </row>
    <row r="1447" spans="1:6" x14ac:dyDescent="0.3">
      <c r="A1447" t="s">
        <v>22</v>
      </c>
      <c r="B1447" s="1">
        <v>45718</v>
      </c>
      <c r="C1447">
        <v>6</v>
      </c>
      <c r="D1447">
        <v>2.6589999999999998</v>
      </c>
      <c r="E1447" t="s">
        <v>6</v>
      </c>
      <c r="F1447">
        <v>9.8790000000000003E-2</v>
      </c>
    </row>
    <row r="1448" spans="1:6" x14ac:dyDescent="0.3">
      <c r="A1448" t="s">
        <v>22</v>
      </c>
      <c r="B1448" s="1">
        <v>45718</v>
      </c>
      <c r="C1448">
        <v>7</v>
      </c>
      <c r="D1448">
        <v>3.0840000000000001</v>
      </c>
      <c r="E1448" t="s">
        <v>6</v>
      </c>
      <c r="F1448">
        <v>9.759000000000001E-2</v>
      </c>
    </row>
    <row r="1449" spans="1:6" x14ac:dyDescent="0.3">
      <c r="A1449" t="s">
        <v>22</v>
      </c>
      <c r="B1449" s="1">
        <v>45718</v>
      </c>
      <c r="C1449">
        <v>8</v>
      </c>
      <c r="D1449">
        <v>2.5539999999999998</v>
      </c>
      <c r="E1449" t="s">
        <v>6</v>
      </c>
      <c r="F1449">
        <v>9.5159999999999995E-2</v>
      </c>
    </row>
    <row r="1450" spans="1:6" x14ac:dyDescent="0.3">
      <c r="A1450" t="s">
        <v>22</v>
      </c>
      <c r="B1450" s="1">
        <v>45718</v>
      </c>
      <c r="C1450">
        <v>9</v>
      </c>
      <c r="D1450">
        <v>2.1179999999999999</v>
      </c>
      <c r="E1450" t="s">
        <v>6</v>
      </c>
      <c r="F1450">
        <v>9.3010000000000009E-2</v>
      </c>
    </row>
    <row r="1451" spans="1:6" x14ac:dyDescent="0.3">
      <c r="A1451" t="s">
        <v>22</v>
      </c>
      <c r="B1451" s="1">
        <v>45718</v>
      </c>
      <c r="C1451">
        <v>10</v>
      </c>
      <c r="D1451">
        <v>1.64</v>
      </c>
      <c r="E1451" t="s">
        <v>6</v>
      </c>
      <c r="F1451">
        <v>9.6149999999999999E-2</v>
      </c>
    </row>
    <row r="1452" spans="1:6" x14ac:dyDescent="0.3">
      <c r="A1452" t="s">
        <v>22</v>
      </c>
      <c r="B1452" s="1">
        <v>45718</v>
      </c>
      <c r="C1452">
        <v>11</v>
      </c>
      <c r="D1452">
        <v>0.98099999999999998</v>
      </c>
      <c r="E1452" t="s">
        <v>6</v>
      </c>
      <c r="F1452">
        <v>0.10043000000000001</v>
      </c>
    </row>
    <row r="1453" spans="1:6" x14ac:dyDescent="0.3">
      <c r="A1453" t="s">
        <v>22</v>
      </c>
      <c r="B1453" s="1">
        <v>45718</v>
      </c>
      <c r="C1453">
        <v>12</v>
      </c>
      <c r="D1453">
        <v>1.1339999999999999</v>
      </c>
      <c r="E1453" t="s">
        <v>6</v>
      </c>
      <c r="F1453">
        <v>9.0700000000000003E-2</v>
      </c>
    </row>
    <row r="1454" spans="1:6" x14ac:dyDescent="0.3">
      <c r="A1454" t="s">
        <v>22</v>
      </c>
      <c r="B1454" s="1">
        <v>45718</v>
      </c>
      <c r="C1454">
        <v>13</v>
      </c>
      <c r="D1454">
        <v>1.4450000000000001</v>
      </c>
      <c r="E1454" t="s">
        <v>6</v>
      </c>
      <c r="F1454">
        <v>5.389E-2</v>
      </c>
    </row>
    <row r="1455" spans="1:6" x14ac:dyDescent="0.3">
      <c r="A1455" t="s">
        <v>22</v>
      </c>
      <c r="B1455" s="1">
        <v>45718</v>
      </c>
      <c r="C1455">
        <v>14</v>
      </c>
      <c r="D1455">
        <v>2.121</v>
      </c>
      <c r="E1455" t="s">
        <v>6</v>
      </c>
      <c r="F1455">
        <v>7.4139999999999998E-2</v>
      </c>
    </row>
    <row r="1456" spans="1:6" x14ac:dyDescent="0.3">
      <c r="A1456" t="s">
        <v>22</v>
      </c>
      <c r="B1456" s="1">
        <v>45718</v>
      </c>
      <c r="C1456">
        <v>15</v>
      </c>
      <c r="D1456">
        <v>0.71799999999999997</v>
      </c>
      <c r="E1456" t="s">
        <v>6</v>
      </c>
      <c r="F1456">
        <v>7.7109999999999998E-2</v>
      </c>
    </row>
    <row r="1457" spans="1:6" x14ac:dyDescent="0.3">
      <c r="A1457" t="s">
        <v>22</v>
      </c>
      <c r="B1457" s="1">
        <v>45718</v>
      </c>
      <c r="C1457">
        <v>16</v>
      </c>
      <c r="D1457">
        <v>0</v>
      </c>
      <c r="E1457" t="s">
        <v>6</v>
      </c>
      <c r="F1457">
        <v>8.9799999999999991E-2</v>
      </c>
    </row>
    <row r="1458" spans="1:6" x14ac:dyDescent="0.3">
      <c r="A1458" t="s">
        <v>22</v>
      </c>
      <c r="B1458" s="1">
        <v>45718</v>
      </c>
      <c r="C1458">
        <v>17</v>
      </c>
      <c r="D1458">
        <v>0</v>
      </c>
      <c r="E1458" t="s">
        <v>6</v>
      </c>
      <c r="F1458">
        <v>0.11985999999999999</v>
      </c>
    </row>
    <row r="1459" spans="1:6" x14ac:dyDescent="0.3">
      <c r="A1459" t="s">
        <v>22</v>
      </c>
      <c r="B1459" s="1">
        <v>45718</v>
      </c>
      <c r="C1459">
        <v>18</v>
      </c>
      <c r="D1459">
        <v>0</v>
      </c>
      <c r="E1459" t="s">
        <v>6</v>
      </c>
      <c r="F1459">
        <v>0.12163</v>
      </c>
    </row>
    <row r="1460" spans="1:6" x14ac:dyDescent="0.3">
      <c r="A1460" t="s">
        <v>22</v>
      </c>
      <c r="B1460" s="1">
        <v>45718</v>
      </c>
      <c r="C1460">
        <v>19</v>
      </c>
      <c r="D1460">
        <v>0.439</v>
      </c>
      <c r="E1460" t="s">
        <v>6</v>
      </c>
      <c r="F1460">
        <v>0.12878999999999999</v>
      </c>
    </row>
    <row r="1461" spans="1:6" x14ac:dyDescent="0.3">
      <c r="A1461" t="s">
        <v>22</v>
      </c>
      <c r="B1461" s="1">
        <v>45718</v>
      </c>
      <c r="C1461">
        <v>20</v>
      </c>
      <c r="D1461">
        <v>0.68100000000000005</v>
      </c>
      <c r="E1461" t="s">
        <v>6</v>
      </c>
      <c r="F1461">
        <v>0.15575999999999998</v>
      </c>
    </row>
    <row r="1462" spans="1:6" x14ac:dyDescent="0.3">
      <c r="A1462" t="s">
        <v>22</v>
      </c>
      <c r="B1462" s="1">
        <v>45718</v>
      </c>
      <c r="C1462">
        <v>21</v>
      </c>
      <c r="D1462">
        <v>0.57499999999999996</v>
      </c>
      <c r="E1462" t="s">
        <v>6</v>
      </c>
      <c r="F1462">
        <v>0.16788</v>
      </c>
    </row>
    <row r="1463" spans="1:6" x14ac:dyDescent="0.3">
      <c r="A1463" t="s">
        <v>22</v>
      </c>
      <c r="B1463" s="1">
        <v>45718</v>
      </c>
      <c r="C1463">
        <v>22</v>
      </c>
      <c r="D1463">
        <v>0.97199999999999998</v>
      </c>
      <c r="E1463" t="s">
        <v>6</v>
      </c>
      <c r="F1463">
        <v>0.16685</v>
      </c>
    </row>
    <row r="1464" spans="1:6" x14ac:dyDescent="0.3">
      <c r="A1464" t="s">
        <v>22</v>
      </c>
      <c r="B1464" s="1">
        <v>45718</v>
      </c>
      <c r="C1464">
        <v>23</v>
      </c>
      <c r="D1464">
        <v>0.73599999999999999</v>
      </c>
      <c r="E1464" t="s">
        <v>6</v>
      </c>
      <c r="F1464">
        <v>0.13291999999999998</v>
      </c>
    </row>
    <row r="1465" spans="1:6" x14ac:dyDescent="0.3">
      <c r="A1465" t="s">
        <v>22</v>
      </c>
      <c r="B1465" s="1">
        <v>45718</v>
      </c>
      <c r="C1465">
        <v>24</v>
      </c>
      <c r="D1465">
        <v>1.889</v>
      </c>
      <c r="E1465" t="s">
        <v>6</v>
      </c>
      <c r="F1465">
        <v>0.11896</v>
      </c>
    </row>
    <row r="1466" spans="1:6" x14ac:dyDescent="0.3">
      <c r="A1466" t="s">
        <v>22</v>
      </c>
      <c r="B1466" s="1">
        <v>45719</v>
      </c>
      <c r="C1466">
        <v>1</v>
      </c>
      <c r="D1466">
        <v>0.19700000000000001</v>
      </c>
      <c r="E1466" t="s">
        <v>6</v>
      </c>
      <c r="F1466">
        <v>0.10959000000000001</v>
      </c>
    </row>
    <row r="1467" spans="1:6" x14ac:dyDescent="0.3">
      <c r="A1467" t="s">
        <v>22</v>
      </c>
      <c r="B1467" s="1">
        <v>45719</v>
      </c>
      <c r="C1467">
        <v>2</v>
      </c>
      <c r="D1467">
        <v>0.151</v>
      </c>
      <c r="E1467" t="s">
        <v>6</v>
      </c>
      <c r="F1467">
        <v>0.10502</v>
      </c>
    </row>
    <row r="1468" spans="1:6" x14ac:dyDescent="0.3">
      <c r="A1468" t="s">
        <v>22</v>
      </c>
      <c r="B1468" s="1">
        <v>45719</v>
      </c>
      <c r="C1468">
        <v>3</v>
      </c>
      <c r="D1468">
        <v>0.122</v>
      </c>
      <c r="E1468" t="s">
        <v>6</v>
      </c>
      <c r="F1468">
        <v>0.10205</v>
      </c>
    </row>
    <row r="1469" spans="1:6" x14ac:dyDescent="0.3">
      <c r="A1469" t="s">
        <v>22</v>
      </c>
      <c r="B1469" s="1">
        <v>45719</v>
      </c>
      <c r="C1469">
        <v>4</v>
      </c>
      <c r="D1469">
        <v>0.122</v>
      </c>
      <c r="E1469" t="s">
        <v>6</v>
      </c>
      <c r="F1469">
        <v>0.10366</v>
      </c>
    </row>
    <row r="1470" spans="1:6" x14ac:dyDescent="0.3">
      <c r="A1470" t="s">
        <v>22</v>
      </c>
      <c r="B1470" s="1">
        <v>45719</v>
      </c>
      <c r="C1470">
        <v>5</v>
      </c>
      <c r="D1470">
        <v>0.18099999999999999</v>
      </c>
      <c r="E1470" t="s">
        <v>6</v>
      </c>
      <c r="F1470">
        <v>0.10324</v>
      </c>
    </row>
    <row r="1471" spans="1:6" x14ac:dyDescent="0.3">
      <c r="A1471" t="s">
        <v>22</v>
      </c>
      <c r="B1471" s="1">
        <v>45719</v>
      </c>
      <c r="C1471">
        <v>6</v>
      </c>
      <c r="D1471">
        <v>0.14799999999999999</v>
      </c>
      <c r="E1471" t="s">
        <v>6</v>
      </c>
      <c r="F1471">
        <v>0.11339</v>
      </c>
    </row>
    <row r="1472" spans="1:6" x14ac:dyDescent="0.3">
      <c r="A1472" t="s">
        <v>22</v>
      </c>
      <c r="B1472" s="1">
        <v>45719</v>
      </c>
      <c r="C1472">
        <v>7</v>
      </c>
      <c r="D1472">
        <v>2.9340000000000002</v>
      </c>
      <c r="E1472" t="s">
        <v>6</v>
      </c>
      <c r="F1472">
        <v>0.12887999999999999</v>
      </c>
    </row>
    <row r="1473" spans="1:6" x14ac:dyDescent="0.3">
      <c r="A1473" t="s">
        <v>22</v>
      </c>
      <c r="B1473" s="1">
        <v>45719</v>
      </c>
      <c r="C1473">
        <v>8</v>
      </c>
      <c r="D1473">
        <v>2.98</v>
      </c>
      <c r="E1473" t="s">
        <v>6</v>
      </c>
      <c r="F1473">
        <v>0.13363</v>
      </c>
    </row>
    <row r="1474" spans="1:6" x14ac:dyDescent="0.3">
      <c r="A1474" t="s">
        <v>22</v>
      </c>
      <c r="B1474" s="1">
        <v>45719</v>
      </c>
      <c r="C1474">
        <v>9</v>
      </c>
      <c r="D1474">
        <v>2.3690000000000002</v>
      </c>
      <c r="E1474" t="s">
        <v>6</v>
      </c>
      <c r="F1474">
        <v>0.16858999999999999</v>
      </c>
    </row>
    <row r="1475" spans="1:6" x14ac:dyDescent="0.3">
      <c r="A1475" t="s">
        <v>22</v>
      </c>
      <c r="B1475" s="1">
        <v>45719</v>
      </c>
      <c r="C1475">
        <v>10</v>
      </c>
      <c r="D1475">
        <v>2.9689999999999999</v>
      </c>
      <c r="E1475" t="s">
        <v>6</v>
      </c>
      <c r="F1475">
        <v>0.15524000000000002</v>
      </c>
    </row>
    <row r="1476" spans="1:6" x14ac:dyDescent="0.3">
      <c r="A1476" t="s">
        <v>22</v>
      </c>
      <c r="B1476" s="1">
        <v>45719</v>
      </c>
      <c r="C1476">
        <v>11</v>
      </c>
      <c r="D1476">
        <v>3.1019999999999999</v>
      </c>
      <c r="E1476" t="s">
        <v>6</v>
      </c>
      <c r="F1476">
        <v>0.22137000000000001</v>
      </c>
    </row>
    <row r="1477" spans="1:6" x14ac:dyDescent="0.3">
      <c r="A1477" t="s">
        <v>22</v>
      </c>
      <c r="B1477" s="1">
        <v>45719</v>
      </c>
      <c r="C1477">
        <v>12</v>
      </c>
      <c r="D1477">
        <v>2.61</v>
      </c>
      <c r="E1477" t="s">
        <v>6</v>
      </c>
      <c r="F1477">
        <v>0.21944</v>
      </c>
    </row>
    <row r="1478" spans="1:6" x14ac:dyDescent="0.3">
      <c r="A1478" t="s">
        <v>22</v>
      </c>
      <c r="B1478" s="1">
        <v>45719</v>
      </c>
      <c r="C1478">
        <v>13</v>
      </c>
      <c r="D1478">
        <v>3.0409999999999999</v>
      </c>
      <c r="E1478" t="s">
        <v>6</v>
      </c>
      <c r="F1478">
        <v>0.20482</v>
      </c>
    </row>
    <row r="1479" spans="1:6" x14ac:dyDescent="0.3">
      <c r="A1479" t="s">
        <v>22</v>
      </c>
      <c r="B1479" s="1">
        <v>45719</v>
      </c>
      <c r="C1479">
        <v>14</v>
      </c>
      <c r="D1479">
        <v>2.2850000000000001</v>
      </c>
      <c r="E1479" t="s">
        <v>6</v>
      </c>
      <c r="F1479">
        <v>0.20211999999999999</v>
      </c>
    </row>
    <row r="1480" spans="1:6" x14ac:dyDescent="0.3">
      <c r="A1480" t="s">
        <v>22</v>
      </c>
      <c r="B1480" s="1">
        <v>45719</v>
      </c>
      <c r="C1480">
        <v>15</v>
      </c>
      <c r="D1480">
        <v>1.3879999999999999</v>
      </c>
      <c r="E1480" t="s">
        <v>6</v>
      </c>
      <c r="F1480">
        <v>0.11392000000000001</v>
      </c>
    </row>
    <row r="1481" spans="1:6" x14ac:dyDescent="0.3">
      <c r="A1481" t="s">
        <v>22</v>
      </c>
      <c r="B1481" s="1">
        <v>45719</v>
      </c>
      <c r="C1481">
        <v>16</v>
      </c>
      <c r="D1481">
        <v>1.369</v>
      </c>
      <c r="E1481" t="s">
        <v>6</v>
      </c>
      <c r="F1481">
        <v>0.13657</v>
      </c>
    </row>
    <row r="1482" spans="1:6" x14ac:dyDescent="0.3">
      <c r="A1482" t="s">
        <v>22</v>
      </c>
      <c r="B1482" s="1">
        <v>45719</v>
      </c>
      <c r="C1482">
        <v>17</v>
      </c>
      <c r="D1482">
        <v>0.73699999999999999</v>
      </c>
      <c r="E1482" t="s">
        <v>6</v>
      </c>
      <c r="F1482">
        <v>0.14978999999999998</v>
      </c>
    </row>
    <row r="1483" spans="1:6" x14ac:dyDescent="0.3">
      <c r="A1483" t="s">
        <v>22</v>
      </c>
      <c r="B1483" s="1">
        <v>45719</v>
      </c>
      <c r="C1483">
        <v>18</v>
      </c>
      <c r="D1483">
        <v>0.14899999999999999</v>
      </c>
      <c r="E1483" t="s">
        <v>6</v>
      </c>
      <c r="F1483">
        <v>0.15064</v>
      </c>
    </row>
    <row r="1484" spans="1:6" x14ac:dyDescent="0.3">
      <c r="A1484" t="s">
        <v>22</v>
      </c>
      <c r="B1484" s="1">
        <v>45719</v>
      </c>
      <c r="C1484">
        <v>19</v>
      </c>
      <c r="D1484">
        <v>0.19400000000000001</v>
      </c>
      <c r="E1484" t="s">
        <v>6</v>
      </c>
      <c r="F1484">
        <v>0.23079</v>
      </c>
    </row>
    <row r="1485" spans="1:6" x14ac:dyDescent="0.3">
      <c r="A1485" t="s">
        <v>22</v>
      </c>
      <c r="B1485" s="1">
        <v>45719</v>
      </c>
      <c r="C1485">
        <v>20</v>
      </c>
      <c r="D1485">
        <v>0.71899999999999997</v>
      </c>
      <c r="E1485" t="s">
        <v>6</v>
      </c>
      <c r="F1485">
        <v>0.25786000000000003</v>
      </c>
    </row>
    <row r="1486" spans="1:6" x14ac:dyDescent="0.3">
      <c r="A1486" t="s">
        <v>22</v>
      </c>
      <c r="B1486" s="1">
        <v>45719</v>
      </c>
      <c r="C1486">
        <v>21</v>
      </c>
      <c r="D1486">
        <v>0.66800000000000004</v>
      </c>
      <c r="E1486" t="s">
        <v>6</v>
      </c>
      <c r="F1486">
        <v>0.27400000000000002</v>
      </c>
    </row>
    <row r="1487" spans="1:6" x14ac:dyDescent="0.3">
      <c r="A1487" t="s">
        <v>22</v>
      </c>
      <c r="B1487" s="1">
        <v>45719</v>
      </c>
      <c r="C1487">
        <v>22</v>
      </c>
      <c r="D1487">
        <v>0.80900000000000005</v>
      </c>
      <c r="E1487" t="s">
        <v>6</v>
      </c>
      <c r="F1487">
        <v>0.24384999999999998</v>
      </c>
    </row>
    <row r="1488" spans="1:6" x14ac:dyDescent="0.3">
      <c r="A1488" t="s">
        <v>22</v>
      </c>
      <c r="B1488" s="1">
        <v>45719</v>
      </c>
      <c r="C1488">
        <v>23</v>
      </c>
      <c r="D1488">
        <v>0.35499999999999998</v>
      </c>
      <c r="E1488" t="s">
        <v>6</v>
      </c>
      <c r="F1488">
        <v>0.17061999999999999</v>
      </c>
    </row>
    <row r="1489" spans="1:6" x14ac:dyDescent="0.3">
      <c r="A1489" t="s">
        <v>22</v>
      </c>
      <c r="B1489" s="1">
        <v>45719</v>
      </c>
      <c r="C1489">
        <v>24</v>
      </c>
      <c r="D1489">
        <v>0.30499999999999999</v>
      </c>
      <c r="E1489" t="s">
        <v>6</v>
      </c>
      <c r="F1489">
        <v>0.15237999999999999</v>
      </c>
    </row>
    <row r="1490" spans="1:6" x14ac:dyDescent="0.3">
      <c r="A1490" t="s">
        <v>22</v>
      </c>
      <c r="B1490" s="1">
        <v>45720</v>
      </c>
      <c r="C1490">
        <v>1</v>
      </c>
      <c r="D1490">
        <v>0.18</v>
      </c>
      <c r="E1490" t="s">
        <v>6</v>
      </c>
      <c r="F1490">
        <v>0.13241</v>
      </c>
    </row>
    <row r="1491" spans="1:6" x14ac:dyDescent="0.3">
      <c r="A1491" t="s">
        <v>22</v>
      </c>
      <c r="B1491" s="1">
        <v>45720</v>
      </c>
      <c r="C1491">
        <v>2</v>
      </c>
      <c r="D1491">
        <v>0.16200000000000001</v>
      </c>
      <c r="E1491" t="s">
        <v>6</v>
      </c>
      <c r="F1491">
        <v>0.13849</v>
      </c>
    </row>
    <row r="1492" spans="1:6" x14ac:dyDescent="0.3">
      <c r="A1492" t="s">
        <v>22</v>
      </c>
      <c r="B1492" s="1">
        <v>45720</v>
      </c>
      <c r="C1492">
        <v>3</v>
      </c>
      <c r="D1492">
        <v>1.8919999999999999</v>
      </c>
      <c r="E1492" t="s">
        <v>6</v>
      </c>
      <c r="F1492">
        <v>0.13707</v>
      </c>
    </row>
    <row r="1493" spans="1:6" x14ac:dyDescent="0.3">
      <c r="A1493" t="s">
        <v>22</v>
      </c>
      <c r="B1493" s="1">
        <v>45720</v>
      </c>
      <c r="C1493">
        <v>4</v>
      </c>
      <c r="D1493">
        <v>0.24299999999999999</v>
      </c>
      <c r="E1493" t="s">
        <v>6</v>
      </c>
      <c r="F1493">
        <v>0.13331999999999999</v>
      </c>
    </row>
    <row r="1494" spans="1:6" x14ac:dyDescent="0.3">
      <c r="A1494" t="s">
        <v>22</v>
      </c>
      <c r="B1494" s="1">
        <v>45720</v>
      </c>
      <c r="C1494">
        <v>5</v>
      </c>
      <c r="D1494">
        <v>0.125</v>
      </c>
      <c r="E1494" t="s">
        <v>6</v>
      </c>
      <c r="F1494">
        <v>0.13186</v>
      </c>
    </row>
    <row r="1495" spans="1:6" x14ac:dyDescent="0.3">
      <c r="A1495" t="s">
        <v>22</v>
      </c>
      <c r="B1495" s="1">
        <v>45720</v>
      </c>
      <c r="C1495">
        <v>6</v>
      </c>
      <c r="D1495">
        <v>1.38</v>
      </c>
      <c r="E1495" t="s">
        <v>6</v>
      </c>
      <c r="F1495">
        <v>0.13496</v>
      </c>
    </row>
    <row r="1496" spans="1:6" x14ac:dyDescent="0.3">
      <c r="A1496" t="s">
        <v>22</v>
      </c>
      <c r="B1496" s="1">
        <v>45720</v>
      </c>
      <c r="C1496">
        <v>7</v>
      </c>
      <c r="D1496">
        <v>3.0840000000000001</v>
      </c>
      <c r="E1496" t="s">
        <v>6</v>
      </c>
      <c r="F1496">
        <v>0.12634000000000001</v>
      </c>
    </row>
    <row r="1497" spans="1:6" x14ac:dyDescent="0.3">
      <c r="A1497" t="s">
        <v>22</v>
      </c>
      <c r="B1497" s="1">
        <v>45720</v>
      </c>
      <c r="C1497">
        <v>8</v>
      </c>
      <c r="D1497">
        <v>2.3050000000000002</v>
      </c>
      <c r="E1497" t="s">
        <v>6</v>
      </c>
      <c r="F1497">
        <v>0.13483000000000001</v>
      </c>
    </row>
    <row r="1498" spans="1:6" x14ac:dyDescent="0.3">
      <c r="A1498" t="s">
        <v>22</v>
      </c>
      <c r="B1498" s="1">
        <v>45720</v>
      </c>
      <c r="C1498">
        <v>9</v>
      </c>
      <c r="D1498">
        <v>0.80700000000000005</v>
      </c>
      <c r="E1498" t="s">
        <v>6</v>
      </c>
      <c r="F1498">
        <v>0.16233</v>
      </c>
    </row>
    <row r="1499" spans="1:6" x14ac:dyDescent="0.3">
      <c r="A1499" t="s">
        <v>22</v>
      </c>
      <c r="B1499" s="1">
        <v>45720</v>
      </c>
      <c r="C1499">
        <v>10</v>
      </c>
      <c r="D1499">
        <v>1.385</v>
      </c>
      <c r="E1499" t="s">
        <v>6</v>
      </c>
      <c r="F1499">
        <v>0.15258000000000002</v>
      </c>
    </row>
    <row r="1500" spans="1:6" x14ac:dyDescent="0.3">
      <c r="A1500" t="s">
        <v>22</v>
      </c>
      <c r="B1500" s="1">
        <v>45720</v>
      </c>
      <c r="C1500">
        <v>11</v>
      </c>
      <c r="D1500">
        <v>0.58599999999999997</v>
      </c>
      <c r="E1500" t="s">
        <v>6</v>
      </c>
      <c r="F1500">
        <v>0.21208000000000002</v>
      </c>
    </row>
    <row r="1501" spans="1:6" x14ac:dyDescent="0.3">
      <c r="A1501" t="s">
        <v>22</v>
      </c>
      <c r="B1501" s="1">
        <v>45720</v>
      </c>
      <c r="C1501">
        <v>12</v>
      </c>
      <c r="D1501">
        <v>0</v>
      </c>
      <c r="E1501" t="s">
        <v>6</v>
      </c>
      <c r="F1501">
        <v>0.19278000000000001</v>
      </c>
    </row>
    <row r="1502" spans="1:6" x14ac:dyDescent="0.3">
      <c r="A1502" t="s">
        <v>22</v>
      </c>
      <c r="B1502" s="1">
        <v>45720</v>
      </c>
      <c r="C1502">
        <v>13</v>
      </c>
      <c r="D1502">
        <v>0</v>
      </c>
      <c r="E1502" t="s">
        <v>6</v>
      </c>
      <c r="F1502">
        <v>0.17612</v>
      </c>
    </row>
    <row r="1503" spans="1:6" x14ac:dyDescent="0.3">
      <c r="A1503" t="s">
        <v>22</v>
      </c>
      <c r="B1503" s="1">
        <v>45720</v>
      </c>
      <c r="C1503">
        <v>14</v>
      </c>
      <c r="D1503">
        <v>0</v>
      </c>
      <c r="E1503" t="s">
        <v>6</v>
      </c>
      <c r="F1503">
        <v>0.15709000000000001</v>
      </c>
    </row>
    <row r="1504" spans="1:6" x14ac:dyDescent="0.3">
      <c r="A1504" t="s">
        <v>22</v>
      </c>
      <c r="B1504" s="1">
        <v>45720</v>
      </c>
      <c r="C1504">
        <v>15</v>
      </c>
      <c r="D1504">
        <v>0</v>
      </c>
      <c r="E1504" t="s">
        <v>6</v>
      </c>
      <c r="F1504">
        <v>9.8909999999999998E-2</v>
      </c>
    </row>
    <row r="1505" spans="1:6" x14ac:dyDescent="0.3">
      <c r="A1505" t="s">
        <v>22</v>
      </c>
      <c r="B1505" s="1">
        <v>45720</v>
      </c>
      <c r="C1505">
        <v>16</v>
      </c>
      <c r="D1505">
        <v>1.1080000000000001</v>
      </c>
      <c r="E1505" t="s">
        <v>6</v>
      </c>
      <c r="F1505">
        <v>0.11379</v>
      </c>
    </row>
    <row r="1506" spans="1:6" x14ac:dyDescent="0.3">
      <c r="A1506" t="s">
        <v>22</v>
      </c>
      <c r="B1506" s="1">
        <v>45720</v>
      </c>
      <c r="C1506">
        <v>17</v>
      </c>
      <c r="D1506">
        <v>3.3029999999999999</v>
      </c>
      <c r="E1506" t="s">
        <v>6</v>
      </c>
      <c r="F1506">
        <v>0.13033</v>
      </c>
    </row>
    <row r="1507" spans="1:6" x14ac:dyDescent="0.3">
      <c r="A1507" t="s">
        <v>22</v>
      </c>
      <c r="B1507" s="1">
        <v>45720</v>
      </c>
      <c r="C1507">
        <v>18</v>
      </c>
      <c r="D1507">
        <v>4.6269999999999998</v>
      </c>
      <c r="E1507" t="s">
        <v>6</v>
      </c>
      <c r="F1507">
        <v>0.15402000000000002</v>
      </c>
    </row>
    <row r="1508" spans="1:6" x14ac:dyDescent="0.3">
      <c r="A1508" t="s">
        <v>22</v>
      </c>
      <c r="B1508" s="1">
        <v>45720</v>
      </c>
      <c r="C1508">
        <v>19</v>
      </c>
      <c r="D1508">
        <v>2.9089999999999998</v>
      </c>
      <c r="E1508" t="s">
        <v>6</v>
      </c>
      <c r="F1508">
        <v>0.22037000000000001</v>
      </c>
    </row>
    <row r="1509" spans="1:6" x14ac:dyDescent="0.3">
      <c r="A1509" t="s">
        <v>22</v>
      </c>
      <c r="B1509" s="1">
        <v>45720</v>
      </c>
      <c r="C1509">
        <v>20</v>
      </c>
      <c r="D1509">
        <v>1.7909999999999999</v>
      </c>
      <c r="E1509" t="s">
        <v>6</v>
      </c>
      <c r="F1509">
        <v>0.26944000000000001</v>
      </c>
    </row>
    <row r="1510" spans="1:6" x14ac:dyDescent="0.3">
      <c r="A1510" t="s">
        <v>22</v>
      </c>
      <c r="B1510" s="1">
        <v>45720</v>
      </c>
      <c r="C1510">
        <v>21</v>
      </c>
      <c r="D1510">
        <v>2.3940000000000001</v>
      </c>
      <c r="E1510" t="s">
        <v>6</v>
      </c>
      <c r="F1510">
        <v>0.25428000000000001</v>
      </c>
    </row>
    <row r="1511" spans="1:6" x14ac:dyDescent="0.3">
      <c r="A1511" t="s">
        <v>22</v>
      </c>
      <c r="B1511" s="1">
        <v>45720</v>
      </c>
      <c r="C1511">
        <v>22</v>
      </c>
      <c r="D1511">
        <v>2.4420000000000002</v>
      </c>
      <c r="E1511" t="s">
        <v>6</v>
      </c>
      <c r="F1511">
        <v>0.23723</v>
      </c>
    </row>
    <row r="1512" spans="1:6" x14ac:dyDescent="0.3">
      <c r="A1512" t="s">
        <v>22</v>
      </c>
      <c r="B1512" s="1">
        <v>45720</v>
      </c>
      <c r="C1512">
        <v>23</v>
      </c>
      <c r="D1512">
        <v>2.5750000000000002</v>
      </c>
      <c r="E1512" t="s">
        <v>6</v>
      </c>
      <c r="F1512">
        <v>0.15728999999999999</v>
      </c>
    </row>
    <row r="1513" spans="1:6" x14ac:dyDescent="0.3">
      <c r="A1513" t="s">
        <v>22</v>
      </c>
      <c r="B1513" s="1">
        <v>45720</v>
      </c>
      <c r="C1513">
        <v>24</v>
      </c>
      <c r="D1513">
        <v>0.47099999999999997</v>
      </c>
      <c r="E1513" t="s">
        <v>6</v>
      </c>
      <c r="F1513">
        <v>0.15871000000000002</v>
      </c>
    </row>
    <row r="1514" spans="1:6" x14ac:dyDescent="0.3">
      <c r="A1514" t="s">
        <v>22</v>
      </c>
      <c r="B1514" s="1">
        <v>45721</v>
      </c>
      <c r="C1514">
        <v>1</v>
      </c>
      <c r="D1514">
        <v>0.184</v>
      </c>
      <c r="E1514" t="s">
        <v>6</v>
      </c>
      <c r="F1514">
        <v>0.12470999999999999</v>
      </c>
    </row>
    <row r="1515" spans="1:6" x14ac:dyDescent="0.3">
      <c r="A1515" t="s">
        <v>22</v>
      </c>
      <c r="B1515" s="1">
        <v>45721</v>
      </c>
      <c r="C1515">
        <v>2</v>
      </c>
      <c r="D1515">
        <v>2.948</v>
      </c>
      <c r="E1515" t="s">
        <v>6</v>
      </c>
      <c r="F1515">
        <v>0.12509000000000001</v>
      </c>
    </row>
    <row r="1516" spans="1:6" x14ac:dyDescent="0.3">
      <c r="A1516" t="s">
        <v>22</v>
      </c>
      <c r="B1516" s="1">
        <v>45721</v>
      </c>
      <c r="C1516">
        <v>3</v>
      </c>
      <c r="D1516">
        <v>2.7360000000000002</v>
      </c>
      <c r="E1516" t="s">
        <v>6</v>
      </c>
      <c r="F1516">
        <v>0.12637000000000001</v>
      </c>
    </row>
    <row r="1517" spans="1:6" x14ac:dyDescent="0.3">
      <c r="A1517" t="s">
        <v>22</v>
      </c>
      <c r="B1517" s="1">
        <v>45721</v>
      </c>
      <c r="C1517">
        <v>4</v>
      </c>
      <c r="D1517">
        <v>2.6480000000000001</v>
      </c>
      <c r="E1517" t="s">
        <v>6</v>
      </c>
      <c r="F1517">
        <v>0.1205</v>
      </c>
    </row>
    <row r="1518" spans="1:6" x14ac:dyDescent="0.3">
      <c r="A1518" t="s">
        <v>22</v>
      </c>
      <c r="B1518" s="1">
        <v>45721</v>
      </c>
      <c r="C1518">
        <v>5</v>
      </c>
      <c r="D1518">
        <v>2.508</v>
      </c>
      <c r="E1518" t="s">
        <v>6</v>
      </c>
      <c r="F1518">
        <v>0.11946999999999999</v>
      </c>
    </row>
    <row r="1519" spans="1:6" x14ac:dyDescent="0.3">
      <c r="A1519" t="s">
        <v>22</v>
      </c>
      <c r="B1519" s="1">
        <v>45721</v>
      </c>
      <c r="C1519">
        <v>6</v>
      </c>
      <c r="D1519">
        <v>2.4350000000000001</v>
      </c>
      <c r="E1519" t="s">
        <v>6</v>
      </c>
      <c r="F1519">
        <v>0.11481999999999999</v>
      </c>
    </row>
    <row r="1520" spans="1:6" x14ac:dyDescent="0.3">
      <c r="A1520" t="s">
        <v>22</v>
      </c>
      <c r="B1520" s="1">
        <v>45721</v>
      </c>
      <c r="C1520">
        <v>7</v>
      </c>
      <c r="D1520">
        <v>2.548</v>
      </c>
      <c r="E1520" t="s">
        <v>6</v>
      </c>
      <c r="F1520">
        <v>0.12168999999999999</v>
      </c>
    </row>
    <row r="1521" spans="1:6" x14ac:dyDescent="0.3">
      <c r="A1521" t="s">
        <v>22</v>
      </c>
      <c r="B1521" s="1">
        <v>45721</v>
      </c>
      <c r="C1521">
        <v>8</v>
      </c>
      <c r="D1521">
        <v>2.99</v>
      </c>
      <c r="E1521" t="s">
        <v>6</v>
      </c>
      <c r="F1521">
        <v>0.14646999999999999</v>
      </c>
    </row>
    <row r="1522" spans="1:6" x14ac:dyDescent="0.3">
      <c r="A1522" t="s">
        <v>22</v>
      </c>
      <c r="B1522" s="1">
        <v>45721</v>
      </c>
      <c r="C1522">
        <v>9</v>
      </c>
      <c r="D1522">
        <v>1.052</v>
      </c>
      <c r="E1522" t="s">
        <v>6</v>
      </c>
      <c r="F1522">
        <v>0.15975999999999999</v>
      </c>
    </row>
    <row r="1523" spans="1:6" x14ac:dyDescent="0.3">
      <c r="A1523" t="s">
        <v>22</v>
      </c>
      <c r="B1523" s="1">
        <v>45721</v>
      </c>
      <c r="C1523">
        <v>10</v>
      </c>
      <c r="D1523">
        <v>0</v>
      </c>
      <c r="E1523" t="s">
        <v>6</v>
      </c>
      <c r="F1523">
        <v>0.13778000000000001</v>
      </c>
    </row>
    <row r="1524" spans="1:6" x14ac:dyDescent="0.3">
      <c r="A1524" t="s">
        <v>22</v>
      </c>
      <c r="B1524" s="1">
        <v>45721</v>
      </c>
      <c r="C1524">
        <v>11</v>
      </c>
      <c r="D1524">
        <v>0</v>
      </c>
      <c r="E1524" t="s">
        <v>6</v>
      </c>
      <c r="F1524">
        <v>0.18984000000000001</v>
      </c>
    </row>
    <row r="1525" spans="1:6" x14ac:dyDescent="0.3">
      <c r="A1525" t="s">
        <v>22</v>
      </c>
      <c r="B1525" s="1">
        <v>45721</v>
      </c>
      <c r="C1525">
        <v>12</v>
      </c>
      <c r="D1525">
        <v>0</v>
      </c>
      <c r="E1525" t="s">
        <v>6</v>
      </c>
      <c r="F1525">
        <v>0.16666</v>
      </c>
    </row>
    <row r="1526" spans="1:6" x14ac:dyDescent="0.3">
      <c r="A1526" t="s">
        <v>22</v>
      </c>
      <c r="B1526" s="1">
        <v>45721</v>
      </c>
      <c r="C1526">
        <v>13</v>
      </c>
      <c r="D1526">
        <v>0</v>
      </c>
      <c r="E1526" t="s">
        <v>6</v>
      </c>
      <c r="F1526">
        <v>0.15565999999999999</v>
      </c>
    </row>
    <row r="1527" spans="1:6" x14ac:dyDescent="0.3">
      <c r="A1527" t="s">
        <v>22</v>
      </c>
      <c r="B1527" s="1">
        <v>45721</v>
      </c>
      <c r="C1527">
        <v>14</v>
      </c>
      <c r="D1527">
        <v>0</v>
      </c>
      <c r="E1527" t="s">
        <v>6</v>
      </c>
      <c r="F1527">
        <v>0.14574999999999999</v>
      </c>
    </row>
    <row r="1528" spans="1:6" x14ac:dyDescent="0.3">
      <c r="A1528" t="s">
        <v>22</v>
      </c>
      <c r="B1528" s="1">
        <v>45721</v>
      </c>
      <c r="C1528">
        <v>15</v>
      </c>
      <c r="D1528">
        <v>0</v>
      </c>
      <c r="E1528" t="s">
        <v>6</v>
      </c>
      <c r="F1528">
        <v>8.133E-2</v>
      </c>
    </row>
    <row r="1529" spans="1:6" x14ac:dyDescent="0.3">
      <c r="A1529" t="s">
        <v>22</v>
      </c>
      <c r="B1529" s="1">
        <v>45721</v>
      </c>
      <c r="C1529">
        <v>16</v>
      </c>
      <c r="D1529">
        <v>0</v>
      </c>
      <c r="E1529" t="s">
        <v>6</v>
      </c>
      <c r="F1529">
        <v>0.10104</v>
      </c>
    </row>
    <row r="1530" spans="1:6" x14ac:dyDescent="0.3">
      <c r="A1530" t="s">
        <v>22</v>
      </c>
      <c r="B1530" s="1">
        <v>45721</v>
      </c>
      <c r="C1530">
        <v>17</v>
      </c>
      <c r="D1530">
        <v>0</v>
      </c>
      <c r="E1530" t="s">
        <v>6</v>
      </c>
      <c r="F1530">
        <v>0.12451999999999999</v>
      </c>
    </row>
    <row r="1531" spans="1:6" x14ac:dyDescent="0.3">
      <c r="A1531" t="s">
        <v>22</v>
      </c>
      <c r="B1531" s="1">
        <v>45721</v>
      </c>
      <c r="C1531">
        <v>18</v>
      </c>
      <c r="D1531">
        <v>0</v>
      </c>
      <c r="E1531" t="s">
        <v>6</v>
      </c>
      <c r="F1531">
        <v>0.13594999999999999</v>
      </c>
    </row>
    <row r="1532" spans="1:6" x14ac:dyDescent="0.3">
      <c r="A1532" t="s">
        <v>22</v>
      </c>
      <c r="B1532" s="1">
        <v>45721</v>
      </c>
      <c r="C1532">
        <v>19</v>
      </c>
      <c r="D1532">
        <v>6.8000000000000005E-2</v>
      </c>
      <c r="E1532" t="s">
        <v>6</v>
      </c>
      <c r="F1532">
        <v>0.21243999999999999</v>
      </c>
    </row>
    <row r="1533" spans="1:6" x14ac:dyDescent="0.3">
      <c r="A1533" t="s">
        <v>22</v>
      </c>
      <c r="B1533" s="1">
        <v>45721</v>
      </c>
      <c r="C1533">
        <v>20</v>
      </c>
      <c r="D1533">
        <v>0.378</v>
      </c>
      <c r="E1533" t="s">
        <v>6</v>
      </c>
      <c r="F1533">
        <v>0.23810000000000001</v>
      </c>
    </row>
    <row r="1534" spans="1:6" x14ac:dyDescent="0.3">
      <c r="A1534" t="s">
        <v>22</v>
      </c>
      <c r="B1534" s="1">
        <v>45721</v>
      </c>
      <c r="C1534">
        <v>21</v>
      </c>
      <c r="D1534">
        <v>3.1749999999999998</v>
      </c>
      <c r="E1534" t="s">
        <v>6</v>
      </c>
      <c r="F1534">
        <v>0.23981</v>
      </c>
    </row>
    <row r="1535" spans="1:6" x14ac:dyDescent="0.3">
      <c r="A1535" t="s">
        <v>22</v>
      </c>
      <c r="B1535" s="1">
        <v>45721</v>
      </c>
      <c r="C1535">
        <v>22</v>
      </c>
      <c r="D1535">
        <v>2.0779999999999998</v>
      </c>
      <c r="E1535" t="s">
        <v>6</v>
      </c>
      <c r="F1535">
        <v>0.23332</v>
      </c>
    </row>
    <row r="1536" spans="1:6" x14ac:dyDescent="0.3">
      <c r="A1536" t="s">
        <v>22</v>
      </c>
      <c r="B1536" s="1">
        <v>45721</v>
      </c>
      <c r="C1536">
        <v>23</v>
      </c>
      <c r="D1536">
        <v>2.085</v>
      </c>
      <c r="E1536" t="s">
        <v>6</v>
      </c>
      <c r="F1536">
        <v>0.15863999999999998</v>
      </c>
    </row>
    <row r="1537" spans="1:6" x14ac:dyDescent="0.3">
      <c r="A1537" t="s">
        <v>22</v>
      </c>
      <c r="B1537" s="1">
        <v>45721</v>
      </c>
      <c r="C1537">
        <v>24</v>
      </c>
      <c r="D1537">
        <v>1.891</v>
      </c>
      <c r="E1537" t="s">
        <v>6</v>
      </c>
      <c r="F1537">
        <v>0.14044999999999999</v>
      </c>
    </row>
    <row r="1538" spans="1:6" x14ac:dyDescent="0.3">
      <c r="A1538" t="s">
        <v>22</v>
      </c>
      <c r="B1538" s="1">
        <v>45722</v>
      </c>
      <c r="C1538">
        <v>1</v>
      </c>
      <c r="D1538">
        <v>1.599</v>
      </c>
      <c r="E1538" t="s">
        <v>6</v>
      </c>
      <c r="F1538">
        <v>9.6090000000000009E-2</v>
      </c>
    </row>
    <row r="1539" spans="1:6" x14ac:dyDescent="0.3">
      <c r="A1539" t="s">
        <v>22</v>
      </c>
      <c r="B1539" s="1">
        <v>45722</v>
      </c>
      <c r="C1539">
        <v>2</v>
      </c>
      <c r="D1539">
        <v>2.1930000000000001</v>
      </c>
      <c r="E1539" t="s">
        <v>6</v>
      </c>
      <c r="F1539">
        <v>9.11E-2</v>
      </c>
    </row>
    <row r="1540" spans="1:6" x14ac:dyDescent="0.3">
      <c r="A1540" t="s">
        <v>22</v>
      </c>
      <c r="B1540" s="1">
        <v>45722</v>
      </c>
      <c r="C1540">
        <v>3</v>
      </c>
      <c r="D1540">
        <v>2.5299999999999998</v>
      </c>
      <c r="E1540" t="s">
        <v>6</v>
      </c>
      <c r="F1540">
        <v>0.10329000000000001</v>
      </c>
    </row>
    <row r="1541" spans="1:6" x14ac:dyDescent="0.3">
      <c r="A1541" t="s">
        <v>22</v>
      </c>
      <c r="B1541" s="1">
        <v>45722</v>
      </c>
      <c r="C1541">
        <v>4</v>
      </c>
      <c r="D1541">
        <v>2.0110000000000001</v>
      </c>
      <c r="E1541" t="s">
        <v>6</v>
      </c>
      <c r="F1541">
        <v>0.10485999999999999</v>
      </c>
    </row>
    <row r="1542" spans="1:6" x14ac:dyDescent="0.3">
      <c r="A1542" t="s">
        <v>22</v>
      </c>
      <c r="B1542" s="1">
        <v>45722</v>
      </c>
      <c r="C1542">
        <v>5</v>
      </c>
      <c r="D1542">
        <v>1.8560000000000001</v>
      </c>
      <c r="E1542" t="s">
        <v>6</v>
      </c>
      <c r="F1542">
        <v>0.10685</v>
      </c>
    </row>
    <row r="1543" spans="1:6" x14ac:dyDescent="0.3">
      <c r="A1543" t="s">
        <v>22</v>
      </c>
      <c r="B1543" s="1">
        <v>45722</v>
      </c>
      <c r="C1543">
        <v>6</v>
      </c>
      <c r="D1543">
        <v>2.145</v>
      </c>
      <c r="E1543" t="s">
        <v>6</v>
      </c>
      <c r="F1543">
        <v>0.10815999999999999</v>
      </c>
    </row>
    <row r="1544" spans="1:6" x14ac:dyDescent="0.3">
      <c r="A1544" t="s">
        <v>22</v>
      </c>
      <c r="B1544" s="1">
        <v>45722</v>
      </c>
      <c r="C1544">
        <v>7</v>
      </c>
      <c r="D1544">
        <v>1.9630000000000001</v>
      </c>
      <c r="E1544" t="s">
        <v>6</v>
      </c>
      <c r="F1544">
        <v>0.11279</v>
      </c>
    </row>
    <row r="1545" spans="1:6" x14ac:dyDescent="0.3">
      <c r="A1545" t="s">
        <v>22</v>
      </c>
      <c r="B1545" s="1">
        <v>45722</v>
      </c>
      <c r="C1545">
        <v>8</v>
      </c>
      <c r="D1545">
        <v>1.7310000000000001</v>
      </c>
      <c r="E1545" t="s">
        <v>6</v>
      </c>
      <c r="F1545">
        <v>0.13449</v>
      </c>
    </row>
    <row r="1546" spans="1:6" x14ac:dyDescent="0.3">
      <c r="A1546" t="s">
        <v>22</v>
      </c>
      <c r="B1546" s="1">
        <v>45722</v>
      </c>
      <c r="C1546">
        <v>9</v>
      </c>
      <c r="D1546">
        <v>1.8129999999999999</v>
      </c>
      <c r="E1546" t="s">
        <v>6</v>
      </c>
      <c r="F1546">
        <v>0.16338999999999998</v>
      </c>
    </row>
    <row r="1547" spans="1:6" x14ac:dyDescent="0.3">
      <c r="A1547" t="s">
        <v>22</v>
      </c>
      <c r="B1547" s="1">
        <v>45722</v>
      </c>
      <c r="C1547">
        <v>10</v>
      </c>
      <c r="D1547">
        <v>2.4620000000000002</v>
      </c>
      <c r="E1547" t="s">
        <v>6</v>
      </c>
      <c r="F1547">
        <v>0.13428000000000001</v>
      </c>
    </row>
    <row r="1548" spans="1:6" x14ac:dyDescent="0.3">
      <c r="A1548" t="s">
        <v>22</v>
      </c>
      <c r="B1548" s="1">
        <v>45722</v>
      </c>
      <c r="C1548">
        <v>11</v>
      </c>
      <c r="D1548">
        <v>0.33900000000000002</v>
      </c>
      <c r="E1548" t="s">
        <v>6</v>
      </c>
      <c r="F1548">
        <v>0.19278000000000001</v>
      </c>
    </row>
    <row r="1549" spans="1:6" x14ac:dyDescent="0.3">
      <c r="A1549" t="s">
        <v>22</v>
      </c>
      <c r="B1549" s="1">
        <v>45722</v>
      </c>
      <c r="C1549">
        <v>12</v>
      </c>
      <c r="D1549">
        <v>0</v>
      </c>
      <c r="E1549" t="s">
        <v>6</v>
      </c>
      <c r="F1549">
        <v>0.19171000000000002</v>
      </c>
    </row>
    <row r="1550" spans="1:6" x14ac:dyDescent="0.3">
      <c r="A1550" t="s">
        <v>22</v>
      </c>
      <c r="B1550" s="1">
        <v>45722</v>
      </c>
      <c r="C1550">
        <v>13</v>
      </c>
      <c r="D1550">
        <v>1.754</v>
      </c>
      <c r="E1550" t="s">
        <v>6</v>
      </c>
      <c r="F1550">
        <v>0.18700999999999998</v>
      </c>
    </row>
    <row r="1551" spans="1:6" x14ac:dyDescent="0.3">
      <c r="A1551" t="s">
        <v>22</v>
      </c>
      <c r="B1551" s="1">
        <v>45722</v>
      </c>
      <c r="C1551">
        <v>14</v>
      </c>
      <c r="D1551">
        <v>1.6519999999999999</v>
      </c>
      <c r="E1551" t="s">
        <v>6</v>
      </c>
      <c r="F1551">
        <v>0.17621999999999999</v>
      </c>
    </row>
    <row r="1552" spans="1:6" x14ac:dyDescent="0.3">
      <c r="A1552" t="s">
        <v>22</v>
      </c>
      <c r="B1552" s="1">
        <v>45722</v>
      </c>
      <c r="C1552">
        <v>15</v>
      </c>
      <c r="D1552">
        <v>1.494</v>
      </c>
      <c r="E1552" t="s">
        <v>6</v>
      </c>
      <c r="F1552">
        <v>0.10521</v>
      </c>
    </row>
    <row r="1553" spans="1:6" x14ac:dyDescent="0.3">
      <c r="A1553" t="s">
        <v>22</v>
      </c>
      <c r="B1553" s="1">
        <v>45722</v>
      </c>
      <c r="C1553">
        <v>16</v>
      </c>
      <c r="D1553">
        <v>1.306</v>
      </c>
      <c r="E1553" t="s">
        <v>6</v>
      </c>
      <c r="F1553">
        <v>0.10736</v>
      </c>
    </row>
    <row r="1554" spans="1:6" x14ac:dyDescent="0.3">
      <c r="A1554" t="s">
        <v>22</v>
      </c>
      <c r="B1554" s="1">
        <v>45722</v>
      </c>
      <c r="C1554">
        <v>17</v>
      </c>
      <c r="D1554">
        <v>0.94899999999999995</v>
      </c>
      <c r="E1554" t="s">
        <v>6</v>
      </c>
      <c r="F1554">
        <v>0.11438</v>
      </c>
    </row>
    <row r="1555" spans="1:6" x14ac:dyDescent="0.3">
      <c r="A1555" t="s">
        <v>22</v>
      </c>
      <c r="B1555" s="1">
        <v>45722</v>
      </c>
      <c r="C1555">
        <v>18</v>
      </c>
      <c r="D1555">
        <v>1.2430000000000001</v>
      </c>
      <c r="E1555" t="s">
        <v>6</v>
      </c>
      <c r="F1555">
        <v>0.1336</v>
      </c>
    </row>
    <row r="1556" spans="1:6" x14ac:dyDescent="0.3">
      <c r="A1556" t="s">
        <v>22</v>
      </c>
      <c r="B1556" s="1">
        <v>45722</v>
      </c>
      <c r="C1556">
        <v>19</v>
      </c>
      <c r="D1556">
        <v>2.657</v>
      </c>
      <c r="E1556" t="s">
        <v>6</v>
      </c>
      <c r="F1556">
        <v>0.22950999999999999</v>
      </c>
    </row>
    <row r="1557" spans="1:6" x14ac:dyDescent="0.3">
      <c r="A1557" t="s">
        <v>22</v>
      </c>
      <c r="B1557" s="1">
        <v>45722</v>
      </c>
      <c r="C1557">
        <v>20</v>
      </c>
      <c r="D1557">
        <v>1.974</v>
      </c>
      <c r="E1557" t="s">
        <v>6</v>
      </c>
      <c r="F1557">
        <v>0.25924000000000003</v>
      </c>
    </row>
    <row r="1558" spans="1:6" x14ac:dyDescent="0.3">
      <c r="A1558" t="s">
        <v>22</v>
      </c>
      <c r="B1558" s="1">
        <v>45722</v>
      </c>
      <c r="C1558">
        <v>21</v>
      </c>
      <c r="D1558">
        <v>1.9419999999999999</v>
      </c>
      <c r="E1558" t="s">
        <v>6</v>
      </c>
      <c r="F1558">
        <v>0.25015999999999999</v>
      </c>
    </row>
    <row r="1559" spans="1:6" x14ac:dyDescent="0.3">
      <c r="A1559" t="s">
        <v>22</v>
      </c>
      <c r="B1559" s="1">
        <v>45722</v>
      </c>
      <c r="C1559">
        <v>22</v>
      </c>
      <c r="D1559">
        <v>2.048</v>
      </c>
      <c r="E1559" t="s">
        <v>6</v>
      </c>
      <c r="F1559">
        <v>0.23677000000000001</v>
      </c>
    </row>
    <row r="1560" spans="1:6" x14ac:dyDescent="0.3">
      <c r="A1560" t="s">
        <v>22</v>
      </c>
      <c r="B1560" s="1">
        <v>45722</v>
      </c>
      <c r="C1560">
        <v>23</v>
      </c>
      <c r="D1560">
        <v>1.796</v>
      </c>
      <c r="E1560" t="s">
        <v>6</v>
      </c>
      <c r="F1560">
        <v>0.15822</v>
      </c>
    </row>
    <row r="1561" spans="1:6" x14ac:dyDescent="0.3">
      <c r="A1561" t="s">
        <v>22</v>
      </c>
      <c r="B1561" s="1">
        <v>45722</v>
      </c>
      <c r="C1561">
        <v>24</v>
      </c>
      <c r="D1561">
        <v>1.573</v>
      </c>
      <c r="E1561" t="s">
        <v>6</v>
      </c>
      <c r="F1561">
        <v>0.1391</v>
      </c>
    </row>
    <row r="1562" spans="1:6" x14ac:dyDescent="0.3">
      <c r="A1562" t="s">
        <v>22</v>
      </c>
      <c r="B1562" s="1">
        <v>45723</v>
      </c>
      <c r="C1562">
        <v>1</v>
      </c>
      <c r="D1562">
        <v>1.5349999999999999</v>
      </c>
      <c r="E1562" t="s">
        <v>6</v>
      </c>
      <c r="F1562">
        <v>0.12878999999999999</v>
      </c>
    </row>
    <row r="1563" spans="1:6" x14ac:dyDescent="0.3">
      <c r="A1563" t="s">
        <v>22</v>
      </c>
      <c r="B1563" s="1">
        <v>45723</v>
      </c>
      <c r="C1563">
        <v>2</v>
      </c>
      <c r="D1563">
        <v>1.5620000000000001</v>
      </c>
      <c r="E1563" t="s">
        <v>6</v>
      </c>
      <c r="F1563">
        <v>0.12264</v>
      </c>
    </row>
    <row r="1564" spans="1:6" x14ac:dyDescent="0.3">
      <c r="A1564" t="s">
        <v>22</v>
      </c>
      <c r="B1564" s="1">
        <v>45723</v>
      </c>
      <c r="C1564">
        <v>3</v>
      </c>
      <c r="D1564">
        <v>1.3129999999999999</v>
      </c>
      <c r="E1564" t="s">
        <v>6</v>
      </c>
      <c r="F1564">
        <v>0.11728</v>
      </c>
    </row>
    <row r="1565" spans="1:6" x14ac:dyDescent="0.3">
      <c r="A1565" t="s">
        <v>22</v>
      </c>
      <c r="B1565" s="1">
        <v>45723</v>
      </c>
      <c r="C1565">
        <v>4</v>
      </c>
      <c r="D1565">
        <v>1.675</v>
      </c>
      <c r="E1565" t="s">
        <v>6</v>
      </c>
      <c r="F1565">
        <v>0.11090999999999999</v>
      </c>
    </row>
    <row r="1566" spans="1:6" x14ac:dyDescent="0.3">
      <c r="A1566" t="s">
        <v>22</v>
      </c>
      <c r="B1566" s="1">
        <v>45723</v>
      </c>
      <c r="C1566">
        <v>5</v>
      </c>
      <c r="D1566">
        <v>1.589</v>
      </c>
      <c r="E1566" t="s">
        <v>6</v>
      </c>
      <c r="F1566">
        <v>0.11173000000000001</v>
      </c>
    </row>
    <row r="1567" spans="1:6" x14ac:dyDescent="0.3">
      <c r="A1567" t="s">
        <v>22</v>
      </c>
      <c r="B1567" s="1">
        <v>45723</v>
      </c>
      <c r="C1567">
        <v>6</v>
      </c>
      <c r="D1567">
        <v>1.3680000000000001</v>
      </c>
      <c r="E1567" t="s">
        <v>6</v>
      </c>
      <c r="F1567">
        <v>0.1152</v>
      </c>
    </row>
    <row r="1568" spans="1:6" x14ac:dyDescent="0.3">
      <c r="A1568" t="s">
        <v>22</v>
      </c>
      <c r="B1568" s="1">
        <v>45723</v>
      </c>
      <c r="C1568">
        <v>7</v>
      </c>
      <c r="D1568">
        <v>1.742</v>
      </c>
      <c r="E1568" t="s">
        <v>6</v>
      </c>
      <c r="F1568">
        <v>0.11805</v>
      </c>
    </row>
    <row r="1569" spans="1:6" x14ac:dyDescent="0.3">
      <c r="A1569" t="s">
        <v>22</v>
      </c>
      <c r="B1569" s="1">
        <v>45723</v>
      </c>
      <c r="C1569">
        <v>8</v>
      </c>
      <c r="D1569">
        <v>2.1829999999999998</v>
      </c>
      <c r="E1569" t="s">
        <v>6</v>
      </c>
      <c r="F1569">
        <v>0.12367</v>
      </c>
    </row>
    <row r="1570" spans="1:6" x14ac:dyDescent="0.3">
      <c r="A1570" t="s">
        <v>22</v>
      </c>
      <c r="B1570" s="1">
        <v>45723</v>
      </c>
      <c r="C1570">
        <v>9</v>
      </c>
      <c r="D1570">
        <v>1.64</v>
      </c>
      <c r="E1570" t="s">
        <v>6</v>
      </c>
      <c r="F1570">
        <v>0.15018000000000001</v>
      </c>
    </row>
    <row r="1571" spans="1:6" x14ac:dyDescent="0.3">
      <c r="A1571" t="s">
        <v>22</v>
      </c>
      <c r="B1571" s="1">
        <v>45723</v>
      </c>
      <c r="C1571">
        <v>10</v>
      </c>
      <c r="D1571">
        <v>1.786</v>
      </c>
      <c r="E1571" t="s">
        <v>6</v>
      </c>
      <c r="F1571">
        <v>0.13069999999999998</v>
      </c>
    </row>
    <row r="1572" spans="1:6" x14ac:dyDescent="0.3">
      <c r="A1572" t="s">
        <v>22</v>
      </c>
      <c r="B1572" s="1">
        <v>45723</v>
      </c>
      <c r="C1572">
        <v>11</v>
      </c>
      <c r="D1572">
        <v>2.62</v>
      </c>
      <c r="E1572" t="s">
        <v>6</v>
      </c>
      <c r="F1572">
        <v>0.19303000000000001</v>
      </c>
    </row>
    <row r="1573" spans="1:6" x14ac:dyDescent="0.3">
      <c r="A1573" t="s">
        <v>22</v>
      </c>
      <c r="B1573" s="1">
        <v>45723</v>
      </c>
      <c r="C1573">
        <v>12</v>
      </c>
      <c r="D1573">
        <v>2.0539999999999998</v>
      </c>
      <c r="E1573" t="s">
        <v>6</v>
      </c>
      <c r="F1573">
        <v>0.16172999999999998</v>
      </c>
    </row>
    <row r="1574" spans="1:6" x14ac:dyDescent="0.3">
      <c r="A1574" t="s">
        <v>22</v>
      </c>
      <c r="B1574" s="1">
        <v>45723</v>
      </c>
      <c r="C1574">
        <v>13</v>
      </c>
      <c r="D1574">
        <v>1.796</v>
      </c>
      <c r="E1574" t="s">
        <v>6</v>
      </c>
      <c r="F1574">
        <v>0.14421999999999999</v>
      </c>
    </row>
    <row r="1575" spans="1:6" x14ac:dyDescent="0.3">
      <c r="A1575" t="s">
        <v>22</v>
      </c>
      <c r="B1575" s="1">
        <v>45723</v>
      </c>
      <c r="C1575">
        <v>14</v>
      </c>
      <c r="D1575">
        <v>1.69</v>
      </c>
      <c r="E1575" t="s">
        <v>6</v>
      </c>
      <c r="F1575">
        <v>0.12706000000000001</v>
      </c>
    </row>
    <row r="1576" spans="1:6" x14ac:dyDescent="0.3">
      <c r="A1576" t="s">
        <v>22</v>
      </c>
      <c r="B1576" s="1">
        <v>45723</v>
      </c>
      <c r="C1576">
        <v>15</v>
      </c>
      <c r="D1576">
        <v>1.524</v>
      </c>
      <c r="E1576" t="s">
        <v>6</v>
      </c>
      <c r="F1576">
        <v>8.0939999999999998E-2</v>
      </c>
    </row>
    <row r="1577" spans="1:6" x14ac:dyDescent="0.3">
      <c r="A1577" t="s">
        <v>22</v>
      </c>
      <c r="B1577" s="1">
        <v>45723</v>
      </c>
      <c r="C1577">
        <v>16</v>
      </c>
      <c r="D1577">
        <v>1.4850000000000001</v>
      </c>
      <c r="E1577" t="s">
        <v>6</v>
      </c>
      <c r="F1577">
        <v>7.1599999999999997E-2</v>
      </c>
    </row>
    <row r="1578" spans="1:6" x14ac:dyDescent="0.3">
      <c r="A1578" t="s">
        <v>22</v>
      </c>
      <c r="B1578" s="1">
        <v>45723</v>
      </c>
      <c r="C1578">
        <v>17</v>
      </c>
      <c r="D1578">
        <v>2.1930000000000001</v>
      </c>
      <c r="E1578" t="s">
        <v>6</v>
      </c>
      <c r="F1578">
        <v>8.2430000000000003E-2</v>
      </c>
    </row>
    <row r="1579" spans="1:6" x14ac:dyDescent="0.3">
      <c r="A1579" t="s">
        <v>22</v>
      </c>
      <c r="B1579" s="1">
        <v>45723</v>
      </c>
      <c r="C1579">
        <v>18</v>
      </c>
      <c r="D1579">
        <v>2.355</v>
      </c>
      <c r="E1579" t="s">
        <v>6</v>
      </c>
      <c r="F1579">
        <v>9.146E-2</v>
      </c>
    </row>
    <row r="1580" spans="1:6" x14ac:dyDescent="0.3">
      <c r="A1580" t="s">
        <v>22</v>
      </c>
      <c r="B1580" s="1">
        <v>45723</v>
      </c>
      <c r="C1580">
        <v>19</v>
      </c>
      <c r="D1580">
        <v>1.79</v>
      </c>
      <c r="E1580" t="s">
        <v>6</v>
      </c>
      <c r="F1580">
        <v>0.17493</v>
      </c>
    </row>
    <row r="1581" spans="1:6" x14ac:dyDescent="0.3">
      <c r="A1581" t="s">
        <v>22</v>
      </c>
      <c r="B1581" s="1">
        <v>45723</v>
      </c>
      <c r="C1581">
        <v>20</v>
      </c>
      <c r="D1581">
        <v>1.92</v>
      </c>
      <c r="E1581" t="s">
        <v>6</v>
      </c>
      <c r="F1581">
        <v>0.17449999999999999</v>
      </c>
    </row>
    <row r="1582" spans="1:6" x14ac:dyDescent="0.3">
      <c r="A1582" t="s">
        <v>22</v>
      </c>
      <c r="B1582" s="1">
        <v>45723</v>
      </c>
      <c r="C1582">
        <v>21</v>
      </c>
      <c r="D1582">
        <v>1.766</v>
      </c>
      <c r="E1582" t="s">
        <v>6</v>
      </c>
      <c r="F1582">
        <v>0.18365000000000001</v>
      </c>
    </row>
    <row r="1583" spans="1:6" x14ac:dyDescent="0.3">
      <c r="A1583" t="s">
        <v>22</v>
      </c>
      <c r="B1583" s="1">
        <v>45723</v>
      </c>
      <c r="C1583">
        <v>22</v>
      </c>
      <c r="D1583">
        <v>2.4889999999999999</v>
      </c>
      <c r="E1583" t="s">
        <v>6</v>
      </c>
      <c r="F1583">
        <v>0.18013999999999999</v>
      </c>
    </row>
    <row r="1584" spans="1:6" x14ac:dyDescent="0.3">
      <c r="A1584" t="s">
        <v>22</v>
      </c>
      <c r="B1584" s="1">
        <v>45723</v>
      </c>
      <c r="C1584">
        <v>23</v>
      </c>
      <c r="D1584">
        <v>1.6779999999999999</v>
      </c>
      <c r="E1584" t="s">
        <v>6</v>
      </c>
      <c r="F1584">
        <v>0.11595999999999999</v>
      </c>
    </row>
    <row r="1585" spans="1:6" x14ac:dyDescent="0.3">
      <c r="A1585" t="s">
        <v>22</v>
      </c>
      <c r="B1585" s="1">
        <v>45723</v>
      </c>
      <c r="C1585">
        <v>24</v>
      </c>
      <c r="D1585">
        <v>1.6850000000000001</v>
      </c>
      <c r="E1585" t="s">
        <v>6</v>
      </c>
      <c r="F1585">
        <v>0.10990999999999999</v>
      </c>
    </row>
    <row r="1586" spans="1:6" x14ac:dyDescent="0.3">
      <c r="A1586" t="s">
        <v>22</v>
      </c>
      <c r="B1586" s="1">
        <v>45724</v>
      </c>
      <c r="C1586">
        <v>1</v>
      </c>
      <c r="D1586">
        <v>1.64</v>
      </c>
      <c r="E1586" t="s">
        <v>6</v>
      </c>
      <c r="F1586">
        <v>8.1420000000000006E-2</v>
      </c>
    </row>
    <row r="1587" spans="1:6" x14ac:dyDescent="0.3">
      <c r="A1587" t="s">
        <v>22</v>
      </c>
      <c r="B1587" s="1">
        <v>45724</v>
      </c>
      <c r="C1587">
        <v>2</v>
      </c>
      <c r="D1587">
        <v>1.579</v>
      </c>
      <c r="E1587" t="s">
        <v>6</v>
      </c>
      <c r="F1587">
        <v>6.6519999999999996E-2</v>
      </c>
    </row>
    <row r="1588" spans="1:6" x14ac:dyDescent="0.3">
      <c r="A1588" t="s">
        <v>22</v>
      </c>
      <c r="B1588" s="1">
        <v>45724</v>
      </c>
      <c r="C1588">
        <v>3</v>
      </c>
      <c r="D1588">
        <v>1.214</v>
      </c>
      <c r="E1588" t="s">
        <v>6</v>
      </c>
      <c r="F1588">
        <v>7.0559999999999998E-2</v>
      </c>
    </row>
    <row r="1589" spans="1:6" x14ac:dyDescent="0.3">
      <c r="A1589" t="s">
        <v>22</v>
      </c>
      <c r="B1589" s="1">
        <v>45724</v>
      </c>
      <c r="C1589">
        <v>4</v>
      </c>
      <c r="D1589">
        <v>1.4550000000000001</v>
      </c>
      <c r="E1589" t="s">
        <v>6</v>
      </c>
      <c r="F1589">
        <v>6.812E-2</v>
      </c>
    </row>
    <row r="1590" spans="1:6" x14ac:dyDescent="0.3">
      <c r="A1590" t="s">
        <v>22</v>
      </c>
      <c r="B1590" s="1">
        <v>45724</v>
      </c>
      <c r="C1590">
        <v>5</v>
      </c>
      <c r="D1590">
        <v>1.2290000000000001</v>
      </c>
      <c r="E1590" t="s">
        <v>6</v>
      </c>
      <c r="F1590">
        <v>6.2850000000000003E-2</v>
      </c>
    </row>
    <row r="1591" spans="1:6" x14ac:dyDescent="0.3">
      <c r="A1591" t="s">
        <v>22</v>
      </c>
      <c r="B1591" s="1">
        <v>45724</v>
      </c>
      <c r="C1591">
        <v>6</v>
      </c>
      <c r="D1591">
        <v>1.1080000000000001</v>
      </c>
      <c r="E1591" t="s">
        <v>6</v>
      </c>
      <c r="F1591">
        <v>6.0270000000000004E-2</v>
      </c>
    </row>
    <row r="1592" spans="1:6" x14ac:dyDescent="0.3">
      <c r="A1592" t="s">
        <v>22</v>
      </c>
      <c r="B1592" s="1">
        <v>45724</v>
      </c>
      <c r="C1592">
        <v>7</v>
      </c>
      <c r="D1592">
        <v>1.2889999999999999</v>
      </c>
      <c r="E1592" t="s">
        <v>6</v>
      </c>
      <c r="F1592">
        <v>6.3630000000000006E-2</v>
      </c>
    </row>
    <row r="1593" spans="1:6" x14ac:dyDescent="0.3">
      <c r="A1593" t="s">
        <v>22</v>
      </c>
      <c r="B1593" s="1">
        <v>45724</v>
      </c>
      <c r="C1593">
        <v>8</v>
      </c>
      <c r="D1593">
        <v>1.286</v>
      </c>
      <c r="E1593" t="s">
        <v>6</v>
      </c>
      <c r="F1593">
        <v>6.4430000000000001E-2</v>
      </c>
    </row>
    <row r="1594" spans="1:6" x14ac:dyDescent="0.3">
      <c r="A1594" t="s">
        <v>22</v>
      </c>
      <c r="B1594" s="1">
        <v>45724</v>
      </c>
      <c r="C1594">
        <v>9</v>
      </c>
      <c r="D1594">
        <v>1.018</v>
      </c>
      <c r="E1594" t="s">
        <v>6</v>
      </c>
      <c r="F1594">
        <v>5.5119999999999995E-2</v>
      </c>
    </row>
    <row r="1595" spans="1:6" x14ac:dyDescent="0.3">
      <c r="A1595" t="s">
        <v>22</v>
      </c>
      <c r="B1595" s="1">
        <v>45724</v>
      </c>
      <c r="C1595">
        <v>10</v>
      </c>
      <c r="D1595">
        <v>1.083</v>
      </c>
      <c r="E1595" t="s">
        <v>6</v>
      </c>
      <c r="F1595">
        <v>6.0899999999999996E-2</v>
      </c>
    </row>
    <row r="1596" spans="1:6" x14ac:dyDescent="0.3">
      <c r="A1596" t="s">
        <v>22</v>
      </c>
      <c r="B1596" s="1">
        <v>45724</v>
      </c>
      <c r="C1596">
        <v>11</v>
      </c>
      <c r="D1596">
        <v>1.3979999999999999</v>
      </c>
      <c r="E1596" t="s">
        <v>6</v>
      </c>
      <c r="F1596">
        <v>5.3679999999999999E-2</v>
      </c>
    </row>
    <row r="1597" spans="1:6" x14ac:dyDescent="0.3">
      <c r="A1597" t="s">
        <v>22</v>
      </c>
      <c r="B1597" s="1">
        <v>45724</v>
      </c>
      <c r="C1597">
        <v>12</v>
      </c>
      <c r="D1597">
        <v>1.468</v>
      </c>
      <c r="E1597" t="s">
        <v>6</v>
      </c>
      <c r="F1597">
        <v>4.7850000000000004E-2</v>
      </c>
    </row>
    <row r="1598" spans="1:6" x14ac:dyDescent="0.3">
      <c r="A1598" t="s">
        <v>22</v>
      </c>
      <c r="B1598" s="1">
        <v>45724</v>
      </c>
      <c r="C1598">
        <v>13</v>
      </c>
      <c r="D1598">
        <v>3.1989999999999998</v>
      </c>
      <c r="E1598" t="s">
        <v>6</v>
      </c>
      <c r="F1598">
        <v>4.6359999999999998E-2</v>
      </c>
    </row>
    <row r="1599" spans="1:6" x14ac:dyDescent="0.3">
      <c r="A1599" t="s">
        <v>22</v>
      </c>
      <c r="B1599" s="1">
        <v>45724</v>
      </c>
      <c r="C1599">
        <v>14</v>
      </c>
      <c r="D1599">
        <v>1.8280000000000001</v>
      </c>
      <c r="E1599" t="s">
        <v>6</v>
      </c>
      <c r="F1599">
        <v>4.4179999999999997E-2</v>
      </c>
    </row>
    <row r="1600" spans="1:6" x14ac:dyDescent="0.3">
      <c r="A1600" t="s">
        <v>22</v>
      </c>
      <c r="B1600" s="1">
        <v>45724</v>
      </c>
      <c r="C1600">
        <v>15</v>
      </c>
      <c r="D1600">
        <v>0.48799999999999999</v>
      </c>
      <c r="E1600" t="s">
        <v>6</v>
      </c>
      <c r="F1600">
        <v>4.3470000000000002E-2</v>
      </c>
    </row>
    <row r="1601" spans="1:6" x14ac:dyDescent="0.3">
      <c r="A1601" t="s">
        <v>22</v>
      </c>
      <c r="B1601" s="1">
        <v>45724</v>
      </c>
      <c r="C1601">
        <v>16</v>
      </c>
      <c r="D1601">
        <v>0</v>
      </c>
      <c r="E1601" t="s">
        <v>6</v>
      </c>
      <c r="F1601">
        <v>4.4020000000000004E-2</v>
      </c>
    </row>
    <row r="1602" spans="1:6" x14ac:dyDescent="0.3">
      <c r="A1602" t="s">
        <v>22</v>
      </c>
      <c r="B1602" s="1">
        <v>45724</v>
      </c>
      <c r="C1602">
        <v>17</v>
      </c>
      <c r="D1602">
        <v>0</v>
      </c>
      <c r="E1602" t="s">
        <v>6</v>
      </c>
      <c r="F1602">
        <v>4.6310000000000004E-2</v>
      </c>
    </row>
    <row r="1603" spans="1:6" x14ac:dyDescent="0.3">
      <c r="A1603" t="s">
        <v>22</v>
      </c>
      <c r="B1603" s="1">
        <v>45724</v>
      </c>
      <c r="C1603">
        <v>18</v>
      </c>
      <c r="D1603">
        <v>0.42099999999999999</v>
      </c>
      <c r="E1603" t="s">
        <v>6</v>
      </c>
      <c r="F1603">
        <v>5.7640000000000004E-2</v>
      </c>
    </row>
    <row r="1604" spans="1:6" x14ac:dyDescent="0.3">
      <c r="A1604" t="s">
        <v>22</v>
      </c>
      <c r="B1604" s="1">
        <v>45724</v>
      </c>
      <c r="C1604">
        <v>19</v>
      </c>
      <c r="D1604">
        <v>0.80700000000000005</v>
      </c>
      <c r="E1604" t="s">
        <v>6</v>
      </c>
      <c r="F1604">
        <v>8.8059999999999999E-2</v>
      </c>
    </row>
    <row r="1605" spans="1:6" x14ac:dyDescent="0.3">
      <c r="A1605" t="s">
        <v>22</v>
      </c>
      <c r="B1605" s="1">
        <v>45724</v>
      </c>
      <c r="C1605">
        <v>20</v>
      </c>
      <c r="D1605">
        <v>0.78500000000000003</v>
      </c>
      <c r="E1605" t="s">
        <v>6</v>
      </c>
      <c r="F1605">
        <v>9.4799999999999995E-2</v>
      </c>
    </row>
    <row r="1606" spans="1:6" x14ac:dyDescent="0.3">
      <c r="A1606" t="s">
        <v>22</v>
      </c>
      <c r="B1606" s="1">
        <v>45724</v>
      </c>
      <c r="C1606">
        <v>21</v>
      </c>
      <c r="D1606">
        <v>2.8879999999999999</v>
      </c>
      <c r="E1606" t="s">
        <v>6</v>
      </c>
      <c r="F1606">
        <v>9.2999999999999999E-2</v>
      </c>
    </row>
    <row r="1607" spans="1:6" x14ac:dyDescent="0.3">
      <c r="A1607" t="s">
        <v>22</v>
      </c>
      <c r="B1607" s="1">
        <v>45724</v>
      </c>
      <c r="C1607">
        <v>22</v>
      </c>
      <c r="D1607">
        <v>0.68200000000000005</v>
      </c>
      <c r="E1607" t="s">
        <v>6</v>
      </c>
      <c r="F1607">
        <v>9.5200000000000007E-2</v>
      </c>
    </row>
    <row r="1608" spans="1:6" x14ac:dyDescent="0.3">
      <c r="A1608" t="s">
        <v>22</v>
      </c>
      <c r="B1608" s="1">
        <v>45724</v>
      </c>
      <c r="C1608">
        <v>23</v>
      </c>
      <c r="D1608">
        <v>0.499</v>
      </c>
      <c r="E1608" t="s">
        <v>6</v>
      </c>
      <c r="F1608">
        <v>9.5829999999999999E-2</v>
      </c>
    </row>
    <row r="1609" spans="1:6" x14ac:dyDescent="0.3">
      <c r="A1609" t="s">
        <v>22</v>
      </c>
      <c r="B1609" s="1">
        <v>45724</v>
      </c>
      <c r="C1609">
        <v>24</v>
      </c>
      <c r="D1609">
        <v>0.58099999999999996</v>
      </c>
      <c r="E1609" t="s">
        <v>6</v>
      </c>
      <c r="F1609">
        <v>9.3849999999999989E-2</v>
      </c>
    </row>
    <row r="1610" spans="1:6" x14ac:dyDescent="0.3">
      <c r="A1610" t="s">
        <v>22</v>
      </c>
      <c r="B1610" s="1">
        <v>45725</v>
      </c>
      <c r="C1610">
        <v>1</v>
      </c>
      <c r="D1610">
        <v>0.44</v>
      </c>
      <c r="E1610" t="s">
        <v>6</v>
      </c>
      <c r="F1610">
        <v>8.4129999999999996E-2</v>
      </c>
    </row>
    <row r="1611" spans="1:6" x14ac:dyDescent="0.3">
      <c r="A1611" t="s">
        <v>22</v>
      </c>
      <c r="B1611" s="1">
        <v>45725</v>
      </c>
      <c r="C1611">
        <v>2</v>
      </c>
      <c r="D1611">
        <v>0.36299999999999999</v>
      </c>
      <c r="E1611" t="s">
        <v>6</v>
      </c>
      <c r="F1611">
        <v>8.7080000000000005E-2</v>
      </c>
    </row>
    <row r="1612" spans="1:6" x14ac:dyDescent="0.3">
      <c r="A1612" t="s">
        <v>22</v>
      </c>
      <c r="B1612" s="1">
        <v>45725</v>
      </c>
      <c r="C1612">
        <v>3</v>
      </c>
      <c r="D1612">
        <v>0.17899999999999999</v>
      </c>
      <c r="E1612" t="s">
        <v>6</v>
      </c>
      <c r="F1612">
        <v>8.967E-2</v>
      </c>
    </row>
    <row r="1613" spans="1:6" x14ac:dyDescent="0.3">
      <c r="A1613" t="s">
        <v>22</v>
      </c>
      <c r="B1613" s="1">
        <v>45725</v>
      </c>
      <c r="C1613">
        <v>4</v>
      </c>
      <c r="D1613">
        <v>0.157</v>
      </c>
      <c r="E1613" t="s">
        <v>6</v>
      </c>
      <c r="F1613">
        <v>9.1609999999999997E-2</v>
      </c>
    </row>
    <row r="1614" spans="1:6" x14ac:dyDescent="0.3">
      <c r="A1614" t="s">
        <v>22</v>
      </c>
      <c r="B1614" s="1">
        <v>45725</v>
      </c>
      <c r="C1614">
        <v>5</v>
      </c>
      <c r="D1614">
        <v>0.152</v>
      </c>
      <c r="E1614" t="s">
        <v>6</v>
      </c>
      <c r="F1614">
        <v>8.9370000000000005E-2</v>
      </c>
    </row>
    <row r="1615" spans="1:6" x14ac:dyDescent="0.3">
      <c r="A1615" t="s">
        <v>22</v>
      </c>
      <c r="B1615" s="1">
        <v>45725</v>
      </c>
      <c r="C1615">
        <v>6</v>
      </c>
      <c r="D1615">
        <v>0.13100000000000001</v>
      </c>
      <c r="E1615" t="s">
        <v>6</v>
      </c>
      <c r="F1615">
        <v>9.015999999999999E-2</v>
      </c>
    </row>
    <row r="1616" spans="1:6" x14ac:dyDescent="0.3">
      <c r="A1616" t="s">
        <v>22</v>
      </c>
      <c r="B1616" s="1">
        <v>45725</v>
      </c>
      <c r="C1616">
        <v>7</v>
      </c>
      <c r="D1616">
        <v>0.17699999999999999</v>
      </c>
      <c r="E1616" t="s">
        <v>6</v>
      </c>
      <c r="F1616">
        <v>8.8819999999999996E-2</v>
      </c>
    </row>
    <row r="1617" spans="1:6" x14ac:dyDescent="0.3">
      <c r="A1617" t="s">
        <v>22</v>
      </c>
      <c r="B1617" s="1">
        <v>45725</v>
      </c>
      <c r="C1617">
        <v>8</v>
      </c>
      <c r="D1617">
        <v>0.111</v>
      </c>
      <c r="E1617" t="s">
        <v>6</v>
      </c>
      <c r="F1617">
        <v>8.7959999999999997E-2</v>
      </c>
    </row>
    <row r="1618" spans="1:6" x14ac:dyDescent="0.3">
      <c r="A1618" t="s">
        <v>22</v>
      </c>
      <c r="B1618" s="1">
        <v>45725</v>
      </c>
      <c r="C1618">
        <v>9</v>
      </c>
      <c r="D1618">
        <v>0.18</v>
      </c>
      <c r="E1618" t="s">
        <v>6</v>
      </c>
      <c r="F1618">
        <v>0.14208999999999999</v>
      </c>
    </row>
    <row r="1619" spans="1:6" x14ac:dyDescent="0.3">
      <c r="A1619" t="s">
        <v>22</v>
      </c>
      <c r="B1619" s="1">
        <v>45725</v>
      </c>
      <c r="C1619">
        <v>10</v>
      </c>
      <c r="D1619">
        <v>1.298</v>
      </c>
      <c r="E1619" t="s">
        <v>6</v>
      </c>
      <c r="F1619">
        <v>7.85E-2</v>
      </c>
    </row>
    <row r="1620" spans="1:6" x14ac:dyDescent="0.3">
      <c r="A1620" t="s">
        <v>22</v>
      </c>
      <c r="B1620" s="1">
        <v>45725</v>
      </c>
      <c r="C1620">
        <v>11</v>
      </c>
      <c r="D1620">
        <v>3.431</v>
      </c>
      <c r="E1620" t="s">
        <v>6</v>
      </c>
      <c r="F1620">
        <v>4.9100000000000005E-2</v>
      </c>
    </row>
    <row r="1621" spans="1:6" x14ac:dyDescent="0.3">
      <c r="A1621" t="s">
        <v>22</v>
      </c>
      <c r="B1621" s="1">
        <v>45725</v>
      </c>
      <c r="C1621">
        <v>12</v>
      </c>
      <c r="D1621">
        <v>2.4620000000000002</v>
      </c>
      <c r="E1621" t="s">
        <v>6</v>
      </c>
      <c r="F1621">
        <v>4.4179999999999997E-2</v>
      </c>
    </row>
    <row r="1622" spans="1:6" x14ac:dyDescent="0.3">
      <c r="A1622" t="s">
        <v>22</v>
      </c>
      <c r="B1622" s="1">
        <v>45725</v>
      </c>
      <c r="C1622">
        <v>13</v>
      </c>
      <c r="D1622">
        <v>1.877</v>
      </c>
      <c r="E1622" t="s">
        <v>6</v>
      </c>
      <c r="F1622">
        <v>4.8250000000000001E-2</v>
      </c>
    </row>
    <row r="1623" spans="1:6" x14ac:dyDescent="0.3">
      <c r="A1623" t="s">
        <v>22</v>
      </c>
      <c r="B1623" s="1">
        <v>45725</v>
      </c>
      <c r="C1623">
        <v>14</v>
      </c>
      <c r="D1623">
        <v>0</v>
      </c>
      <c r="E1623" t="s">
        <v>6</v>
      </c>
      <c r="F1623">
        <v>4.0840000000000001E-2</v>
      </c>
    </row>
    <row r="1624" spans="1:6" x14ac:dyDescent="0.3">
      <c r="A1624" t="s">
        <v>22</v>
      </c>
      <c r="B1624" s="1">
        <v>45725</v>
      </c>
      <c r="C1624">
        <v>15</v>
      </c>
      <c r="D1624">
        <v>0</v>
      </c>
      <c r="E1624" t="s">
        <v>6</v>
      </c>
      <c r="F1624">
        <v>3.7229999999999999E-2</v>
      </c>
    </row>
    <row r="1625" spans="1:6" x14ac:dyDescent="0.3">
      <c r="A1625" t="s">
        <v>22</v>
      </c>
      <c r="B1625" s="1">
        <v>45725</v>
      </c>
      <c r="C1625">
        <v>16</v>
      </c>
      <c r="D1625">
        <v>1.0640000000000001</v>
      </c>
      <c r="E1625" t="s">
        <v>6</v>
      </c>
      <c r="F1625">
        <v>5.7239999999999999E-2</v>
      </c>
    </row>
    <row r="1626" spans="1:6" x14ac:dyDescent="0.3">
      <c r="A1626" t="s">
        <v>22</v>
      </c>
      <c r="B1626" s="1">
        <v>45725</v>
      </c>
      <c r="C1626">
        <v>17</v>
      </c>
      <c r="D1626">
        <v>3.9180000000000001</v>
      </c>
      <c r="E1626" t="s">
        <v>6</v>
      </c>
      <c r="F1626">
        <v>8.4019999999999997E-2</v>
      </c>
    </row>
    <row r="1627" spans="1:6" x14ac:dyDescent="0.3">
      <c r="A1627" t="s">
        <v>22</v>
      </c>
      <c r="B1627" s="1">
        <v>45725</v>
      </c>
      <c r="C1627">
        <v>18</v>
      </c>
      <c r="D1627">
        <v>5.3049999999999997</v>
      </c>
      <c r="E1627" t="s">
        <v>6</v>
      </c>
      <c r="F1627">
        <v>9.7939999999999999E-2</v>
      </c>
    </row>
    <row r="1628" spans="1:6" x14ac:dyDescent="0.3">
      <c r="A1628" t="s">
        <v>22</v>
      </c>
      <c r="B1628" s="1">
        <v>45725</v>
      </c>
      <c r="C1628">
        <v>19</v>
      </c>
      <c r="D1628">
        <v>6.2249999999999996</v>
      </c>
      <c r="E1628" t="s">
        <v>6</v>
      </c>
      <c r="F1628">
        <v>0.14627000000000001</v>
      </c>
    </row>
    <row r="1629" spans="1:6" x14ac:dyDescent="0.3">
      <c r="A1629" t="s">
        <v>22</v>
      </c>
      <c r="B1629" s="1">
        <v>45725</v>
      </c>
      <c r="C1629">
        <v>20</v>
      </c>
      <c r="D1629">
        <v>2.8180000000000001</v>
      </c>
      <c r="E1629" t="s">
        <v>6</v>
      </c>
      <c r="F1629">
        <v>0.17782000000000001</v>
      </c>
    </row>
    <row r="1630" spans="1:6" x14ac:dyDescent="0.3">
      <c r="A1630" t="s">
        <v>22</v>
      </c>
      <c r="B1630" s="1">
        <v>45725</v>
      </c>
      <c r="C1630">
        <v>21</v>
      </c>
      <c r="D1630">
        <v>2.766</v>
      </c>
      <c r="E1630" t="s">
        <v>6</v>
      </c>
      <c r="F1630">
        <v>0.18090000000000001</v>
      </c>
    </row>
    <row r="1631" spans="1:6" x14ac:dyDescent="0.3">
      <c r="A1631" t="s">
        <v>22</v>
      </c>
      <c r="B1631" s="1">
        <v>45725</v>
      </c>
      <c r="C1631">
        <v>22</v>
      </c>
      <c r="D1631">
        <v>2.6589999999999998</v>
      </c>
      <c r="E1631" t="s">
        <v>6</v>
      </c>
      <c r="F1631">
        <v>0.16986000000000001</v>
      </c>
    </row>
    <row r="1632" spans="1:6" x14ac:dyDescent="0.3">
      <c r="A1632" t="s">
        <v>22</v>
      </c>
      <c r="B1632" s="1">
        <v>45725</v>
      </c>
      <c r="C1632">
        <v>23</v>
      </c>
      <c r="D1632">
        <v>2.339</v>
      </c>
      <c r="E1632" t="s">
        <v>6</v>
      </c>
      <c r="F1632">
        <v>0.15001</v>
      </c>
    </row>
    <row r="1633" spans="1:6" x14ac:dyDescent="0.3">
      <c r="A1633" t="s">
        <v>22</v>
      </c>
      <c r="B1633" s="1">
        <v>45725</v>
      </c>
      <c r="C1633">
        <v>24</v>
      </c>
      <c r="D1633">
        <v>2.181</v>
      </c>
      <c r="E1633" t="s">
        <v>6</v>
      </c>
      <c r="F1633">
        <v>0.14452999999999999</v>
      </c>
    </row>
    <row r="1634" spans="1:6" x14ac:dyDescent="0.3">
      <c r="A1634" t="s">
        <v>22</v>
      </c>
      <c r="B1634" s="1">
        <v>45726</v>
      </c>
      <c r="C1634">
        <v>1</v>
      </c>
      <c r="D1634">
        <v>2.4420000000000002</v>
      </c>
      <c r="E1634" t="s">
        <v>6</v>
      </c>
      <c r="F1634">
        <v>0.12005</v>
      </c>
    </row>
    <row r="1635" spans="1:6" x14ac:dyDescent="0.3">
      <c r="A1635" t="s">
        <v>22</v>
      </c>
      <c r="B1635" s="1">
        <v>45726</v>
      </c>
      <c r="C1635">
        <v>2</v>
      </c>
      <c r="D1635">
        <v>2.4460000000000002</v>
      </c>
      <c r="E1635" t="s">
        <v>6</v>
      </c>
      <c r="F1635">
        <v>0.11342000000000001</v>
      </c>
    </row>
    <row r="1636" spans="1:6" x14ac:dyDescent="0.3">
      <c r="A1636" t="s">
        <v>22</v>
      </c>
      <c r="B1636" s="1">
        <v>45726</v>
      </c>
      <c r="C1636">
        <v>3</v>
      </c>
      <c r="D1636">
        <v>2.81</v>
      </c>
      <c r="E1636" t="s">
        <v>6</v>
      </c>
      <c r="F1636">
        <v>0.10962000000000001</v>
      </c>
    </row>
    <row r="1637" spans="1:6" x14ac:dyDescent="0.3">
      <c r="A1637" t="s">
        <v>22</v>
      </c>
      <c r="B1637" s="1">
        <v>45726</v>
      </c>
      <c r="C1637">
        <v>4</v>
      </c>
      <c r="D1637">
        <v>2.6749999999999998</v>
      </c>
      <c r="E1637" t="s">
        <v>6</v>
      </c>
      <c r="F1637">
        <v>0.10906</v>
      </c>
    </row>
    <row r="1638" spans="1:6" x14ac:dyDescent="0.3">
      <c r="A1638" t="s">
        <v>22</v>
      </c>
      <c r="B1638" s="1">
        <v>45726</v>
      </c>
      <c r="C1638">
        <v>5</v>
      </c>
      <c r="D1638">
        <v>2.7509999999999999</v>
      </c>
      <c r="E1638" t="s">
        <v>6</v>
      </c>
      <c r="F1638">
        <v>0.10357999999999999</v>
      </c>
    </row>
    <row r="1639" spans="1:6" x14ac:dyDescent="0.3">
      <c r="A1639" t="s">
        <v>22</v>
      </c>
      <c r="B1639" s="1">
        <v>45726</v>
      </c>
      <c r="C1639">
        <v>6</v>
      </c>
      <c r="D1639">
        <v>2.63</v>
      </c>
      <c r="E1639" t="s">
        <v>6</v>
      </c>
      <c r="F1639">
        <v>0.10979999999999999</v>
      </c>
    </row>
    <row r="1640" spans="1:6" x14ac:dyDescent="0.3">
      <c r="A1640" t="s">
        <v>22</v>
      </c>
      <c r="B1640" s="1">
        <v>45726</v>
      </c>
      <c r="C1640">
        <v>7</v>
      </c>
      <c r="D1640">
        <v>2.895</v>
      </c>
      <c r="E1640" t="s">
        <v>6</v>
      </c>
      <c r="F1640">
        <v>0.13611999999999999</v>
      </c>
    </row>
    <row r="1641" spans="1:6" x14ac:dyDescent="0.3">
      <c r="A1641" t="s">
        <v>22</v>
      </c>
      <c r="B1641" s="1">
        <v>45726</v>
      </c>
      <c r="C1641">
        <v>8</v>
      </c>
      <c r="D1641">
        <v>2.7679999999999998</v>
      </c>
      <c r="E1641" t="s">
        <v>6</v>
      </c>
      <c r="F1641">
        <v>0.16116999999999998</v>
      </c>
    </row>
    <row r="1642" spans="1:6" x14ac:dyDescent="0.3">
      <c r="A1642" t="s">
        <v>22</v>
      </c>
      <c r="B1642" s="1">
        <v>45726</v>
      </c>
      <c r="C1642">
        <v>9</v>
      </c>
      <c r="D1642">
        <v>2.5779999999999998</v>
      </c>
      <c r="E1642" t="s">
        <v>6</v>
      </c>
      <c r="F1642">
        <v>0.1925</v>
      </c>
    </row>
    <row r="1643" spans="1:6" x14ac:dyDescent="0.3">
      <c r="A1643" t="s">
        <v>22</v>
      </c>
      <c r="B1643" s="1">
        <v>45726</v>
      </c>
      <c r="C1643">
        <v>10</v>
      </c>
      <c r="D1643">
        <v>0.46300000000000002</v>
      </c>
      <c r="E1643" t="s">
        <v>6</v>
      </c>
      <c r="F1643">
        <v>0.14862</v>
      </c>
    </row>
    <row r="1644" spans="1:6" x14ac:dyDescent="0.3">
      <c r="A1644" t="s">
        <v>22</v>
      </c>
      <c r="B1644" s="1">
        <v>45726</v>
      </c>
      <c r="C1644">
        <v>11</v>
      </c>
      <c r="D1644">
        <v>0</v>
      </c>
      <c r="E1644" t="s">
        <v>6</v>
      </c>
      <c r="F1644">
        <v>0.19800000000000001</v>
      </c>
    </row>
    <row r="1645" spans="1:6" x14ac:dyDescent="0.3">
      <c r="A1645" t="s">
        <v>22</v>
      </c>
      <c r="B1645" s="1">
        <v>45726</v>
      </c>
      <c r="C1645">
        <v>12</v>
      </c>
      <c r="D1645">
        <v>1.486</v>
      </c>
      <c r="E1645" t="s">
        <v>6</v>
      </c>
      <c r="F1645">
        <v>0.19169999999999998</v>
      </c>
    </row>
    <row r="1646" spans="1:6" x14ac:dyDescent="0.3">
      <c r="A1646" t="s">
        <v>22</v>
      </c>
      <c r="B1646" s="1">
        <v>45726</v>
      </c>
      <c r="C1646">
        <v>13</v>
      </c>
      <c r="D1646">
        <v>0.52200000000000002</v>
      </c>
      <c r="E1646" t="s">
        <v>6</v>
      </c>
      <c r="F1646">
        <v>0.19030000000000002</v>
      </c>
    </row>
    <row r="1647" spans="1:6" x14ac:dyDescent="0.3">
      <c r="A1647" t="s">
        <v>22</v>
      </c>
      <c r="B1647" s="1">
        <v>45726</v>
      </c>
      <c r="C1647">
        <v>14</v>
      </c>
      <c r="D1647">
        <v>1.1200000000000001</v>
      </c>
      <c r="E1647" t="s">
        <v>6</v>
      </c>
      <c r="F1647">
        <v>0.18924000000000002</v>
      </c>
    </row>
    <row r="1648" spans="1:6" x14ac:dyDescent="0.3">
      <c r="A1648" t="s">
        <v>22</v>
      </c>
      <c r="B1648" s="1">
        <v>45726</v>
      </c>
      <c r="C1648">
        <v>15</v>
      </c>
      <c r="D1648">
        <v>0</v>
      </c>
      <c r="E1648" t="s">
        <v>6</v>
      </c>
      <c r="F1648">
        <v>0.12301000000000001</v>
      </c>
    </row>
    <row r="1649" spans="1:6" x14ac:dyDescent="0.3">
      <c r="A1649" t="s">
        <v>22</v>
      </c>
      <c r="B1649" s="1">
        <v>45726</v>
      </c>
      <c r="C1649">
        <v>16</v>
      </c>
      <c r="D1649">
        <v>0</v>
      </c>
      <c r="E1649" t="s">
        <v>6</v>
      </c>
      <c r="F1649">
        <v>0.11753</v>
      </c>
    </row>
    <row r="1650" spans="1:6" x14ac:dyDescent="0.3">
      <c r="A1650" t="s">
        <v>22</v>
      </c>
      <c r="B1650" s="1">
        <v>45726</v>
      </c>
      <c r="C1650">
        <v>17</v>
      </c>
      <c r="D1650">
        <v>0.67600000000000005</v>
      </c>
      <c r="E1650" t="s">
        <v>6</v>
      </c>
      <c r="F1650">
        <v>0.12881000000000001</v>
      </c>
    </row>
    <row r="1651" spans="1:6" x14ac:dyDescent="0.3">
      <c r="A1651" t="s">
        <v>22</v>
      </c>
      <c r="B1651" s="1">
        <v>45726</v>
      </c>
      <c r="C1651">
        <v>18</v>
      </c>
      <c r="D1651">
        <v>1.163</v>
      </c>
      <c r="E1651" t="s">
        <v>6</v>
      </c>
      <c r="F1651">
        <v>0.15434999999999999</v>
      </c>
    </row>
    <row r="1652" spans="1:6" x14ac:dyDescent="0.3">
      <c r="A1652" t="s">
        <v>22</v>
      </c>
      <c r="B1652" s="1">
        <v>45726</v>
      </c>
      <c r="C1652">
        <v>19</v>
      </c>
      <c r="D1652">
        <v>1.6890000000000001</v>
      </c>
      <c r="E1652" t="s">
        <v>6</v>
      </c>
      <c r="F1652">
        <v>0.24409</v>
      </c>
    </row>
    <row r="1653" spans="1:6" x14ac:dyDescent="0.3">
      <c r="A1653" t="s">
        <v>22</v>
      </c>
      <c r="B1653" s="1">
        <v>45726</v>
      </c>
      <c r="C1653">
        <v>20</v>
      </c>
      <c r="D1653">
        <v>2.7229999999999999</v>
      </c>
      <c r="E1653" t="s">
        <v>6</v>
      </c>
      <c r="F1653">
        <v>0.28104000000000001</v>
      </c>
    </row>
    <row r="1654" spans="1:6" x14ac:dyDescent="0.3">
      <c r="A1654" t="s">
        <v>22</v>
      </c>
      <c r="B1654" s="1">
        <v>45726</v>
      </c>
      <c r="C1654">
        <v>21</v>
      </c>
      <c r="D1654">
        <v>2.4910000000000001</v>
      </c>
      <c r="E1654" t="s">
        <v>6</v>
      </c>
      <c r="F1654">
        <v>0.25611</v>
      </c>
    </row>
    <row r="1655" spans="1:6" x14ac:dyDescent="0.3">
      <c r="A1655" t="s">
        <v>22</v>
      </c>
      <c r="B1655" s="1">
        <v>45726</v>
      </c>
      <c r="C1655">
        <v>22</v>
      </c>
      <c r="D1655">
        <v>2.6819999999999999</v>
      </c>
      <c r="E1655" t="s">
        <v>6</v>
      </c>
      <c r="F1655">
        <v>0.23133999999999999</v>
      </c>
    </row>
    <row r="1656" spans="1:6" x14ac:dyDescent="0.3">
      <c r="A1656" t="s">
        <v>22</v>
      </c>
      <c r="B1656" s="1">
        <v>45726</v>
      </c>
      <c r="C1656">
        <v>23</v>
      </c>
      <c r="D1656">
        <v>0.32100000000000001</v>
      </c>
      <c r="E1656" t="s">
        <v>6</v>
      </c>
      <c r="F1656">
        <v>0.15587999999999999</v>
      </c>
    </row>
    <row r="1657" spans="1:6" x14ac:dyDescent="0.3">
      <c r="A1657" t="s">
        <v>22</v>
      </c>
      <c r="B1657" s="1">
        <v>45726</v>
      </c>
      <c r="C1657">
        <v>24</v>
      </c>
      <c r="D1657">
        <v>0.29899999999999999</v>
      </c>
      <c r="E1657" t="s">
        <v>6</v>
      </c>
      <c r="F1657">
        <v>0.14856999999999998</v>
      </c>
    </row>
    <row r="1658" spans="1:6" x14ac:dyDescent="0.3">
      <c r="A1658" t="s">
        <v>22</v>
      </c>
      <c r="B1658" s="1">
        <v>45727</v>
      </c>
      <c r="C1658">
        <v>1</v>
      </c>
      <c r="D1658">
        <v>0.14199999999999999</v>
      </c>
      <c r="E1658" t="s">
        <v>6</v>
      </c>
      <c r="F1658">
        <v>0.12111</v>
      </c>
    </row>
    <row r="1659" spans="1:6" x14ac:dyDescent="0.3">
      <c r="A1659" t="s">
        <v>22</v>
      </c>
      <c r="B1659" s="1">
        <v>45727</v>
      </c>
      <c r="C1659">
        <v>2</v>
      </c>
      <c r="D1659">
        <v>0.11899999999999999</v>
      </c>
      <c r="E1659" t="s">
        <v>6</v>
      </c>
      <c r="F1659">
        <v>0.11813</v>
      </c>
    </row>
    <row r="1660" spans="1:6" x14ac:dyDescent="0.3">
      <c r="A1660" t="s">
        <v>22</v>
      </c>
      <c r="B1660" s="1">
        <v>45727</v>
      </c>
      <c r="C1660">
        <v>3</v>
      </c>
      <c r="D1660">
        <v>0.17399999999999999</v>
      </c>
      <c r="E1660" t="s">
        <v>6</v>
      </c>
      <c r="F1660">
        <v>0.11598</v>
      </c>
    </row>
    <row r="1661" spans="1:6" x14ac:dyDescent="0.3">
      <c r="A1661" t="s">
        <v>22</v>
      </c>
      <c r="B1661" s="1">
        <v>45727</v>
      </c>
      <c r="C1661">
        <v>4</v>
      </c>
      <c r="D1661">
        <v>0.125</v>
      </c>
      <c r="E1661" t="s">
        <v>6</v>
      </c>
      <c r="F1661">
        <v>0.11197</v>
      </c>
    </row>
    <row r="1662" spans="1:6" x14ac:dyDescent="0.3">
      <c r="A1662" t="s">
        <v>22</v>
      </c>
      <c r="B1662" s="1">
        <v>45727</v>
      </c>
      <c r="C1662">
        <v>5</v>
      </c>
      <c r="D1662">
        <v>0.51800000000000002</v>
      </c>
      <c r="E1662" t="s">
        <v>6</v>
      </c>
      <c r="F1662">
        <v>0.11181000000000001</v>
      </c>
    </row>
    <row r="1663" spans="1:6" x14ac:dyDescent="0.3">
      <c r="A1663" t="s">
        <v>22</v>
      </c>
      <c r="B1663" s="1">
        <v>45727</v>
      </c>
      <c r="C1663">
        <v>6</v>
      </c>
      <c r="D1663">
        <v>3.294</v>
      </c>
      <c r="E1663" t="s">
        <v>6</v>
      </c>
      <c r="F1663">
        <v>0.12167</v>
      </c>
    </row>
    <row r="1664" spans="1:6" x14ac:dyDescent="0.3">
      <c r="A1664" t="s">
        <v>22</v>
      </c>
      <c r="B1664" s="1">
        <v>45727</v>
      </c>
      <c r="C1664">
        <v>7</v>
      </c>
      <c r="D1664">
        <v>2.863</v>
      </c>
      <c r="E1664" t="s">
        <v>6</v>
      </c>
      <c r="F1664">
        <v>0.12326000000000001</v>
      </c>
    </row>
    <row r="1665" spans="1:6" x14ac:dyDescent="0.3">
      <c r="A1665" t="s">
        <v>22</v>
      </c>
      <c r="B1665" s="1">
        <v>45727</v>
      </c>
      <c r="C1665">
        <v>8</v>
      </c>
      <c r="D1665">
        <v>2.9340000000000002</v>
      </c>
      <c r="E1665" t="s">
        <v>6</v>
      </c>
      <c r="F1665">
        <v>0.14646999999999999</v>
      </c>
    </row>
    <row r="1666" spans="1:6" x14ac:dyDescent="0.3">
      <c r="A1666" t="s">
        <v>22</v>
      </c>
      <c r="B1666" s="1">
        <v>45727</v>
      </c>
      <c r="C1666">
        <v>9</v>
      </c>
      <c r="D1666">
        <v>2.9750000000000001</v>
      </c>
      <c r="E1666" t="s">
        <v>6</v>
      </c>
      <c r="F1666">
        <v>0.18831999999999999</v>
      </c>
    </row>
    <row r="1667" spans="1:6" x14ac:dyDescent="0.3">
      <c r="A1667" t="s">
        <v>22</v>
      </c>
      <c r="B1667" s="1">
        <v>45727</v>
      </c>
      <c r="C1667">
        <v>10</v>
      </c>
      <c r="D1667">
        <v>2.2549999999999999</v>
      </c>
      <c r="E1667" t="s">
        <v>6</v>
      </c>
      <c r="F1667">
        <v>0.15431</v>
      </c>
    </row>
    <row r="1668" spans="1:6" x14ac:dyDescent="0.3">
      <c r="A1668" t="s">
        <v>22</v>
      </c>
      <c r="B1668" s="1">
        <v>45727</v>
      </c>
      <c r="C1668">
        <v>11</v>
      </c>
      <c r="D1668">
        <v>2.0859999999999999</v>
      </c>
      <c r="E1668" t="s">
        <v>6</v>
      </c>
      <c r="F1668">
        <v>0.20732</v>
      </c>
    </row>
    <row r="1669" spans="1:6" x14ac:dyDescent="0.3">
      <c r="A1669" t="s">
        <v>22</v>
      </c>
      <c r="B1669" s="1">
        <v>45727</v>
      </c>
      <c r="C1669">
        <v>12</v>
      </c>
      <c r="D1669">
        <v>1.5089999999999999</v>
      </c>
      <c r="E1669" t="s">
        <v>6</v>
      </c>
      <c r="F1669">
        <v>0.19413</v>
      </c>
    </row>
    <row r="1670" spans="1:6" x14ac:dyDescent="0.3">
      <c r="A1670" t="s">
        <v>22</v>
      </c>
      <c r="B1670" s="1">
        <v>45727</v>
      </c>
      <c r="C1670">
        <v>13</v>
      </c>
      <c r="D1670">
        <v>0.621</v>
      </c>
      <c r="E1670" t="s">
        <v>6</v>
      </c>
      <c r="F1670">
        <v>0.1961</v>
      </c>
    </row>
    <row r="1671" spans="1:6" x14ac:dyDescent="0.3">
      <c r="A1671" t="s">
        <v>22</v>
      </c>
      <c r="B1671" s="1">
        <v>45727</v>
      </c>
      <c r="C1671">
        <v>14</v>
      </c>
      <c r="D1671">
        <v>0</v>
      </c>
      <c r="E1671" t="s">
        <v>6</v>
      </c>
      <c r="F1671">
        <v>0.18787999999999999</v>
      </c>
    </row>
    <row r="1672" spans="1:6" x14ac:dyDescent="0.3">
      <c r="A1672" t="s">
        <v>22</v>
      </c>
      <c r="B1672" s="1">
        <v>45727</v>
      </c>
      <c r="C1672">
        <v>15</v>
      </c>
      <c r="D1672">
        <v>0.20200000000000001</v>
      </c>
      <c r="E1672" t="s">
        <v>6</v>
      </c>
      <c r="F1672">
        <v>0.12104999999999999</v>
      </c>
    </row>
    <row r="1673" spans="1:6" x14ac:dyDescent="0.3">
      <c r="A1673" t="s">
        <v>22</v>
      </c>
      <c r="B1673" s="1">
        <v>45727</v>
      </c>
      <c r="C1673">
        <v>16</v>
      </c>
      <c r="D1673">
        <v>0</v>
      </c>
      <c r="E1673" t="s">
        <v>6</v>
      </c>
      <c r="F1673">
        <v>0.1167</v>
      </c>
    </row>
    <row r="1674" spans="1:6" x14ac:dyDescent="0.3">
      <c r="A1674" t="s">
        <v>22</v>
      </c>
      <c r="B1674" s="1">
        <v>45727</v>
      </c>
      <c r="C1674">
        <v>17</v>
      </c>
      <c r="D1674">
        <v>2.411</v>
      </c>
      <c r="E1674" t="s">
        <v>6</v>
      </c>
      <c r="F1674">
        <v>0.11701</v>
      </c>
    </row>
    <row r="1675" spans="1:6" x14ac:dyDescent="0.3">
      <c r="A1675" t="s">
        <v>22</v>
      </c>
      <c r="B1675" s="1">
        <v>45727</v>
      </c>
      <c r="C1675">
        <v>18</v>
      </c>
      <c r="D1675">
        <v>1.127</v>
      </c>
      <c r="E1675" t="s">
        <v>6</v>
      </c>
      <c r="F1675">
        <v>0.13125000000000001</v>
      </c>
    </row>
    <row r="1676" spans="1:6" x14ac:dyDescent="0.3">
      <c r="A1676" t="s">
        <v>22</v>
      </c>
      <c r="B1676" s="1">
        <v>45727</v>
      </c>
      <c r="C1676">
        <v>19</v>
      </c>
      <c r="D1676">
        <v>1.6319999999999999</v>
      </c>
      <c r="E1676" t="s">
        <v>6</v>
      </c>
      <c r="F1676">
        <v>0.23721999999999999</v>
      </c>
    </row>
    <row r="1677" spans="1:6" x14ac:dyDescent="0.3">
      <c r="A1677" t="s">
        <v>22</v>
      </c>
      <c r="B1677" s="1">
        <v>45727</v>
      </c>
      <c r="C1677">
        <v>20</v>
      </c>
      <c r="D1677">
        <v>1.893</v>
      </c>
      <c r="E1677" t="s">
        <v>6</v>
      </c>
      <c r="F1677">
        <v>0.28567999999999999</v>
      </c>
    </row>
    <row r="1678" spans="1:6" x14ac:dyDescent="0.3">
      <c r="A1678" t="s">
        <v>22</v>
      </c>
      <c r="B1678" s="1">
        <v>45727</v>
      </c>
      <c r="C1678">
        <v>21</v>
      </c>
      <c r="D1678">
        <v>2.1040000000000001</v>
      </c>
      <c r="E1678" t="s">
        <v>6</v>
      </c>
      <c r="F1678">
        <v>0.26177</v>
      </c>
    </row>
    <row r="1679" spans="1:6" x14ac:dyDescent="0.3">
      <c r="A1679" t="s">
        <v>22</v>
      </c>
      <c r="B1679" s="1">
        <v>45727</v>
      </c>
      <c r="C1679">
        <v>22</v>
      </c>
      <c r="D1679">
        <v>2.1269999999999998</v>
      </c>
      <c r="E1679" t="s">
        <v>6</v>
      </c>
      <c r="F1679">
        <v>0.23996999999999999</v>
      </c>
    </row>
    <row r="1680" spans="1:6" x14ac:dyDescent="0.3">
      <c r="A1680" t="s">
        <v>22</v>
      </c>
      <c r="B1680" s="1">
        <v>45727</v>
      </c>
      <c r="C1680">
        <v>23</v>
      </c>
      <c r="D1680">
        <v>1.145</v>
      </c>
      <c r="E1680" t="s">
        <v>6</v>
      </c>
      <c r="F1680">
        <v>0.16399</v>
      </c>
    </row>
    <row r="1681" spans="1:6" x14ac:dyDescent="0.3">
      <c r="A1681" t="s">
        <v>22</v>
      </c>
      <c r="B1681" s="1">
        <v>45727</v>
      </c>
      <c r="C1681">
        <v>24</v>
      </c>
      <c r="D1681">
        <v>0.26400000000000001</v>
      </c>
      <c r="E1681" t="s">
        <v>6</v>
      </c>
      <c r="F1681">
        <v>0.16206999999999999</v>
      </c>
    </row>
    <row r="1682" spans="1:6" x14ac:dyDescent="0.3">
      <c r="A1682" t="s">
        <v>22</v>
      </c>
      <c r="B1682" s="1">
        <v>45728</v>
      </c>
      <c r="C1682">
        <v>1</v>
      </c>
      <c r="D1682">
        <v>0.16600000000000001</v>
      </c>
      <c r="E1682" t="s">
        <v>6</v>
      </c>
      <c r="F1682">
        <v>0.11618000000000001</v>
      </c>
    </row>
    <row r="1683" spans="1:6" x14ac:dyDescent="0.3">
      <c r="A1683" t="s">
        <v>22</v>
      </c>
      <c r="B1683" s="1">
        <v>45728</v>
      </c>
      <c r="C1683">
        <v>2</v>
      </c>
      <c r="D1683">
        <v>0.127</v>
      </c>
      <c r="E1683" t="s">
        <v>6</v>
      </c>
      <c r="F1683">
        <v>0.10302</v>
      </c>
    </row>
    <row r="1684" spans="1:6" x14ac:dyDescent="0.3">
      <c r="A1684" t="s">
        <v>22</v>
      </c>
      <c r="B1684" s="1">
        <v>45728</v>
      </c>
      <c r="C1684">
        <v>3</v>
      </c>
      <c r="D1684">
        <v>0.188</v>
      </c>
      <c r="E1684" t="s">
        <v>6</v>
      </c>
      <c r="F1684">
        <v>0.10079</v>
      </c>
    </row>
    <row r="1685" spans="1:6" x14ac:dyDescent="0.3">
      <c r="A1685" t="s">
        <v>22</v>
      </c>
      <c r="B1685" s="1">
        <v>45728</v>
      </c>
      <c r="C1685">
        <v>4</v>
      </c>
      <c r="D1685">
        <v>0.13</v>
      </c>
      <c r="E1685" t="s">
        <v>6</v>
      </c>
      <c r="F1685">
        <v>0.10104</v>
      </c>
    </row>
    <row r="1686" spans="1:6" x14ac:dyDescent="0.3">
      <c r="A1686" t="s">
        <v>22</v>
      </c>
      <c r="B1686" s="1">
        <v>45728</v>
      </c>
      <c r="C1686">
        <v>5</v>
      </c>
      <c r="D1686">
        <v>0.10299999999999999</v>
      </c>
      <c r="E1686" t="s">
        <v>6</v>
      </c>
      <c r="F1686">
        <v>0.10105</v>
      </c>
    </row>
    <row r="1687" spans="1:6" x14ac:dyDescent="0.3">
      <c r="A1687" t="s">
        <v>22</v>
      </c>
      <c r="B1687" s="1">
        <v>45728</v>
      </c>
      <c r="C1687">
        <v>6</v>
      </c>
      <c r="D1687">
        <v>2.5499999999999998</v>
      </c>
      <c r="E1687" t="s">
        <v>6</v>
      </c>
      <c r="F1687">
        <v>9.8670000000000008E-2</v>
      </c>
    </row>
    <row r="1688" spans="1:6" x14ac:dyDescent="0.3">
      <c r="A1688" t="s">
        <v>22</v>
      </c>
      <c r="B1688" s="1">
        <v>45728</v>
      </c>
      <c r="C1688">
        <v>7</v>
      </c>
      <c r="D1688">
        <v>2.5179999999999998</v>
      </c>
      <c r="E1688" t="s">
        <v>6</v>
      </c>
      <c r="F1688">
        <v>0.10909000000000001</v>
      </c>
    </row>
    <row r="1689" spans="1:6" x14ac:dyDescent="0.3">
      <c r="A1689" t="s">
        <v>22</v>
      </c>
      <c r="B1689" s="1">
        <v>45728</v>
      </c>
      <c r="C1689">
        <v>8</v>
      </c>
      <c r="D1689">
        <v>2.3210000000000002</v>
      </c>
      <c r="E1689" t="s">
        <v>6</v>
      </c>
      <c r="F1689">
        <v>0.13315000000000002</v>
      </c>
    </row>
    <row r="1690" spans="1:6" x14ac:dyDescent="0.3">
      <c r="A1690" t="s">
        <v>22</v>
      </c>
      <c r="B1690" s="1">
        <v>45728</v>
      </c>
      <c r="C1690">
        <v>9</v>
      </c>
      <c r="D1690">
        <v>1.1559999999999999</v>
      </c>
      <c r="E1690" t="s">
        <v>6</v>
      </c>
      <c r="F1690">
        <v>0.15958</v>
      </c>
    </row>
    <row r="1691" spans="1:6" x14ac:dyDescent="0.3">
      <c r="A1691" t="s">
        <v>22</v>
      </c>
      <c r="B1691" s="1">
        <v>45728</v>
      </c>
      <c r="C1691">
        <v>10</v>
      </c>
      <c r="D1691">
        <v>1.028</v>
      </c>
      <c r="E1691" t="s">
        <v>6</v>
      </c>
      <c r="F1691">
        <v>0.13566999999999999</v>
      </c>
    </row>
    <row r="1692" spans="1:6" x14ac:dyDescent="0.3">
      <c r="A1692" t="s">
        <v>22</v>
      </c>
      <c r="B1692" s="1">
        <v>45728</v>
      </c>
      <c r="C1692">
        <v>11</v>
      </c>
      <c r="D1692">
        <v>0</v>
      </c>
      <c r="E1692" t="s">
        <v>6</v>
      </c>
      <c r="F1692">
        <v>0.19333</v>
      </c>
    </row>
    <row r="1693" spans="1:6" x14ac:dyDescent="0.3">
      <c r="A1693" t="s">
        <v>22</v>
      </c>
      <c r="B1693" s="1">
        <v>45728</v>
      </c>
      <c r="C1693">
        <v>12</v>
      </c>
      <c r="D1693">
        <v>0.90700000000000003</v>
      </c>
      <c r="E1693" t="s">
        <v>6</v>
      </c>
      <c r="F1693">
        <v>0.18802000000000002</v>
      </c>
    </row>
    <row r="1694" spans="1:6" x14ac:dyDescent="0.3">
      <c r="A1694" t="s">
        <v>22</v>
      </c>
      <c r="B1694" s="1">
        <v>45728</v>
      </c>
      <c r="C1694">
        <v>13</v>
      </c>
      <c r="D1694">
        <v>0.182</v>
      </c>
      <c r="E1694" t="s">
        <v>6</v>
      </c>
      <c r="F1694">
        <v>0.18546000000000001</v>
      </c>
    </row>
    <row r="1695" spans="1:6" x14ac:dyDescent="0.3">
      <c r="A1695" t="s">
        <v>22</v>
      </c>
      <c r="B1695" s="1">
        <v>45728</v>
      </c>
      <c r="C1695">
        <v>14</v>
      </c>
      <c r="D1695">
        <v>2.343</v>
      </c>
      <c r="E1695" t="s">
        <v>6</v>
      </c>
      <c r="F1695">
        <v>0.18180000000000002</v>
      </c>
    </row>
    <row r="1696" spans="1:6" x14ac:dyDescent="0.3">
      <c r="A1696" t="s">
        <v>22</v>
      </c>
      <c r="B1696" s="1">
        <v>45728</v>
      </c>
      <c r="C1696">
        <v>15</v>
      </c>
      <c r="D1696">
        <v>3.9249999999999998</v>
      </c>
      <c r="E1696" t="s">
        <v>6</v>
      </c>
      <c r="F1696">
        <v>0.11734</v>
      </c>
    </row>
    <row r="1697" spans="1:6" x14ac:dyDescent="0.3">
      <c r="A1697" t="s">
        <v>22</v>
      </c>
      <c r="B1697" s="1">
        <v>45728</v>
      </c>
      <c r="C1697">
        <v>16</v>
      </c>
      <c r="D1697">
        <v>2.17</v>
      </c>
      <c r="E1697" t="s">
        <v>6</v>
      </c>
      <c r="F1697">
        <v>0.12121999999999999</v>
      </c>
    </row>
    <row r="1698" spans="1:6" x14ac:dyDescent="0.3">
      <c r="A1698" t="s">
        <v>22</v>
      </c>
      <c r="B1698" s="1">
        <v>45728</v>
      </c>
      <c r="C1698">
        <v>17</v>
      </c>
      <c r="D1698">
        <v>1.617</v>
      </c>
      <c r="E1698" t="s">
        <v>6</v>
      </c>
      <c r="F1698">
        <v>0.12631999999999999</v>
      </c>
    </row>
    <row r="1699" spans="1:6" x14ac:dyDescent="0.3">
      <c r="A1699" t="s">
        <v>22</v>
      </c>
      <c r="B1699" s="1">
        <v>45728</v>
      </c>
      <c r="C1699">
        <v>18</v>
      </c>
      <c r="D1699">
        <v>1.2849999999999999</v>
      </c>
      <c r="E1699" t="s">
        <v>6</v>
      </c>
      <c r="F1699">
        <v>0.15788999999999997</v>
      </c>
    </row>
    <row r="1700" spans="1:6" x14ac:dyDescent="0.3">
      <c r="A1700" t="s">
        <v>22</v>
      </c>
      <c r="B1700" s="1">
        <v>45728</v>
      </c>
      <c r="C1700">
        <v>19</v>
      </c>
      <c r="D1700">
        <v>1.6259999999999999</v>
      </c>
      <c r="E1700" t="s">
        <v>6</v>
      </c>
      <c r="F1700">
        <v>0.25663999999999998</v>
      </c>
    </row>
    <row r="1701" spans="1:6" x14ac:dyDescent="0.3">
      <c r="A1701" t="s">
        <v>22</v>
      </c>
      <c r="B1701" s="1">
        <v>45728</v>
      </c>
      <c r="C1701">
        <v>20</v>
      </c>
      <c r="D1701">
        <v>1.8759999999999999</v>
      </c>
      <c r="E1701" t="s">
        <v>6</v>
      </c>
      <c r="F1701">
        <v>0.31056</v>
      </c>
    </row>
    <row r="1702" spans="1:6" x14ac:dyDescent="0.3">
      <c r="A1702" t="s">
        <v>22</v>
      </c>
      <c r="B1702" s="1">
        <v>45728</v>
      </c>
      <c r="C1702">
        <v>21</v>
      </c>
      <c r="D1702">
        <v>2.6190000000000002</v>
      </c>
      <c r="E1702" t="s">
        <v>6</v>
      </c>
      <c r="F1702">
        <v>0.27360000000000001</v>
      </c>
    </row>
    <row r="1703" spans="1:6" x14ac:dyDescent="0.3">
      <c r="A1703" t="s">
        <v>22</v>
      </c>
      <c r="B1703" s="1">
        <v>45728</v>
      </c>
      <c r="C1703">
        <v>22</v>
      </c>
      <c r="D1703">
        <v>2.2010000000000001</v>
      </c>
      <c r="E1703" t="s">
        <v>6</v>
      </c>
      <c r="F1703">
        <v>0.25749</v>
      </c>
    </row>
    <row r="1704" spans="1:6" x14ac:dyDescent="0.3">
      <c r="A1704" t="s">
        <v>22</v>
      </c>
      <c r="B1704" s="1">
        <v>45728</v>
      </c>
      <c r="C1704">
        <v>23</v>
      </c>
      <c r="D1704">
        <v>0.50900000000000001</v>
      </c>
      <c r="E1704" t="s">
        <v>6</v>
      </c>
      <c r="F1704">
        <v>0.17946999999999999</v>
      </c>
    </row>
    <row r="1705" spans="1:6" x14ac:dyDescent="0.3">
      <c r="A1705" t="s">
        <v>22</v>
      </c>
      <c r="B1705" s="1">
        <v>45728</v>
      </c>
      <c r="C1705">
        <v>24</v>
      </c>
      <c r="D1705">
        <v>0.36199999999999999</v>
      </c>
      <c r="E1705" t="s">
        <v>6</v>
      </c>
      <c r="F1705">
        <v>0.17036000000000001</v>
      </c>
    </row>
    <row r="1706" spans="1:6" x14ac:dyDescent="0.3">
      <c r="A1706" t="s">
        <v>22</v>
      </c>
      <c r="B1706" s="1">
        <v>45729</v>
      </c>
      <c r="C1706">
        <v>1</v>
      </c>
      <c r="D1706">
        <v>0.32300000000000001</v>
      </c>
      <c r="E1706" t="s">
        <v>6</v>
      </c>
      <c r="F1706">
        <v>0.13825999999999999</v>
      </c>
    </row>
    <row r="1707" spans="1:6" x14ac:dyDescent="0.3">
      <c r="A1707" t="s">
        <v>22</v>
      </c>
      <c r="B1707" s="1">
        <v>45729</v>
      </c>
      <c r="C1707">
        <v>2</v>
      </c>
      <c r="D1707">
        <v>0.314</v>
      </c>
      <c r="E1707" t="s">
        <v>6</v>
      </c>
      <c r="F1707">
        <v>0.13452</v>
      </c>
    </row>
    <row r="1708" spans="1:6" x14ac:dyDescent="0.3">
      <c r="A1708" t="s">
        <v>22</v>
      </c>
      <c r="B1708" s="1">
        <v>45729</v>
      </c>
      <c r="C1708">
        <v>3</v>
      </c>
      <c r="D1708">
        <v>0.33700000000000002</v>
      </c>
      <c r="E1708" t="s">
        <v>6</v>
      </c>
      <c r="F1708">
        <v>0.13324</v>
      </c>
    </row>
    <row r="1709" spans="1:6" x14ac:dyDescent="0.3">
      <c r="A1709" t="s">
        <v>22</v>
      </c>
      <c r="B1709" s="1">
        <v>45729</v>
      </c>
      <c r="C1709">
        <v>4</v>
      </c>
      <c r="D1709">
        <v>1.802</v>
      </c>
      <c r="E1709" t="s">
        <v>6</v>
      </c>
      <c r="F1709">
        <v>0.12392</v>
      </c>
    </row>
    <row r="1710" spans="1:6" x14ac:dyDescent="0.3">
      <c r="A1710" t="s">
        <v>22</v>
      </c>
      <c r="B1710" s="1">
        <v>45729</v>
      </c>
      <c r="C1710">
        <v>5</v>
      </c>
      <c r="D1710">
        <v>2.8170000000000002</v>
      </c>
      <c r="E1710" t="s">
        <v>6</v>
      </c>
      <c r="F1710">
        <v>0.11884</v>
      </c>
    </row>
    <row r="1711" spans="1:6" x14ac:dyDescent="0.3">
      <c r="A1711" t="s">
        <v>22</v>
      </c>
      <c r="B1711" s="1">
        <v>45729</v>
      </c>
      <c r="C1711">
        <v>6</v>
      </c>
      <c r="D1711">
        <v>3.28</v>
      </c>
      <c r="E1711" t="s">
        <v>6</v>
      </c>
      <c r="F1711">
        <v>0.12741</v>
      </c>
    </row>
    <row r="1712" spans="1:6" x14ac:dyDescent="0.3">
      <c r="A1712" t="s">
        <v>22</v>
      </c>
      <c r="B1712" s="1">
        <v>45729</v>
      </c>
      <c r="C1712">
        <v>7</v>
      </c>
      <c r="D1712">
        <v>2.99</v>
      </c>
      <c r="E1712" t="s">
        <v>6</v>
      </c>
      <c r="F1712">
        <v>0.14069999999999999</v>
      </c>
    </row>
    <row r="1713" spans="1:6" x14ac:dyDescent="0.3">
      <c r="A1713" t="s">
        <v>22</v>
      </c>
      <c r="B1713" s="1">
        <v>45729</v>
      </c>
      <c r="C1713">
        <v>8</v>
      </c>
      <c r="D1713">
        <v>2.548</v>
      </c>
      <c r="E1713" t="s">
        <v>6</v>
      </c>
      <c r="F1713">
        <v>0.18744999999999998</v>
      </c>
    </row>
    <row r="1714" spans="1:6" x14ac:dyDescent="0.3">
      <c r="A1714" t="s">
        <v>22</v>
      </c>
      <c r="B1714" s="1">
        <v>45729</v>
      </c>
      <c r="C1714">
        <v>9</v>
      </c>
      <c r="D1714">
        <v>3.2789999999999999</v>
      </c>
      <c r="E1714" t="s">
        <v>6</v>
      </c>
      <c r="F1714">
        <v>0.21775</v>
      </c>
    </row>
    <row r="1715" spans="1:6" x14ac:dyDescent="0.3">
      <c r="A1715" t="s">
        <v>22</v>
      </c>
      <c r="B1715" s="1">
        <v>45729</v>
      </c>
      <c r="C1715">
        <v>10</v>
      </c>
      <c r="D1715">
        <v>1.65</v>
      </c>
      <c r="E1715" t="s">
        <v>6</v>
      </c>
      <c r="F1715">
        <v>0.19288999999999998</v>
      </c>
    </row>
    <row r="1716" spans="1:6" x14ac:dyDescent="0.3">
      <c r="A1716" t="s">
        <v>22</v>
      </c>
      <c r="B1716" s="1">
        <v>45729</v>
      </c>
      <c r="C1716">
        <v>11</v>
      </c>
      <c r="D1716">
        <v>0.56599999999999995</v>
      </c>
      <c r="E1716" t="s">
        <v>6</v>
      </c>
      <c r="F1716">
        <v>0.23089999999999999</v>
      </c>
    </row>
    <row r="1717" spans="1:6" x14ac:dyDescent="0.3">
      <c r="A1717" t="s">
        <v>22</v>
      </c>
      <c r="B1717" s="1">
        <v>45729</v>
      </c>
      <c r="C1717">
        <v>12</v>
      </c>
      <c r="D1717">
        <v>0.20399999999999999</v>
      </c>
      <c r="E1717" t="s">
        <v>6</v>
      </c>
      <c r="F1717">
        <v>0.22111</v>
      </c>
    </row>
    <row r="1718" spans="1:6" x14ac:dyDescent="0.3">
      <c r="A1718" t="s">
        <v>22</v>
      </c>
      <c r="B1718" s="1">
        <v>45729</v>
      </c>
      <c r="C1718">
        <v>13</v>
      </c>
      <c r="D1718">
        <v>0.751</v>
      </c>
      <c r="E1718" t="s">
        <v>6</v>
      </c>
      <c r="F1718">
        <v>0.2122</v>
      </c>
    </row>
    <row r="1719" spans="1:6" x14ac:dyDescent="0.3">
      <c r="A1719" t="s">
        <v>22</v>
      </c>
      <c r="B1719" s="1">
        <v>45729</v>
      </c>
      <c r="C1719">
        <v>14</v>
      </c>
      <c r="D1719">
        <v>0.17199999999999999</v>
      </c>
      <c r="E1719" t="s">
        <v>6</v>
      </c>
      <c r="F1719">
        <v>0.20115</v>
      </c>
    </row>
    <row r="1720" spans="1:6" x14ac:dyDescent="0.3">
      <c r="A1720" t="s">
        <v>22</v>
      </c>
      <c r="B1720" s="1">
        <v>45729</v>
      </c>
      <c r="C1720">
        <v>15</v>
      </c>
      <c r="D1720">
        <v>0.20899999999999999</v>
      </c>
      <c r="E1720" t="s">
        <v>6</v>
      </c>
      <c r="F1720">
        <v>0.13553999999999999</v>
      </c>
    </row>
    <row r="1721" spans="1:6" x14ac:dyDescent="0.3">
      <c r="A1721" t="s">
        <v>22</v>
      </c>
      <c r="B1721" s="1">
        <v>45729</v>
      </c>
      <c r="C1721">
        <v>16</v>
      </c>
      <c r="D1721">
        <v>1.107</v>
      </c>
      <c r="E1721" t="s">
        <v>6</v>
      </c>
      <c r="F1721">
        <v>0.13758000000000001</v>
      </c>
    </row>
    <row r="1722" spans="1:6" x14ac:dyDescent="0.3">
      <c r="A1722" t="s">
        <v>22</v>
      </c>
      <c r="B1722" s="1">
        <v>45729</v>
      </c>
      <c r="C1722">
        <v>17</v>
      </c>
      <c r="D1722">
        <v>1.528</v>
      </c>
      <c r="E1722" t="s">
        <v>6</v>
      </c>
      <c r="F1722">
        <v>0.13930999999999999</v>
      </c>
    </row>
    <row r="1723" spans="1:6" x14ac:dyDescent="0.3">
      <c r="A1723" t="s">
        <v>22</v>
      </c>
      <c r="B1723" s="1">
        <v>45729</v>
      </c>
      <c r="C1723">
        <v>18</v>
      </c>
      <c r="D1723">
        <v>2.0659999999999998</v>
      </c>
      <c r="E1723" t="s">
        <v>6</v>
      </c>
      <c r="F1723">
        <v>0.13854</v>
      </c>
    </row>
    <row r="1724" spans="1:6" x14ac:dyDescent="0.3">
      <c r="A1724" t="s">
        <v>22</v>
      </c>
      <c r="B1724" s="1">
        <v>45729</v>
      </c>
      <c r="C1724">
        <v>19</v>
      </c>
      <c r="D1724">
        <v>2.782</v>
      </c>
      <c r="E1724" t="s">
        <v>6</v>
      </c>
      <c r="F1724">
        <v>0.22162999999999999</v>
      </c>
    </row>
    <row r="1725" spans="1:6" x14ac:dyDescent="0.3">
      <c r="A1725" t="s">
        <v>22</v>
      </c>
      <c r="B1725" s="1">
        <v>45729</v>
      </c>
      <c r="C1725">
        <v>20</v>
      </c>
      <c r="D1725">
        <v>2.5790000000000002</v>
      </c>
      <c r="E1725" t="s">
        <v>6</v>
      </c>
      <c r="F1725">
        <v>0.28514</v>
      </c>
    </row>
    <row r="1726" spans="1:6" x14ac:dyDescent="0.3">
      <c r="A1726" t="s">
        <v>22</v>
      </c>
      <c r="B1726" s="1">
        <v>45729</v>
      </c>
      <c r="C1726">
        <v>21</v>
      </c>
      <c r="D1726">
        <v>3.7130000000000001</v>
      </c>
      <c r="E1726" t="s">
        <v>6</v>
      </c>
      <c r="F1726">
        <v>0.27032</v>
      </c>
    </row>
    <row r="1727" spans="1:6" x14ac:dyDescent="0.3">
      <c r="A1727" t="s">
        <v>22</v>
      </c>
      <c r="B1727" s="1">
        <v>45729</v>
      </c>
      <c r="C1727">
        <v>22</v>
      </c>
      <c r="D1727">
        <v>4.2149999999999999</v>
      </c>
      <c r="E1727" t="s">
        <v>6</v>
      </c>
      <c r="F1727">
        <v>0.24288999999999999</v>
      </c>
    </row>
    <row r="1728" spans="1:6" x14ac:dyDescent="0.3">
      <c r="A1728" t="s">
        <v>22</v>
      </c>
      <c r="B1728" s="1">
        <v>45729</v>
      </c>
      <c r="C1728">
        <v>23</v>
      </c>
      <c r="D1728">
        <v>2.8570000000000002</v>
      </c>
      <c r="E1728" t="s">
        <v>6</v>
      </c>
      <c r="F1728">
        <v>0.15255000000000002</v>
      </c>
    </row>
    <row r="1729" spans="1:6" x14ac:dyDescent="0.3">
      <c r="A1729" t="s">
        <v>22</v>
      </c>
      <c r="B1729" s="1">
        <v>45729</v>
      </c>
      <c r="C1729">
        <v>24</v>
      </c>
      <c r="D1729">
        <v>2.5510000000000002</v>
      </c>
      <c r="E1729" t="s">
        <v>6</v>
      </c>
      <c r="F1729">
        <v>0.12928999999999999</v>
      </c>
    </row>
    <row r="1730" spans="1:6" x14ac:dyDescent="0.3">
      <c r="A1730" t="s">
        <v>22</v>
      </c>
      <c r="B1730" s="1">
        <v>45730</v>
      </c>
      <c r="C1730">
        <v>1</v>
      </c>
      <c r="D1730">
        <v>2.508</v>
      </c>
      <c r="E1730" t="s">
        <v>6</v>
      </c>
      <c r="F1730">
        <v>9.0380000000000002E-2</v>
      </c>
    </row>
    <row r="1731" spans="1:6" x14ac:dyDescent="0.3">
      <c r="A1731" t="s">
        <v>22</v>
      </c>
      <c r="B1731" s="1">
        <v>45730</v>
      </c>
      <c r="C1731">
        <v>2</v>
      </c>
      <c r="D1731">
        <v>2.5790000000000002</v>
      </c>
      <c r="E1731" t="s">
        <v>6</v>
      </c>
      <c r="F1731">
        <v>7.7540000000000012E-2</v>
      </c>
    </row>
    <row r="1732" spans="1:6" x14ac:dyDescent="0.3">
      <c r="A1732" t="s">
        <v>22</v>
      </c>
      <c r="B1732" s="1">
        <v>45730</v>
      </c>
      <c r="C1732">
        <v>3</v>
      </c>
      <c r="D1732">
        <v>2.1230000000000002</v>
      </c>
      <c r="E1732" t="s">
        <v>6</v>
      </c>
      <c r="F1732">
        <v>7.5829999999999995E-2</v>
      </c>
    </row>
    <row r="1733" spans="1:6" x14ac:dyDescent="0.3">
      <c r="A1733" t="s">
        <v>22</v>
      </c>
      <c r="B1733" s="1">
        <v>45730</v>
      </c>
      <c r="C1733">
        <v>4</v>
      </c>
      <c r="D1733">
        <v>2.3180000000000001</v>
      </c>
      <c r="E1733" t="s">
        <v>6</v>
      </c>
      <c r="F1733">
        <v>7.5049999999999992E-2</v>
      </c>
    </row>
    <row r="1734" spans="1:6" x14ac:dyDescent="0.3">
      <c r="A1734" t="s">
        <v>22</v>
      </c>
      <c r="B1734" s="1">
        <v>45730</v>
      </c>
      <c r="C1734">
        <v>5</v>
      </c>
      <c r="D1734">
        <v>3.246</v>
      </c>
      <c r="E1734" t="s">
        <v>6</v>
      </c>
      <c r="F1734">
        <v>7.757E-2</v>
      </c>
    </row>
    <row r="1735" spans="1:6" x14ac:dyDescent="0.3">
      <c r="A1735" t="s">
        <v>22</v>
      </c>
      <c r="B1735" s="1">
        <v>45730</v>
      </c>
      <c r="C1735">
        <v>6</v>
      </c>
      <c r="D1735">
        <v>2.4009999999999998</v>
      </c>
      <c r="E1735" t="s">
        <v>6</v>
      </c>
      <c r="F1735">
        <v>8.3260000000000001E-2</v>
      </c>
    </row>
    <row r="1736" spans="1:6" x14ac:dyDescent="0.3">
      <c r="A1736" t="s">
        <v>22</v>
      </c>
      <c r="B1736" s="1">
        <v>45730</v>
      </c>
      <c r="C1736">
        <v>7</v>
      </c>
      <c r="D1736">
        <v>1.3460000000000001</v>
      </c>
      <c r="E1736" t="s">
        <v>6</v>
      </c>
      <c r="F1736">
        <v>0.10645</v>
      </c>
    </row>
    <row r="1737" spans="1:6" x14ac:dyDescent="0.3">
      <c r="A1737" t="s">
        <v>22</v>
      </c>
      <c r="B1737" s="1">
        <v>45730</v>
      </c>
      <c r="C1737">
        <v>8</v>
      </c>
      <c r="D1737">
        <v>0.55400000000000005</v>
      </c>
      <c r="E1737" t="s">
        <v>6</v>
      </c>
      <c r="F1737">
        <v>0.14185</v>
      </c>
    </row>
    <row r="1738" spans="1:6" x14ac:dyDescent="0.3">
      <c r="A1738" t="s">
        <v>22</v>
      </c>
      <c r="B1738" s="1">
        <v>45730</v>
      </c>
      <c r="C1738">
        <v>9</v>
      </c>
      <c r="D1738">
        <v>1.4119999999999999</v>
      </c>
      <c r="E1738" t="s">
        <v>6</v>
      </c>
      <c r="F1738">
        <v>0.16791999999999999</v>
      </c>
    </row>
    <row r="1739" spans="1:6" x14ac:dyDescent="0.3">
      <c r="A1739" t="s">
        <v>22</v>
      </c>
      <c r="B1739" s="1">
        <v>45730</v>
      </c>
      <c r="C1739">
        <v>10</v>
      </c>
      <c r="D1739">
        <v>3.589</v>
      </c>
      <c r="E1739" t="s">
        <v>6</v>
      </c>
      <c r="F1739">
        <v>0.12741</v>
      </c>
    </row>
    <row r="1740" spans="1:6" x14ac:dyDescent="0.3">
      <c r="A1740" t="s">
        <v>22</v>
      </c>
      <c r="B1740" s="1">
        <v>45730</v>
      </c>
      <c r="C1740">
        <v>11</v>
      </c>
      <c r="D1740">
        <v>2.9060000000000001</v>
      </c>
      <c r="E1740" t="s">
        <v>6</v>
      </c>
      <c r="F1740">
        <v>0.16290000000000002</v>
      </c>
    </row>
    <row r="1741" spans="1:6" x14ac:dyDescent="0.3">
      <c r="A1741" t="s">
        <v>22</v>
      </c>
      <c r="B1741" s="1">
        <v>45730</v>
      </c>
      <c r="C1741">
        <v>12</v>
      </c>
      <c r="D1741">
        <v>2.7480000000000002</v>
      </c>
      <c r="E1741" t="s">
        <v>6</v>
      </c>
      <c r="F1741">
        <v>0.14746999999999999</v>
      </c>
    </row>
    <row r="1742" spans="1:6" x14ac:dyDescent="0.3">
      <c r="A1742" t="s">
        <v>22</v>
      </c>
      <c r="B1742" s="1">
        <v>45730</v>
      </c>
      <c r="C1742">
        <v>13</v>
      </c>
      <c r="D1742">
        <v>2.468</v>
      </c>
      <c r="E1742" t="s">
        <v>6</v>
      </c>
      <c r="F1742">
        <v>0.14668999999999999</v>
      </c>
    </row>
    <row r="1743" spans="1:6" x14ac:dyDescent="0.3">
      <c r="A1743" t="s">
        <v>22</v>
      </c>
      <c r="B1743" s="1">
        <v>45730</v>
      </c>
      <c r="C1743">
        <v>14</v>
      </c>
      <c r="D1743">
        <v>1.377</v>
      </c>
      <c r="E1743" t="s">
        <v>6</v>
      </c>
      <c r="F1743">
        <v>0.13794999999999999</v>
      </c>
    </row>
    <row r="1744" spans="1:6" x14ac:dyDescent="0.3">
      <c r="A1744" t="s">
        <v>22</v>
      </c>
      <c r="B1744" s="1">
        <v>45730</v>
      </c>
      <c r="C1744">
        <v>15</v>
      </c>
      <c r="D1744">
        <v>2.7E-2</v>
      </c>
      <c r="E1744" t="s">
        <v>6</v>
      </c>
      <c r="F1744">
        <v>5.7419999999999999E-2</v>
      </c>
    </row>
    <row r="1745" spans="1:6" x14ac:dyDescent="0.3">
      <c r="A1745" t="s">
        <v>22</v>
      </c>
      <c r="B1745" s="1">
        <v>45730</v>
      </c>
      <c r="C1745">
        <v>16</v>
      </c>
      <c r="D1745">
        <v>0.81399999999999995</v>
      </c>
      <c r="E1745" t="s">
        <v>6</v>
      </c>
      <c r="F1745">
        <v>5.7210000000000004E-2</v>
      </c>
    </row>
    <row r="1746" spans="1:6" x14ac:dyDescent="0.3">
      <c r="A1746" t="s">
        <v>22</v>
      </c>
      <c r="B1746" s="1">
        <v>45730</v>
      </c>
      <c r="C1746">
        <v>17</v>
      </c>
      <c r="D1746">
        <v>2.371</v>
      </c>
      <c r="E1746" t="s">
        <v>6</v>
      </c>
      <c r="F1746">
        <v>6.9089999999999999E-2</v>
      </c>
    </row>
    <row r="1747" spans="1:6" x14ac:dyDescent="0.3">
      <c r="A1747" t="s">
        <v>22</v>
      </c>
      <c r="B1747" s="1">
        <v>45730</v>
      </c>
      <c r="C1747">
        <v>18</v>
      </c>
      <c r="D1747">
        <v>2.98</v>
      </c>
      <c r="E1747" t="s">
        <v>6</v>
      </c>
      <c r="F1747">
        <v>9.5920000000000005E-2</v>
      </c>
    </row>
    <row r="1748" spans="1:6" x14ac:dyDescent="0.3">
      <c r="A1748" t="s">
        <v>22</v>
      </c>
      <c r="B1748" s="1">
        <v>45730</v>
      </c>
      <c r="C1748">
        <v>19</v>
      </c>
      <c r="D1748">
        <v>1.4239999999999999</v>
      </c>
      <c r="E1748" t="s">
        <v>6</v>
      </c>
      <c r="F1748">
        <v>0.21694999999999998</v>
      </c>
    </row>
    <row r="1749" spans="1:6" x14ac:dyDescent="0.3">
      <c r="A1749" t="s">
        <v>22</v>
      </c>
      <c r="B1749" s="1">
        <v>45730</v>
      </c>
      <c r="C1749">
        <v>20</v>
      </c>
      <c r="D1749">
        <v>1.18</v>
      </c>
      <c r="E1749" t="s">
        <v>6</v>
      </c>
      <c r="F1749">
        <v>0.27644000000000002</v>
      </c>
    </row>
    <row r="1750" spans="1:6" x14ac:dyDescent="0.3">
      <c r="A1750" t="s">
        <v>22</v>
      </c>
      <c r="B1750" s="1">
        <v>45730</v>
      </c>
      <c r="C1750">
        <v>21</v>
      </c>
      <c r="D1750">
        <v>0.437</v>
      </c>
      <c r="E1750" t="s">
        <v>6</v>
      </c>
      <c r="F1750">
        <v>0.27048</v>
      </c>
    </row>
    <row r="1751" spans="1:6" x14ac:dyDescent="0.3">
      <c r="A1751" t="s">
        <v>22</v>
      </c>
      <c r="B1751" s="1">
        <v>45730</v>
      </c>
      <c r="C1751">
        <v>22</v>
      </c>
      <c r="D1751">
        <v>0.219</v>
      </c>
      <c r="E1751" t="s">
        <v>6</v>
      </c>
      <c r="F1751">
        <v>0.24868000000000001</v>
      </c>
    </row>
    <row r="1752" spans="1:6" x14ac:dyDescent="0.3">
      <c r="A1752" t="s">
        <v>22</v>
      </c>
      <c r="B1752" s="1">
        <v>45730</v>
      </c>
      <c r="C1752">
        <v>23</v>
      </c>
      <c r="D1752">
        <v>0.38400000000000001</v>
      </c>
      <c r="E1752" t="s">
        <v>6</v>
      </c>
      <c r="F1752">
        <v>0.17646999999999999</v>
      </c>
    </row>
    <row r="1753" spans="1:6" x14ac:dyDescent="0.3">
      <c r="A1753" t="s">
        <v>22</v>
      </c>
      <c r="B1753" s="1">
        <v>45730</v>
      </c>
      <c r="C1753">
        <v>24</v>
      </c>
      <c r="D1753">
        <v>0.38</v>
      </c>
      <c r="E1753" t="s">
        <v>6</v>
      </c>
      <c r="F1753">
        <v>0.17165</v>
      </c>
    </row>
    <row r="1754" spans="1:6" x14ac:dyDescent="0.3">
      <c r="A1754" t="s">
        <v>22</v>
      </c>
      <c r="B1754" s="1">
        <v>45731</v>
      </c>
      <c r="C1754">
        <v>1</v>
      </c>
      <c r="D1754">
        <v>0.156</v>
      </c>
      <c r="E1754" t="s">
        <v>6</v>
      </c>
      <c r="F1754">
        <v>0.13318000000000002</v>
      </c>
    </row>
    <row r="1755" spans="1:6" x14ac:dyDescent="0.3">
      <c r="A1755" t="s">
        <v>22</v>
      </c>
      <c r="B1755" s="1">
        <v>45731</v>
      </c>
      <c r="C1755">
        <v>2</v>
      </c>
      <c r="D1755">
        <v>0.20100000000000001</v>
      </c>
      <c r="E1755" t="s">
        <v>6</v>
      </c>
      <c r="F1755">
        <v>0.11946999999999999</v>
      </c>
    </row>
    <row r="1756" spans="1:6" x14ac:dyDescent="0.3">
      <c r="A1756" t="s">
        <v>22</v>
      </c>
      <c r="B1756" s="1">
        <v>45731</v>
      </c>
      <c r="C1756">
        <v>3</v>
      </c>
      <c r="D1756">
        <v>1.2869999999999999</v>
      </c>
      <c r="E1756" t="s">
        <v>6</v>
      </c>
      <c r="F1756">
        <v>0.11101000000000001</v>
      </c>
    </row>
    <row r="1757" spans="1:6" x14ac:dyDescent="0.3">
      <c r="A1757" t="s">
        <v>22</v>
      </c>
      <c r="B1757" s="1">
        <v>45731</v>
      </c>
      <c r="C1757">
        <v>4</v>
      </c>
      <c r="D1757">
        <v>4.3550000000000004</v>
      </c>
      <c r="E1757" t="s">
        <v>6</v>
      </c>
      <c r="F1757">
        <v>9.8390000000000005E-2</v>
      </c>
    </row>
    <row r="1758" spans="1:6" x14ac:dyDescent="0.3">
      <c r="A1758" t="s">
        <v>22</v>
      </c>
      <c r="B1758" s="1">
        <v>45731</v>
      </c>
      <c r="C1758">
        <v>5</v>
      </c>
      <c r="D1758">
        <v>3.2570000000000001</v>
      </c>
      <c r="E1758" t="s">
        <v>6</v>
      </c>
      <c r="F1758">
        <v>9.3359999999999999E-2</v>
      </c>
    </row>
    <row r="1759" spans="1:6" x14ac:dyDescent="0.3">
      <c r="A1759" t="s">
        <v>22</v>
      </c>
      <c r="B1759" s="1">
        <v>45731</v>
      </c>
      <c r="C1759">
        <v>6</v>
      </c>
      <c r="D1759">
        <v>3.04</v>
      </c>
      <c r="E1759" t="s">
        <v>6</v>
      </c>
      <c r="F1759">
        <v>9.3290000000000012E-2</v>
      </c>
    </row>
    <row r="1760" spans="1:6" x14ac:dyDescent="0.3">
      <c r="A1760" t="s">
        <v>22</v>
      </c>
      <c r="B1760" s="1">
        <v>45731</v>
      </c>
      <c r="C1760">
        <v>7</v>
      </c>
      <c r="D1760">
        <v>2.7309999999999999</v>
      </c>
      <c r="E1760" t="s">
        <v>6</v>
      </c>
      <c r="F1760">
        <v>9.7450000000000009E-2</v>
      </c>
    </row>
    <row r="1761" spans="1:6" x14ac:dyDescent="0.3">
      <c r="A1761" t="s">
        <v>22</v>
      </c>
      <c r="B1761" s="1">
        <v>45731</v>
      </c>
      <c r="C1761">
        <v>8</v>
      </c>
      <c r="D1761">
        <v>2.7719999999999998</v>
      </c>
      <c r="E1761" t="s">
        <v>6</v>
      </c>
      <c r="F1761">
        <v>0.10489</v>
      </c>
    </row>
    <row r="1762" spans="1:6" x14ac:dyDescent="0.3">
      <c r="A1762" t="s">
        <v>22</v>
      </c>
      <c r="B1762" s="1">
        <v>45731</v>
      </c>
      <c r="C1762">
        <v>9</v>
      </c>
      <c r="D1762">
        <v>3.403</v>
      </c>
      <c r="E1762" t="s">
        <v>6</v>
      </c>
      <c r="F1762">
        <v>7.6540000000000011E-2</v>
      </c>
    </row>
    <row r="1763" spans="1:6" x14ac:dyDescent="0.3">
      <c r="A1763" t="s">
        <v>22</v>
      </c>
      <c r="B1763" s="1">
        <v>45731</v>
      </c>
      <c r="C1763">
        <v>10</v>
      </c>
      <c r="D1763">
        <v>1.4750000000000001</v>
      </c>
      <c r="E1763" t="s">
        <v>6</v>
      </c>
      <c r="F1763">
        <v>3.2039999999999999E-2</v>
      </c>
    </row>
    <row r="1764" spans="1:6" x14ac:dyDescent="0.3">
      <c r="A1764" t="s">
        <v>22</v>
      </c>
      <c r="B1764" s="1">
        <v>45731</v>
      </c>
      <c r="C1764">
        <v>11</v>
      </c>
      <c r="D1764">
        <v>0</v>
      </c>
      <c r="E1764" t="s">
        <v>6</v>
      </c>
      <c r="F1764">
        <v>2.6539999999999998E-2</v>
      </c>
    </row>
    <row r="1765" spans="1:6" x14ac:dyDescent="0.3">
      <c r="A1765" t="s">
        <v>22</v>
      </c>
      <c r="B1765" s="1">
        <v>45731</v>
      </c>
      <c r="C1765">
        <v>12</v>
      </c>
      <c r="D1765">
        <v>1.42</v>
      </c>
      <c r="E1765" t="s">
        <v>6</v>
      </c>
      <c r="F1765">
        <v>2.7660000000000001E-2</v>
      </c>
    </row>
    <row r="1766" spans="1:6" x14ac:dyDescent="0.3">
      <c r="A1766" t="s">
        <v>22</v>
      </c>
      <c r="B1766" s="1">
        <v>45731</v>
      </c>
      <c r="C1766">
        <v>13</v>
      </c>
      <c r="D1766">
        <v>1.93</v>
      </c>
      <c r="E1766" t="s">
        <v>6</v>
      </c>
      <c r="F1766">
        <v>2.759E-2</v>
      </c>
    </row>
    <row r="1767" spans="1:6" x14ac:dyDescent="0.3">
      <c r="A1767" t="s">
        <v>22</v>
      </c>
      <c r="B1767" s="1">
        <v>45731</v>
      </c>
      <c r="C1767">
        <v>14</v>
      </c>
      <c r="D1767">
        <v>1.661</v>
      </c>
      <c r="E1767" t="s">
        <v>6</v>
      </c>
      <c r="F1767">
        <v>2.7550000000000002E-2</v>
      </c>
    </row>
    <row r="1768" spans="1:6" x14ac:dyDescent="0.3">
      <c r="A1768" t="s">
        <v>22</v>
      </c>
      <c r="B1768" s="1">
        <v>45731</v>
      </c>
      <c r="C1768">
        <v>15</v>
      </c>
      <c r="D1768">
        <v>0</v>
      </c>
      <c r="E1768" t="s">
        <v>6</v>
      </c>
      <c r="F1768">
        <v>2.784E-2</v>
      </c>
    </row>
    <row r="1769" spans="1:6" x14ac:dyDescent="0.3">
      <c r="A1769" t="s">
        <v>22</v>
      </c>
      <c r="B1769" s="1">
        <v>45731</v>
      </c>
      <c r="C1769">
        <v>16</v>
      </c>
      <c r="D1769">
        <v>0</v>
      </c>
      <c r="E1769" t="s">
        <v>6</v>
      </c>
      <c r="F1769">
        <v>2.862E-2</v>
      </c>
    </row>
    <row r="1770" spans="1:6" x14ac:dyDescent="0.3">
      <c r="A1770" t="s">
        <v>22</v>
      </c>
      <c r="B1770" s="1">
        <v>45731</v>
      </c>
      <c r="C1770">
        <v>17</v>
      </c>
      <c r="D1770">
        <v>0</v>
      </c>
      <c r="E1770" t="s">
        <v>6</v>
      </c>
      <c r="F1770">
        <v>2.9049999999999999E-2</v>
      </c>
    </row>
    <row r="1771" spans="1:6" x14ac:dyDescent="0.3">
      <c r="A1771" t="s">
        <v>22</v>
      </c>
      <c r="B1771" s="1">
        <v>45731</v>
      </c>
      <c r="C1771">
        <v>18</v>
      </c>
      <c r="D1771">
        <v>0</v>
      </c>
      <c r="E1771" t="s">
        <v>6</v>
      </c>
      <c r="F1771">
        <v>6.7459999999999992E-2</v>
      </c>
    </row>
    <row r="1772" spans="1:6" x14ac:dyDescent="0.3">
      <c r="A1772" t="s">
        <v>22</v>
      </c>
      <c r="B1772" s="1">
        <v>45731</v>
      </c>
      <c r="C1772">
        <v>19</v>
      </c>
      <c r="D1772">
        <v>2.032</v>
      </c>
      <c r="E1772" t="s">
        <v>6</v>
      </c>
      <c r="F1772">
        <v>0.13334000000000001</v>
      </c>
    </row>
    <row r="1773" spans="1:6" x14ac:dyDescent="0.3">
      <c r="A1773" t="s">
        <v>22</v>
      </c>
      <c r="B1773" s="1">
        <v>45731</v>
      </c>
      <c r="C1773">
        <v>20</v>
      </c>
      <c r="D1773">
        <v>3.4969999999999999</v>
      </c>
      <c r="E1773" t="s">
        <v>6</v>
      </c>
      <c r="F1773">
        <v>0.18687999999999999</v>
      </c>
    </row>
    <row r="1774" spans="1:6" x14ac:dyDescent="0.3">
      <c r="A1774" t="s">
        <v>22</v>
      </c>
      <c r="B1774" s="1">
        <v>45731</v>
      </c>
      <c r="C1774">
        <v>21</v>
      </c>
      <c r="D1774">
        <v>3.6419999999999999</v>
      </c>
      <c r="E1774" t="s">
        <v>6</v>
      </c>
      <c r="F1774">
        <v>0.17144999999999999</v>
      </c>
    </row>
    <row r="1775" spans="1:6" x14ac:dyDescent="0.3">
      <c r="A1775" t="s">
        <v>22</v>
      </c>
      <c r="B1775" s="1">
        <v>45731</v>
      </c>
      <c r="C1775">
        <v>22</v>
      </c>
      <c r="D1775">
        <v>3.8639999999999999</v>
      </c>
      <c r="E1775" t="s">
        <v>6</v>
      </c>
      <c r="F1775">
        <v>0.15897</v>
      </c>
    </row>
    <row r="1776" spans="1:6" x14ac:dyDescent="0.3">
      <c r="A1776" t="s">
        <v>22</v>
      </c>
      <c r="B1776" s="1">
        <v>45731</v>
      </c>
      <c r="C1776">
        <v>23</v>
      </c>
      <c r="D1776">
        <v>3.488</v>
      </c>
      <c r="E1776" t="s">
        <v>6</v>
      </c>
      <c r="F1776">
        <v>0.15659000000000001</v>
      </c>
    </row>
    <row r="1777" spans="1:6" x14ac:dyDescent="0.3">
      <c r="A1777" t="s">
        <v>22</v>
      </c>
      <c r="B1777" s="1">
        <v>45731</v>
      </c>
      <c r="C1777">
        <v>24</v>
      </c>
      <c r="D1777">
        <v>3.7909999999999999</v>
      </c>
      <c r="E1777" t="s">
        <v>6</v>
      </c>
      <c r="F1777">
        <v>0.14615999999999998</v>
      </c>
    </row>
    <row r="1778" spans="1:6" x14ac:dyDescent="0.3">
      <c r="A1778" t="s">
        <v>22</v>
      </c>
      <c r="B1778" s="1">
        <v>45732</v>
      </c>
      <c r="C1778">
        <v>1</v>
      </c>
      <c r="D1778">
        <v>3.8879999999999999</v>
      </c>
      <c r="E1778" t="s">
        <v>6</v>
      </c>
      <c r="F1778">
        <v>0.1318</v>
      </c>
    </row>
    <row r="1779" spans="1:6" x14ac:dyDescent="0.3">
      <c r="A1779" t="s">
        <v>22</v>
      </c>
      <c r="B1779" s="1">
        <v>45732</v>
      </c>
      <c r="C1779">
        <v>2</v>
      </c>
      <c r="D1779">
        <v>3.7749999999999999</v>
      </c>
      <c r="E1779" t="s">
        <v>6</v>
      </c>
      <c r="F1779">
        <v>0.12079000000000001</v>
      </c>
    </row>
    <row r="1780" spans="1:6" x14ac:dyDescent="0.3">
      <c r="A1780" t="s">
        <v>22</v>
      </c>
      <c r="B1780" s="1">
        <v>45732</v>
      </c>
      <c r="C1780">
        <v>3</v>
      </c>
      <c r="D1780">
        <v>2.7</v>
      </c>
      <c r="E1780" t="s">
        <v>6</v>
      </c>
      <c r="F1780">
        <v>0.11833</v>
      </c>
    </row>
    <row r="1781" spans="1:6" x14ac:dyDescent="0.3">
      <c r="A1781" t="s">
        <v>22</v>
      </c>
      <c r="B1781" s="1">
        <v>45732</v>
      </c>
      <c r="C1781">
        <v>4</v>
      </c>
      <c r="D1781">
        <v>3.42</v>
      </c>
      <c r="E1781" t="s">
        <v>6</v>
      </c>
      <c r="F1781">
        <v>0.12066</v>
      </c>
    </row>
    <row r="1782" spans="1:6" x14ac:dyDescent="0.3">
      <c r="A1782" t="s">
        <v>22</v>
      </c>
      <c r="B1782" s="1">
        <v>45732</v>
      </c>
      <c r="C1782">
        <v>5</v>
      </c>
      <c r="D1782">
        <v>3.1160000000000001</v>
      </c>
      <c r="E1782" t="s">
        <v>6</v>
      </c>
      <c r="F1782">
        <v>0.11909</v>
      </c>
    </row>
    <row r="1783" spans="1:6" x14ac:dyDescent="0.3">
      <c r="A1783" t="s">
        <v>22</v>
      </c>
      <c r="B1783" s="1">
        <v>45732</v>
      </c>
      <c r="C1783">
        <v>6</v>
      </c>
      <c r="D1783">
        <v>3.8519999999999999</v>
      </c>
      <c r="E1783" t="s">
        <v>6</v>
      </c>
      <c r="F1783">
        <v>0.12104999999999999</v>
      </c>
    </row>
    <row r="1784" spans="1:6" x14ac:dyDescent="0.3">
      <c r="A1784" t="s">
        <v>22</v>
      </c>
      <c r="B1784" s="1">
        <v>45732</v>
      </c>
      <c r="C1784">
        <v>7</v>
      </c>
      <c r="D1784">
        <v>3.1859999999999999</v>
      </c>
      <c r="E1784" t="s">
        <v>6</v>
      </c>
      <c r="F1784">
        <v>0.12005</v>
      </c>
    </row>
    <row r="1785" spans="1:6" x14ac:dyDescent="0.3">
      <c r="A1785" t="s">
        <v>22</v>
      </c>
      <c r="B1785" s="1">
        <v>45732</v>
      </c>
      <c r="C1785">
        <v>8</v>
      </c>
      <c r="D1785">
        <v>3.544</v>
      </c>
      <c r="E1785" t="s">
        <v>6</v>
      </c>
      <c r="F1785">
        <v>0.12204999999999999</v>
      </c>
    </row>
    <row r="1786" spans="1:6" x14ac:dyDescent="0.3">
      <c r="A1786" t="s">
        <v>22</v>
      </c>
      <c r="B1786" s="1">
        <v>45732</v>
      </c>
      <c r="C1786">
        <v>9</v>
      </c>
      <c r="D1786">
        <v>0.96899999999999997</v>
      </c>
      <c r="E1786" t="s">
        <v>6</v>
      </c>
      <c r="F1786">
        <v>0.12135</v>
      </c>
    </row>
    <row r="1787" spans="1:6" x14ac:dyDescent="0.3">
      <c r="A1787" t="s">
        <v>22</v>
      </c>
      <c r="B1787" s="1">
        <v>45732</v>
      </c>
      <c r="C1787">
        <v>10</v>
      </c>
      <c r="D1787">
        <v>1.212</v>
      </c>
      <c r="E1787" t="s">
        <v>6</v>
      </c>
      <c r="F1787">
        <v>8.7980000000000003E-2</v>
      </c>
    </row>
    <row r="1788" spans="1:6" x14ac:dyDescent="0.3">
      <c r="A1788" t="s">
        <v>22</v>
      </c>
      <c r="B1788" s="1">
        <v>45732</v>
      </c>
      <c r="C1788">
        <v>11</v>
      </c>
      <c r="D1788">
        <v>4.42</v>
      </c>
      <c r="E1788" t="s">
        <v>6</v>
      </c>
      <c r="F1788">
        <v>6.0749999999999998E-2</v>
      </c>
    </row>
    <row r="1789" spans="1:6" x14ac:dyDescent="0.3">
      <c r="A1789" t="s">
        <v>22</v>
      </c>
      <c r="B1789" s="1">
        <v>45732</v>
      </c>
      <c r="C1789">
        <v>12</v>
      </c>
      <c r="D1789">
        <v>2.7480000000000002</v>
      </c>
      <c r="E1789" t="s">
        <v>6</v>
      </c>
      <c r="F1789">
        <v>3.8039999999999997E-2</v>
      </c>
    </row>
    <row r="1790" spans="1:6" x14ac:dyDescent="0.3">
      <c r="A1790" t="s">
        <v>22</v>
      </c>
      <c r="B1790" s="1">
        <v>45732</v>
      </c>
      <c r="C1790">
        <v>13</v>
      </c>
      <c r="D1790">
        <v>2.9039999999999999</v>
      </c>
      <c r="E1790" t="s">
        <v>6</v>
      </c>
      <c r="F1790">
        <v>3.6420000000000001E-2</v>
      </c>
    </row>
    <row r="1791" spans="1:6" x14ac:dyDescent="0.3">
      <c r="A1791" t="s">
        <v>22</v>
      </c>
      <c r="B1791" s="1">
        <v>45732</v>
      </c>
      <c r="C1791">
        <v>14</v>
      </c>
      <c r="D1791">
        <v>0.28199999999999997</v>
      </c>
      <c r="E1791" t="s">
        <v>6</v>
      </c>
      <c r="F1791">
        <v>3.7319999999999999E-2</v>
      </c>
    </row>
    <row r="1792" spans="1:6" x14ac:dyDescent="0.3">
      <c r="A1792" t="s">
        <v>22</v>
      </c>
      <c r="B1792" s="1">
        <v>45732</v>
      </c>
      <c r="C1792">
        <v>15</v>
      </c>
      <c r="D1792">
        <v>1.462</v>
      </c>
      <c r="E1792" t="s">
        <v>6</v>
      </c>
      <c r="F1792">
        <v>3.6130000000000002E-2</v>
      </c>
    </row>
    <row r="1793" spans="1:6" x14ac:dyDescent="0.3">
      <c r="A1793" t="s">
        <v>22</v>
      </c>
      <c r="B1793" s="1">
        <v>45732</v>
      </c>
      <c r="C1793">
        <v>16</v>
      </c>
      <c r="D1793">
        <v>0.30599999999999999</v>
      </c>
      <c r="E1793" t="s">
        <v>6</v>
      </c>
      <c r="F1793">
        <v>3.3689999999999998E-2</v>
      </c>
    </row>
    <row r="1794" spans="1:6" x14ac:dyDescent="0.3">
      <c r="A1794" t="s">
        <v>22</v>
      </c>
      <c r="B1794" s="1">
        <v>45732</v>
      </c>
      <c r="C1794">
        <v>17</v>
      </c>
      <c r="D1794">
        <v>0</v>
      </c>
      <c r="E1794" t="s">
        <v>6</v>
      </c>
      <c r="F1794">
        <v>6.5560000000000007E-2</v>
      </c>
    </row>
    <row r="1795" spans="1:6" x14ac:dyDescent="0.3">
      <c r="A1795" t="s">
        <v>22</v>
      </c>
      <c r="B1795" s="1">
        <v>45732</v>
      </c>
      <c r="C1795">
        <v>18</v>
      </c>
      <c r="D1795">
        <v>0.29099999999999998</v>
      </c>
      <c r="E1795" t="s">
        <v>6</v>
      </c>
      <c r="F1795">
        <v>8.8109999999999994E-2</v>
      </c>
    </row>
    <row r="1796" spans="1:6" x14ac:dyDescent="0.3">
      <c r="A1796" t="s">
        <v>22</v>
      </c>
      <c r="B1796" s="1">
        <v>45732</v>
      </c>
      <c r="C1796">
        <v>19</v>
      </c>
      <c r="D1796">
        <v>0.40600000000000003</v>
      </c>
      <c r="E1796" t="s">
        <v>6</v>
      </c>
      <c r="F1796">
        <v>0.12869</v>
      </c>
    </row>
    <row r="1797" spans="1:6" x14ac:dyDescent="0.3">
      <c r="A1797" t="s">
        <v>22</v>
      </c>
      <c r="B1797" s="1">
        <v>45732</v>
      </c>
      <c r="C1797">
        <v>20</v>
      </c>
      <c r="D1797">
        <v>0.54</v>
      </c>
      <c r="E1797" t="s">
        <v>6</v>
      </c>
      <c r="F1797">
        <v>0.19069</v>
      </c>
    </row>
    <row r="1798" spans="1:6" x14ac:dyDescent="0.3">
      <c r="A1798" t="s">
        <v>22</v>
      </c>
      <c r="B1798" s="1">
        <v>45732</v>
      </c>
      <c r="C1798">
        <v>21</v>
      </c>
      <c r="D1798">
        <v>4.2089999999999996</v>
      </c>
      <c r="E1798" t="s">
        <v>6</v>
      </c>
      <c r="F1798">
        <v>0.17915</v>
      </c>
    </row>
    <row r="1799" spans="1:6" x14ac:dyDescent="0.3">
      <c r="A1799" t="s">
        <v>22</v>
      </c>
      <c r="B1799" s="1">
        <v>45732</v>
      </c>
      <c r="C1799">
        <v>22</v>
      </c>
      <c r="D1799">
        <v>3.8439999999999999</v>
      </c>
      <c r="E1799" t="s">
        <v>6</v>
      </c>
      <c r="F1799">
        <v>0.16044</v>
      </c>
    </row>
    <row r="1800" spans="1:6" x14ac:dyDescent="0.3">
      <c r="A1800" t="s">
        <v>22</v>
      </c>
      <c r="B1800" s="1">
        <v>45732</v>
      </c>
      <c r="C1800">
        <v>23</v>
      </c>
      <c r="D1800">
        <v>3.1269999999999998</v>
      </c>
      <c r="E1800" t="s">
        <v>6</v>
      </c>
      <c r="F1800">
        <v>0.15484000000000001</v>
      </c>
    </row>
    <row r="1801" spans="1:6" x14ac:dyDescent="0.3">
      <c r="A1801" t="s">
        <v>22</v>
      </c>
      <c r="B1801" s="1">
        <v>45732</v>
      </c>
      <c r="C1801">
        <v>24</v>
      </c>
      <c r="D1801">
        <v>3.0529999999999999</v>
      </c>
      <c r="E1801" t="s">
        <v>6</v>
      </c>
      <c r="F1801">
        <v>0.13683000000000001</v>
      </c>
    </row>
    <row r="1802" spans="1:6" x14ac:dyDescent="0.3">
      <c r="A1802" t="s">
        <v>22</v>
      </c>
      <c r="B1802" s="1">
        <v>45733</v>
      </c>
      <c r="C1802">
        <v>1</v>
      </c>
      <c r="D1802">
        <v>2.375</v>
      </c>
      <c r="E1802" t="s">
        <v>6</v>
      </c>
      <c r="F1802">
        <v>0.12165000000000001</v>
      </c>
    </row>
    <row r="1803" spans="1:6" x14ac:dyDescent="0.3">
      <c r="A1803" t="s">
        <v>22</v>
      </c>
      <c r="B1803" s="1">
        <v>45733</v>
      </c>
      <c r="C1803">
        <v>2</v>
      </c>
      <c r="D1803">
        <v>2.3250000000000002</v>
      </c>
      <c r="E1803" t="s">
        <v>6</v>
      </c>
      <c r="F1803">
        <v>0.11137000000000001</v>
      </c>
    </row>
    <row r="1804" spans="1:6" x14ac:dyDescent="0.3">
      <c r="A1804" t="s">
        <v>22</v>
      </c>
      <c r="B1804" s="1">
        <v>45733</v>
      </c>
      <c r="C1804">
        <v>3</v>
      </c>
      <c r="D1804">
        <v>2.371</v>
      </c>
      <c r="E1804" t="s">
        <v>6</v>
      </c>
      <c r="F1804">
        <v>0.11617</v>
      </c>
    </row>
    <row r="1805" spans="1:6" x14ac:dyDescent="0.3">
      <c r="A1805" t="s">
        <v>22</v>
      </c>
      <c r="B1805" s="1">
        <v>45733</v>
      </c>
      <c r="C1805">
        <v>4</v>
      </c>
      <c r="D1805">
        <v>2.4580000000000002</v>
      </c>
      <c r="E1805" t="s">
        <v>6</v>
      </c>
      <c r="F1805">
        <v>0.11376</v>
      </c>
    </row>
    <row r="1806" spans="1:6" x14ac:dyDescent="0.3">
      <c r="A1806" t="s">
        <v>22</v>
      </c>
      <c r="B1806" s="1">
        <v>45733</v>
      </c>
      <c r="C1806">
        <v>5</v>
      </c>
      <c r="D1806">
        <v>2.351</v>
      </c>
      <c r="E1806" t="s">
        <v>6</v>
      </c>
      <c r="F1806">
        <v>0.11362</v>
      </c>
    </row>
    <row r="1807" spans="1:6" x14ac:dyDescent="0.3">
      <c r="A1807" t="s">
        <v>22</v>
      </c>
      <c r="B1807" s="1">
        <v>45733</v>
      </c>
      <c r="C1807">
        <v>6</v>
      </c>
      <c r="D1807">
        <v>2.3460000000000001</v>
      </c>
      <c r="E1807" t="s">
        <v>6</v>
      </c>
      <c r="F1807">
        <v>0.11068</v>
      </c>
    </row>
    <row r="1808" spans="1:6" x14ac:dyDescent="0.3">
      <c r="A1808" t="s">
        <v>22</v>
      </c>
      <c r="B1808" s="1">
        <v>45733</v>
      </c>
      <c r="C1808">
        <v>7</v>
      </c>
      <c r="D1808">
        <v>2.4689999999999999</v>
      </c>
      <c r="E1808" t="s">
        <v>6</v>
      </c>
      <c r="F1808">
        <v>0.11949</v>
      </c>
    </row>
    <row r="1809" spans="1:6" x14ac:dyDescent="0.3">
      <c r="A1809" t="s">
        <v>22</v>
      </c>
      <c r="B1809" s="1">
        <v>45733</v>
      </c>
      <c r="C1809">
        <v>8</v>
      </c>
      <c r="D1809">
        <v>2.633</v>
      </c>
      <c r="E1809" t="s">
        <v>6</v>
      </c>
      <c r="F1809">
        <v>0.17691999999999999</v>
      </c>
    </row>
    <row r="1810" spans="1:6" x14ac:dyDescent="0.3">
      <c r="A1810" t="s">
        <v>22</v>
      </c>
      <c r="B1810" s="1">
        <v>45733</v>
      </c>
      <c r="C1810">
        <v>9</v>
      </c>
      <c r="D1810">
        <v>2.0459999999999998</v>
      </c>
      <c r="E1810" t="s">
        <v>6</v>
      </c>
      <c r="F1810">
        <v>0.2064</v>
      </c>
    </row>
    <row r="1811" spans="1:6" x14ac:dyDescent="0.3">
      <c r="A1811" t="s">
        <v>22</v>
      </c>
      <c r="B1811" s="1">
        <v>45733</v>
      </c>
      <c r="C1811">
        <v>10</v>
      </c>
      <c r="D1811">
        <v>0</v>
      </c>
      <c r="E1811" t="s">
        <v>6</v>
      </c>
      <c r="F1811">
        <v>0.15481999999999999</v>
      </c>
    </row>
    <row r="1812" spans="1:6" x14ac:dyDescent="0.3">
      <c r="A1812" t="s">
        <v>22</v>
      </c>
      <c r="B1812" s="1">
        <v>45733</v>
      </c>
      <c r="C1812">
        <v>11</v>
      </c>
      <c r="D1812">
        <v>2.5459999999999998</v>
      </c>
      <c r="E1812" t="s">
        <v>6</v>
      </c>
      <c r="F1812">
        <v>0.20227000000000001</v>
      </c>
    </row>
    <row r="1813" spans="1:6" x14ac:dyDescent="0.3">
      <c r="A1813" t="s">
        <v>22</v>
      </c>
      <c r="B1813" s="1">
        <v>45733</v>
      </c>
      <c r="C1813">
        <v>12</v>
      </c>
      <c r="D1813">
        <v>0.44900000000000001</v>
      </c>
      <c r="E1813" t="s">
        <v>6</v>
      </c>
      <c r="F1813">
        <v>0.18731</v>
      </c>
    </row>
    <row r="1814" spans="1:6" x14ac:dyDescent="0.3">
      <c r="A1814" t="s">
        <v>22</v>
      </c>
      <c r="B1814" s="1">
        <v>45733</v>
      </c>
      <c r="C1814">
        <v>13</v>
      </c>
      <c r="D1814">
        <v>1.028</v>
      </c>
      <c r="E1814" t="s">
        <v>6</v>
      </c>
      <c r="F1814">
        <v>0.17296</v>
      </c>
    </row>
    <row r="1815" spans="1:6" x14ac:dyDescent="0.3">
      <c r="A1815" t="s">
        <v>22</v>
      </c>
      <c r="B1815" s="1">
        <v>45733</v>
      </c>
      <c r="C1815">
        <v>14</v>
      </c>
      <c r="D1815">
        <v>0.96299999999999997</v>
      </c>
      <c r="E1815" t="s">
        <v>6</v>
      </c>
      <c r="F1815">
        <v>0.16086</v>
      </c>
    </row>
    <row r="1816" spans="1:6" x14ac:dyDescent="0.3">
      <c r="A1816" t="s">
        <v>22</v>
      </c>
      <c r="B1816" s="1">
        <v>45733</v>
      </c>
      <c r="C1816">
        <v>15</v>
      </c>
      <c r="D1816">
        <v>0.81</v>
      </c>
      <c r="E1816" t="s">
        <v>6</v>
      </c>
      <c r="F1816">
        <v>9.6540000000000001E-2</v>
      </c>
    </row>
    <row r="1817" spans="1:6" x14ac:dyDescent="0.3">
      <c r="A1817" t="s">
        <v>22</v>
      </c>
      <c r="B1817" s="1">
        <v>45733</v>
      </c>
      <c r="C1817">
        <v>16</v>
      </c>
      <c r="D1817">
        <v>0</v>
      </c>
      <c r="E1817" t="s">
        <v>6</v>
      </c>
      <c r="F1817">
        <v>0.11286</v>
      </c>
    </row>
    <row r="1818" spans="1:6" x14ac:dyDescent="0.3">
      <c r="A1818" t="s">
        <v>22</v>
      </c>
      <c r="B1818" s="1">
        <v>45733</v>
      </c>
      <c r="C1818">
        <v>17</v>
      </c>
      <c r="D1818">
        <v>0</v>
      </c>
      <c r="E1818" t="s">
        <v>6</v>
      </c>
      <c r="F1818">
        <v>0.1235</v>
      </c>
    </row>
    <row r="1819" spans="1:6" x14ac:dyDescent="0.3">
      <c r="A1819" t="s">
        <v>22</v>
      </c>
      <c r="B1819" s="1">
        <v>45733</v>
      </c>
      <c r="C1819">
        <v>18</v>
      </c>
      <c r="D1819">
        <v>0</v>
      </c>
      <c r="E1819" t="s">
        <v>6</v>
      </c>
      <c r="F1819">
        <v>0.13732</v>
      </c>
    </row>
    <row r="1820" spans="1:6" x14ac:dyDescent="0.3">
      <c r="A1820" t="s">
        <v>22</v>
      </c>
      <c r="B1820" s="1">
        <v>45733</v>
      </c>
      <c r="C1820">
        <v>19</v>
      </c>
      <c r="D1820">
        <v>0.874</v>
      </c>
      <c r="E1820" t="s">
        <v>6</v>
      </c>
      <c r="F1820">
        <v>0.2389</v>
      </c>
    </row>
    <row r="1821" spans="1:6" x14ac:dyDescent="0.3">
      <c r="A1821" t="s">
        <v>22</v>
      </c>
      <c r="B1821" s="1">
        <v>45733</v>
      </c>
      <c r="C1821">
        <v>20</v>
      </c>
      <c r="D1821">
        <v>2.16</v>
      </c>
      <c r="E1821" t="s">
        <v>6</v>
      </c>
      <c r="F1821">
        <v>0.30352999999999997</v>
      </c>
    </row>
    <row r="1822" spans="1:6" x14ac:dyDescent="0.3">
      <c r="A1822" t="s">
        <v>22</v>
      </c>
      <c r="B1822" s="1">
        <v>45733</v>
      </c>
      <c r="C1822">
        <v>21</v>
      </c>
      <c r="D1822">
        <v>3.4180000000000001</v>
      </c>
      <c r="E1822" t="s">
        <v>6</v>
      </c>
      <c r="F1822">
        <v>0.26917000000000002</v>
      </c>
    </row>
    <row r="1823" spans="1:6" x14ac:dyDescent="0.3">
      <c r="A1823" t="s">
        <v>22</v>
      </c>
      <c r="B1823" s="1">
        <v>45733</v>
      </c>
      <c r="C1823">
        <v>22</v>
      </c>
      <c r="D1823">
        <v>0.47699999999999998</v>
      </c>
      <c r="E1823" t="s">
        <v>6</v>
      </c>
      <c r="F1823">
        <v>0.23377999999999999</v>
      </c>
    </row>
    <row r="1824" spans="1:6" x14ac:dyDescent="0.3">
      <c r="A1824" t="s">
        <v>22</v>
      </c>
      <c r="B1824" s="1">
        <v>45733</v>
      </c>
      <c r="C1824">
        <v>23</v>
      </c>
      <c r="D1824">
        <v>0.28100000000000003</v>
      </c>
      <c r="E1824" t="s">
        <v>6</v>
      </c>
      <c r="F1824">
        <v>0.16281999999999999</v>
      </c>
    </row>
    <row r="1825" spans="1:6" x14ac:dyDescent="0.3">
      <c r="A1825" t="s">
        <v>22</v>
      </c>
      <c r="B1825" s="1">
        <v>45733</v>
      </c>
      <c r="C1825">
        <v>24</v>
      </c>
      <c r="D1825">
        <v>0.26400000000000001</v>
      </c>
      <c r="E1825" t="s">
        <v>6</v>
      </c>
      <c r="F1825">
        <v>0.13244999999999998</v>
      </c>
    </row>
    <row r="1826" spans="1:6" x14ac:dyDescent="0.3">
      <c r="A1826" t="s">
        <v>22</v>
      </c>
      <c r="B1826" s="1">
        <v>45734</v>
      </c>
      <c r="C1826">
        <v>1</v>
      </c>
      <c r="D1826">
        <v>0.13</v>
      </c>
      <c r="E1826" t="s">
        <v>6</v>
      </c>
      <c r="F1826">
        <v>0.11475</v>
      </c>
    </row>
    <row r="1827" spans="1:6" x14ac:dyDescent="0.3">
      <c r="A1827" t="s">
        <v>22</v>
      </c>
      <c r="B1827" s="1">
        <v>45734</v>
      </c>
      <c r="C1827">
        <v>2</v>
      </c>
      <c r="D1827">
        <v>0.15</v>
      </c>
      <c r="E1827" t="s">
        <v>6</v>
      </c>
      <c r="F1827">
        <v>8.1119999999999998E-2</v>
      </c>
    </row>
    <row r="1828" spans="1:6" x14ac:dyDescent="0.3">
      <c r="A1828" t="s">
        <v>22</v>
      </c>
      <c r="B1828" s="1">
        <v>45734</v>
      </c>
      <c r="C1828">
        <v>3</v>
      </c>
      <c r="D1828">
        <v>0.19800000000000001</v>
      </c>
      <c r="E1828" t="s">
        <v>6</v>
      </c>
      <c r="F1828">
        <v>8.2530000000000006E-2</v>
      </c>
    </row>
    <row r="1829" spans="1:6" x14ac:dyDescent="0.3">
      <c r="A1829" t="s">
        <v>22</v>
      </c>
      <c r="B1829" s="1">
        <v>45734</v>
      </c>
      <c r="C1829">
        <v>4</v>
      </c>
      <c r="D1829">
        <v>0.13600000000000001</v>
      </c>
      <c r="E1829" t="s">
        <v>6</v>
      </c>
      <c r="F1829">
        <v>8.2909999999999998E-2</v>
      </c>
    </row>
    <row r="1830" spans="1:6" x14ac:dyDescent="0.3">
      <c r="A1830" t="s">
        <v>22</v>
      </c>
      <c r="B1830" s="1">
        <v>45734</v>
      </c>
      <c r="C1830">
        <v>5</v>
      </c>
      <c r="D1830">
        <v>1.5449999999999999</v>
      </c>
      <c r="E1830" t="s">
        <v>6</v>
      </c>
      <c r="F1830">
        <v>8.276E-2</v>
      </c>
    </row>
    <row r="1831" spans="1:6" x14ac:dyDescent="0.3">
      <c r="A1831" t="s">
        <v>22</v>
      </c>
      <c r="B1831" s="1">
        <v>45734</v>
      </c>
      <c r="C1831">
        <v>6</v>
      </c>
      <c r="D1831">
        <v>4.53</v>
      </c>
      <c r="E1831" t="s">
        <v>6</v>
      </c>
      <c r="F1831">
        <v>7.7810000000000004E-2</v>
      </c>
    </row>
    <row r="1832" spans="1:6" x14ac:dyDescent="0.3">
      <c r="A1832" t="s">
        <v>22</v>
      </c>
      <c r="B1832" s="1">
        <v>45734</v>
      </c>
      <c r="C1832">
        <v>7</v>
      </c>
      <c r="D1832">
        <v>4.0469999999999997</v>
      </c>
      <c r="E1832" t="s">
        <v>6</v>
      </c>
      <c r="F1832">
        <v>9.5700000000000007E-2</v>
      </c>
    </row>
    <row r="1833" spans="1:6" x14ac:dyDescent="0.3">
      <c r="A1833" t="s">
        <v>22</v>
      </c>
      <c r="B1833" s="1">
        <v>45734</v>
      </c>
      <c r="C1833">
        <v>8</v>
      </c>
      <c r="D1833">
        <v>4.1159999999999997</v>
      </c>
      <c r="E1833" t="s">
        <v>6</v>
      </c>
      <c r="F1833">
        <v>0.12181</v>
      </c>
    </row>
    <row r="1834" spans="1:6" x14ac:dyDescent="0.3">
      <c r="A1834" t="s">
        <v>22</v>
      </c>
      <c r="B1834" s="1">
        <v>45734</v>
      </c>
      <c r="C1834">
        <v>9</v>
      </c>
      <c r="D1834">
        <v>3.3730000000000002</v>
      </c>
      <c r="E1834" t="s">
        <v>6</v>
      </c>
      <c r="F1834">
        <v>0.16633000000000001</v>
      </c>
    </row>
    <row r="1835" spans="1:6" x14ac:dyDescent="0.3">
      <c r="A1835" t="s">
        <v>22</v>
      </c>
      <c r="B1835" s="1">
        <v>45734</v>
      </c>
      <c r="C1835">
        <v>10</v>
      </c>
      <c r="D1835">
        <v>2.29</v>
      </c>
      <c r="E1835" t="s">
        <v>6</v>
      </c>
      <c r="F1835">
        <v>0.13794999999999999</v>
      </c>
    </row>
    <row r="1836" spans="1:6" x14ac:dyDescent="0.3">
      <c r="A1836" t="s">
        <v>22</v>
      </c>
      <c r="B1836" s="1">
        <v>45734</v>
      </c>
      <c r="C1836">
        <v>11</v>
      </c>
      <c r="D1836">
        <v>0</v>
      </c>
      <c r="E1836" t="s">
        <v>6</v>
      </c>
      <c r="F1836">
        <v>0.16209999999999999</v>
      </c>
    </row>
    <row r="1837" spans="1:6" x14ac:dyDescent="0.3">
      <c r="A1837" t="s">
        <v>22</v>
      </c>
      <c r="B1837" s="1">
        <v>45734</v>
      </c>
      <c r="C1837">
        <v>12</v>
      </c>
      <c r="D1837">
        <v>0</v>
      </c>
      <c r="E1837" t="s">
        <v>6</v>
      </c>
      <c r="F1837">
        <v>0.13175000000000001</v>
      </c>
    </row>
    <row r="1838" spans="1:6" x14ac:dyDescent="0.3">
      <c r="A1838" t="s">
        <v>22</v>
      </c>
      <c r="B1838" s="1">
        <v>45734</v>
      </c>
      <c r="C1838">
        <v>13</v>
      </c>
      <c r="D1838">
        <v>0</v>
      </c>
      <c r="E1838" t="s">
        <v>6</v>
      </c>
      <c r="F1838">
        <v>0.14083000000000001</v>
      </c>
    </row>
    <row r="1839" spans="1:6" x14ac:dyDescent="0.3">
      <c r="A1839" t="s">
        <v>22</v>
      </c>
      <c r="B1839" s="1">
        <v>45734</v>
      </c>
      <c r="C1839">
        <v>14</v>
      </c>
      <c r="D1839">
        <v>0.66600000000000004</v>
      </c>
      <c r="E1839" t="s">
        <v>6</v>
      </c>
      <c r="F1839">
        <v>0.11987</v>
      </c>
    </row>
    <row r="1840" spans="1:6" x14ac:dyDescent="0.3">
      <c r="A1840" t="s">
        <v>22</v>
      </c>
      <c r="B1840" s="1">
        <v>45734</v>
      </c>
      <c r="C1840">
        <v>15</v>
      </c>
      <c r="D1840">
        <v>4.1520000000000001</v>
      </c>
      <c r="E1840" t="s">
        <v>6</v>
      </c>
      <c r="F1840">
        <v>5.5850000000000004E-2</v>
      </c>
    </row>
    <row r="1841" spans="1:6" x14ac:dyDescent="0.3">
      <c r="A1841" t="s">
        <v>22</v>
      </c>
      <c r="B1841" s="1">
        <v>45734</v>
      </c>
      <c r="C1841">
        <v>16</v>
      </c>
      <c r="D1841">
        <v>1.6279999999999999</v>
      </c>
      <c r="E1841" t="s">
        <v>6</v>
      </c>
      <c r="F1841">
        <v>8.2819999999999991E-2</v>
      </c>
    </row>
    <row r="1842" spans="1:6" x14ac:dyDescent="0.3">
      <c r="A1842" t="s">
        <v>22</v>
      </c>
      <c r="B1842" s="1">
        <v>45734</v>
      </c>
      <c r="C1842">
        <v>17</v>
      </c>
      <c r="D1842">
        <v>1.234</v>
      </c>
      <c r="E1842" t="s">
        <v>6</v>
      </c>
      <c r="F1842">
        <v>9.6620000000000011E-2</v>
      </c>
    </row>
    <row r="1843" spans="1:6" x14ac:dyDescent="0.3">
      <c r="A1843" t="s">
        <v>22</v>
      </c>
      <c r="B1843" s="1">
        <v>45734</v>
      </c>
      <c r="C1843">
        <v>18</v>
      </c>
      <c r="D1843">
        <v>1.4119999999999999</v>
      </c>
      <c r="E1843" t="s">
        <v>6</v>
      </c>
      <c r="F1843">
        <v>0.10403</v>
      </c>
    </row>
    <row r="1844" spans="1:6" x14ac:dyDescent="0.3">
      <c r="A1844" t="s">
        <v>22</v>
      </c>
      <c r="B1844" s="1">
        <v>45734</v>
      </c>
      <c r="C1844">
        <v>19</v>
      </c>
      <c r="D1844">
        <v>1.714</v>
      </c>
      <c r="E1844" t="s">
        <v>6</v>
      </c>
      <c r="F1844">
        <v>0.20655999999999999</v>
      </c>
    </row>
    <row r="1845" spans="1:6" x14ac:dyDescent="0.3">
      <c r="A1845" t="s">
        <v>22</v>
      </c>
      <c r="B1845" s="1">
        <v>45734</v>
      </c>
      <c r="C1845">
        <v>20</v>
      </c>
      <c r="D1845">
        <v>1.982</v>
      </c>
      <c r="E1845" t="s">
        <v>6</v>
      </c>
      <c r="F1845">
        <v>0.29561999999999999</v>
      </c>
    </row>
    <row r="1846" spans="1:6" x14ac:dyDescent="0.3">
      <c r="A1846" t="s">
        <v>22</v>
      </c>
      <c r="B1846" s="1">
        <v>45734</v>
      </c>
      <c r="C1846">
        <v>21</v>
      </c>
      <c r="D1846">
        <v>2.4300000000000002</v>
      </c>
      <c r="E1846" t="s">
        <v>6</v>
      </c>
      <c r="F1846">
        <v>0.27888999999999997</v>
      </c>
    </row>
    <row r="1847" spans="1:6" x14ac:dyDescent="0.3">
      <c r="A1847" t="s">
        <v>22</v>
      </c>
      <c r="B1847" s="1">
        <v>45734</v>
      </c>
      <c r="C1847">
        <v>22</v>
      </c>
      <c r="D1847">
        <v>2.7429999999999999</v>
      </c>
      <c r="E1847" t="s">
        <v>6</v>
      </c>
      <c r="F1847">
        <v>0.24306</v>
      </c>
    </row>
    <row r="1848" spans="1:6" x14ac:dyDescent="0.3">
      <c r="A1848" t="s">
        <v>22</v>
      </c>
      <c r="B1848" s="1">
        <v>45734</v>
      </c>
      <c r="C1848">
        <v>23</v>
      </c>
      <c r="D1848">
        <v>2.1920000000000002</v>
      </c>
      <c r="E1848" t="s">
        <v>6</v>
      </c>
      <c r="F1848">
        <v>0.16178999999999999</v>
      </c>
    </row>
    <row r="1849" spans="1:6" x14ac:dyDescent="0.3">
      <c r="A1849" t="s">
        <v>22</v>
      </c>
      <c r="B1849" s="1">
        <v>45734</v>
      </c>
      <c r="C1849">
        <v>24</v>
      </c>
      <c r="D1849">
        <v>2.089</v>
      </c>
      <c r="E1849" t="s">
        <v>6</v>
      </c>
      <c r="F1849">
        <v>0.1497</v>
      </c>
    </row>
    <row r="1850" spans="1:6" x14ac:dyDescent="0.3">
      <c r="A1850" t="s">
        <v>22</v>
      </c>
      <c r="B1850" s="1">
        <v>45735</v>
      </c>
      <c r="C1850">
        <v>1</v>
      </c>
      <c r="D1850">
        <v>1.9830000000000001</v>
      </c>
      <c r="E1850" t="s">
        <v>6</v>
      </c>
      <c r="F1850">
        <v>0.10457</v>
      </c>
    </row>
    <row r="1851" spans="1:6" x14ac:dyDescent="0.3">
      <c r="A1851" t="s">
        <v>22</v>
      </c>
      <c r="B1851" s="1">
        <v>45735</v>
      </c>
      <c r="C1851">
        <v>2</v>
      </c>
      <c r="D1851">
        <v>2.048</v>
      </c>
      <c r="E1851" t="s">
        <v>6</v>
      </c>
      <c r="F1851">
        <v>0.10215</v>
      </c>
    </row>
    <row r="1852" spans="1:6" x14ac:dyDescent="0.3">
      <c r="A1852" t="s">
        <v>22</v>
      </c>
      <c r="B1852" s="1">
        <v>45735</v>
      </c>
      <c r="C1852">
        <v>3</v>
      </c>
      <c r="D1852">
        <v>2.056</v>
      </c>
      <c r="E1852" t="s">
        <v>6</v>
      </c>
      <c r="F1852">
        <v>9.7209999999999991E-2</v>
      </c>
    </row>
    <row r="1853" spans="1:6" x14ac:dyDescent="0.3">
      <c r="A1853" t="s">
        <v>22</v>
      </c>
      <c r="B1853" s="1">
        <v>45735</v>
      </c>
      <c r="C1853">
        <v>4</v>
      </c>
      <c r="D1853">
        <v>2.0139999999999998</v>
      </c>
      <c r="E1853" t="s">
        <v>6</v>
      </c>
      <c r="F1853">
        <v>8.813E-2</v>
      </c>
    </row>
    <row r="1854" spans="1:6" x14ac:dyDescent="0.3">
      <c r="A1854" t="s">
        <v>22</v>
      </c>
      <c r="B1854" s="1">
        <v>45735</v>
      </c>
      <c r="C1854">
        <v>5</v>
      </c>
      <c r="D1854">
        <v>2.0179999999999998</v>
      </c>
      <c r="E1854" t="s">
        <v>6</v>
      </c>
      <c r="F1854">
        <v>8.9419999999999999E-2</v>
      </c>
    </row>
    <row r="1855" spans="1:6" x14ac:dyDescent="0.3">
      <c r="A1855" t="s">
        <v>22</v>
      </c>
      <c r="B1855" s="1">
        <v>45735</v>
      </c>
      <c r="C1855">
        <v>6</v>
      </c>
      <c r="D1855">
        <v>2.0150000000000001</v>
      </c>
      <c r="E1855" t="s">
        <v>6</v>
      </c>
      <c r="F1855">
        <v>8.8779999999999998E-2</v>
      </c>
    </row>
    <row r="1856" spans="1:6" x14ac:dyDescent="0.3">
      <c r="A1856" t="s">
        <v>22</v>
      </c>
      <c r="B1856" s="1">
        <v>45735</v>
      </c>
      <c r="C1856">
        <v>7</v>
      </c>
      <c r="D1856">
        <v>2.0110000000000001</v>
      </c>
      <c r="E1856" t="s">
        <v>6</v>
      </c>
      <c r="F1856">
        <v>0.12420999999999999</v>
      </c>
    </row>
    <row r="1857" spans="1:6" x14ac:dyDescent="0.3">
      <c r="A1857" t="s">
        <v>22</v>
      </c>
      <c r="B1857" s="1">
        <v>45735</v>
      </c>
      <c r="C1857">
        <v>8</v>
      </c>
      <c r="D1857">
        <v>2.6259999999999999</v>
      </c>
      <c r="E1857" t="s">
        <v>6</v>
      </c>
      <c r="F1857">
        <v>0.17369000000000001</v>
      </c>
    </row>
    <row r="1858" spans="1:6" x14ac:dyDescent="0.3">
      <c r="A1858" t="s">
        <v>22</v>
      </c>
      <c r="B1858" s="1">
        <v>45735</v>
      </c>
      <c r="C1858">
        <v>9</v>
      </c>
      <c r="D1858">
        <v>1.992</v>
      </c>
      <c r="E1858" t="s">
        <v>6</v>
      </c>
      <c r="F1858">
        <v>0.11137000000000001</v>
      </c>
    </row>
    <row r="1859" spans="1:6" x14ac:dyDescent="0.3">
      <c r="A1859" t="s">
        <v>22</v>
      </c>
      <c r="B1859" s="1">
        <v>45735</v>
      </c>
      <c r="C1859">
        <v>10</v>
      </c>
      <c r="D1859">
        <v>2.0819999999999999</v>
      </c>
      <c r="E1859" t="s">
        <v>6</v>
      </c>
      <c r="F1859">
        <v>9.176999999999999E-2</v>
      </c>
    </row>
    <row r="1860" spans="1:6" x14ac:dyDescent="0.3">
      <c r="A1860" t="s">
        <v>22</v>
      </c>
      <c r="B1860" s="1">
        <v>45735</v>
      </c>
      <c r="C1860">
        <v>11</v>
      </c>
      <c r="D1860">
        <v>1.5369999999999999</v>
      </c>
      <c r="E1860" t="s">
        <v>6</v>
      </c>
      <c r="F1860">
        <v>0.14113999999999999</v>
      </c>
    </row>
    <row r="1861" spans="1:6" x14ac:dyDescent="0.3">
      <c r="A1861" t="s">
        <v>22</v>
      </c>
      <c r="B1861" s="1">
        <v>45735</v>
      </c>
      <c r="C1861">
        <v>12</v>
      </c>
      <c r="D1861">
        <v>1.5589999999999999</v>
      </c>
      <c r="E1861" t="s">
        <v>6</v>
      </c>
      <c r="F1861">
        <v>0.13611999999999999</v>
      </c>
    </row>
    <row r="1862" spans="1:6" x14ac:dyDescent="0.3">
      <c r="A1862" t="s">
        <v>22</v>
      </c>
      <c r="B1862" s="1">
        <v>45735</v>
      </c>
      <c r="C1862">
        <v>13</v>
      </c>
      <c r="D1862">
        <v>1.948</v>
      </c>
      <c r="E1862" t="s">
        <v>6</v>
      </c>
      <c r="F1862">
        <v>0.13586000000000001</v>
      </c>
    </row>
    <row r="1863" spans="1:6" x14ac:dyDescent="0.3">
      <c r="A1863" t="s">
        <v>22</v>
      </c>
      <c r="B1863" s="1">
        <v>45735</v>
      </c>
      <c r="C1863">
        <v>14</v>
      </c>
      <c r="D1863">
        <v>1.861</v>
      </c>
      <c r="E1863" t="s">
        <v>6</v>
      </c>
      <c r="F1863">
        <v>0.13324</v>
      </c>
    </row>
    <row r="1864" spans="1:6" x14ac:dyDescent="0.3">
      <c r="A1864" t="s">
        <v>22</v>
      </c>
      <c r="B1864" s="1">
        <v>45735</v>
      </c>
      <c r="C1864">
        <v>15</v>
      </c>
      <c r="D1864">
        <v>1.5189999999999999</v>
      </c>
      <c r="E1864" t="s">
        <v>6</v>
      </c>
      <c r="F1864">
        <v>6.9739999999999996E-2</v>
      </c>
    </row>
    <row r="1865" spans="1:6" x14ac:dyDescent="0.3">
      <c r="A1865" t="s">
        <v>22</v>
      </c>
      <c r="B1865" s="1">
        <v>45735</v>
      </c>
      <c r="C1865">
        <v>16</v>
      </c>
      <c r="D1865">
        <v>2.6150000000000002</v>
      </c>
      <c r="E1865" t="s">
        <v>6</v>
      </c>
      <c r="F1865">
        <v>7.0580000000000004E-2</v>
      </c>
    </row>
    <row r="1866" spans="1:6" x14ac:dyDescent="0.3">
      <c r="A1866" t="s">
        <v>22</v>
      </c>
      <c r="B1866" s="1">
        <v>45735</v>
      </c>
      <c r="C1866">
        <v>17</v>
      </c>
      <c r="D1866">
        <v>1.258</v>
      </c>
      <c r="E1866" t="s">
        <v>6</v>
      </c>
      <c r="F1866">
        <v>7.1470000000000006E-2</v>
      </c>
    </row>
    <row r="1867" spans="1:6" x14ac:dyDescent="0.3">
      <c r="A1867" t="s">
        <v>22</v>
      </c>
      <c r="B1867" s="1">
        <v>45735</v>
      </c>
      <c r="C1867">
        <v>18</v>
      </c>
      <c r="D1867">
        <v>1.446</v>
      </c>
      <c r="E1867" t="s">
        <v>6</v>
      </c>
      <c r="F1867">
        <v>8.054E-2</v>
      </c>
    </row>
    <row r="1868" spans="1:6" x14ac:dyDescent="0.3">
      <c r="A1868" t="s">
        <v>22</v>
      </c>
      <c r="B1868" s="1">
        <v>45735</v>
      </c>
      <c r="C1868">
        <v>19</v>
      </c>
      <c r="D1868">
        <v>1.57</v>
      </c>
      <c r="E1868" t="s">
        <v>6</v>
      </c>
      <c r="F1868">
        <v>0.17119999999999999</v>
      </c>
    </row>
    <row r="1869" spans="1:6" x14ac:dyDescent="0.3">
      <c r="A1869" t="s">
        <v>22</v>
      </c>
      <c r="B1869" s="1">
        <v>45735</v>
      </c>
      <c r="C1869">
        <v>20</v>
      </c>
      <c r="D1869">
        <v>2.2589999999999999</v>
      </c>
      <c r="E1869" t="s">
        <v>6</v>
      </c>
      <c r="F1869">
        <v>0.17418</v>
      </c>
    </row>
    <row r="1870" spans="1:6" x14ac:dyDescent="0.3">
      <c r="A1870" t="s">
        <v>22</v>
      </c>
      <c r="B1870" s="1">
        <v>45735</v>
      </c>
      <c r="C1870">
        <v>21</v>
      </c>
      <c r="D1870">
        <v>0.99299999999999999</v>
      </c>
      <c r="E1870" t="s">
        <v>6</v>
      </c>
      <c r="F1870">
        <v>0.19228999999999999</v>
      </c>
    </row>
    <row r="1871" spans="1:6" x14ac:dyDescent="0.3">
      <c r="A1871" t="s">
        <v>22</v>
      </c>
      <c r="B1871" s="1">
        <v>45735</v>
      </c>
      <c r="C1871">
        <v>22</v>
      </c>
      <c r="D1871">
        <v>0.42099999999999999</v>
      </c>
      <c r="E1871" t="s">
        <v>6</v>
      </c>
      <c r="F1871">
        <v>0.17576</v>
      </c>
    </row>
    <row r="1872" spans="1:6" x14ac:dyDescent="0.3">
      <c r="A1872" t="s">
        <v>22</v>
      </c>
      <c r="B1872" s="1">
        <v>45735</v>
      </c>
      <c r="C1872">
        <v>23</v>
      </c>
      <c r="D1872">
        <v>0.248</v>
      </c>
      <c r="E1872" t="s">
        <v>6</v>
      </c>
      <c r="F1872">
        <v>0.10557</v>
      </c>
    </row>
    <row r="1873" spans="1:6" x14ac:dyDescent="0.3">
      <c r="A1873" t="s">
        <v>22</v>
      </c>
      <c r="B1873" s="1">
        <v>45735</v>
      </c>
      <c r="C1873">
        <v>24</v>
      </c>
      <c r="D1873">
        <v>0.153</v>
      </c>
      <c r="E1873" t="s">
        <v>6</v>
      </c>
      <c r="F1873">
        <v>8.9400000000000007E-2</v>
      </c>
    </row>
    <row r="1874" spans="1:6" x14ac:dyDescent="0.3">
      <c r="A1874" t="s">
        <v>22</v>
      </c>
      <c r="B1874" s="1">
        <v>45736</v>
      </c>
      <c r="C1874">
        <v>1</v>
      </c>
      <c r="D1874">
        <v>0.22</v>
      </c>
      <c r="E1874" t="s">
        <v>6</v>
      </c>
      <c r="F1874">
        <v>5.3310000000000003E-2</v>
      </c>
    </row>
    <row r="1875" spans="1:6" x14ac:dyDescent="0.3">
      <c r="A1875" t="s">
        <v>22</v>
      </c>
      <c r="B1875" s="1">
        <v>45736</v>
      </c>
      <c r="C1875">
        <v>2</v>
      </c>
      <c r="D1875">
        <v>0.122</v>
      </c>
      <c r="E1875" t="s">
        <v>6</v>
      </c>
      <c r="F1875">
        <v>5.1999999999999998E-2</v>
      </c>
    </row>
    <row r="1876" spans="1:6" x14ac:dyDescent="0.3">
      <c r="A1876" t="s">
        <v>22</v>
      </c>
      <c r="B1876" s="1">
        <v>45736</v>
      </c>
      <c r="C1876">
        <v>3</v>
      </c>
      <c r="D1876">
        <v>0.105</v>
      </c>
      <c r="E1876" t="s">
        <v>6</v>
      </c>
      <c r="F1876">
        <v>5.3350000000000002E-2</v>
      </c>
    </row>
    <row r="1877" spans="1:6" x14ac:dyDescent="0.3">
      <c r="A1877" t="s">
        <v>22</v>
      </c>
      <c r="B1877" s="1">
        <v>45736</v>
      </c>
      <c r="C1877">
        <v>4</v>
      </c>
      <c r="D1877">
        <v>0.17</v>
      </c>
      <c r="E1877" t="s">
        <v>6</v>
      </c>
      <c r="F1877">
        <v>5.0290000000000001E-2</v>
      </c>
    </row>
    <row r="1878" spans="1:6" x14ac:dyDescent="0.3">
      <c r="A1878" t="s">
        <v>22</v>
      </c>
      <c r="B1878" s="1">
        <v>45736</v>
      </c>
      <c r="C1878">
        <v>5</v>
      </c>
      <c r="D1878">
        <v>2.2549999999999999</v>
      </c>
      <c r="E1878" t="s">
        <v>6</v>
      </c>
      <c r="F1878">
        <v>5.0320000000000004E-2</v>
      </c>
    </row>
    <row r="1879" spans="1:6" x14ac:dyDescent="0.3">
      <c r="A1879" t="s">
        <v>22</v>
      </c>
      <c r="B1879" s="1">
        <v>45736</v>
      </c>
      <c r="C1879">
        <v>6</v>
      </c>
      <c r="D1879">
        <v>2.0670000000000002</v>
      </c>
      <c r="E1879" t="s">
        <v>6</v>
      </c>
      <c r="F1879">
        <v>4.9479999999999996E-2</v>
      </c>
    </row>
    <row r="1880" spans="1:6" x14ac:dyDescent="0.3">
      <c r="A1880" t="s">
        <v>22</v>
      </c>
      <c r="B1880" s="1">
        <v>45736</v>
      </c>
      <c r="C1880">
        <v>7</v>
      </c>
      <c r="D1880">
        <v>1.6919999999999999</v>
      </c>
      <c r="E1880" t="s">
        <v>6</v>
      </c>
      <c r="F1880">
        <v>5.3060000000000003E-2</v>
      </c>
    </row>
    <row r="1881" spans="1:6" x14ac:dyDescent="0.3">
      <c r="A1881" t="s">
        <v>22</v>
      </c>
      <c r="B1881" s="1">
        <v>45736</v>
      </c>
      <c r="C1881">
        <v>8</v>
      </c>
      <c r="D1881">
        <v>2.008</v>
      </c>
      <c r="E1881" t="s">
        <v>6</v>
      </c>
      <c r="F1881">
        <v>5.2909999999999999E-2</v>
      </c>
    </row>
    <row r="1882" spans="1:6" x14ac:dyDescent="0.3">
      <c r="A1882" t="s">
        <v>22</v>
      </c>
      <c r="B1882" s="1">
        <v>45736</v>
      </c>
      <c r="C1882">
        <v>9</v>
      </c>
      <c r="D1882">
        <v>1.4790000000000001</v>
      </c>
      <c r="E1882" t="s">
        <v>6</v>
      </c>
      <c r="F1882">
        <v>9.0189999999999992E-2</v>
      </c>
    </row>
    <row r="1883" spans="1:6" x14ac:dyDescent="0.3">
      <c r="A1883" t="s">
        <v>22</v>
      </c>
      <c r="B1883" s="1">
        <v>45736</v>
      </c>
      <c r="C1883">
        <v>10</v>
      </c>
      <c r="D1883">
        <v>1.224</v>
      </c>
      <c r="E1883" t="s">
        <v>6</v>
      </c>
      <c r="F1883">
        <v>7.8620000000000009E-2</v>
      </c>
    </row>
    <row r="1884" spans="1:6" x14ac:dyDescent="0.3">
      <c r="A1884" t="s">
        <v>22</v>
      </c>
      <c r="B1884" s="1">
        <v>45736</v>
      </c>
      <c r="C1884">
        <v>11</v>
      </c>
      <c r="D1884">
        <v>0.73899999999999999</v>
      </c>
      <c r="E1884" t="s">
        <v>6</v>
      </c>
      <c r="F1884">
        <v>0.14032</v>
      </c>
    </row>
    <row r="1885" spans="1:6" x14ac:dyDescent="0.3">
      <c r="A1885" t="s">
        <v>22</v>
      </c>
      <c r="B1885" s="1">
        <v>45736</v>
      </c>
      <c r="C1885">
        <v>12</v>
      </c>
      <c r="D1885">
        <v>0.79500000000000004</v>
      </c>
      <c r="E1885" t="s">
        <v>6</v>
      </c>
      <c r="F1885">
        <v>0.13986999999999999</v>
      </c>
    </row>
    <row r="1886" spans="1:6" x14ac:dyDescent="0.3">
      <c r="A1886" t="s">
        <v>22</v>
      </c>
      <c r="B1886" s="1">
        <v>45736</v>
      </c>
      <c r="C1886">
        <v>13</v>
      </c>
      <c r="D1886">
        <v>2.1269999999999998</v>
      </c>
      <c r="E1886" t="s">
        <v>6</v>
      </c>
      <c r="F1886">
        <v>0.13682</v>
      </c>
    </row>
    <row r="1887" spans="1:6" x14ac:dyDescent="0.3">
      <c r="A1887" t="s">
        <v>22</v>
      </c>
      <c r="B1887" s="1">
        <v>45736</v>
      </c>
      <c r="C1887">
        <v>14</v>
      </c>
      <c r="D1887">
        <v>0.72199999999999998</v>
      </c>
      <c r="E1887" t="s">
        <v>6</v>
      </c>
      <c r="F1887">
        <v>0.13462000000000002</v>
      </c>
    </row>
    <row r="1888" spans="1:6" x14ac:dyDescent="0.3">
      <c r="A1888" t="s">
        <v>22</v>
      </c>
      <c r="B1888" s="1">
        <v>45736</v>
      </c>
      <c r="C1888">
        <v>15</v>
      </c>
      <c r="D1888">
        <v>0.50600000000000001</v>
      </c>
      <c r="E1888" t="s">
        <v>6</v>
      </c>
      <c r="F1888">
        <v>7.2510000000000005E-2</v>
      </c>
    </row>
    <row r="1889" spans="1:6" x14ac:dyDescent="0.3">
      <c r="A1889" t="s">
        <v>22</v>
      </c>
      <c r="B1889" s="1">
        <v>45736</v>
      </c>
      <c r="C1889">
        <v>16</v>
      </c>
      <c r="D1889">
        <v>0</v>
      </c>
      <c r="E1889" t="s">
        <v>6</v>
      </c>
      <c r="F1889">
        <v>7.6239999999999988E-2</v>
      </c>
    </row>
    <row r="1890" spans="1:6" x14ac:dyDescent="0.3">
      <c r="A1890" t="s">
        <v>22</v>
      </c>
      <c r="B1890" s="1">
        <v>45736</v>
      </c>
      <c r="C1890">
        <v>17</v>
      </c>
      <c r="D1890">
        <v>1.454</v>
      </c>
      <c r="E1890" t="s">
        <v>6</v>
      </c>
      <c r="F1890">
        <v>8.8249999999999995E-2</v>
      </c>
    </row>
    <row r="1891" spans="1:6" x14ac:dyDescent="0.3">
      <c r="A1891" t="s">
        <v>22</v>
      </c>
      <c r="B1891" s="1">
        <v>45736</v>
      </c>
      <c r="C1891">
        <v>18</v>
      </c>
      <c r="D1891">
        <v>0.92900000000000005</v>
      </c>
      <c r="E1891" t="s">
        <v>6</v>
      </c>
      <c r="F1891">
        <v>0.11106999999999999</v>
      </c>
    </row>
    <row r="1892" spans="1:6" x14ac:dyDescent="0.3">
      <c r="A1892" t="s">
        <v>22</v>
      </c>
      <c r="B1892" s="1">
        <v>45736</v>
      </c>
      <c r="C1892">
        <v>19</v>
      </c>
      <c r="D1892">
        <v>1.391</v>
      </c>
      <c r="E1892" t="s">
        <v>6</v>
      </c>
      <c r="F1892">
        <v>0.21006</v>
      </c>
    </row>
    <row r="1893" spans="1:6" x14ac:dyDescent="0.3">
      <c r="A1893" t="s">
        <v>22</v>
      </c>
      <c r="B1893" s="1">
        <v>45736</v>
      </c>
      <c r="C1893">
        <v>20</v>
      </c>
      <c r="D1893">
        <v>2.2599999999999998</v>
      </c>
      <c r="E1893" t="s">
        <v>6</v>
      </c>
      <c r="F1893">
        <v>0.25324000000000002</v>
      </c>
    </row>
    <row r="1894" spans="1:6" x14ac:dyDescent="0.3">
      <c r="A1894" t="s">
        <v>22</v>
      </c>
      <c r="B1894" s="1">
        <v>45736</v>
      </c>
      <c r="C1894">
        <v>21</v>
      </c>
      <c r="D1894">
        <v>2.4009999999999998</v>
      </c>
      <c r="E1894" t="s">
        <v>6</v>
      </c>
      <c r="F1894">
        <v>0.24240999999999999</v>
      </c>
    </row>
    <row r="1895" spans="1:6" x14ac:dyDescent="0.3">
      <c r="A1895" t="s">
        <v>22</v>
      </c>
      <c r="B1895" s="1">
        <v>45736</v>
      </c>
      <c r="C1895">
        <v>22</v>
      </c>
      <c r="D1895">
        <v>2.6509999999999998</v>
      </c>
      <c r="E1895" t="s">
        <v>6</v>
      </c>
      <c r="F1895">
        <v>0.20790999999999998</v>
      </c>
    </row>
    <row r="1896" spans="1:6" x14ac:dyDescent="0.3">
      <c r="A1896" t="s">
        <v>22</v>
      </c>
      <c r="B1896" s="1">
        <v>45736</v>
      </c>
      <c r="C1896">
        <v>23</v>
      </c>
      <c r="D1896">
        <v>1.712</v>
      </c>
      <c r="E1896" t="s">
        <v>6</v>
      </c>
      <c r="F1896">
        <v>0.12803</v>
      </c>
    </row>
    <row r="1897" spans="1:6" x14ac:dyDescent="0.3">
      <c r="A1897" t="s">
        <v>22</v>
      </c>
      <c r="B1897" s="1">
        <v>45736</v>
      </c>
      <c r="C1897">
        <v>24</v>
      </c>
      <c r="D1897">
        <v>1.6639999999999999</v>
      </c>
      <c r="E1897" t="s">
        <v>6</v>
      </c>
      <c r="F1897">
        <v>0.11959</v>
      </c>
    </row>
    <row r="1898" spans="1:6" x14ac:dyDescent="0.3">
      <c r="A1898" t="s">
        <v>22</v>
      </c>
      <c r="B1898" s="1">
        <v>45737</v>
      </c>
      <c r="C1898">
        <v>1</v>
      </c>
      <c r="D1898">
        <v>1.431</v>
      </c>
      <c r="E1898" t="s">
        <v>6</v>
      </c>
      <c r="F1898">
        <v>7.0569999999999994E-2</v>
      </c>
    </row>
    <row r="1899" spans="1:6" x14ac:dyDescent="0.3">
      <c r="A1899" t="s">
        <v>22</v>
      </c>
      <c r="B1899" s="1">
        <v>45737</v>
      </c>
      <c r="C1899">
        <v>2</v>
      </c>
      <c r="D1899">
        <v>1.357</v>
      </c>
      <c r="E1899" t="s">
        <v>6</v>
      </c>
      <c r="F1899">
        <v>6.4829999999999999E-2</v>
      </c>
    </row>
    <row r="1900" spans="1:6" x14ac:dyDescent="0.3">
      <c r="A1900" t="s">
        <v>22</v>
      </c>
      <c r="B1900" s="1">
        <v>45737</v>
      </c>
      <c r="C1900">
        <v>3</v>
      </c>
      <c r="D1900">
        <v>1.3640000000000001</v>
      </c>
      <c r="E1900" t="s">
        <v>6</v>
      </c>
      <c r="F1900">
        <v>6.7709999999999992E-2</v>
      </c>
    </row>
    <row r="1901" spans="1:6" x14ac:dyDescent="0.3">
      <c r="A1901" t="s">
        <v>22</v>
      </c>
      <c r="B1901" s="1">
        <v>45737</v>
      </c>
      <c r="C1901">
        <v>4</v>
      </c>
      <c r="D1901">
        <v>1.4410000000000001</v>
      </c>
      <c r="E1901" t="s">
        <v>6</v>
      </c>
      <c r="F1901">
        <v>6.4399999999999999E-2</v>
      </c>
    </row>
    <row r="1902" spans="1:6" x14ac:dyDescent="0.3">
      <c r="A1902" t="s">
        <v>22</v>
      </c>
      <c r="B1902" s="1">
        <v>45737</v>
      </c>
      <c r="C1902">
        <v>5</v>
      </c>
      <c r="D1902">
        <v>1.4179999999999999</v>
      </c>
      <c r="E1902" t="s">
        <v>6</v>
      </c>
      <c r="F1902">
        <v>6.4189999999999997E-2</v>
      </c>
    </row>
    <row r="1903" spans="1:6" x14ac:dyDescent="0.3">
      <c r="A1903" t="s">
        <v>22</v>
      </c>
      <c r="B1903" s="1">
        <v>45737</v>
      </c>
      <c r="C1903">
        <v>6</v>
      </c>
      <c r="D1903">
        <v>1.3819999999999999</v>
      </c>
      <c r="E1903" t="s">
        <v>6</v>
      </c>
      <c r="F1903">
        <v>6.2609999999999999E-2</v>
      </c>
    </row>
    <row r="1904" spans="1:6" x14ac:dyDescent="0.3">
      <c r="A1904" t="s">
        <v>22</v>
      </c>
      <c r="B1904" s="1">
        <v>45737</v>
      </c>
      <c r="C1904">
        <v>7</v>
      </c>
      <c r="D1904">
        <v>1.3720000000000001</v>
      </c>
      <c r="E1904" t="s">
        <v>6</v>
      </c>
      <c r="F1904">
        <v>6.5659999999999996E-2</v>
      </c>
    </row>
    <row r="1905" spans="1:6" x14ac:dyDescent="0.3">
      <c r="A1905" t="s">
        <v>22</v>
      </c>
      <c r="B1905" s="1">
        <v>45737</v>
      </c>
      <c r="C1905">
        <v>8</v>
      </c>
      <c r="D1905">
        <v>1.093</v>
      </c>
      <c r="E1905" t="s">
        <v>6</v>
      </c>
      <c r="F1905">
        <v>7.3219999999999993E-2</v>
      </c>
    </row>
    <row r="1906" spans="1:6" x14ac:dyDescent="0.3">
      <c r="A1906" t="s">
        <v>22</v>
      </c>
      <c r="B1906" s="1">
        <v>45737</v>
      </c>
      <c r="C1906">
        <v>9</v>
      </c>
      <c r="D1906">
        <v>2.8250000000000002</v>
      </c>
      <c r="E1906" t="s">
        <v>6</v>
      </c>
      <c r="F1906">
        <v>9.2340000000000005E-2</v>
      </c>
    </row>
    <row r="1907" spans="1:6" x14ac:dyDescent="0.3">
      <c r="A1907" t="s">
        <v>22</v>
      </c>
      <c r="B1907" s="1">
        <v>45737</v>
      </c>
      <c r="C1907">
        <v>10</v>
      </c>
      <c r="D1907">
        <v>1.127</v>
      </c>
      <c r="E1907" t="s">
        <v>6</v>
      </c>
      <c r="F1907">
        <v>8.2709999999999992E-2</v>
      </c>
    </row>
    <row r="1908" spans="1:6" x14ac:dyDescent="0.3">
      <c r="A1908" t="s">
        <v>22</v>
      </c>
      <c r="B1908" s="1">
        <v>45737</v>
      </c>
      <c r="C1908">
        <v>11</v>
      </c>
      <c r="D1908">
        <v>1.6479999999999999</v>
      </c>
      <c r="E1908" t="s">
        <v>6</v>
      </c>
      <c r="F1908">
        <v>0.14802000000000001</v>
      </c>
    </row>
    <row r="1909" spans="1:6" x14ac:dyDescent="0.3">
      <c r="A1909" t="s">
        <v>22</v>
      </c>
      <c r="B1909" s="1">
        <v>45737</v>
      </c>
      <c r="C1909">
        <v>12</v>
      </c>
      <c r="D1909">
        <v>2.1219999999999999</v>
      </c>
      <c r="E1909" t="s">
        <v>6</v>
      </c>
      <c r="F1909">
        <v>0.14593</v>
      </c>
    </row>
    <row r="1910" spans="1:6" x14ac:dyDescent="0.3">
      <c r="A1910" t="s">
        <v>22</v>
      </c>
      <c r="B1910" s="1">
        <v>45737</v>
      </c>
      <c r="C1910">
        <v>13</v>
      </c>
      <c r="D1910">
        <v>2.4180000000000001</v>
      </c>
      <c r="E1910" t="s">
        <v>6</v>
      </c>
      <c r="F1910">
        <v>0.14557</v>
      </c>
    </row>
    <row r="1911" spans="1:6" x14ac:dyDescent="0.3">
      <c r="A1911" t="s">
        <v>22</v>
      </c>
      <c r="B1911" s="1">
        <v>45737</v>
      </c>
      <c r="C1911">
        <v>14</v>
      </c>
      <c r="D1911">
        <v>2.8109999999999999</v>
      </c>
      <c r="E1911" t="s">
        <v>6</v>
      </c>
      <c r="F1911">
        <v>0.14288000000000001</v>
      </c>
    </row>
    <row r="1912" spans="1:6" x14ac:dyDescent="0.3">
      <c r="A1912" t="s">
        <v>22</v>
      </c>
      <c r="B1912" s="1">
        <v>45737</v>
      </c>
      <c r="C1912">
        <v>15</v>
      </c>
      <c r="D1912">
        <v>1.8129999999999999</v>
      </c>
      <c r="E1912" t="s">
        <v>6</v>
      </c>
      <c r="F1912">
        <v>7.8299999999999995E-2</v>
      </c>
    </row>
    <row r="1913" spans="1:6" x14ac:dyDescent="0.3">
      <c r="A1913" t="s">
        <v>22</v>
      </c>
      <c r="B1913" s="1">
        <v>45737</v>
      </c>
      <c r="C1913">
        <v>16</v>
      </c>
      <c r="D1913">
        <v>1.516</v>
      </c>
      <c r="E1913" t="s">
        <v>6</v>
      </c>
      <c r="F1913">
        <v>8.0260000000000012E-2</v>
      </c>
    </row>
    <row r="1914" spans="1:6" x14ac:dyDescent="0.3">
      <c r="A1914" t="s">
        <v>22</v>
      </c>
      <c r="B1914" s="1">
        <v>45737</v>
      </c>
      <c r="C1914">
        <v>17</v>
      </c>
      <c r="D1914">
        <v>1.53</v>
      </c>
      <c r="E1914" t="s">
        <v>6</v>
      </c>
      <c r="F1914">
        <v>8.0579999999999999E-2</v>
      </c>
    </row>
    <row r="1915" spans="1:6" x14ac:dyDescent="0.3">
      <c r="A1915" t="s">
        <v>22</v>
      </c>
      <c r="B1915" s="1">
        <v>45737</v>
      </c>
      <c r="C1915">
        <v>18</v>
      </c>
      <c r="D1915">
        <v>1.514</v>
      </c>
      <c r="E1915" t="s">
        <v>6</v>
      </c>
      <c r="F1915">
        <v>8.337E-2</v>
      </c>
    </row>
    <row r="1916" spans="1:6" x14ac:dyDescent="0.3">
      <c r="A1916" t="s">
        <v>22</v>
      </c>
      <c r="B1916" s="1">
        <v>45737</v>
      </c>
      <c r="C1916">
        <v>19</v>
      </c>
      <c r="D1916">
        <v>1.589</v>
      </c>
      <c r="E1916" t="s">
        <v>6</v>
      </c>
      <c r="F1916">
        <v>0.15597999999999998</v>
      </c>
    </row>
    <row r="1917" spans="1:6" x14ac:dyDescent="0.3">
      <c r="A1917" t="s">
        <v>22</v>
      </c>
      <c r="B1917" s="1">
        <v>45737</v>
      </c>
      <c r="C1917">
        <v>20</v>
      </c>
      <c r="D1917">
        <v>1.744</v>
      </c>
      <c r="E1917" t="s">
        <v>6</v>
      </c>
      <c r="F1917">
        <v>0.18290999999999999</v>
      </c>
    </row>
    <row r="1918" spans="1:6" x14ac:dyDescent="0.3">
      <c r="A1918" t="s">
        <v>22</v>
      </c>
      <c r="B1918" s="1">
        <v>45737</v>
      </c>
      <c r="C1918">
        <v>21</v>
      </c>
      <c r="D1918">
        <v>2.012</v>
      </c>
      <c r="E1918" t="s">
        <v>6</v>
      </c>
      <c r="F1918">
        <v>0.18597</v>
      </c>
    </row>
    <row r="1919" spans="1:6" x14ac:dyDescent="0.3">
      <c r="A1919" t="s">
        <v>22</v>
      </c>
      <c r="B1919" s="1">
        <v>45737</v>
      </c>
      <c r="C1919">
        <v>22</v>
      </c>
      <c r="D1919">
        <v>2.4849999999999999</v>
      </c>
      <c r="E1919" t="s">
        <v>6</v>
      </c>
      <c r="F1919">
        <v>0.18056</v>
      </c>
    </row>
    <row r="1920" spans="1:6" x14ac:dyDescent="0.3">
      <c r="A1920" t="s">
        <v>22</v>
      </c>
      <c r="B1920" s="1">
        <v>45737</v>
      </c>
      <c r="C1920">
        <v>23</v>
      </c>
      <c r="D1920">
        <v>2.399</v>
      </c>
      <c r="E1920" t="s">
        <v>6</v>
      </c>
      <c r="F1920">
        <v>0.1105</v>
      </c>
    </row>
    <row r="1921" spans="1:6" x14ac:dyDescent="0.3">
      <c r="A1921" t="s">
        <v>22</v>
      </c>
      <c r="B1921" s="1">
        <v>45737</v>
      </c>
      <c r="C1921">
        <v>24</v>
      </c>
      <c r="D1921">
        <v>2.08</v>
      </c>
      <c r="E1921" t="s">
        <v>6</v>
      </c>
      <c r="F1921">
        <v>9.6930000000000002E-2</v>
      </c>
    </row>
    <row r="1922" spans="1:6" x14ac:dyDescent="0.3">
      <c r="A1922" t="s">
        <v>22</v>
      </c>
      <c r="B1922" s="1">
        <v>45738</v>
      </c>
      <c r="C1922">
        <v>1</v>
      </c>
      <c r="D1922">
        <v>1.482</v>
      </c>
      <c r="E1922" t="s">
        <v>6</v>
      </c>
      <c r="F1922">
        <v>6.207E-2</v>
      </c>
    </row>
    <row r="1923" spans="1:6" x14ac:dyDescent="0.3">
      <c r="A1923" t="s">
        <v>22</v>
      </c>
      <c r="B1923" s="1">
        <v>45738</v>
      </c>
      <c r="C1923">
        <v>2</v>
      </c>
      <c r="D1923">
        <v>1.4810000000000001</v>
      </c>
      <c r="E1923" t="s">
        <v>6</v>
      </c>
      <c r="F1923">
        <v>6.4019999999999994E-2</v>
      </c>
    </row>
    <row r="1924" spans="1:6" x14ac:dyDescent="0.3">
      <c r="A1924" t="s">
        <v>22</v>
      </c>
      <c r="B1924" s="1">
        <v>45738</v>
      </c>
      <c r="C1924">
        <v>3</v>
      </c>
      <c r="D1924">
        <v>1.617</v>
      </c>
      <c r="E1924" t="s">
        <v>6</v>
      </c>
      <c r="F1924">
        <v>6.2939999999999996E-2</v>
      </c>
    </row>
    <row r="1925" spans="1:6" x14ac:dyDescent="0.3">
      <c r="A1925" t="s">
        <v>22</v>
      </c>
      <c r="B1925" s="1">
        <v>45738</v>
      </c>
      <c r="C1925">
        <v>4</v>
      </c>
      <c r="D1925">
        <v>1.383</v>
      </c>
      <c r="E1925" t="s">
        <v>6</v>
      </c>
      <c r="F1925">
        <v>5.987E-2</v>
      </c>
    </row>
    <row r="1926" spans="1:6" x14ac:dyDescent="0.3">
      <c r="A1926" t="s">
        <v>22</v>
      </c>
      <c r="B1926" s="1">
        <v>45738</v>
      </c>
      <c r="C1926">
        <v>5</v>
      </c>
      <c r="D1926">
        <v>1.4890000000000001</v>
      </c>
      <c r="E1926" t="s">
        <v>6</v>
      </c>
      <c r="F1926">
        <v>6.1009999999999995E-2</v>
      </c>
    </row>
    <row r="1927" spans="1:6" x14ac:dyDescent="0.3">
      <c r="A1927" t="s">
        <v>22</v>
      </c>
      <c r="B1927" s="1">
        <v>45738</v>
      </c>
      <c r="C1927">
        <v>6</v>
      </c>
      <c r="D1927">
        <v>2.444</v>
      </c>
      <c r="E1927" t="s">
        <v>6</v>
      </c>
      <c r="F1927">
        <v>6.1429999999999998E-2</v>
      </c>
    </row>
    <row r="1928" spans="1:6" x14ac:dyDescent="0.3">
      <c r="A1928" t="s">
        <v>22</v>
      </c>
      <c r="B1928" s="1">
        <v>45738</v>
      </c>
      <c r="C1928">
        <v>7</v>
      </c>
      <c r="D1928">
        <v>1.677</v>
      </c>
      <c r="E1928" t="s">
        <v>6</v>
      </c>
      <c r="F1928">
        <v>5.9859999999999997E-2</v>
      </c>
    </row>
    <row r="1929" spans="1:6" x14ac:dyDescent="0.3">
      <c r="A1929" t="s">
        <v>22</v>
      </c>
      <c r="B1929" s="1">
        <v>45738</v>
      </c>
      <c r="C1929">
        <v>8</v>
      </c>
      <c r="D1929">
        <v>1.409</v>
      </c>
      <c r="E1929" t="s">
        <v>6</v>
      </c>
      <c r="F1929">
        <v>5.577E-2</v>
      </c>
    </row>
    <row r="1930" spans="1:6" x14ac:dyDescent="0.3">
      <c r="A1930" t="s">
        <v>22</v>
      </c>
      <c r="B1930" s="1">
        <v>45738</v>
      </c>
      <c r="C1930">
        <v>9</v>
      </c>
      <c r="D1930">
        <v>1.544</v>
      </c>
      <c r="E1930" t="s">
        <v>6</v>
      </c>
      <c r="F1930">
        <v>5.4100000000000002E-2</v>
      </c>
    </row>
    <row r="1931" spans="1:6" x14ac:dyDescent="0.3">
      <c r="A1931" t="s">
        <v>22</v>
      </c>
      <c r="B1931" s="1">
        <v>45738</v>
      </c>
      <c r="C1931">
        <v>10</v>
      </c>
      <c r="D1931">
        <v>1.3560000000000001</v>
      </c>
      <c r="E1931" t="s">
        <v>6</v>
      </c>
      <c r="F1931">
        <v>5.0380000000000001E-2</v>
      </c>
    </row>
    <row r="1932" spans="1:6" x14ac:dyDescent="0.3">
      <c r="A1932" t="s">
        <v>22</v>
      </c>
      <c r="B1932" s="1">
        <v>45738</v>
      </c>
      <c r="C1932">
        <v>11</v>
      </c>
      <c r="D1932">
        <v>1.6539999999999999</v>
      </c>
      <c r="E1932" t="s">
        <v>6</v>
      </c>
      <c r="F1932">
        <v>5.0380000000000001E-2</v>
      </c>
    </row>
    <row r="1933" spans="1:6" x14ac:dyDescent="0.3">
      <c r="A1933" t="s">
        <v>22</v>
      </c>
      <c r="B1933" s="1">
        <v>45738</v>
      </c>
      <c r="C1933">
        <v>12</v>
      </c>
      <c r="D1933">
        <v>2.3879999999999999</v>
      </c>
      <c r="E1933" t="s">
        <v>6</v>
      </c>
      <c r="F1933">
        <v>5.1609999999999996E-2</v>
      </c>
    </row>
    <row r="1934" spans="1:6" x14ac:dyDescent="0.3">
      <c r="A1934" t="s">
        <v>22</v>
      </c>
      <c r="B1934" s="1">
        <v>45738</v>
      </c>
      <c r="C1934">
        <v>13</v>
      </c>
      <c r="D1934">
        <v>1.464</v>
      </c>
      <c r="E1934" t="s">
        <v>6</v>
      </c>
      <c r="F1934">
        <v>5.1139999999999998E-2</v>
      </c>
    </row>
    <row r="1935" spans="1:6" x14ac:dyDescent="0.3">
      <c r="A1935" t="s">
        <v>22</v>
      </c>
      <c r="B1935" s="1">
        <v>45738</v>
      </c>
      <c r="C1935">
        <v>14</v>
      </c>
      <c r="D1935">
        <v>3.282</v>
      </c>
      <c r="E1935" t="s">
        <v>6</v>
      </c>
      <c r="F1935">
        <v>5.092E-2</v>
      </c>
    </row>
    <row r="1936" spans="1:6" x14ac:dyDescent="0.3">
      <c r="A1936" t="s">
        <v>22</v>
      </c>
      <c r="B1936" s="1">
        <v>45738</v>
      </c>
      <c r="C1936">
        <v>15</v>
      </c>
      <c r="D1936">
        <v>4.9379999999999997</v>
      </c>
      <c r="E1936" t="s">
        <v>6</v>
      </c>
      <c r="F1936">
        <v>5.1179999999999996E-2</v>
      </c>
    </row>
    <row r="1937" spans="1:6" x14ac:dyDescent="0.3">
      <c r="A1937" t="s">
        <v>22</v>
      </c>
      <c r="B1937" s="1">
        <v>45738</v>
      </c>
      <c r="C1937">
        <v>16</v>
      </c>
      <c r="D1937">
        <v>6.1680000000000001</v>
      </c>
      <c r="E1937" t="s">
        <v>6</v>
      </c>
      <c r="F1937">
        <v>5.0819999999999997E-2</v>
      </c>
    </row>
    <row r="1938" spans="1:6" x14ac:dyDescent="0.3">
      <c r="A1938" t="s">
        <v>22</v>
      </c>
      <c r="B1938" s="1">
        <v>45738</v>
      </c>
      <c r="C1938">
        <v>17</v>
      </c>
      <c r="D1938">
        <v>3.3039999999999998</v>
      </c>
      <c r="E1938" t="s">
        <v>6</v>
      </c>
      <c r="F1938">
        <v>5.1340000000000004E-2</v>
      </c>
    </row>
    <row r="1939" spans="1:6" x14ac:dyDescent="0.3">
      <c r="A1939" t="s">
        <v>22</v>
      </c>
      <c r="B1939" s="1">
        <v>45738</v>
      </c>
      <c r="C1939">
        <v>18</v>
      </c>
      <c r="D1939">
        <v>1.0389999999999999</v>
      </c>
      <c r="E1939" t="s">
        <v>6</v>
      </c>
      <c r="F1939">
        <v>5.1670000000000001E-2</v>
      </c>
    </row>
    <row r="1940" spans="1:6" x14ac:dyDescent="0.3">
      <c r="A1940" t="s">
        <v>22</v>
      </c>
      <c r="B1940" s="1">
        <v>45738</v>
      </c>
      <c r="C1940">
        <v>19</v>
      </c>
      <c r="D1940">
        <v>0.54400000000000004</v>
      </c>
      <c r="E1940" t="s">
        <v>6</v>
      </c>
      <c r="F1940">
        <v>6.0479999999999999E-2</v>
      </c>
    </row>
    <row r="1941" spans="1:6" x14ac:dyDescent="0.3">
      <c r="A1941" t="s">
        <v>22</v>
      </c>
      <c r="B1941" s="1">
        <v>45738</v>
      </c>
      <c r="C1941">
        <v>20</v>
      </c>
      <c r="D1941">
        <v>3.2959999999999998</v>
      </c>
      <c r="E1941" t="s">
        <v>6</v>
      </c>
      <c r="F1941">
        <v>9.2540000000000011E-2</v>
      </c>
    </row>
    <row r="1942" spans="1:6" x14ac:dyDescent="0.3">
      <c r="A1942" t="s">
        <v>22</v>
      </c>
      <c r="B1942" s="1">
        <v>45738</v>
      </c>
      <c r="C1942">
        <v>21</v>
      </c>
      <c r="D1942">
        <v>2.3980000000000001</v>
      </c>
      <c r="E1942" t="s">
        <v>6</v>
      </c>
      <c r="F1942">
        <v>0.13463</v>
      </c>
    </row>
    <row r="1943" spans="1:6" x14ac:dyDescent="0.3">
      <c r="A1943" t="s">
        <v>22</v>
      </c>
      <c r="B1943" s="1">
        <v>45738</v>
      </c>
      <c r="C1943">
        <v>22</v>
      </c>
      <c r="D1943">
        <v>0.46500000000000002</v>
      </c>
      <c r="E1943" t="s">
        <v>6</v>
      </c>
      <c r="F1943">
        <v>0.11031999999999999</v>
      </c>
    </row>
    <row r="1944" spans="1:6" x14ac:dyDescent="0.3">
      <c r="A1944" t="s">
        <v>22</v>
      </c>
      <c r="B1944" s="1">
        <v>45738</v>
      </c>
      <c r="C1944">
        <v>23</v>
      </c>
      <c r="D1944">
        <v>0.78700000000000003</v>
      </c>
      <c r="E1944" t="s">
        <v>6</v>
      </c>
      <c r="F1944">
        <v>0.10117</v>
      </c>
    </row>
    <row r="1945" spans="1:6" x14ac:dyDescent="0.3">
      <c r="A1945" t="s">
        <v>22</v>
      </c>
      <c r="B1945" s="1">
        <v>45738</v>
      </c>
      <c r="C1945">
        <v>24</v>
      </c>
      <c r="D1945">
        <v>1.8660000000000001</v>
      </c>
      <c r="E1945" t="s">
        <v>6</v>
      </c>
      <c r="F1945">
        <v>9.0469999999999995E-2</v>
      </c>
    </row>
    <row r="1946" spans="1:6" x14ac:dyDescent="0.3">
      <c r="A1946" t="s">
        <v>22</v>
      </c>
      <c r="B1946" s="1">
        <v>45739</v>
      </c>
      <c r="C1946">
        <v>1</v>
      </c>
      <c r="D1946">
        <v>0.32</v>
      </c>
      <c r="E1946" t="s">
        <v>6</v>
      </c>
      <c r="F1946">
        <v>9.3879999999999991E-2</v>
      </c>
    </row>
    <row r="1947" spans="1:6" x14ac:dyDescent="0.3">
      <c r="A1947" t="s">
        <v>22</v>
      </c>
      <c r="B1947" s="1">
        <v>45739</v>
      </c>
      <c r="C1947">
        <v>2</v>
      </c>
      <c r="D1947">
        <v>0.187</v>
      </c>
      <c r="E1947" t="s">
        <v>6</v>
      </c>
      <c r="F1947">
        <v>9.1689999999999994E-2</v>
      </c>
    </row>
    <row r="1948" spans="1:6" x14ac:dyDescent="0.3">
      <c r="A1948" t="s">
        <v>22</v>
      </c>
      <c r="B1948" s="1">
        <v>45739</v>
      </c>
      <c r="C1948">
        <v>3</v>
      </c>
      <c r="D1948">
        <v>0.31</v>
      </c>
      <c r="E1948" t="s">
        <v>6</v>
      </c>
      <c r="F1948">
        <v>8.2290000000000002E-2</v>
      </c>
    </row>
    <row r="1949" spans="1:6" x14ac:dyDescent="0.3">
      <c r="A1949" t="s">
        <v>22</v>
      </c>
      <c r="B1949" s="1">
        <v>45739</v>
      </c>
      <c r="C1949">
        <v>4</v>
      </c>
      <c r="D1949">
        <v>0.21</v>
      </c>
      <c r="E1949" t="s">
        <v>6</v>
      </c>
      <c r="F1949">
        <v>7.4620000000000006E-2</v>
      </c>
    </row>
    <row r="1950" spans="1:6" x14ac:dyDescent="0.3">
      <c r="A1950" t="s">
        <v>22</v>
      </c>
      <c r="B1950" s="1">
        <v>45739</v>
      </c>
      <c r="C1950">
        <v>5</v>
      </c>
      <c r="D1950">
        <v>0.17199999999999999</v>
      </c>
      <c r="E1950" t="s">
        <v>6</v>
      </c>
      <c r="F1950">
        <v>7.4029999999999999E-2</v>
      </c>
    </row>
    <row r="1951" spans="1:6" x14ac:dyDescent="0.3">
      <c r="A1951" t="s">
        <v>22</v>
      </c>
      <c r="B1951" s="1">
        <v>45739</v>
      </c>
      <c r="C1951">
        <v>6</v>
      </c>
      <c r="D1951">
        <v>0.109</v>
      </c>
      <c r="E1951" t="s">
        <v>6</v>
      </c>
      <c r="F1951">
        <v>7.3620000000000005E-2</v>
      </c>
    </row>
    <row r="1952" spans="1:6" x14ac:dyDescent="0.3">
      <c r="A1952" t="s">
        <v>22</v>
      </c>
      <c r="B1952" s="1">
        <v>45739</v>
      </c>
      <c r="C1952">
        <v>7</v>
      </c>
      <c r="D1952">
        <v>1.5269999999999999</v>
      </c>
      <c r="E1952" t="s">
        <v>6</v>
      </c>
      <c r="F1952">
        <v>7.4980000000000005E-2</v>
      </c>
    </row>
    <row r="1953" spans="1:6" x14ac:dyDescent="0.3">
      <c r="A1953" t="s">
        <v>22</v>
      </c>
      <c r="B1953" s="1">
        <v>45739</v>
      </c>
      <c r="C1953">
        <v>8</v>
      </c>
      <c r="D1953">
        <v>2.9489999999999998</v>
      </c>
      <c r="E1953" t="s">
        <v>6</v>
      </c>
      <c r="F1953">
        <v>7.9909999999999995E-2</v>
      </c>
    </row>
    <row r="1954" spans="1:6" x14ac:dyDescent="0.3">
      <c r="A1954" t="s">
        <v>22</v>
      </c>
      <c r="B1954" s="1">
        <v>45739</v>
      </c>
      <c r="C1954">
        <v>9</v>
      </c>
      <c r="D1954">
        <v>2.5049999999999999</v>
      </c>
      <c r="E1954" t="s">
        <v>6</v>
      </c>
      <c r="F1954">
        <v>9.9739999999999995E-2</v>
      </c>
    </row>
    <row r="1955" spans="1:6" x14ac:dyDescent="0.3">
      <c r="A1955" t="s">
        <v>22</v>
      </c>
      <c r="B1955" s="1">
        <v>45739</v>
      </c>
      <c r="C1955">
        <v>10</v>
      </c>
      <c r="D1955">
        <v>2.6949999999999998</v>
      </c>
      <c r="E1955" t="s">
        <v>6</v>
      </c>
      <c r="F1955">
        <v>7.034E-2</v>
      </c>
    </row>
    <row r="1956" spans="1:6" x14ac:dyDescent="0.3">
      <c r="A1956" t="s">
        <v>22</v>
      </c>
      <c r="B1956" s="1">
        <v>45739</v>
      </c>
      <c r="C1956">
        <v>11</v>
      </c>
      <c r="D1956">
        <v>2.7029999999999998</v>
      </c>
      <c r="E1956" t="s">
        <v>6</v>
      </c>
      <c r="F1956">
        <v>4.3159999999999997E-2</v>
      </c>
    </row>
    <row r="1957" spans="1:6" x14ac:dyDescent="0.3">
      <c r="A1957" t="s">
        <v>22</v>
      </c>
      <c r="B1957" s="1">
        <v>45739</v>
      </c>
      <c r="C1957">
        <v>12</v>
      </c>
      <c r="D1957">
        <v>2.992</v>
      </c>
      <c r="E1957" t="s">
        <v>6</v>
      </c>
      <c r="F1957">
        <v>4.199E-2</v>
      </c>
    </row>
    <row r="1958" spans="1:6" x14ac:dyDescent="0.3">
      <c r="A1958" t="s">
        <v>22</v>
      </c>
      <c r="B1958" s="1">
        <v>45739</v>
      </c>
      <c r="C1958">
        <v>13</v>
      </c>
      <c r="D1958">
        <v>5.2370000000000001</v>
      </c>
      <c r="E1958" t="s">
        <v>6</v>
      </c>
      <c r="F1958">
        <v>4.1210000000000004E-2</v>
      </c>
    </row>
    <row r="1959" spans="1:6" x14ac:dyDescent="0.3">
      <c r="A1959" t="s">
        <v>22</v>
      </c>
      <c r="B1959" s="1">
        <v>45739</v>
      </c>
      <c r="C1959">
        <v>14</v>
      </c>
      <c r="D1959">
        <v>4.2350000000000003</v>
      </c>
      <c r="E1959" t="s">
        <v>6</v>
      </c>
      <c r="F1959">
        <v>4.1270000000000001E-2</v>
      </c>
    </row>
    <row r="1960" spans="1:6" x14ac:dyDescent="0.3">
      <c r="A1960" t="s">
        <v>22</v>
      </c>
      <c r="B1960" s="1">
        <v>45739</v>
      </c>
      <c r="C1960">
        <v>15</v>
      </c>
      <c r="D1960">
        <v>3.1219999999999999</v>
      </c>
      <c r="E1960" t="s">
        <v>6</v>
      </c>
      <c r="F1960">
        <v>4.1280000000000004E-2</v>
      </c>
    </row>
    <row r="1961" spans="1:6" x14ac:dyDescent="0.3">
      <c r="A1961" t="s">
        <v>22</v>
      </c>
      <c r="B1961" s="1">
        <v>45739</v>
      </c>
      <c r="C1961">
        <v>16</v>
      </c>
      <c r="D1961">
        <v>3.452</v>
      </c>
      <c r="E1961" t="s">
        <v>6</v>
      </c>
      <c r="F1961">
        <v>4.2389999999999997E-2</v>
      </c>
    </row>
    <row r="1962" spans="1:6" x14ac:dyDescent="0.3">
      <c r="A1962" t="s">
        <v>22</v>
      </c>
      <c r="B1962" s="1">
        <v>45739</v>
      </c>
      <c r="C1962">
        <v>17</v>
      </c>
      <c r="D1962">
        <v>2.4649999999999999</v>
      </c>
      <c r="E1962" t="s">
        <v>6</v>
      </c>
      <c r="F1962">
        <v>4.3720000000000002E-2</v>
      </c>
    </row>
    <row r="1963" spans="1:6" x14ac:dyDescent="0.3">
      <c r="A1963" t="s">
        <v>22</v>
      </c>
      <c r="B1963" s="1">
        <v>45739</v>
      </c>
      <c r="C1963">
        <v>18</v>
      </c>
      <c r="D1963">
        <v>1.893</v>
      </c>
      <c r="E1963" t="s">
        <v>6</v>
      </c>
      <c r="F1963">
        <v>7.2489999999999999E-2</v>
      </c>
    </row>
    <row r="1964" spans="1:6" x14ac:dyDescent="0.3">
      <c r="A1964" t="s">
        <v>22</v>
      </c>
      <c r="B1964" s="1">
        <v>45739</v>
      </c>
      <c r="C1964">
        <v>19</v>
      </c>
      <c r="D1964">
        <v>3.1890000000000001</v>
      </c>
      <c r="E1964" t="s">
        <v>6</v>
      </c>
      <c r="F1964">
        <v>0.10834999999999999</v>
      </c>
    </row>
    <row r="1965" spans="1:6" x14ac:dyDescent="0.3">
      <c r="A1965" t="s">
        <v>22</v>
      </c>
      <c r="B1965" s="1">
        <v>45739</v>
      </c>
      <c r="C1965">
        <v>20</v>
      </c>
      <c r="D1965">
        <v>2.851</v>
      </c>
      <c r="E1965" t="s">
        <v>6</v>
      </c>
      <c r="F1965">
        <v>0.16553999999999999</v>
      </c>
    </row>
    <row r="1966" spans="1:6" x14ac:dyDescent="0.3">
      <c r="A1966" t="s">
        <v>22</v>
      </c>
      <c r="B1966" s="1">
        <v>45739</v>
      </c>
      <c r="C1966">
        <v>21</v>
      </c>
      <c r="D1966">
        <v>2.9420000000000002</v>
      </c>
      <c r="E1966" t="s">
        <v>6</v>
      </c>
      <c r="F1966">
        <v>0.18668999999999999</v>
      </c>
    </row>
    <row r="1967" spans="1:6" x14ac:dyDescent="0.3">
      <c r="A1967" t="s">
        <v>22</v>
      </c>
      <c r="B1967" s="1">
        <v>45739</v>
      </c>
      <c r="C1967">
        <v>22</v>
      </c>
      <c r="D1967">
        <v>3.972</v>
      </c>
      <c r="E1967" t="s">
        <v>6</v>
      </c>
      <c r="F1967">
        <v>0.17147000000000001</v>
      </c>
    </row>
    <row r="1968" spans="1:6" x14ac:dyDescent="0.3">
      <c r="A1968" t="s">
        <v>22</v>
      </c>
      <c r="B1968" s="1">
        <v>45739</v>
      </c>
      <c r="C1968">
        <v>23</v>
      </c>
      <c r="D1968">
        <v>2.7370000000000001</v>
      </c>
      <c r="E1968" t="s">
        <v>6</v>
      </c>
      <c r="F1968">
        <v>0.15787999999999999</v>
      </c>
    </row>
    <row r="1969" spans="1:6" x14ac:dyDescent="0.3">
      <c r="A1969" t="s">
        <v>22</v>
      </c>
      <c r="B1969" s="1">
        <v>45739</v>
      </c>
      <c r="C1969">
        <v>24</v>
      </c>
      <c r="D1969">
        <v>2.7839999999999998</v>
      </c>
      <c r="E1969" t="s">
        <v>6</v>
      </c>
      <c r="F1969">
        <v>0.1181</v>
      </c>
    </row>
    <row r="1970" spans="1:6" x14ac:dyDescent="0.3">
      <c r="A1970" t="s">
        <v>22</v>
      </c>
      <c r="B1970" s="1">
        <v>45740</v>
      </c>
      <c r="C1970">
        <v>1</v>
      </c>
      <c r="D1970">
        <v>2.839</v>
      </c>
      <c r="E1970" t="s">
        <v>6</v>
      </c>
      <c r="F1970">
        <v>0.11026000000000001</v>
      </c>
    </row>
    <row r="1971" spans="1:6" x14ac:dyDescent="0.3">
      <c r="A1971" t="s">
        <v>22</v>
      </c>
      <c r="B1971" s="1">
        <v>45740</v>
      </c>
      <c r="C1971">
        <v>2</v>
      </c>
      <c r="D1971">
        <v>2.34</v>
      </c>
      <c r="E1971" t="s">
        <v>6</v>
      </c>
      <c r="F1971">
        <v>9.8150000000000001E-2</v>
      </c>
    </row>
    <row r="1972" spans="1:6" x14ac:dyDescent="0.3">
      <c r="A1972" t="s">
        <v>22</v>
      </c>
      <c r="B1972" s="1">
        <v>45740</v>
      </c>
      <c r="C1972">
        <v>3</v>
      </c>
      <c r="D1972">
        <v>1.913</v>
      </c>
      <c r="E1972" t="s">
        <v>6</v>
      </c>
      <c r="F1972">
        <v>9.1209999999999999E-2</v>
      </c>
    </row>
    <row r="1973" spans="1:6" x14ac:dyDescent="0.3">
      <c r="A1973" t="s">
        <v>22</v>
      </c>
      <c r="B1973" s="1">
        <v>45740</v>
      </c>
      <c r="C1973">
        <v>4</v>
      </c>
      <c r="D1973">
        <v>1.9410000000000001</v>
      </c>
      <c r="E1973" t="s">
        <v>6</v>
      </c>
      <c r="F1973">
        <v>9.0219999999999995E-2</v>
      </c>
    </row>
    <row r="1974" spans="1:6" x14ac:dyDescent="0.3">
      <c r="A1974" t="s">
        <v>22</v>
      </c>
      <c r="B1974" s="1">
        <v>45740</v>
      </c>
      <c r="C1974">
        <v>5</v>
      </c>
      <c r="D1974">
        <v>1.9670000000000001</v>
      </c>
      <c r="E1974" t="s">
        <v>6</v>
      </c>
      <c r="F1974">
        <v>9.078E-2</v>
      </c>
    </row>
    <row r="1975" spans="1:6" x14ac:dyDescent="0.3">
      <c r="A1975" t="s">
        <v>22</v>
      </c>
      <c r="B1975" s="1">
        <v>45740</v>
      </c>
      <c r="C1975">
        <v>6</v>
      </c>
      <c r="D1975">
        <v>1.913</v>
      </c>
      <c r="E1975" t="s">
        <v>6</v>
      </c>
      <c r="F1975">
        <v>8.6930000000000007E-2</v>
      </c>
    </row>
    <row r="1976" spans="1:6" x14ac:dyDescent="0.3">
      <c r="A1976" t="s">
        <v>22</v>
      </c>
      <c r="B1976" s="1">
        <v>45740</v>
      </c>
      <c r="C1976">
        <v>7</v>
      </c>
      <c r="D1976">
        <v>3.03</v>
      </c>
      <c r="E1976" t="s">
        <v>6</v>
      </c>
      <c r="F1976">
        <v>0.10045</v>
      </c>
    </row>
    <row r="1977" spans="1:6" x14ac:dyDescent="0.3">
      <c r="A1977" t="s">
        <v>22</v>
      </c>
      <c r="B1977" s="1">
        <v>45740</v>
      </c>
      <c r="C1977">
        <v>8</v>
      </c>
      <c r="D1977">
        <v>3.2029999999999998</v>
      </c>
      <c r="E1977" t="s">
        <v>6</v>
      </c>
      <c r="F1977">
        <v>0.1285</v>
      </c>
    </row>
    <row r="1978" spans="1:6" x14ac:dyDescent="0.3">
      <c r="A1978" t="s">
        <v>22</v>
      </c>
      <c r="B1978" s="1">
        <v>45740</v>
      </c>
      <c r="C1978">
        <v>9</v>
      </c>
      <c r="D1978">
        <v>0.71699999999999997</v>
      </c>
      <c r="E1978" t="s">
        <v>6</v>
      </c>
      <c r="F1978">
        <v>0.11727</v>
      </c>
    </row>
    <row r="1979" spans="1:6" x14ac:dyDescent="0.3">
      <c r="A1979" t="s">
        <v>22</v>
      </c>
      <c r="B1979" s="1">
        <v>45740</v>
      </c>
      <c r="C1979">
        <v>10</v>
      </c>
      <c r="D1979">
        <v>0.58099999999999996</v>
      </c>
      <c r="E1979" t="s">
        <v>6</v>
      </c>
      <c r="F1979">
        <v>8.3860000000000004E-2</v>
      </c>
    </row>
    <row r="1980" spans="1:6" x14ac:dyDescent="0.3">
      <c r="A1980" t="s">
        <v>22</v>
      </c>
      <c r="B1980" s="1">
        <v>45740</v>
      </c>
      <c r="C1980">
        <v>11</v>
      </c>
      <c r="D1980">
        <v>0.628</v>
      </c>
      <c r="E1980" t="s">
        <v>6</v>
      </c>
      <c r="F1980">
        <v>0.12943000000000002</v>
      </c>
    </row>
    <row r="1981" spans="1:6" x14ac:dyDescent="0.3">
      <c r="A1981" t="s">
        <v>22</v>
      </c>
      <c r="B1981" s="1">
        <v>45740</v>
      </c>
      <c r="C1981">
        <v>12</v>
      </c>
      <c r="D1981">
        <v>0.56599999999999995</v>
      </c>
      <c r="E1981" t="s">
        <v>6</v>
      </c>
      <c r="F1981">
        <v>0.12429999999999999</v>
      </c>
    </row>
    <row r="1982" spans="1:6" x14ac:dyDescent="0.3">
      <c r="A1982" t="s">
        <v>22</v>
      </c>
      <c r="B1982" s="1">
        <v>45740</v>
      </c>
      <c r="C1982">
        <v>13</v>
      </c>
      <c r="D1982">
        <v>1.181</v>
      </c>
      <c r="E1982" t="s">
        <v>6</v>
      </c>
      <c r="F1982">
        <v>0.12404000000000001</v>
      </c>
    </row>
    <row r="1983" spans="1:6" x14ac:dyDescent="0.3">
      <c r="A1983" t="s">
        <v>22</v>
      </c>
      <c r="B1983" s="1">
        <v>45740</v>
      </c>
      <c r="C1983">
        <v>14</v>
      </c>
      <c r="D1983">
        <v>0.78900000000000003</v>
      </c>
      <c r="E1983" t="s">
        <v>6</v>
      </c>
      <c r="F1983">
        <v>0.12329999999999999</v>
      </c>
    </row>
    <row r="1984" spans="1:6" x14ac:dyDescent="0.3">
      <c r="A1984" t="s">
        <v>22</v>
      </c>
      <c r="B1984" s="1">
        <v>45740</v>
      </c>
      <c r="C1984">
        <v>15</v>
      </c>
      <c r="D1984">
        <v>0.85199999999999998</v>
      </c>
      <c r="E1984" t="s">
        <v>6</v>
      </c>
      <c r="F1984">
        <v>5.987E-2</v>
      </c>
    </row>
    <row r="1985" spans="1:6" x14ac:dyDescent="0.3">
      <c r="A1985" t="s">
        <v>22</v>
      </c>
      <c r="B1985" s="1">
        <v>45740</v>
      </c>
      <c r="C1985">
        <v>16</v>
      </c>
      <c r="D1985">
        <v>2.2130000000000001</v>
      </c>
      <c r="E1985" t="s">
        <v>6</v>
      </c>
      <c r="F1985">
        <v>6.0850000000000001E-2</v>
      </c>
    </row>
    <row r="1986" spans="1:6" x14ac:dyDescent="0.3">
      <c r="A1986" t="s">
        <v>22</v>
      </c>
      <c r="B1986" s="1">
        <v>45740</v>
      </c>
      <c r="C1986">
        <v>17</v>
      </c>
      <c r="D1986">
        <v>2.94</v>
      </c>
      <c r="E1986" t="s">
        <v>6</v>
      </c>
      <c r="F1986">
        <v>6.6930000000000003E-2</v>
      </c>
    </row>
    <row r="1987" spans="1:6" x14ac:dyDescent="0.3">
      <c r="A1987" t="s">
        <v>22</v>
      </c>
      <c r="B1987" s="1">
        <v>45740</v>
      </c>
      <c r="C1987">
        <v>18</v>
      </c>
      <c r="D1987">
        <v>2.2149999999999999</v>
      </c>
      <c r="E1987" t="s">
        <v>6</v>
      </c>
      <c r="F1987">
        <v>0.11022</v>
      </c>
    </row>
    <row r="1988" spans="1:6" x14ac:dyDescent="0.3">
      <c r="A1988" t="s">
        <v>22</v>
      </c>
      <c r="B1988" s="1">
        <v>45740</v>
      </c>
      <c r="C1988">
        <v>19</v>
      </c>
      <c r="D1988">
        <v>2.3839999999999999</v>
      </c>
      <c r="E1988" t="s">
        <v>6</v>
      </c>
      <c r="F1988">
        <v>0.21324000000000001</v>
      </c>
    </row>
    <row r="1989" spans="1:6" x14ac:dyDescent="0.3">
      <c r="A1989" t="s">
        <v>22</v>
      </c>
      <c r="B1989" s="1">
        <v>45740</v>
      </c>
      <c r="C1989">
        <v>20</v>
      </c>
      <c r="D1989">
        <v>2.1909999999999998</v>
      </c>
      <c r="E1989" t="s">
        <v>6</v>
      </c>
      <c r="F1989">
        <v>0.33685999999999999</v>
      </c>
    </row>
    <row r="1990" spans="1:6" x14ac:dyDescent="0.3">
      <c r="A1990" t="s">
        <v>22</v>
      </c>
      <c r="B1990" s="1">
        <v>45740</v>
      </c>
      <c r="C1990">
        <v>21</v>
      </c>
      <c r="D1990">
        <v>3.0529999999999999</v>
      </c>
      <c r="E1990" t="s">
        <v>6</v>
      </c>
      <c r="F1990">
        <v>0.30898000000000003</v>
      </c>
    </row>
    <row r="1991" spans="1:6" x14ac:dyDescent="0.3">
      <c r="A1991" t="s">
        <v>22</v>
      </c>
      <c r="B1991" s="1">
        <v>45740</v>
      </c>
      <c r="C1991">
        <v>22</v>
      </c>
      <c r="D1991">
        <v>1.375</v>
      </c>
      <c r="E1991" t="s">
        <v>6</v>
      </c>
      <c r="F1991">
        <v>0.26591000000000004</v>
      </c>
    </row>
    <row r="1992" spans="1:6" x14ac:dyDescent="0.3">
      <c r="A1992" t="s">
        <v>22</v>
      </c>
      <c r="B1992" s="1">
        <v>45740</v>
      </c>
      <c r="C1992">
        <v>23</v>
      </c>
      <c r="D1992">
        <v>0.30399999999999999</v>
      </c>
      <c r="E1992" t="s">
        <v>6</v>
      </c>
      <c r="F1992">
        <v>0.18672999999999998</v>
      </c>
    </row>
    <row r="1993" spans="1:6" x14ac:dyDescent="0.3">
      <c r="A1993" t="s">
        <v>22</v>
      </c>
      <c r="B1993" s="1">
        <v>45740</v>
      </c>
      <c r="C1993">
        <v>24</v>
      </c>
      <c r="D1993">
        <v>0.26200000000000001</v>
      </c>
      <c r="E1993" t="s">
        <v>6</v>
      </c>
      <c r="F1993">
        <v>0.15627000000000002</v>
      </c>
    </row>
    <row r="1994" spans="1:6" x14ac:dyDescent="0.3">
      <c r="A1994" t="s">
        <v>22</v>
      </c>
      <c r="B1994" s="1">
        <v>45741</v>
      </c>
      <c r="C1994">
        <v>1</v>
      </c>
      <c r="D1994">
        <v>0.186</v>
      </c>
      <c r="E1994" t="s">
        <v>6</v>
      </c>
      <c r="F1994">
        <v>9.3709999999999988E-2</v>
      </c>
    </row>
    <row r="1995" spans="1:6" x14ac:dyDescent="0.3">
      <c r="A1995" t="s">
        <v>22</v>
      </c>
      <c r="B1995" s="1">
        <v>45741</v>
      </c>
      <c r="C1995">
        <v>2</v>
      </c>
      <c r="D1995">
        <v>0.129</v>
      </c>
      <c r="E1995" t="s">
        <v>6</v>
      </c>
      <c r="F1995">
        <v>7.3849999999999999E-2</v>
      </c>
    </row>
    <row r="1996" spans="1:6" x14ac:dyDescent="0.3">
      <c r="A1996" t="s">
        <v>22</v>
      </c>
      <c r="B1996" s="1">
        <v>45741</v>
      </c>
      <c r="C1996">
        <v>3</v>
      </c>
      <c r="D1996">
        <v>0.104</v>
      </c>
      <c r="E1996" t="s">
        <v>6</v>
      </c>
      <c r="F1996">
        <v>7.0139999999999994E-2</v>
      </c>
    </row>
    <row r="1997" spans="1:6" x14ac:dyDescent="0.3">
      <c r="A1997" t="s">
        <v>22</v>
      </c>
      <c r="B1997" s="1">
        <v>45741</v>
      </c>
      <c r="C1997">
        <v>4</v>
      </c>
      <c r="D1997">
        <v>1.038</v>
      </c>
      <c r="E1997" t="s">
        <v>6</v>
      </c>
      <c r="F1997">
        <v>6.6280000000000006E-2</v>
      </c>
    </row>
    <row r="1998" spans="1:6" x14ac:dyDescent="0.3">
      <c r="A1998" t="s">
        <v>22</v>
      </c>
      <c r="B1998" s="1">
        <v>45741</v>
      </c>
      <c r="C1998">
        <v>5</v>
      </c>
      <c r="D1998">
        <v>2.8889999999999998</v>
      </c>
      <c r="E1998" t="s">
        <v>6</v>
      </c>
      <c r="F1998">
        <v>6.7129999999999995E-2</v>
      </c>
    </row>
    <row r="1999" spans="1:6" x14ac:dyDescent="0.3">
      <c r="A1999" t="s">
        <v>22</v>
      </c>
      <c r="B1999" s="1">
        <v>45741</v>
      </c>
      <c r="C1999">
        <v>6</v>
      </c>
      <c r="D1999">
        <v>2.1850000000000001</v>
      </c>
      <c r="E1999" t="s">
        <v>6</v>
      </c>
      <c r="F1999">
        <v>7.1989999999999998E-2</v>
      </c>
    </row>
    <row r="2000" spans="1:6" x14ac:dyDescent="0.3">
      <c r="A2000" t="s">
        <v>22</v>
      </c>
      <c r="B2000" s="1">
        <v>45741</v>
      </c>
      <c r="C2000">
        <v>7</v>
      </c>
      <c r="D2000">
        <v>2.23</v>
      </c>
      <c r="E2000" t="s">
        <v>6</v>
      </c>
      <c r="F2000">
        <v>8.591E-2</v>
      </c>
    </row>
    <row r="2001" spans="1:6" x14ac:dyDescent="0.3">
      <c r="A2001" t="s">
        <v>22</v>
      </c>
      <c r="B2001" s="1">
        <v>45741</v>
      </c>
      <c r="C2001">
        <v>8</v>
      </c>
      <c r="D2001">
        <v>2.8079999999999998</v>
      </c>
      <c r="E2001" t="s">
        <v>6</v>
      </c>
      <c r="F2001">
        <v>0.14562999999999998</v>
      </c>
    </row>
    <row r="2002" spans="1:6" x14ac:dyDescent="0.3">
      <c r="A2002" t="s">
        <v>22</v>
      </c>
      <c r="B2002" s="1">
        <v>45741</v>
      </c>
      <c r="C2002">
        <v>9</v>
      </c>
      <c r="D2002">
        <v>3.0819999999999999</v>
      </c>
      <c r="E2002" t="s">
        <v>6</v>
      </c>
      <c r="F2002">
        <v>0.10734</v>
      </c>
    </row>
    <row r="2003" spans="1:6" x14ac:dyDescent="0.3">
      <c r="A2003" t="s">
        <v>22</v>
      </c>
      <c r="B2003" s="1">
        <v>45741</v>
      </c>
      <c r="C2003">
        <v>10</v>
      </c>
      <c r="D2003">
        <v>2.0070000000000001</v>
      </c>
      <c r="E2003" t="s">
        <v>6</v>
      </c>
      <c r="F2003">
        <v>6.4360000000000001E-2</v>
      </c>
    </row>
    <row r="2004" spans="1:6" x14ac:dyDescent="0.3">
      <c r="A2004" t="s">
        <v>22</v>
      </c>
      <c r="B2004" s="1">
        <v>45741</v>
      </c>
      <c r="C2004">
        <v>11</v>
      </c>
      <c r="D2004">
        <v>1.79</v>
      </c>
      <c r="E2004" t="s">
        <v>6</v>
      </c>
      <c r="F2004">
        <v>0.12833</v>
      </c>
    </row>
    <row r="2005" spans="1:6" x14ac:dyDescent="0.3">
      <c r="A2005" t="s">
        <v>22</v>
      </c>
      <c r="B2005" s="1">
        <v>45741</v>
      </c>
      <c r="C2005">
        <v>12</v>
      </c>
      <c r="D2005">
        <v>1.726</v>
      </c>
      <c r="E2005" t="s">
        <v>6</v>
      </c>
      <c r="F2005">
        <v>0.12725</v>
      </c>
    </row>
    <row r="2006" spans="1:6" x14ac:dyDescent="0.3">
      <c r="A2006" t="s">
        <v>22</v>
      </c>
      <c r="B2006" s="1">
        <v>45741</v>
      </c>
      <c r="C2006">
        <v>13</v>
      </c>
      <c r="D2006">
        <v>2.2189999999999999</v>
      </c>
      <c r="E2006" t="s">
        <v>6</v>
      </c>
      <c r="F2006">
        <v>0.12712999999999999</v>
      </c>
    </row>
    <row r="2007" spans="1:6" x14ac:dyDescent="0.3">
      <c r="A2007" t="s">
        <v>22</v>
      </c>
      <c r="B2007" s="1">
        <v>45741</v>
      </c>
      <c r="C2007">
        <v>14</v>
      </c>
      <c r="D2007">
        <v>2.2610000000000001</v>
      </c>
      <c r="E2007" t="s">
        <v>6</v>
      </c>
      <c r="F2007">
        <v>0.12465999999999999</v>
      </c>
    </row>
    <row r="2008" spans="1:6" x14ac:dyDescent="0.3">
      <c r="A2008" t="s">
        <v>22</v>
      </c>
      <c r="B2008" s="1">
        <v>45741</v>
      </c>
      <c r="C2008">
        <v>15</v>
      </c>
      <c r="D2008">
        <v>3.488</v>
      </c>
      <c r="E2008" t="s">
        <v>6</v>
      </c>
      <c r="F2008">
        <v>6.0179999999999997E-2</v>
      </c>
    </row>
    <row r="2009" spans="1:6" x14ac:dyDescent="0.3">
      <c r="A2009" t="s">
        <v>22</v>
      </c>
      <c r="B2009" s="1">
        <v>45741</v>
      </c>
      <c r="C2009">
        <v>16</v>
      </c>
      <c r="D2009">
        <v>2.69</v>
      </c>
      <c r="E2009" t="s">
        <v>6</v>
      </c>
      <c r="F2009">
        <v>6.2189999999999995E-2</v>
      </c>
    </row>
    <row r="2010" spans="1:6" x14ac:dyDescent="0.3">
      <c r="A2010" t="s">
        <v>22</v>
      </c>
      <c r="B2010" s="1">
        <v>45741</v>
      </c>
      <c r="C2010">
        <v>17</v>
      </c>
      <c r="D2010">
        <v>4.843</v>
      </c>
      <c r="E2010" t="s">
        <v>6</v>
      </c>
      <c r="F2010">
        <v>6.2119999999999995E-2</v>
      </c>
    </row>
    <row r="2011" spans="1:6" x14ac:dyDescent="0.3">
      <c r="A2011" t="s">
        <v>22</v>
      </c>
      <c r="B2011" s="1">
        <v>45741</v>
      </c>
      <c r="C2011">
        <v>18</v>
      </c>
      <c r="D2011">
        <v>3.2850000000000001</v>
      </c>
      <c r="E2011" t="s">
        <v>6</v>
      </c>
      <c r="F2011">
        <v>0.11924999999999999</v>
      </c>
    </row>
    <row r="2012" spans="1:6" x14ac:dyDescent="0.3">
      <c r="A2012" t="s">
        <v>22</v>
      </c>
      <c r="B2012" s="1">
        <v>45741</v>
      </c>
      <c r="C2012">
        <v>19</v>
      </c>
      <c r="D2012">
        <v>1.897</v>
      </c>
      <c r="E2012" t="s">
        <v>6</v>
      </c>
      <c r="F2012">
        <v>0.20355000000000001</v>
      </c>
    </row>
    <row r="2013" spans="1:6" x14ac:dyDescent="0.3">
      <c r="A2013" t="s">
        <v>22</v>
      </c>
      <c r="B2013" s="1">
        <v>45741</v>
      </c>
      <c r="C2013">
        <v>20</v>
      </c>
      <c r="D2013">
        <v>2.3959999999999999</v>
      </c>
      <c r="E2013" t="s">
        <v>6</v>
      </c>
      <c r="F2013">
        <v>0.31237999999999999</v>
      </c>
    </row>
    <row r="2014" spans="1:6" x14ac:dyDescent="0.3">
      <c r="A2014" t="s">
        <v>22</v>
      </c>
      <c r="B2014" s="1">
        <v>45741</v>
      </c>
      <c r="C2014">
        <v>21</v>
      </c>
      <c r="D2014">
        <v>2.613</v>
      </c>
      <c r="E2014" t="s">
        <v>6</v>
      </c>
      <c r="F2014">
        <v>0.31264999999999998</v>
      </c>
    </row>
    <row r="2015" spans="1:6" x14ac:dyDescent="0.3">
      <c r="A2015" t="s">
        <v>22</v>
      </c>
      <c r="B2015" s="1">
        <v>45741</v>
      </c>
      <c r="C2015">
        <v>22</v>
      </c>
      <c r="D2015">
        <v>2.4990000000000001</v>
      </c>
      <c r="E2015" t="s">
        <v>6</v>
      </c>
      <c r="F2015">
        <v>0.27768999999999999</v>
      </c>
    </row>
    <row r="2016" spans="1:6" x14ac:dyDescent="0.3">
      <c r="A2016" t="s">
        <v>22</v>
      </c>
      <c r="B2016" s="1">
        <v>45741</v>
      </c>
      <c r="C2016">
        <v>23</v>
      </c>
      <c r="D2016">
        <v>1.996</v>
      </c>
      <c r="E2016" t="s">
        <v>6</v>
      </c>
      <c r="F2016">
        <v>0.18762000000000001</v>
      </c>
    </row>
    <row r="2017" spans="1:6" x14ac:dyDescent="0.3">
      <c r="A2017" t="s">
        <v>22</v>
      </c>
      <c r="B2017" s="1">
        <v>45741</v>
      </c>
      <c r="C2017">
        <v>24</v>
      </c>
      <c r="D2017">
        <v>1.752</v>
      </c>
      <c r="E2017" t="s">
        <v>6</v>
      </c>
      <c r="F2017">
        <v>0.18143000000000001</v>
      </c>
    </row>
    <row r="2018" spans="1:6" x14ac:dyDescent="0.3">
      <c r="A2018" t="s">
        <v>22</v>
      </c>
      <c r="B2018" s="1">
        <v>45742</v>
      </c>
      <c r="C2018">
        <v>1</v>
      </c>
      <c r="D2018">
        <v>1.6910000000000001</v>
      </c>
      <c r="E2018" t="s">
        <v>6</v>
      </c>
      <c r="F2018">
        <v>0.10477</v>
      </c>
    </row>
    <row r="2019" spans="1:6" x14ac:dyDescent="0.3">
      <c r="A2019" t="s">
        <v>22</v>
      </c>
      <c r="B2019" s="1">
        <v>45742</v>
      </c>
      <c r="C2019">
        <v>2</v>
      </c>
      <c r="D2019">
        <v>1.577</v>
      </c>
      <c r="E2019" t="s">
        <v>6</v>
      </c>
      <c r="F2019">
        <v>8.6900000000000005E-2</v>
      </c>
    </row>
    <row r="2020" spans="1:6" x14ac:dyDescent="0.3">
      <c r="A2020" t="s">
        <v>22</v>
      </c>
      <c r="B2020" s="1">
        <v>45742</v>
      </c>
      <c r="C2020">
        <v>3</v>
      </c>
      <c r="D2020">
        <v>1.71</v>
      </c>
      <c r="E2020" t="s">
        <v>6</v>
      </c>
      <c r="F2020">
        <v>7.7040000000000011E-2</v>
      </c>
    </row>
    <row r="2021" spans="1:6" x14ac:dyDescent="0.3">
      <c r="A2021" t="s">
        <v>22</v>
      </c>
      <c r="B2021" s="1">
        <v>45742</v>
      </c>
      <c r="C2021">
        <v>4</v>
      </c>
      <c r="D2021">
        <v>1.9359999999999999</v>
      </c>
      <c r="E2021" t="s">
        <v>6</v>
      </c>
      <c r="F2021">
        <v>7.2599999999999998E-2</v>
      </c>
    </row>
    <row r="2022" spans="1:6" x14ac:dyDescent="0.3">
      <c r="A2022" t="s">
        <v>22</v>
      </c>
      <c r="B2022" s="1">
        <v>45742</v>
      </c>
      <c r="C2022">
        <v>5</v>
      </c>
      <c r="D2022">
        <v>2.9350000000000001</v>
      </c>
      <c r="E2022" t="s">
        <v>6</v>
      </c>
      <c r="F2022">
        <v>7.7680000000000013E-2</v>
      </c>
    </row>
    <row r="2023" spans="1:6" x14ac:dyDescent="0.3">
      <c r="A2023" t="s">
        <v>22</v>
      </c>
      <c r="B2023" s="1">
        <v>45742</v>
      </c>
      <c r="C2023">
        <v>6</v>
      </c>
      <c r="D2023">
        <v>2.1240000000000001</v>
      </c>
      <c r="E2023" t="s">
        <v>6</v>
      </c>
      <c r="F2023">
        <v>8.5099999999999995E-2</v>
      </c>
    </row>
    <row r="2024" spans="1:6" x14ac:dyDescent="0.3">
      <c r="A2024" t="s">
        <v>22</v>
      </c>
      <c r="B2024" s="1">
        <v>45742</v>
      </c>
      <c r="C2024">
        <v>7</v>
      </c>
      <c r="D2024">
        <v>2.367</v>
      </c>
      <c r="E2024" t="s">
        <v>6</v>
      </c>
      <c r="F2024">
        <v>0.1162</v>
      </c>
    </row>
    <row r="2025" spans="1:6" x14ac:dyDescent="0.3">
      <c r="A2025" t="s">
        <v>22</v>
      </c>
      <c r="B2025" s="1">
        <v>45742</v>
      </c>
      <c r="C2025">
        <v>8</v>
      </c>
      <c r="D2025">
        <v>2.6989999999999998</v>
      </c>
      <c r="E2025" t="s">
        <v>6</v>
      </c>
      <c r="F2025">
        <v>0.15456999999999999</v>
      </c>
    </row>
    <row r="2026" spans="1:6" x14ac:dyDescent="0.3">
      <c r="A2026" t="s">
        <v>22</v>
      </c>
      <c r="B2026" s="1">
        <v>45742</v>
      </c>
      <c r="C2026">
        <v>9</v>
      </c>
      <c r="D2026">
        <v>2.3860000000000001</v>
      </c>
      <c r="E2026" t="s">
        <v>6</v>
      </c>
      <c r="F2026">
        <v>9.5810000000000006E-2</v>
      </c>
    </row>
    <row r="2027" spans="1:6" x14ac:dyDescent="0.3">
      <c r="A2027" t="s">
        <v>22</v>
      </c>
      <c r="B2027" s="1">
        <v>45742</v>
      </c>
      <c r="C2027">
        <v>10</v>
      </c>
      <c r="D2027">
        <v>1.79</v>
      </c>
      <c r="E2027" t="s">
        <v>6</v>
      </c>
      <c r="F2027">
        <v>6.5569999999999989E-2</v>
      </c>
    </row>
    <row r="2028" spans="1:6" x14ac:dyDescent="0.3">
      <c r="A2028" t="s">
        <v>22</v>
      </c>
      <c r="B2028" s="1">
        <v>45742</v>
      </c>
      <c r="C2028">
        <v>11</v>
      </c>
      <c r="D2028">
        <v>2.0950000000000002</v>
      </c>
      <c r="E2028" t="s">
        <v>6</v>
      </c>
      <c r="F2028">
        <v>0.13044</v>
      </c>
    </row>
    <row r="2029" spans="1:6" x14ac:dyDescent="0.3">
      <c r="A2029" t="s">
        <v>22</v>
      </c>
      <c r="B2029" s="1">
        <v>45742</v>
      </c>
      <c r="C2029">
        <v>12</v>
      </c>
      <c r="D2029">
        <v>4.7460000000000004</v>
      </c>
      <c r="E2029" t="s">
        <v>6</v>
      </c>
      <c r="F2029">
        <v>0.12936</v>
      </c>
    </row>
    <row r="2030" spans="1:6" x14ac:dyDescent="0.3">
      <c r="A2030" t="s">
        <v>22</v>
      </c>
      <c r="B2030" s="1">
        <v>45742</v>
      </c>
      <c r="C2030">
        <v>13</v>
      </c>
      <c r="D2030">
        <v>4.7629999999999999</v>
      </c>
      <c r="E2030" t="s">
        <v>6</v>
      </c>
      <c r="F2030">
        <v>0.12925999999999999</v>
      </c>
    </row>
    <row r="2031" spans="1:6" x14ac:dyDescent="0.3">
      <c r="A2031" t="s">
        <v>22</v>
      </c>
      <c r="B2031" s="1">
        <v>45742</v>
      </c>
      <c r="C2031">
        <v>14</v>
      </c>
      <c r="D2031">
        <v>5.2619999999999996</v>
      </c>
      <c r="E2031" t="s">
        <v>6</v>
      </c>
      <c r="F2031">
        <v>0.12686</v>
      </c>
    </row>
    <row r="2032" spans="1:6" x14ac:dyDescent="0.3">
      <c r="A2032" t="s">
        <v>22</v>
      </c>
      <c r="B2032" s="1">
        <v>45742</v>
      </c>
      <c r="C2032">
        <v>15</v>
      </c>
      <c r="D2032">
        <v>2.4409999999999998</v>
      </c>
      <c r="E2032" t="s">
        <v>6</v>
      </c>
      <c r="F2032">
        <v>6.2119999999999995E-2</v>
      </c>
    </row>
    <row r="2033" spans="1:6" x14ac:dyDescent="0.3">
      <c r="A2033" t="s">
        <v>22</v>
      </c>
      <c r="B2033" s="1">
        <v>45742</v>
      </c>
      <c r="C2033">
        <v>16</v>
      </c>
      <c r="D2033">
        <v>0.65600000000000003</v>
      </c>
      <c r="E2033" t="s">
        <v>6</v>
      </c>
      <c r="F2033">
        <v>6.2E-2</v>
      </c>
    </row>
    <row r="2034" spans="1:6" x14ac:dyDescent="0.3">
      <c r="A2034" t="s">
        <v>22</v>
      </c>
      <c r="B2034" s="1">
        <v>45742</v>
      </c>
      <c r="C2034">
        <v>17</v>
      </c>
      <c r="D2034">
        <v>0.875</v>
      </c>
      <c r="E2034" t="s">
        <v>6</v>
      </c>
      <c r="F2034">
        <v>6.2600000000000003E-2</v>
      </c>
    </row>
    <row r="2035" spans="1:6" x14ac:dyDescent="0.3">
      <c r="A2035" t="s">
        <v>22</v>
      </c>
      <c r="B2035" s="1">
        <v>45742</v>
      </c>
      <c r="C2035">
        <v>18</v>
      </c>
      <c r="D2035">
        <v>0.38900000000000001</v>
      </c>
      <c r="E2035" t="s">
        <v>6</v>
      </c>
      <c r="F2035">
        <v>6.1719999999999997E-2</v>
      </c>
    </row>
    <row r="2036" spans="1:6" x14ac:dyDescent="0.3">
      <c r="A2036" t="s">
        <v>22</v>
      </c>
      <c r="B2036" s="1">
        <v>45742</v>
      </c>
      <c r="C2036">
        <v>19</v>
      </c>
      <c r="D2036">
        <v>1.9750000000000001</v>
      </c>
      <c r="E2036" t="s">
        <v>6</v>
      </c>
      <c r="F2036">
        <v>0.16303999999999999</v>
      </c>
    </row>
    <row r="2037" spans="1:6" x14ac:dyDescent="0.3">
      <c r="A2037" t="s">
        <v>22</v>
      </c>
      <c r="B2037" s="1">
        <v>45742</v>
      </c>
      <c r="C2037">
        <v>20</v>
      </c>
      <c r="D2037">
        <v>2.1120000000000001</v>
      </c>
      <c r="E2037" t="s">
        <v>6</v>
      </c>
      <c r="F2037">
        <v>0.27393000000000001</v>
      </c>
    </row>
    <row r="2038" spans="1:6" x14ac:dyDescent="0.3">
      <c r="A2038" t="s">
        <v>22</v>
      </c>
      <c r="B2038" s="1">
        <v>45742</v>
      </c>
      <c r="C2038">
        <v>21</v>
      </c>
      <c r="D2038">
        <v>2.1869999999999998</v>
      </c>
      <c r="E2038" t="s">
        <v>6</v>
      </c>
      <c r="F2038">
        <v>0.27564999999999995</v>
      </c>
    </row>
    <row r="2039" spans="1:6" x14ac:dyDescent="0.3">
      <c r="A2039" t="s">
        <v>22</v>
      </c>
      <c r="B2039" s="1">
        <v>45742</v>
      </c>
      <c r="C2039">
        <v>22</v>
      </c>
      <c r="D2039">
        <v>2.3029999999999999</v>
      </c>
      <c r="E2039" t="s">
        <v>6</v>
      </c>
      <c r="F2039">
        <v>0.25196999999999997</v>
      </c>
    </row>
    <row r="2040" spans="1:6" x14ac:dyDescent="0.3">
      <c r="A2040" t="s">
        <v>22</v>
      </c>
      <c r="B2040" s="1">
        <v>45742</v>
      </c>
      <c r="C2040">
        <v>23</v>
      </c>
      <c r="D2040">
        <v>1.891</v>
      </c>
      <c r="E2040" t="s">
        <v>6</v>
      </c>
      <c r="F2040">
        <v>0.17821000000000001</v>
      </c>
    </row>
    <row r="2041" spans="1:6" x14ac:dyDescent="0.3">
      <c r="A2041" t="s">
        <v>22</v>
      </c>
      <c r="B2041" s="1">
        <v>45742</v>
      </c>
      <c r="C2041">
        <v>24</v>
      </c>
      <c r="D2041">
        <v>1.91</v>
      </c>
      <c r="E2041" t="s">
        <v>6</v>
      </c>
      <c r="F2041">
        <v>0.13181000000000001</v>
      </c>
    </row>
    <row r="2042" spans="1:6" x14ac:dyDescent="0.3">
      <c r="A2042" t="s">
        <v>22</v>
      </c>
      <c r="B2042" s="1">
        <v>45743</v>
      </c>
      <c r="C2042">
        <v>1</v>
      </c>
      <c r="D2042">
        <v>1.863</v>
      </c>
      <c r="E2042" t="s">
        <v>6</v>
      </c>
      <c r="F2042">
        <v>0.13863999999999999</v>
      </c>
    </row>
    <row r="2043" spans="1:6" x14ac:dyDescent="0.3">
      <c r="A2043" t="s">
        <v>22</v>
      </c>
      <c r="B2043" s="1">
        <v>45743</v>
      </c>
      <c r="C2043">
        <v>2</v>
      </c>
      <c r="D2043">
        <v>2.4430000000000001</v>
      </c>
      <c r="E2043" t="s">
        <v>6</v>
      </c>
      <c r="F2043">
        <v>0.10809999999999999</v>
      </c>
    </row>
    <row r="2044" spans="1:6" x14ac:dyDescent="0.3">
      <c r="A2044" t="s">
        <v>22</v>
      </c>
      <c r="B2044" s="1">
        <v>45743</v>
      </c>
      <c r="C2044">
        <v>3</v>
      </c>
      <c r="D2044">
        <v>2.6280000000000001</v>
      </c>
      <c r="E2044" t="s">
        <v>6</v>
      </c>
      <c r="F2044">
        <v>0.10648000000000001</v>
      </c>
    </row>
    <row r="2045" spans="1:6" x14ac:dyDescent="0.3">
      <c r="A2045" t="s">
        <v>22</v>
      </c>
      <c r="B2045" s="1">
        <v>45743</v>
      </c>
      <c r="C2045">
        <v>4</v>
      </c>
      <c r="D2045">
        <v>2.2069999999999999</v>
      </c>
      <c r="E2045" t="s">
        <v>6</v>
      </c>
      <c r="F2045">
        <v>9.7200000000000009E-2</v>
      </c>
    </row>
    <row r="2046" spans="1:6" x14ac:dyDescent="0.3">
      <c r="A2046" t="s">
        <v>22</v>
      </c>
      <c r="B2046" s="1">
        <v>45743</v>
      </c>
      <c r="C2046">
        <v>5</v>
      </c>
      <c r="D2046">
        <v>2.1619999999999999</v>
      </c>
      <c r="E2046" t="s">
        <v>6</v>
      </c>
      <c r="F2046">
        <v>9.781999999999999E-2</v>
      </c>
    </row>
    <row r="2047" spans="1:6" x14ac:dyDescent="0.3">
      <c r="A2047" t="s">
        <v>22</v>
      </c>
      <c r="B2047" s="1">
        <v>45743</v>
      </c>
      <c r="C2047">
        <v>6</v>
      </c>
      <c r="D2047">
        <v>2.2309999999999999</v>
      </c>
      <c r="E2047" t="s">
        <v>6</v>
      </c>
      <c r="F2047">
        <v>0.10579999999999999</v>
      </c>
    </row>
    <row r="2048" spans="1:6" x14ac:dyDescent="0.3">
      <c r="A2048" t="s">
        <v>22</v>
      </c>
      <c r="B2048" s="1">
        <v>45743</v>
      </c>
      <c r="C2048">
        <v>7</v>
      </c>
      <c r="D2048">
        <v>2.351</v>
      </c>
      <c r="E2048" t="s">
        <v>6</v>
      </c>
      <c r="F2048">
        <v>0.13741999999999999</v>
      </c>
    </row>
    <row r="2049" spans="1:6" x14ac:dyDescent="0.3">
      <c r="A2049" t="s">
        <v>22</v>
      </c>
      <c r="B2049" s="1">
        <v>45743</v>
      </c>
      <c r="C2049">
        <v>8</v>
      </c>
      <c r="D2049">
        <v>2.2930000000000001</v>
      </c>
      <c r="E2049" t="s">
        <v>6</v>
      </c>
      <c r="F2049">
        <v>0.17765</v>
      </c>
    </row>
    <row r="2050" spans="1:6" x14ac:dyDescent="0.3">
      <c r="A2050" t="s">
        <v>22</v>
      </c>
      <c r="B2050" s="1">
        <v>45743</v>
      </c>
      <c r="C2050">
        <v>9</v>
      </c>
      <c r="D2050">
        <v>1.8240000000000001</v>
      </c>
      <c r="E2050" t="s">
        <v>6</v>
      </c>
      <c r="F2050">
        <v>0.12790000000000001</v>
      </c>
    </row>
    <row r="2051" spans="1:6" x14ac:dyDescent="0.3">
      <c r="A2051" t="s">
        <v>22</v>
      </c>
      <c r="B2051" s="1">
        <v>45743</v>
      </c>
      <c r="C2051">
        <v>10</v>
      </c>
      <c r="D2051">
        <v>1.105</v>
      </c>
      <c r="E2051" t="s">
        <v>6</v>
      </c>
      <c r="F2051">
        <v>6.293E-2</v>
      </c>
    </row>
    <row r="2052" spans="1:6" x14ac:dyDescent="0.3">
      <c r="A2052" t="s">
        <v>22</v>
      </c>
      <c r="B2052" s="1">
        <v>45743</v>
      </c>
      <c r="C2052">
        <v>11</v>
      </c>
      <c r="D2052">
        <v>2.8220000000000001</v>
      </c>
      <c r="E2052" t="s">
        <v>6</v>
      </c>
      <c r="F2052">
        <v>0.12445000000000001</v>
      </c>
    </row>
    <row r="2053" spans="1:6" x14ac:dyDescent="0.3">
      <c r="A2053" t="s">
        <v>22</v>
      </c>
      <c r="B2053" s="1">
        <v>45743</v>
      </c>
      <c r="C2053">
        <v>12</v>
      </c>
      <c r="D2053">
        <v>1.306</v>
      </c>
      <c r="E2053" t="s">
        <v>6</v>
      </c>
      <c r="F2053">
        <v>0.12461</v>
      </c>
    </row>
    <row r="2054" spans="1:6" x14ac:dyDescent="0.3">
      <c r="A2054" t="s">
        <v>22</v>
      </c>
      <c r="B2054" s="1">
        <v>45743</v>
      </c>
      <c r="C2054">
        <v>13</v>
      </c>
      <c r="D2054">
        <v>1.8049999999999999</v>
      </c>
      <c r="E2054" t="s">
        <v>6</v>
      </c>
      <c r="F2054">
        <v>0.12440000000000001</v>
      </c>
    </row>
    <row r="2055" spans="1:6" x14ac:dyDescent="0.3">
      <c r="A2055" t="s">
        <v>22</v>
      </c>
      <c r="B2055" s="1">
        <v>45743</v>
      </c>
      <c r="C2055">
        <v>14</v>
      </c>
      <c r="D2055">
        <v>0.85199999999999998</v>
      </c>
      <c r="E2055" t="s">
        <v>6</v>
      </c>
      <c r="F2055">
        <v>0.12187000000000001</v>
      </c>
    </row>
    <row r="2056" spans="1:6" x14ac:dyDescent="0.3">
      <c r="A2056" t="s">
        <v>22</v>
      </c>
      <c r="B2056" s="1">
        <v>45743</v>
      </c>
      <c r="C2056">
        <v>15</v>
      </c>
      <c r="D2056">
        <v>0.20599999999999999</v>
      </c>
      <c r="E2056" t="s">
        <v>6</v>
      </c>
      <c r="F2056">
        <v>5.7110000000000001E-2</v>
      </c>
    </row>
    <row r="2057" spans="1:6" x14ac:dyDescent="0.3">
      <c r="A2057" t="s">
        <v>22</v>
      </c>
      <c r="B2057" s="1">
        <v>45743</v>
      </c>
      <c r="C2057">
        <v>16</v>
      </c>
      <c r="D2057">
        <v>0</v>
      </c>
      <c r="E2057" t="s">
        <v>6</v>
      </c>
      <c r="F2057">
        <v>5.7950000000000002E-2</v>
      </c>
    </row>
    <row r="2058" spans="1:6" x14ac:dyDescent="0.3">
      <c r="A2058" t="s">
        <v>22</v>
      </c>
      <c r="B2058" s="1">
        <v>45743</v>
      </c>
      <c r="C2058">
        <v>17</v>
      </c>
      <c r="D2058">
        <v>0</v>
      </c>
      <c r="E2058" t="s">
        <v>6</v>
      </c>
      <c r="F2058">
        <v>5.7619999999999998E-2</v>
      </c>
    </row>
    <row r="2059" spans="1:6" x14ac:dyDescent="0.3">
      <c r="A2059" t="s">
        <v>22</v>
      </c>
      <c r="B2059" s="1">
        <v>45743</v>
      </c>
      <c r="C2059">
        <v>18</v>
      </c>
      <c r="D2059">
        <v>0.877</v>
      </c>
      <c r="E2059" t="s">
        <v>6</v>
      </c>
      <c r="F2059">
        <v>6.5659999999999996E-2</v>
      </c>
    </row>
    <row r="2060" spans="1:6" x14ac:dyDescent="0.3">
      <c r="A2060" t="s">
        <v>22</v>
      </c>
      <c r="B2060" s="1">
        <v>45743</v>
      </c>
      <c r="C2060">
        <v>19</v>
      </c>
      <c r="D2060">
        <v>2.2069999999999999</v>
      </c>
      <c r="E2060" t="s">
        <v>6</v>
      </c>
      <c r="F2060">
        <v>0.17815999999999999</v>
      </c>
    </row>
    <row r="2061" spans="1:6" x14ac:dyDescent="0.3">
      <c r="A2061" t="s">
        <v>22</v>
      </c>
      <c r="B2061" s="1">
        <v>45743</v>
      </c>
      <c r="C2061">
        <v>20</v>
      </c>
      <c r="D2061">
        <v>2.1389999999999998</v>
      </c>
      <c r="E2061" t="s">
        <v>6</v>
      </c>
      <c r="F2061">
        <v>0.29843999999999998</v>
      </c>
    </row>
    <row r="2062" spans="1:6" x14ac:dyDescent="0.3">
      <c r="A2062" t="s">
        <v>22</v>
      </c>
      <c r="B2062" s="1">
        <v>45743</v>
      </c>
      <c r="C2062">
        <v>21</v>
      </c>
      <c r="D2062">
        <v>2.5910000000000002</v>
      </c>
      <c r="E2062" t="s">
        <v>6</v>
      </c>
      <c r="F2062">
        <v>0.27932999999999997</v>
      </c>
    </row>
    <row r="2063" spans="1:6" x14ac:dyDescent="0.3">
      <c r="A2063" t="s">
        <v>22</v>
      </c>
      <c r="B2063" s="1">
        <v>45743</v>
      </c>
      <c r="C2063">
        <v>22</v>
      </c>
      <c r="D2063">
        <v>3.0339999999999998</v>
      </c>
      <c r="E2063" t="s">
        <v>6</v>
      </c>
      <c r="F2063">
        <v>0.25752999999999998</v>
      </c>
    </row>
    <row r="2064" spans="1:6" x14ac:dyDescent="0.3">
      <c r="A2064" t="s">
        <v>22</v>
      </c>
      <c r="B2064" s="1">
        <v>45743</v>
      </c>
      <c r="C2064">
        <v>23</v>
      </c>
      <c r="D2064">
        <v>3.1190000000000002</v>
      </c>
      <c r="E2064" t="s">
        <v>6</v>
      </c>
      <c r="F2064">
        <v>0.18064</v>
      </c>
    </row>
    <row r="2065" spans="1:6" x14ac:dyDescent="0.3">
      <c r="A2065" t="s">
        <v>22</v>
      </c>
      <c r="B2065" s="1">
        <v>45743</v>
      </c>
      <c r="C2065">
        <v>24</v>
      </c>
      <c r="D2065">
        <v>2.5739999999999998</v>
      </c>
      <c r="E2065" t="s">
        <v>6</v>
      </c>
      <c r="F2065">
        <v>0.16793</v>
      </c>
    </row>
    <row r="2066" spans="1:6" x14ac:dyDescent="0.3">
      <c r="A2066" t="s">
        <v>22</v>
      </c>
      <c r="B2066" s="1">
        <v>45744</v>
      </c>
      <c r="C2066">
        <v>1</v>
      </c>
      <c r="D2066">
        <v>1.8959999999999999</v>
      </c>
      <c r="E2066" t="s">
        <v>6</v>
      </c>
      <c r="F2066">
        <v>0.11384999999999999</v>
      </c>
    </row>
    <row r="2067" spans="1:6" x14ac:dyDescent="0.3">
      <c r="A2067" t="s">
        <v>22</v>
      </c>
      <c r="B2067" s="1">
        <v>45744</v>
      </c>
      <c r="C2067">
        <v>2</v>
      </c>
      <c r="D2067">
        <v>2.2610000000000001</v>
      </c>
      <c r="E2067" t="s">
        <v>6</v>
      </c>
      <c r="F2067">
        <v>9.820000000000001E-2</v>
      </c>
    </row>
    <row r="2068" spans="1:6" x14ac:dyDescent="0.3">
      <c r="A2068" t="s">
        <v>22</v>
      </c>
      <c r="B2068" s="1">
        <v>45744</v>
      </c>
      <c r="C2068">
        <v>3</v>
      </c>
      <c r="D2068">
        <v>2.222</v>
      </c>
      <c r="E2068" t="s">
        <v>6</v>
      </c>
      <c r="F2068">
        <v>9.0650000000000008E-2</v>
      </c>
    </row>
    <row r="2069" spans="1:6" x14ac:dyDescent="0.3">
      <c r="A2069" t="s">
        <v>22</v>
      </c>
      <c r="B2069" s="1">
        <v>45744</v>
      </c>
      <c r="C2069">
        <v>4</v>
      </c>
      <c r="D2069">
        <v>1.8720000000000001</v>
      </c>
      <c r="E2069" t="s">
        <v>6</v>
      </c>
      <c r="F2069">
        <v>8.541E-2</v>
      </c>
    </row>
    <row r="2070" spans="1:6" x14ac:dyDescent="0.3">
      <c r="A2070" t="s">
        <v>22</v>
      </c>
      <c r="B2070" s="1">
        <v>45744</v>
      </c>
      <c r="C2070">
        <v>5</v>
      </c>
      <c r="D2070">
        <v>2.1680000000000001</v>
      </c>
      <c r="E2070" t="s">
        <v>6</v>
      </c>
      <c r="F2070">
        <v>8.5819999999999994E-2</v>
      </c>
    </row>
    <row r="2071" spans="1:6" x14ac:dyDescent="0.3">
      <c r="A2071" t="s">
        <v>22</v>
      </c>
      <c r="B2071" s="1">
        <v>45744</v>
      </c>
      <c r="C2071">
        <v>6</v>
      </c>
      <c r="D2071">
        <v>2.5539999999999998</v>
      </c>
      <c r="E2071" t="s">
        <v>6</v>
      </c>
      <c r="F2071">
        <v>9.1730000000000006E-2</v>
      </c>
    </row>
    <row r="2072" spans="1:6" x14ac:dyDescent="0.3">
      <c r="A2072" t="s">
        <v>22</v>
      </c>
      <c r="B2072" s="1">
        <v>45744</v>
      </c>
      <c r="C2072">
        <v>7</v>
      </c>
      <c r="D2072">
        <v>2.1429999999999998</v>
      </c>
      <c r="E2072" t="s">
        <v>6</v>
      </c>
      <c r="F2072">
        <v>0.11078</v>
      </c>
    </row>
    <row r="2073" spans="1:6" x14ac:dyDescent="0.3">
      <c r="A2073" t="s">
        <v>22</v>
      </c>
      <c r="B2073" s="1">
        <v>45744</v>
      </c>
      <c r="C2073">
        <v>8</v>
      </c>
      <c r="D2073">
        <v>2.46</v>
      </c>
      <c r="E2073" t="s">
        <v>6</v>
      </c>
      <c r="F2073">
        <v>0.14718000000000001</v>
      </c>
    </row>
    <row r="2074" spans="1:6" x14ac:dyDescent="0.3">
      <c r="A2074" t="s">
        <v>22</v>
      </c>
      <c r="B2074" s="1">
        <v>45744</v>
      </c>
      <c r="C2074">
        <v>9</v>
      </c>
      <c r="D2074">
        <v>1.4830000000000001</v>
      </c>
      <c r="E2074" t="s">
        <v>6</v>
      </c>
      <c r="F2074">
        <v>9.8530000000000006E-2</v>
      </c>
    </row>
    <row r="2075" spans="1:6" x14ac:dyDescent="0.3">
      <c r="A2075" t="s">
        <v>22</v>
      </c>
      <c r="B2075" s="1">
        <v>45744</v>
      </c>
      <c r="C2075">
        <v>10</v>
      </c>
      <c r="D2075">
        <v>0.32300000000000001</v>
      </c>
      <c r="E2075" t="s">
        <v>6</v>
      </c>
      <c r="F2075">
        <v>7.2739999999999999E-2</v>
      </c>
    </row>
    <row r="2076" spans="1:6" x14ac:dyDescent="0.3">
      <c r="A2076" t="s">
        <v>22</v>
      </c>
      <c r="B2076" s="1">
        <v>45744</v>
      </c>
      <c r="C2076">
        <v>11</v>
      </c>
      <c r="D2076">
        <v>0</v>
      </c>
      <c r="E2076" t="s">
        <v>6</v>
      </c>
      <c r="F2076">
        <v>0.13696</v>
      </c>
    </row>
    <row r="2077" spans="1:6" x14ac:dyDescent="0.3">
      <c r="A2077" t="s">
        <v>22</v>
      </c>
      <c r="B2077" s="1">
        <v>45744</v>
      </c>
      <c r="C2077">
        <v>12</v>
      </c>
      <c r="D2077">
        <v>0</v>
      </c>
      <c r="E2077" t="s">
        <v>6</v>
      </c>
      <c r="F2077">
        <v>0.13658000000000001</v>
      </c>
    </row>
    <row r="2078" spans="1:6" x14ac:dyDescent="0.3">
      <c r="A2078" t="s">
        <v>22</v>
      </c>
      <c r="B2078" s="1">
        <v>45744</v>
      </c>
      <c r="C2078">
        <v>13</v>
      </c>
      <c r="D2078">
        <v>0.85299999999999998</v>
      </c>
      <c r="E2078" t="s">
        <v>6</v>
      </c>
      <c r="F2078">
        <v>0.13664999999999999</v>
      </c>
    </row>
    <row r="2079" spans="1:6" x14ac:dyDescent="0.3">
      <c r="A2079" t="s">
        <v>22</v>
      </c>
      <c r="B2079" s="1">
        <v>45744</v>
      </c>
      <c r="C2079">
        <v>14</v>
      </c>
      <c r="D2079">
        <v>8.8999999999999996E-2</v>
      </c>
      <c r="E2079" t="s">
        <v>6</v>
      </c>
      <c r="F2079">
        <v>0.13422000000000001</v>
      </c>
    </row>
    <row r="2080" spans="1:6" x14ac:dyDescent="0.3">
      <c r="A2080" t="s">
        <v>22</v>
      </c>
      <c r="B2080" s="1">
        <v>45744</v>
      </c>
      <c r="C2080">
        <v>15</v>
      </c>
      <c r="D2080">
        <v>0</v>
      </c>
      <c r="E2080" t="s">
        <v>6</v>
      </c>
      <c r="F2080">
        <v>6.9089999999999999E-2</v>
      </c>
    </row>
    <row r="2081" spans="1:6" x14ac:dyDescent="0.3">
      <c r="A2081" t="s">
        <v>22</v>
      </c>
      <c r="B2081" s="1">
        <v>45744</v>
      </c>
      <c r="C2081">
        <v>16</v>
      </c>
      <c r="D2081">
        <v>0</v>
      </c>
      <c r="E2081" t="s">
        <v>6</v>
      </c>
      <c r="F2081">
        <v>6.8319999999999992E-2</v>
      </c>
    </row>
    <row r="2082" spans="1:6" x14ac:dyDescent="0.3">
      <c r="A2082" t="s">
        <v>22</v>
      </c>
      <c r="B2082" s="1">
        <v>45744</v>
      </c>
      <c r="C2082">
        <v>17</v>
      </c>
      <c r="D2082">
        <v>0</v>
      </c>
      <c r="E2082" t="s">
        <v>6</v>
      </c>
      <c r="F2082">
        <v>6.8819999999999992E-2</v>
      </c>
    </row>
    <row r="2083" spans="1:6" x14ac:dyDescent="0.3">
      <c r="A2083" t="s">
        <v>22</v>
      </c>
      <c r="B2083" s="1">
        <v>45744</v>
      </c>
      <c r="C2083">
        <v>18</v>
      </c>
      <c r="D2083">
        <v>0</v>
      </c>
      <c r="E2083" t="s">
        <v>6</v>
      </c>
      <c r="F2083">
        <v>6.6769999999999996E-2</v>
      </c>
    </row>
    <row r="2084" spans="1:6" x14ac:dyDescent="0.3">
      <c r="A2084" t="s">
        <v>22</v>
      </c>
      <c r="B2084" s="1">
        <v>45744</v>
      </c>
      <c r="C2084">
        <v>19</v>
      </c>
      <c r="D2084">
        <v>0.59799999999999998</v>
      </c>
      <c r="E2084" t="s">
        <v>6</v>
      </c>
      <c r="F2084">
        <v>0.14147999999999999</v>
      </c>
    </row>
    <row r="2085" spans="1:6" x14ac:dyDescent="0.3">
      <c r="A2085" t="s">
        <v>22</v>
      </c>
      <c r="B2085" s="1">
        <v>45744</v>
      </c>
      <c r="C2085">
        <v>20</v>
      </c>
      <c r="D2085">
        <v>1.619</v>
      </c>
      <c r="E2085" t="s">
        <v>6</v>
      </c>
      <c r="F2085">
        <v>0.20682</v>
      </c>
    </row>
    <row r="2086" spans="1:6" x14ac:dyDescent="0.3">
      <c r="A2086" t="s">
        <v>22</v>
      </c>
      <c r="B2086" s="1">
        <v>45744</v>
      </c>
      <c r="C2086">
        <v>21</v>
      </c>
      <c r="D2086">
        <v>2.702</v>
      </c>
      <c r="E2086" t="s">
        <v>6</v>
      </c>
      <c r="F2086">
        <v>0.23286999999999999</v>
      </c>
    </row>
    <row r="2087" spans="1:6" x14ac:dyDescent="0.3">
      <c r="A2087" t="s">
        <v>22</v>
      </c>
      <c r="B2087" s="1">
        <v>45744</v>
      </c>
      <c r="C2087">
        <v>22</v>
      </c>
      <c r="D2087">
        <v>2.3759999999999999</v>
      </c>
      <c r="E2087" t="s">
        <v>6</v>
      </c>
      <c r="F2087">
        <v>0.20824000000000001</v>
      </c>
    </row>
    <row r="2088" spans="1:6" x14ac:dyDescent="0.3">
      <c r="A2088" t="s">
        <v>22</v>
      </c>
      <c r="B2088" s="1">
        <v>45744</v>
      </c>
      <c r="C2088">
        <v>23</v>
      </c>
      <c r="D2088">
        <v>1.831</v>
      </c>
      <c r="E2088" t="s">
        <v>6</v>
      </c>
      <c r="F2088">
        <v>0.12776999999999999</v>
      </c>
    </row>
    <row r="2089" spans="1:6" x14ac:dyDescent="0.3">
      <c r="A2089" t="s">
        <v>22</v>
      </c>
      <c r="B2089" s="1">
        <v>45744</v>
      </c>
      <c r="C2089">
        <v>24</v>
      </c>
      <c r="D2089">
        <v>1.726</v>
      </c>
      <c r="E2089" t="s">
        <v>6</v>
      </c>
      <c r="F2089">
        <v>9.5230000000000009E-2</v>
      </c>
    </row>
    <row r="2090" spans="1:6" x14ac:dyDescent="0.3">
      <c r="A2090" t="s">
        <v>22</v>
      </c>
      <c r="B2090" s="1">
        <v>45745</v>
      </c>
      <c r="C2090">
        <v>1</v>
      </c>
      <c r="D2090">
        <v>1.575</v>
      </c>
      <c r="E2090" t="s">
        <v>6</v>
      </c>
      <c r="F2090">
        <v>7.4880000000000002E-2</v>
      </c>
    </row>
    <row r="2091" spans="1:6" x14ac:dyDescent="0.3">
      <c r="A2091" t="s">
        <v>22</v>
      </c>
      <c r="B2091" s="1">
        <v>45745</v>
      </c>
      <c r="C2091">
        <v>2</v>
      </c>
      <c r="D2091">
        <v>2.3650000000000002</v>
      </c>
      <c r="E2091" t="s">
        <v>6</v>
      </c>
      <c r="F2091">
        <v>7.5560000000000002E-2</v>
      </c>
    </row>
    <row r="2092" spans="1:6" x14ac:dyDescent="0.3">
      <c r="A2092" t="s">
        <v>22</v>
      </c>
      <c r="B2092" s="1">
        <v>45745</v>
      </c>
      <c r="C2092">
        <v>3</v>
      </c>
      <c r="D2092">
        <v>1.992</v>
      </c>
      <c r="E2092" t="s">
        <v>6</v>
      </c>
      <c r="F2092">
        <v>7.529000000000001E-2</v>
      </c>
    </row>
    <row r="2093" spans="1:6" x14ac:dyDescent="0.3">
      <c r="A2093" t="s">
        <v>22</v>
      </c>
      <c r="B2093" s="1">
        <v>45745</v>
      </c>
      <c r="C2093">
        <v>4</v>
      </c>
      <c r="D2093">
        <v>2.1179999999999999</v>
      </c>
      <c r="E2093" t="s">
        <v>6</v>
      </c>
      <c r="F2093">
        <v>7.0910000000000001E-2</v>
      </c>
    </row>
    <row r="2094" spans="1:6" x14ac:dyDescent="0.3">
      <c r="A2094" t="s">
        <v>22</v>
      </c>
      <c r="B2094" s="1">
        <v>45745</v>
      </c>
      <c r="C2094">
        <v>5</v>
      </c>
      <c r="D2094">
        <v>2.2839999999999998</v>
      </c>
      <c r="E2094" t="s">
        <v>6</v>
      </c>
      <c r="F2094">
        <v>7.1139999999999995E-2</v>
      </c>
    </row>
    <row r="2095" spans="1:6" x14ac:dyDescent="0.3">
      <c r="A2095" t="s">
        <v>22</v>
      </c>
      <c r="B2095" s="1">
        <v>45745</v>
      </c>
      <c r="C2095">
        <v>6</v>
      </c>
      <c r="D2095">
        <v>1.9850000000000001</v>
      </c>
      <c r="E2095" t="s">
        <v>6</v>
      </c>
      <c r="F2095">
        <v>7.1639999999999995E-2</v>
      </c>
    </row>
    <row r="2096" spans="1:6" x14ac:dyDescent="0.3">
      <c r="A2096" t="s">
        <v>22</v>
      </c>
      <c r="B2096" s="1">
        <v>45745</v>
      </c>
      <c r="C2096">
        <v>7</v>
      </c>
      <c r="D2096">
        <v>1.4810000000000001</v>
      </c>
      <c r="E2096" t="s">
        <v>6</v>
      </c>
      <c r="F2096">
        <v>7.1440000000000003E-2</v>
      </c>
    </row>
    <row r="2097" spans="1:6" x14ac:dyDescent="0.3">
      <c r="A2097" t="s">
        <v>22</v>
      </c>
      <c r="B2097" s="1">
        <v>45745</v>
      </c>
      <c r="C2097">
        <v>8</v>
      </c>
      <c r="D2097">
        <v>0.82899999999999996</v>
      </c>
      <c r="E2097" t="s">
        <v>6</v>
      </c>
      <c r="F2097">
        <v>6.9599999999999995E-2</v>
      </c>
    </row>
    <row r="2098" spans="1:6" x14ac:dyDescent="0.3">
      <c r="A2098" t="s">
        <v>22</v>
      </c>
      <c r="B2098" s="1">
        <v>45745</v>
      </c>
      <c r="C2098">
        <v>9</v>
      </c>
      <c r="D2098">
        <v>0</v>
      </c>
      <c r="E2098" t="s">
        <v>6</v>
      </c>
      <c r="F2098">
        <v>6.701E-2</v>
      </c>
    </row>
    <row r="2099" spans="1:6" x14ac:dyDescent="0.3">
      <c r="A2099" t="s">
        <v>22</v>
      </c>
      <c r="B2099" s="1">
        <v>45745</v>
      </c>
      <c r="C2099">
        <v>10</v>
      </c>
      <c r="D2099">
        <v>0</v>
      </c>
      <c r="E2099" t="s">
        <v>6</v>
      </c>
      <c r="F2099">
        <v>6.4030000000000004E-2</v>
      </c>
    </row>
    <row r="2100" spans="1:6" x14ac:dyDescent="0.3">
      <c r="A2100" t="s">
        <v>22</v>
      </c>
      <c r="B2100" s="1">
        <v>45745</v>
      </c>
      <c r="C2100">
        <v>11</v>
      </c>
      <c r="D2100">
        <v>0</v>
      </c>
      <c r="E2100" t="s">
        <v>6</v>
      </c>
      <c r="F2100">
        <v>5.858E-2</v>
      </c>
    </row>
    <row r="2101" spans="1:6" x14ac:dyDescent="0.3">
      <c r="A2101" t="s">
        <v>22</v>
      </c>
      <c r="B2101" s="1">
        <v>45745</v>
      </c>
      <c r="C2101">
        <v>12</v>
      </c>
      <c r="D2101">
        <v>0</v>
      </c>
      <c r="E2101" t="s">
        <v>6</v>
      </c>
      <c r="F2101">
        <v>5.7349999999999998E-2</v>
      </c>
    </row>
    <row r="2102" spans="1:6" x14ac:dyDescent="0.3">
      <c r="A2102" t="s">
        <v>22</v>
      </c>
      <c r="B2102" s="1">
        <v>45745</v>
      </c>
      <c r="C2102">
        <v>13</v>
      </c>
      <c r="D2102">
        <v>0</v>
      </c>
      <c r="E2102" t="s">
        <v>6</v>
      </c>
      <c r="F2102">
        <v>5.9859999999999997E-2</v>
      </c>
    </row>
    <row r="2103" spans="1:6" x14ac:dyDescent="0.3">
      <c r="A2103" t="s">
        <v>22</v>
      </c>
      <c r="B2103" s="1">
        <v>45745</v>
      </c>
      <c r="C2103">
        <v>14</v>
      </c>
      <c r="D2103">
        <v>1.5109999999999999</v>
      </c>
      <c r="E2103" t="s">
        <v>6</v>
      </c>
      <c r="F2103">
        <v>6.0359999999999997E-2</v>
      </c>
    </row>
    <row r="2104" spans="1:6" x14ac:dyDescent="0.3">
      <c r="A2104" t="s">
        <v>22</v>
      </c>
      <c r="B2104" s="1">
        <v>45745</v>
      </c>
      <c r="C2104">
        <v>15</v>
      </c>
      <c r="D2104">
        <v>0</v>
      </c>
      <c r="E2104" t="s">
        <v>6</v>
      </c>
      <c r="F2104">
        <v>6.1219999999999997E-2</v>
      </c>
    </row>
    <row r="2105" spans="1:6" x14ac:dyDescent="0.3">
      <c r="A2105" t="s">
        <v>22</v>
      </c>
      <c r="B2105" s="1">
        <v>45745</v>
      </c>
      <c r="C2105">
        <v>16</v>
      </c>
      <c r="D2105">
        <v>0</v>
      </c>
      <c r="E2105" t="s">
        <v>6</v>
      </c>
      <c r="F2105">
        <v>6.2700000000000006E-2</v>
      </c>
    </row>
    <row r="2106" spans="1:6" x14ac:dyDescent="0.3">
      <c r="A2106" t="s">
        <v>22</v>
      </c>
      <c r="B2106" s="1">
        <v>45745</v>
      </c>
      <c r="C2106">
        <v>17</v>
      </c>
      <c r="D2106">
        <v>0</v>
      </c>
      <c r="E2106" t="s">
        <v>6</v>
      </c>
      <c r="F2106">
        <v>6.404E-2</v>
      </c>
    </row>
    <row r="2107" spans="1:6" x14ac:dyDescent="0.3">
      <c r="A2107" t="s">
        <v>22</v>
      </c>
      <c r="B2107" s="1">
        <v>45745</v>
      </c>
      <c r="C2107">
        <v>18</v>
      </c>
      <c r="D2107">
        <v>0</v>
      </c>
      <c r="E2107" t="s">
        <v>6</v>
      </c>
      <c r="F2107">
        <v>6.0380000000000003E-2</v>
      </c>
    </row>
    <row r="2108" spans="1:6" x14ac:dyDescent="0.3">
      <c r="A2108" t="s">
        <v>22</v>
      </c>
      <c r="B2108" s="1">
        <v>45745</v>
      </c>
      <c r="C2108">
        <v>19</v>
      </c>
      <c r="D2108">
        <v>2.7E-2</v>
      </c>
      <c r="E2108" t="s">
        <v>6</v>
      </c>
      <c r="F2108">
        <v>5.9830000000000001E-2</v>
      </c>
    </row>
    <row r="2109" spans="1:6" x14ac:dyDescent="0.3">
      <c r="A2109" t="s">
        <v>22</v>
      </c>
      <c r="B2109" s="1">
        <v>45745</v>
      </c>
      <c r="C2109">
        <v>20</v>
      </c>
      <c r="D2109">
        <v>0.10299999999999999</v>
      </c>
      <c r="E2109" t="s">
        <v>6</v>
      </c>
      <c r="F2109">
        <v>6.8919999999999995E-2</v>
      </c>
    </row>
    <row r="2110" spans="1:6" x14ac:dyDescent="0.3">
      <c r="A2110" t="s">
        <v>22</v>
      </c>
      <c r="B2110" s="1">
        <v>45745</v>
      </c>
      <c r="C2110">
        <v>21</v>
      </c>
      <c r="D2110">
        <v>1.4750000000000001</v>
      </c>
      <c r="E2110" t="s">
        <v>6</v>
      </c>
      <c r="F2110">
        <v>7.6609999999999998E-2</v>
      </c>
    </row>
    <row r="2111" spans="1:6" x14ac:dyDescent="0.3">
      <c r="A2111" t="s">
        <v>22</v>
      </c>
      <c r="B2111" s="1">
        <v>45745</v>
      </c>
      <c r="C2111">
        <v>22</v>
      </c>
      <c r="D2111">
        <v>2.13</v>
      </c>
      <c r="E2111" t="s">
        <v>6</v>
      </c>
      <c r="F2111">
        <v>7.7409999999999993E-2</v>
      </c>
    </row>
    <row r="2112" spans="1:6" x14ac:dyDescent="0.3">
      <c r="A2112" t="s">
        <v>22</v>
      </c>
      <c r="B2112" s="1">
        <v>45745</v>
      </c>
      <c r="C2112">
        <v>23</v>
      </c>
      <c r="D2112">
        <v>2.093</v>
      </c>
      <c r="E2112" t="s">
        <v>6</v>
      </c>
      <c r="F2112">
        <v>6.9889999999999994E-2</v>
      </c>
    </row>
    <row r="2113" spans="1:6" x14ac:dyDescent="0.3">
      <c r="A2113" t="s">
        <v>22</v>
      </c>
      <c r="B2113" s="1">
        <v>45745</v>
      </c>
      <c r="C2113">
        <v>24</v>
      </c>
      <c r="D2113">
        <v>2.0750000000000002</v>
      </c>
      <c r="E2113" t="s">
        <v>6</v>
      </c>
      <c r="F2113">
        <v>6.5090000000000009E-2</v>
      </c>
    </row>
    <row r="2114" spans="1:6" x14ac:dyDescent="0.3">
      <c r="A2114" t="s">
        <v>22</v>
      </c>
      <c r="B2114" s="1">
        <v>45746</v>
      </c>
      <c r="C2114">
        <v>1</v>
      </c>
      <c r="D2114">
        <v>2.78</v>
      </c>
      <c r="E2114" t="s">
        <v>6</v>
      </c>
      <c r="F2114">
        <v>6.762E-2</v>
      </c>
    </row>
    <row r="2115" spans="1:6" x14ac:dyDescent="0.3">
      <c r="A2115" t="s">
        <v>22</v>
      </c>
      <c r="B2115" s="1">
        <v>45746</v>
      </c>
      <c r="C2115">
        <v>2</v>
      </c>
      <c r="D2115">
        <v>2.8450000000000002</v>
      </c>
      <c r="E2115" t="s">
        <v>6</v>
      </c>
      <c r="F2115">
        <v>7.1510000000000004E-2</v>
      </c>
    </row>
    <row r="2116" spans="1:6" x14ac:dyDescent="0.3">
      <c r="A2116" t="s">
        <v>22</v>
      </c>
      <c r="B2116" s="1">
        <v>45746</v>
      </c>
      <c r="C2116">
        <v>3</v>
      </c>
      <c r="D2116">
        <v>2.9430000000000001</v>
      </c>
      <c r="E2116" t="s">
        <v>6</v>
      </c>
      <c r="F2116">
        <v>7.6310000000000003E-2</v>
      </c>
    </row>
    <row r="2117" spans="1:6" x14ac:dyDescent="0.3">
      <c r="A2117" t="s">
        <v>22</v>
      </c>
      <c r="B2117" s="1">
        <v>45746</v>
      </c>
      <c r="C2117">
        <v>4</v>
      </c>
      <c r="D2117">
        <v>2.76</v>
      </c>
      <c r="E2117" t="s">
        <v>6</v>
      </c>
      <c r="F2117">
        <v>7.3599999999999999E-2</v>
      </c>
    </row>
    <row r="2118" spans="1:6" x14ac:dyDescent="0.3">
      <c r="A2118" t="s">
        <v>22</v>
      </c>
      <c r="B2118" s="1">
        <v>45746</v>
      </c>
      <c r="C2118">
        <v>5</v>
      </c>
      <c r="D2118">
        <v>3.0379999999999998</v>
      </c>
      <c r="E2118" t="s">
        <v>6</v>
      </c>
      <c r="F2118">
        <v>7.3900000000000007E-2</v>
      </c>
    </row>
    <row r="2119" spans="1:6" x14ac:dyDescent="0.3">
      <c r="A2119" t="s">
        <v>22</v>
      </c>
      <c r="B2119" s="1">
        <v>45746</v>
      </c>
      <c r="C2119">
        <v>6</v>
      </c>
      <c r="D2119">
        <v>2.7949999999999999</v>
      </c>
      <c r="E2119" t="s">
        <v>6</v>
      </c>
      <c r="F2119">
        <v>7.3819999999999997E-2</v>
      </c>
    </row>
    <row r="2120" spans="1:6" x14ac:dyDescent="0.3">
      <c r="A2120" t="s">
        <v>22</v>
      </c>
      <c r="B2120" s="1">
        <v>45746</v>
      </c>
      <c r="C2120">
        <v>7</v>
      </c>
      <c r="D2120">
        <v>2.6970000000000001</v>
      </c>
      <c r="E2120" t="s">
        <v>6</v>
      </c>
      <c r="F2120">
        <v>7.2650000000000006E-2</v>
      </c>
    </row>
    <row r="2121" spans="1:6" x14ac:dyDescent="0.3">
      <c r="A2121" t="s">
        <v>22</v>
      </c>
      <c r="B2121" s="1">
        <v>45746</v>
      </c>
      <c r="C2121">
        <v>8</v>
      </c>
      <c r="D2121">
        <v>1.123</v>
      </c>
      <c r="E2121" t="s">
        <v>6</v>
      </c>
      <c r="F2121">
        <v>7.7200000000000005E-2</v>
      </c>
    </row>
    <row r="2122" spans="1:6" x14ac:dyDescent="0.3">
      <c r="A2122" t="s">
        <v>22</v>
      </c>
      <c r="B2122" s="1">
        <v>45746</v>
      </c>
      <c r="C2122">
        <v>9</v>
      </c>
      <c r="D2122">
        <v>0</v>
      </c>
      <c r="E2122" t="s">
        <v>6</v>
      </c>
      <c r="F2122">
        <v>6.1200000000000004E-2</v>
      </c>
    </row>
    <row r="2123" spans="1:6" x14ac:dyDescent="0.3">
      <c r="A2123" t="s">
        <v>22</v>
      </c>
      <c r="B2123" s="1">
        <v>45746</v>
      </c>
      <c r="C2123">
        <v>10</v>
      </c>
      <c r="D2123">
        <v>0</v>
      </c>
      <c r="E2123" t="s">
        <v>6</v>
      </c>
      <c r="F2123">
        <v>6.0590000000000005E-2</v>
      </c>
    </row>
    <row r="2124" spans="1:6" x14ac:dyDescent="0.3">
      <c r="A2124" t="s">
        <v>22</v>
      </c>
      <c r="B2124" s="1">
        <v>45746</v>
      </c>
      <c r="C2124">
        <v>11</v>
      </c>
      <c r="D2124">
        <v>0</v>
      </c>
      <c r="E2124" t="s">
        <v>6</v>
      </c>
      <c r="F2124">
        <v>5.8400000000000001E-2</v>
      </c>
    </row>
    <row r="2125" spans="1:6" x14ac:dyDescent="0.3">
      <c r="A2125" t="s">
        <v>22</v>
      </c>
      <c r="B2125" s="1">
        <v>45746</v>
      </c>
      <c r="C2125">
        <v>12</v>
      </c>
      <c r="D2125">
        <v>0</v>
      </c>
      <c r="E2125" t="s">
        <v>6</v>
      </c>
      <c r="F2125">
        <v>5.7549999999999997E-2</v>
      </c>
    </row>
    <row r="2126" spans="1:6" x14ac:dyDescent="0.3">
      <c r="A2126" t="s">
        <v>22</v>
      </c>
      <c r="B2126" s="1">
        <v>45746</v>
      </c>
      <c r="C2126">
        <v>13</v>
      </c>
      <c r="D2126">
        <v>0.20699999999999999</v>
      </c>
      <c r="E2126" t="s">
        <v>6</v>
      </c>
      <c r="F2126">
        <v>5.7149999999999999E-2</v>
      </c>
    </row>
    <row r="2127" spans="1:6" x14ac:dyDescent="0.3">
      <c r="A2127" t="s">
        <v>22</v>
      </c>
      <c r="B2127" s="1">
        <v>45746</v>
      </c>
      <c r="C2127">
        <v>14</v>
      </c>
      <c r="D2127">
        <v>0.1</v>
      </c>
      <c r="E2127" t="s">
        <v>6</v>
      </c>
      <c r="F2127">
        <v>5.5990000000000005E-2</v>
      </c>
    </row>
    <row r="2128" spans="1:6" x14ac:dyDescent="0.3">
      <c r="A2128" t="s">
        <v>22</v>
      </c>
      <c r="B2128" s="1">
        <v>45746</v>
      </c>
      <c r="C2128">
        <v>15</v>
      </c>
      <c r="D2128">
        <v>0</v>
      </c>
      <c r="E2128" t="s">
        <v>6</v>
      </c>
      <c r="F2128">
        <v>5.7700000000000001E-2</v>
      </c>
    </row>
    <row r="2129" spans="1:6" x14ac:dyDescent="0.3">
      <c r="A2129" t="s">
        <v>22</v>
      </c>
      <c r="B2129" s="1">
        <v>45746</v>
      </c>
      <c r="C2129">
        <v>16</v>
      </c>
      <c r="D2129">
        <v>0</v>
      </c>
      <c r="E2129" t="s">
        <v>6</v>
      </c>
      <c r="F2129">
        <v>5.91E-2</v>
      </c>
    </row>
    <row r="2130" spans="1:6" x14ac:dyDescent="0.3">
      <c r="A2130" t="s">
        <v>22</v>
      </c>
      <c r="B2130" s="1">
        <v>45746</v>
      </c>
      <c r="C2130">
        <v>17</v>
      </c>
      <c r="D2130">
        <v>0</v>
      </c>
      <c r="E2130" t="s">
        <v>6</v>
      </c>
      <c r="F2130">
        <v>6.0350000000000001E-2</v>
      </c>
    </row>
    <row r="2131" spans="1:6" x14ac:dyDescent="0.3">
      <c r="A2131" t="s">
        <v>22</v>
      </c>
      <c r="B2131" s="1">
        <v>45746</v>
      </c>
      <c r="C2131">
        <v>18</v>
      </c>
      <c r="D2131">
        <v>0</v>
      </c>
      <c r="E2131" t="s">
        <v>6</v>
      </c>
      <c r="F2131">
        <v>5.8029999999999998E-2</v>
      </c>
    </row>
    <row r="2132" spans="1:6" x14ac:dyDescent="0.3">
      <c r="A2132" t="s">
        <v>22</v>
      </c>
      <c r="B2132" s="1">
        <v>45746</v>
      </c>
      <c r="C2132">
        <v>19</v>
      </c>
      <c r="D2132">
        <v>0.34399999999999997</v>
      </c>
      <c r="E2132" t="s">
        <v>6</v>
      </c>
      <c r="F2132">
        <v>6.4140000000000003E-2</v>
      </c>
    </row>
    <row r="2133" spans="1:6" x14ac:dyDescent="0.3">
      <c r="A2133" t="s">
        <v>22</v>
      </c>
      <c r="B2133" s="1">
        <v>45746</v>
      </c>
      <c r="C2133">
        <v>20</v>
      </c>
      <c r="D2133">
        <v>0.622</v>
      </c>
      <c r="E2133" t="s">
        <v>6</v>
      </c>
      <c r="F2133">
        <v>8.3849999999999994E-2</v>
      </c>
    </row>
    <row r="2134" spans="1:6" x14ac:dyDescent="0.3">
      <c r="A2134" t="s">
        <v>22</v>
      </c>
      <c r="B2134" s="1">
        <v>45746</v>
      </c>
      <c r="C2134">
        <v>21</v>
      </c>
      <c r="D2134">
        <v>1.454</v>
      </c>
      <c r="E2134" t="s">
        <v>6</v>
      </c>
      <c r="F2134">
        <v>9.5620000000000011E-2</v>
      </c>
    </row>
    <row r="2135" spans="1:6" x14ac:dyDescent="0.3">
      <c r="A2135" t="s">
        <v>22</v>
      </c>
      <c r="B2135" s="1">
        <v>45746</v>
      </c>
      <c r="C2135">
        <v>22</v>
      </c>
      <c r="D2135">
        <v>0.40699999999999997</v>
      </c>
      <c r="E2135" t="s">
        <v>6</v>
      </c>
      <c r="F2135">
        <v>8.5260000000000002E-2</v>
      </c>
    </row>
    <row r="2136" spans="1:6" x14ac:dyDescent="0.3">
      <c r="A2136" t="s">
        <v>22</v>
      </c>
      <c r="B2136" s="1">
        <v>45746</v>
      </c>
      <c r="C2136">
        <v>23</v>
      </c>
      <c r="D2136">
        <v>0.20100000000000001</v>
      </c>
      <c r="E2136" t="s">
        <v>6</v>
      </c>
      <c r="F2136">
        <v>7.0749999999999993E-2</v>
      </c>
    </row>
    <row r="2137" spans="1:6" x14ac:dyDescent="0.3">
      <c r="A2137" t="s">
        <v>22</v>
      </c>
      <c r="B2137" s="1">
        <v>45747</v>
      </c>
      <c r="C2137">
        <v>1</v>
      </c>
      <c r="D2137">
        <v>2.1280000000000001</v>
      </c>
      <c r="E2137" t="s">
        <v>6</v>
      </c>
      <c r="F2137">
        <v>6.0899999999999996E-2</v>
      </c>
    </row>
    <row r="2138" spans="1:6" x14ac:dyDescent="0.3">
      <c r="A2138" t="s">
        <v>22</v>
      </c>
      <c r="B2138" s="1">
        <v>45747</v>
      </c>
      <c r="C2138">
        <v>2</v>
      </c>
      <c r="D2138">
        <v>1.627</v>
      </c>
      <c r="E2138" t="s">
        <v>6</v>
      </c>
      <c r="F2138">
        <v>6.5000000000000002E-2</v>
      </c>
    </row>
    <row r="2139" spans="1:6" x14ac:dyDescent="0.3">
      <c r="A2139" t="s">
        <v>22</v>
      </c>
      <c r="B2139" s="1">
        <v>45747</v>
      </c>
      <c r="C2139">
        <v>3</v>
      </c>
      <c r="D2139">
        <v>1.6060000000000001</v>
      </c>
      <c r="E2139" t="s">
        <v>6</v>
      </c>
      <c r="F2139">
        <v>6.7610000000000003E-2</v>
      </c>
    </row>
    <row r="2140" spans="1:6" x14ac:dyDescent="0.3">
      <c r="A2140" t="s">
        <v>22</v>
      </c>
      <c r="B2140" s="1">
        <v>45747</v>
      </c>
      <c r="C2140">
        <v>4</v>
      </c>
      <c r="D2140">
        <v>1.6559999999999999</v>
      </c>
      <c r="E2140" t="s">
        <v>6</v>
      </c>
      <c r="F2140">
        <v>6.5390000000000004E-2</v>
      </c>
    </row>
    <row r="2141" spans="1:6" x14ac:dyDescent="0.3">
      <c r="A2141" t="s">
        <v>22</v>
      </c>
      <c r="B2141" s="1">
        <v>45747</v>
      </c>
      <c r="C2141">
        <v>5</v>
      </c>
      <c r="D2141">
        <v>2.5830000000000002</v>
      </c>
      <c r="E2141" t="s">
        <v>6</v>
      </c>
      <c r="F2141">
        <v>6.5060000000000007E-2</v>
      </c>
    </row>
    <row r="2142" spans="1:6" x14ac:dyDescent="0.3">
      <c r="A2142" t="s">
        <v>22</v>
      </c>
      <c r="B2142" s="1">
        <v>45747</v>
      </c>
      <c r="C2142">
        <v>6</v>
      </c>
      <c r="D2142">
        <v>2.4710000000000001</v>
      </c>
      <c r="E2142" t="s">
        <v>6</v>
      </c>
      <c r="F2142">
        <v>6.472E-2</v>
      </c>
    </row>
    <row r="2143" spans="1:6" x14ac:dyDescent="0.3">
      <c r="A2143" t="s">
        <v>22</v>
      </c>
      <c r="B2143" s="1">
        <v>45747</v>
      </c>
      <c r="C2143">
        <v>7</v>
      </c>
      <c r="D2143">
        <v>2.66</v>
      </c>
      <c r="E2143" t="s">
        <v>6</v>
      </c>
      <c r="F2143">
        <v>6.5000000000000002E-2</v>
      </c>
    </row>
    <row r="2144" spans="1:6" x14ac:dyDescent="0.3">
      <c r="A2144" t="s">
        <v>22</v>
      </c>
      <c r="B2144" s="1">
        <v>45747</v>
      </c>
      <c r="C2144">
        <v>8</v>
      </c>
      <c r="D2144">
        <v>2.9809999999999999</v>
      </c>
      <c r="E2144" t="s">
        <v>6</v>
      </c>
      <c r="F2144">
        <v>9.6810000000000007E-2</v>
      </c>
    </row>
    <row r="2145" spans="1:6" x14ac:dyDescent="0.3">
      <c r="A2145" t="s">
        <v>22</v>
      </c>
      <c r="B2145" s="1">
        <v>45747</v>
      </c>
      <c r="C2145">
        <v>9</v>
      </c>
      <c r="D2145">
        <v>1.954</v>
      </c>
      <c r="E2145" t="s">
        <v>6</v>
      </c>
      <c r="F2145">
        <v>0.12697</v>
      </c>
    </row>
    <row r="2146" spans="1:6" x14ac:dyDescent="0.3">
      <c r="A2146" t="s">
        <v>22</v>
      </c>
      <c r="B2146" s="1">
        <v>45747</v>
      </c>
      <c r="C2146">
        <v>10</v>
      </c>
      <c r="D2146">
        <v>0.13200000000000001</v>
      </c>
      <c r="E2146" t="s">
        <v>6</v>
      </c>
      <c r="F2146">
        <v>7.0569999999999994E-2</v>
      </c>
    </row>
    <row r="2147" spans="1:6" x14ac:dyDescent="0.3">
      <c r="A2147" t="s">
        <v>22</v>
      </c>
      <c r="B2147" s="1">
        <v>45747</v>
      </c>
      <c r="C2147">
        <v>11</v>
      </c>
      <c r="D2147">
        <v>0</v>
      </c>
      <c r="E2147" t="s">
        <v>6</v>
      </c>
      <c r="F2147">
        <v>0.13730000000000001</v>
      </c>
    </row>
    <row r="2148" spans="1:6" x14ac:dyDescent="0.3">
      <c r="A2148" t="s">
        <v>22</v>
      </c>
      <c r="B2148" s="1">
        <v>45747</v>
      </c>
      <c r="C2148">
        <v>12</v>
      </c>
      <c r="D2148">
        <v>0</v>
      </c>
      <c r="E2148" t="s">
        <v>6</v>
      </c>
      <c r="F2148">
        <v>0.13697000000000001</v>
      </c>
    </row>
    <row r="2149" spans="1:6" x14ac:dyDescent="0.3">
      <c r="A2149" t="s">
        <v>22</v>
      </c>
      <c r="B2149" s="1">
        <v>45747</v>
      </c>
      <c r="C2149">
        <v>13</v>
      </c>
      <c r="D2149">
        <v>0</v>
      </c>
      <c r="E2149" t="s">
        <v>6</v>
      </c>
      <c r="F2149">
        <v>0.13691</v>
      </c>
    </row>
    <row r="2150" spans="1:6" x14ac:dyDescent="0.3">
      <c r="A2150" t="s">
        <v>22</v>
      </c>
      <c r="B2150" s="1">
        <v>45747</v>
      </c>
      <c r="C2150">
        <v>14</v>
      </c>
      <c r="D2150">
        <v>0</v>
      </c>
      <c r="E2150" t="s">
        <v>6</v>
      </c>
      <c r="F2150">
        <v>0.13419999999999999</v>
      </c>
    </row>
    <row r="2151" spans="1:6" x14ac:dyDescent="0.3">
      <c r="A2151" t="s">
        <v>22</v>
      </c>
      <c r="B2151" s="1">
        <v>45747</v>
      </c>
      <c r="C2151">
        <v>15</v>
      </c>
      <c r="D2151">
        <v>0</v>
      </c>
      <c r="E2151" t="s">
        <v>6</v>
      </c>
      <c r="F2151">
        <v>6.9650000000000004E-2</v>
      </c>
    </row>
    <row r="2152" spans="1:6" x14ac:dyDescent="0.3">
      <c r="A2152" t="s">
        <v>22</v>
      </c>
      <c r="B2152" s="1">
        <v>45747</v>
      </c>
      <c r="C2152">
        <v>16</v>
      </c>
      <c r="D2152">
        <v>0</v>
      </c>
      <c r="E2152" t="s">
        <v>6</v>
      </c>
      <c r="F2152">
        <v>6.9640000000000007E-2</v>
      </c>
    </row>
    <row r="2153" spans="1:6" x14ac:dyDescent="0.3">
      <c r="A2153" t="s">
        <v>22</v>
      </c>
      <c r="B2153" s="1">
        <v>45747</v>
      </c>
      <c r="C2153">
        <v>17</v>
      </c>
      <c r="D2153">
        <v>0</v>
      </c>
      <c r="E2153" t="s">
        <v>6</v>
      </c>
      <c r="F2153">
        <v>6.7290000000000003E-2</v>
      </c>
    </row>
    <row r="2154" spans="1:6" x14ac:dyDescent="0.3">
      <c r="A2154" t="s">
        <v>22</v>
      </c>
      <c r="B2154" s="1">
        <v>45747</v>
      </c>
      <c r="C2154">
        <v>18</v>
      </c>
      <c r="D2154">
        <v>0</v>
      </c>
      <c r="E2154" t="s">
        <v>6</v>
      </c>
      <c r="F2154">
        <v>6.8110000000000004E-2</v>
      </c>
    </row>
    <row r="2155" spans="1:6" x14ac:dyDescent="0.3">
      <c r="A2155" t="s">
        <v>22</v>
      </c>
      <c r="B2155" s="1">
        <v>45747</v>
      </c>
      <c r="C2155">
        <v>19</v>
      </c>
      <c r="D2155">
        <v>0</v>
      </c>
      <c r="E2155" t="s">
        <v>6</v>
      </c>
      <c r="F2155">
        <v>0.13431000000000001</v>
      </c>
    </row>
    <row r="2156" spans="1:6" x14ac:dyDescent="0.3">
      <c r="A2156" t="s">
        <v>22</v>
      </c>
      <c r="B2156" s="1">
        <v>45747</v>
      </c>
      <c r="C2156">
        <v>20</v>
      </c>
      <c r="D2156">
        <v>0.105</v>
      </c>
      <c r="E2156" t="s">
        <v>6</v>
      </c>
      <c r="F2156">
        <v>0.20225000000000001</v>
      </c>
    </row>
    <row r="2157" spans="1:6" x14ac:dyDescent="0.3">
      <c r="A2157" t="s">
        <v>22</v>
      </c>
      <c r="B2157" s="1">
        <v>45747</v>
      </c>
      <c r="C2157">
        <v>21</v>
      </c>
      <c r="D2157">
        <v>0.41799999999999998</v>
      </c>
      <c r="E2157" t="s">
        <v>6</v>
      </c>
      <c r="F2157">
        <v>0.30448999999999998</v>
      </c>
    </row>
    <row r="2158" spans="1:6" x14ac:dyDescent="0.3">
      <c r="A2158" t="s">
        <v>22</v>
      </c>
      <c r="B2158" s="1">
        <v>45747</v>
      </c>
      <c r="C2158">
        <v>22</v>
      </c>
      <c r="D2158">
        <v>0.84399999999999997</v>
      </c>
      <c r="E2158" t="s">
        <v>6</v>
      </c>
      <c r="F2158">
        <v>0.36481999999999998</v>
      </c>
    </row>
    <row r="2159" spans="1:6" x14ac:dyDescent="0.3">
      <c r="A2159" t="s">
        <v>22</v>
      </c>
      <c r="B2159" s="1">
        <v>45747</v>
      </c>
      <c r="C2159">
        <v>23</v>
      </c>
      <c r="D2159">
        <v>0.26800000000000002</v>
      </c>
      <c r="E2159" t="s">
        <v>6</v>
      </c>
      <c r="F2159">
        <v>0.20924999999999999</v>
      </c>
    </row>
    <row r="2160" spans="1:6" x14ac:dyDescent="0.3">
      <c r="A2160" t="s">
        <v>22</v>
      </c>
      <c r="B2160" s="1">
        <v>45747</v>
      </c>
      <c r="C2160">
        <v>24</v>
      </c>
      <c r="D2160">
        <v>0.26200000000000001</v>
      </c>
      <c r="E2160" t="s">
        <v>6</v>
      </c>
      <c r="F2160">
        <v>0.18258000000000002</v>
      </c>
    </row>
    <row r="2161" spans="1:6" x14ac:dyDescent="0.3">
      <c r="A2161" t="s">
        <v>22</v>
      </c>
      <c r="B2161" s="1">
        <v>45748</v>
      </c>
      <c r="C2161">
        <v>1</v>
      </c>
      <c r="D2161">
        <v>0.19500000000000001</v>
      </c>
      <c r="E2161" t="s">
        <v>6</v>
      </c>
      <c r="F2161">
        <v>0.13190000000000002</v>
      </c>
    </row>
    <row r="2162" spans="1:6" x14ac:dyDescent="0.3">
      <c r="A2162" t="s">
        <v>22</v>
      </c>
      <c r="B2162" s="1">
        <v>45748</v>
      </c>
      <c r="C2162">
        <v>2</v>
      </c>
      <c r="D2162">
        <v>0.114</v>
      </c>
      <c r="E2162" t="s">
        <v>6</v>
      </c>
      <c r="F2162">
        <v>0.11867</v>
      </c>
    </row>
    <row r="2163" spans="1:6" x14ac:dyDescent="0.3">
      <c r="A2163" t="s">
        <v>22</v>
      </c>
      <c r="B2163" s="1">
        <v>45748</v>
      </c>
      <c r="C2163">
        <v>3</v>
      </c>
      <c r="D2163">
        <v>2.2629999999999999</v>
      </c>
      <c r="E2163" t="s">
        <v>6</v>
      </c>
      <c r="F2163">
        <v>0.11649</v>
      </c>
    </row>
    <row r="2164" spans="1:6" x14ac:dyDescent="0.3">
      <c r="A2164" t="s">
        <v>22</v>
      </c>
      <c r="B2164" s="1">
        <v>45748</v>
      </c>
      <c r="C2164">
        <v>4</v>
      </c>
      <c r="D2164">
        <v>1.74</v>
      </c>
      <c r="E2164" t="s">
        <v>6</v>
      </c>
      <c r="F2164">
        <v>0.10373</v>
      </c>
    </row>
    <row r="2165" spans="1:6" x14ac:dyDescent="0.3">
      <c r="A2165" t="s">
        <v>22</v>
      </c>
      <c r="B2165" s="1">
        <v>45748</v>
      </c>
      <c r="C2165">
        <v>5</v>
      </c>
      <c r="D2165">
        <v>1.524</v>
      </c>
      <c r="E2165" t="s">
        <v>6</v>
      </c>
      <c r="F2165">
        <v>0.10479000000000001</v>
      </c>
    </row>
    <row r="2166" spans="1:6" x14ac:dyDescent="0.3">
      <c r="A2166" t="s">
        <v>22</v>
      </c>
      <c r="B2166" s="1">
        <v>45748</v>
      </c>
      <c r="C2166">
        <v>6</v>
      </c>
      <c r="D2166">
        <v>1.5289999999999999</v>
      </c>
      <c r="E2166" t="s">
        <v>6</v>
      </c>
      <c r="F2166">
        <v>0.11094</v>
      </c>
    </row>
    <row r="2167" spans="1:6" x14ac:dyDescent="0.3">
      <c r="A2167" t="s">
        <v>22</v>
      </c>
      <c r="B2167" s="1">
        <v>45748</v>
      </c>
      <c r="C2167">
        <v>7</v>
      </c>
      <c r="D2167">
        <v>1.655</v>
      </c>
      <c r="E2167" t="s">
        <v>6</v>
      </c>
      <c r="F2167">
        <v>0.12601000000000001</v>
      </c>
    </row>
    <row r="2168" spans="1:6" x14ac:dyDescent="0.3">
      <c r="A2168" t="s">
        <v>22</v>
      </c>
      <c r="B2168" s="1">
        <v>45748</v>
      </c>
      <c r="C2168">
        <v>8</v>
      </c>
      <c r="D2168">
        <v>1.9379999999999999</v>
      </c>
      <c r="E2168" t="s">
        <v>6</v>
      </c>
      <c r="F2168">
        <v>0.20610000000000001</v>
      </c>
    </row>
    <row r="2169" spans="1:6" x14ac:dyDescent="0.3">
      <c r="A2169" t="s">
        <v>22</v>
      </c>
      <c r="B2169" s="1">
        <v>45748</v>
      </c>
      <c r="C2169">
        <v>9</v>
      </c>
      <c r="D2169">
        <v>0.91200000000000003</v>
      </c>
      <c r="E2169" t="s">
        <v>6</v>
      </c>
      <c r="F2169">
        <v>0.24414</v>
      </c>
    </row>
    <row r="2170" spans="1:6" x14ac:dyDescent="0.3">
      <c r="A2170" t="s">
        <v>22</v>
      </c>
      <c r="B2170" s="1">
        <v>45748</v>
      </c>
      <c r="C2170">
        <v>10</v>
      </c>
      <c r="D2170">
        <v>0</v>
      </c>
      <c r="E2170" t="s">
        <v>6</v>
      </c>
      <c r="F2170">
        <v>0.15296000000000001</v>
      </c>
    </row>
    <row r="2171" spans="1:6" x14ac:dyDescent="0.3">
      <c r="A2171" t="s">
        <v>22</v>
      </c>
      <c r="B2171" s="1">
        <v>45748</v>
      </c>
      <c r="C2171">
        <v>11</v>
      </c>
      <c r="D2171">
        <v>0</v>
      </c>
      <c r="E2171" t="s">
        <v>6</v>
      </c>
      <c r="F2171">
        <v>0.15909999999999999</v>
      </c>
    </row>
    <row r="2172" spans="1:6" x14ac:dyDescent="0.3">
      <c r="A2172" t="s">
        <v>22</v>
      </c>
      <c r="B2172" s="1">
        <v>45748</v>
      </c>
      <c r="C2172">
        <v>12</v>
      </c>
      <c r="D2172">
        <v>0</v>
      </c>
      <c r="E2172" t="s">
        <v>6</v>
      </c>
      <c r="F2172">
        <v>0.12254999999999999</v>
      </c>
    </row>
    <row r="2173" spans="1:6" x14ac:dyDescent="0.3">
      <c r="A2173" t="s">
        <v>22</v>
      </c>
      <c r="B2173" s="1">
        <v>45748</v>
      </c>
      <c r="C2173">
        <v>13</v>
      </c>
      <c r="D2173">
        <v>0</v>
      </c>
      <c r="E2173" t="s">
        <v>6</v>
      </c>
      <c r="F2173">
        <v>0.11615</v>
      </c>
    </row>
    <row r="2174" spans="1:6" x14ac:dyDescent="0.3">
      <c r="A2174" t="s">
        <v>22</v>
      </c>
      <c r="B2174" s="1">
        <v>45748</v>
      </c>
      <c r="C2174">
        <v>14</v>
      </c>
      <c r="D2174">
        <v>0</v>
      </c>
      <c r="E2174" t="s">
        <v>6</v>
      </c>
      <c r="F2174">
        <v>0.11345999999999999</v>
      </c>
    </row>
    <row r="2175" spans="1:6" x14ac:dyDescent="0.3">
      <c r="A2175" t="s">
        <v>22</v>
      </c>
      <c r="B2175" s="1">
        <v>45748</v>
      </c>
      <c r="C2175">
        <v>15</v>
      </c>
      <c r="D2175">
        <v>0</v>
      </c>
      <c r="E2175" t="s">
        <v>6</v>
      </c>
      <c r="F2175">
        <v>4.8500000000000001E-2</v>
      </c>
    </row>
    <row r="2176" spans="1:6" x14ac:dyDescent="0.3">
      <c r="A2176" t="s">
        <v>22</v>
      </c>
      <c r="B2176" s="1">
        <v>45748</v>
      </c>
      <c r="C2176">
        <v>16</v>
      </c>
      <c r="D2176">
        <v>0</v>
      </c>
      <c r="E2176" t="s">
        <v>6</v>
      </c>
      <c r="F2176">
        <v>4.9329999999999999E-2</v>
      </c>
    </row>
    <row r="2177" spans="1:6" x14ac:dyDescent="0.3">
      <c r="A2177" t="s">
        <v>22</v>
      </c>
      <c r="B2177" s="1">
        <v>45748</v>
      </c>
      <c r="C2177">
        <v>17</v>
      </c>
      <c r="D2177">
        <v>0</v>
      </c>
      <c r="E2177" t="s">
        <v>6</v>
      </c>
      <c r="F2177">
        <v>4.9530000000000005E-2</v>
      </c>
    </row>
    <row r="2178" spans="1:6" x14ac:dyDescent="0.3">
      <c r="A2178" t="s">
        <v>22</v>
      </c>
      <c r="B2178" s="1">
        <v>45748</v>
      </c>
      <c r="C2178">
        <v>18</v>
      </c>
      <c r="D2178">
        <v>0</v>
      </c>
      <c r="E2178" t="s">
        <v>6</v>
      </c>
      <c r="F2178">
        <v>4.9599999999999998E-2</v>
      </c>
    </row>
    <row r="2179" spans="1:6" x14ac:dyDescent="0.3">
      <c r="A2179" t="s">
        <v>22</v>
      </c>
      <c r="B2179" s="1">
        <v>45748</v>
      </c>
      <c r="C2179">
        <v>19</v>
      </c>
      <c r="D2179">
        <v>0</v>
      </c>
      <c r="E2179" t="s">
        <v>6</v>
      </c>
      <c r="F2179">
        <v>0.13628000000000001</v>
      </c>
    </row>
    <row r="2180" spans="1:6" x14ac:dyDescent="0.3">
      <c r="A2180" t="s">
        <v>22</v>
      </c>
      <c r="B2180" s="1">
        <v>45748</v>
      </c>
      <c r="C2180">
        <v>20</v>
      </c>
      <c r="D2180">
        <v>1.2E-2</v>
      </c>
      <c r="E2180" t="s">
        <v>6</v>
      </c>
      <c r="F2180">
        <v>0.18155000000000002</v>
      </c>
    </row>
    <row r="2181" spans="1:6" x14ac:dyDescent="0.3">
      <c r="A2181" t="s">
        <v>22</v>
      </c>
      <c r="B2181" s="1">
        <v>45748</v>
      </c>
      <c r="C2181">
        <v>21</v>
      </c>
      <c r="D2181">
        <v>1.514</v>
      </c>
      <c r="E2181" t="s">
        <v>6</v>
      </c>
      <c r="F2181">
        <v>0.24614</v>
      </c>
    </row>
    <row r="2182" spans="1:6" x14ac:dyDescent="0.3">
      <c r="A2182" t="s">
        <v>22</v>
      </c>
      <c r="B2182" s="1">
        <v>45748</v>
      </c>
      <c r="C2182">
        <v>22</v>
      </c>
      <c r="D2182">
        <v>2.4289999999999998</v>
      </c>
      <c r="E2182" t="s">
        <v>6</v>
      </c>
      <c r="F2182">
        <v>0.25551000000000001</v>
      </c>
    </row>
    <row r="2183" spans="1:6" x14ac:dyDescent="0.3">
      <c r="A2183" t="s">
        <v>22</v>
      </c>
      <c r="B2183" s="1">
        <v>45748</v>
      </c>
      <c r="C2183">
        <v>23</v>
      </c>
      <c r="D2183">
        <v>0.27900000000000003</v>
      </c>
      <c r="E2183" t="s">
        <v>6</v>
      </c>
      <c r="F2183">
        <v>0.14936000000000002</v>
      </c>
    </row>
    <row r="2184" spans="1:6" x14ac:dyDescent="0.3">
      <c r="A2184" t="s">
        <v>22</v>
      </c>
      <c r="B2184" s="1">
        <v>45748</v>
      </c>
      <c r="C2184">
        <v>24</v>
      </c>
      <c r="D2184">
        <v>1.9</v>
      </c>
      <c r="E2184" t="s">
        <v>6</v>
      </c>
      <c r="F2184">
        <v>0.12246</v>
      </c>
    </row>
    <row r="2185" spans="1:6" x14ac:dyDescent="0.3">
      <c r="A2185" t="s">
        <v>22</v>
      </c>
      <c r="B2185" s="1">
        <v>45749</v>
      </c>
      <c r="C2185">
        <v>1</v>
      </c>
      <c r="D2185">
        <v>2.6240000000000001</v>
      </c>
      <c r="E2185" t="s">
        <v>6</v>
      </c>
      <c r="F2185">
        <v>9.3769999999999992E-2</v>
      </c>
    </row>
    <row r="2186" spans="1:6" x14ac:dyDescent="0.3">
      <c r="A2186" t="s">
        <v>22</v>
      </c>
      <c r="B2186" s="1">
        <v>45749</v>
      </c>
      <c r="C2186">
        <v>2</v>
      </c>
      <c r="D2186">
        <v>1.962</v>
      </c>
      <c r="E2186" t="s">
        <v>6</v>
      </c>
      <c r="F2186">
        <v>8.2599999999999993E-2</v>
      </c>
    </row>
    <row r="2187" spans="1:6" x14ac:dyDescent="0.3">
      <c r="A2187" t="s">
        <v>22</v>
      </c>
      <c r="B2187" s="1">
        <v>45749</v>
      </c>
      <c r="C2187">
        <v>3</v>
      </c>
      <c r="D2187">
        <v>1.9219999999999999</v>
      </c>
      <c r="E2187" t="s">
        <v>6</v>
      </c>
      <c r="F2187">
        <v>9.0370000000000006E-2</v>
      </c>
    </row>
    <row r="2188" spans="1:6" x14ac:dyDescent="0.3">
      <c r="A2188" t="s">
        <v>22</v>
      </c>
      <c r="B2188" s="1">
        <v>45749</v>
      </c>
      <c r="C2188">
        <v>4</v>
      </c>
      <c r="D2188">
        <v>1.7689999999999999</v>
      </c>
      <c r="E2188" t="s">
        <v>6</v>
      </c>
      <c r="F2188">
        <v>8.1509999999999999E-2</v>
      </c>
    </row>
    <row r="2189" spans="1:6" x14ac:dyDescent="0.3">
      <c r="A2189" t="s">
        <v>22</v>
      </c>
      <c r="B2189" s="1">
        <v>45749</v>
      </c>
      <c r="C2189">
        <v>5</v>
      </c>
      <c r="D2189">
        <v>1.625</v>
      </c>
      <c r="E2189" t="s">
        <v>6</v>
      </c>
      <c r="F2189">
        <v>8.1810000000000008E-2</v>
      </c>
    </row>
    <row r="2190" spans="1:6" x14ac:dyDescent="0.3">
      <c r="A2190" t="s">
        <v>22</v>
      </c>
      <c r="B2190" s="1">
        <v>45749</v>
      </c>
      <c r="C2190">
        <v>6</v>
      </c>
      <c r="D2190">
        <v>1.6459999999999999</v>
      </c>
      <c r="E2190" t="s">
        <v>6</v>
      </c>
      <c r="F2190">
        <v>8.7510000000000004E-2</v>
      </c>
    </row>
    <row r="2191" spans="1:6" x14ac:dyDescent="0.3">
      <c r="A2191" t="s">
        <v>22</v>
      </c>
      <c r="B2191" s="1">
        <v>45749</v>
      </c>
      <c r="C2191">
        <v>7</v>
      </c>
      <c r="D2191">
        <v>1.3049999999999999</v>
      </c>
      <c r="E2191" t="s">
        <v>6</v>
      </c>
      <c r="F2191">
        <v>9.6599999999999991E-2</v>
      </c>
    </row>
    <row r="2192" spans="1:6" x14ac:dyDescent="0.3">
      <c r="A2192" t="s">
        <v>22</v>
      </c>
      <c r="B2192" s="1">
        <v>45749</v>
      </c>
      <c r="C2192">
        <v>8</v>
      </c>
      <c r="D2192">
        <v>2.327</v>
      </c>
      <c r="E2192" t="s">
        <v>6</v>
      </c>
      <c r="F2192">
        <v>0.14302000000000001</v>
      </c>
    </row>
    <row r="2193" spans="1:6" x14ac:dyDescent="0.3">
      <c r="A2193" t="s">
        <v>22</v>
      </c>
      <c r="B2193" s="1">
        <v>45749</v>
      </c>
      <c r="C2193">
        <v>9</v>
      </c>
      <c r="D2193">
        <v>2.2549999999999999</v>
      </c>
      <c r="E2193" t="s">
        <v>6</v>
      </c>
      <c r="F2193">
        <v>0.19128000000000001</v>
      </c>
    </row>
    <row r="2194" spans="1:6" x14ac:dyDescent="0.3">
      <c r="A2194" t="s">
        <v>22</v>
      </c>
      <c r="B2194" s="1">
        <v>45749</v>
      </c>
      <c r="C2194">
        <v>10</v>
      </c>
      <c r="D2194">
        <v>2.4380000000000002</v>
      </c>
      <c r="E2194" t="s">
        <v>6</v>
      </c>
      <c r="F2194">
        <v>0.12859999999999999</v>
      </c>
    </row>
    <row r="2195" spans="1:6" x14ac:dyDescent="0.3">
      <c r="A2195" t="s">
        <v>22</v>
      </c>
      <c r="B2195" s="1">
        <v>45749</v>
      </c>
      <c r="C2195">
        <v>11</v>
      </c>
      <c r="D2195">
        <v>2.5409999999999999</v>
      </c>
      <c r="E2195" t="s">
        <v>6</v>
      </c>
      <c r="F2195">
        <v>0.15624000000000002</v>
      </c>
    </row>
    <row r="2196" spans="1:6" x14ac:dyDescent="0.3">
      <c r="A2196" t="s">
        <v>22</v>
      </c>
      <c r="B2196" s="1">
        <v>45749</v>
      </c>
      <c r="C2196">
        <v>12</v>
      </c>
      <c r="D2196">
        <v>0.92300000000000004</v>
      </c>
      <c r="E2196" t="s">
        <v>6</v>
      </c>
      <c r="F2196">
        <v>0.13161</v>
      </c>
    </row>
    <row r="2197" spans="1:6" x14ac:dyDescent="0.3">
      <c r="A2197" t="s">
        <v>22</v>
      </c>
      <c r="B2197" s="1">
        <v>45749</v>
      </c>
      <c r="C2197">
        <v>13</v>
      </c>
      <c r="D2197">
        <v>0.69499999999999995</v>
      </c>
      <c r="E2197" t="s">
        <v>6</v>
      </c>
      <c r="F2197">
        <v>0.12906999999999999</v>
      </c>
    </row>
    <row r="2198" spans="1:6" x14ac:dyDescent="0.3">
      <c r="A2198" t="s">
        <v>22</v>
      </c>
      <c r="B2198" s="1">
        <v>45749</v>
      </c>
      <c r="C2198">
        <v>14</v>
      </c>
      <c r="D2198">
        <v>1.802</v>
      </c>
      <c r="E2198" t="s">
        <v>6</v>
      </c>
      <c r="F2198">
        <v>0.12590999999999999</v>
      </c>
    </row>
    <row r="2199" spans="1:6" x14ac:dyDescent="0.3">
      <c r="A2199" t="s">
        <v>22</v>
      </c>
      <c r="B2199" s="1">
        <v>45749</v>
      </c>
      <c r="C2199">
        <v>15</v>
      </c>
      <c r="D2199">
        <v>1.9630000000000001</v>
      </c>
      <c r="E2199" t="s">
        <v>6</v>
      </c>
      <c r="F2199">
        <v>6.1990000000000003E-2</v>
      </c>
    </row>
    <row r="2200" spans="1:6" x14ac:dyDescent="0.3">
      <c r="A2200" t="s">
        <v>22</v>
      </c>
      <c r="B2200" s="1">
        <v>45749</v>
      </c>
      <c r="C2200">
        <v>16</v>
      </c>
      <c r="D2200">
        <v>1.879</v>
      </c>
      <c r="E2200" t="s">
        <v>6</v>
      </c>
      <c r="F2200">
        <v>6.2659999999999993E-2</v>
      </c>
    </row>
    <row r="2201" spans="1:6" x14ac:dyDescent="0.3">
      <c r="A2201" t="s">
        <v>22</v>
      </c>
      <c r="B2201" s="1">
        <v>45749</v>
      </c>
      <c r="C2201">
        <v>17</v>
      </c>
      <c r="D2201">
        <v>2.133</v>
      </c>
      <c r="E2201" t="s">
        <v>6</v>
      </c>
      <c r="F2201">
        <v>6.0399999999999995E-2</v>
      </c>
    </row>
    <row r="2202" spans="1:6" x14ac:dyDescent="0.3">
      <c r="A2202" t="s">
        <v>22</v>
      </c>
      <c r="B2202" s="1">
        <v>45749</v>
      </c>
      <c r="C2202">
        <v>18</v>
      </c>
      <c r="D2202">
        <v>1.5009999999999999</v>
      </c>
      <c r="E2202" t="s">
        <v>6</v>
      </c>
      <c r="F2202">
        <v>6.1630000000000004E-2</v>
      </c>
    </row>
    <row r="2203" spans="1:6" x14ac:dyDescent="0.3">
      <c r="A2203" t="s">
        <v>22</v>
      </c>
      <c r="B2203" s="1">
        <v>45749</v>
      </c>
      <c r="C2203">
        <v>19</v>
      </c>
      <c r="D2203">
        <v>1.47</v>
      </c>
      <c r="E2203" t="s">
        <v>6</v>
      </c>
      <c r="F2203">
        <v>0.14069999999999999</v>
      </c>
    </row>
    <row r="2204" spans="1:6" x14ac:dyDescent="0.3">
      <c r="A2204" t="s">
        <v>22</v>
      </c>
      <c r="B2204" s="1">
        <v>45749</v>
      </c>
      <c r="C2204">
        <v>20</v>
      </c>
      <c r="D2204">
        <v>1.877</v>
      </c>
      <c r="E2204" t="s">
        <v>6</v>
      </c>
      <c r="F2204">
        <v>0.17211000000000001</v>
      </c>
    </row>
    <row r="2205" spans="1:6" x14ac:dyDescent="0.3">
      <c r="A2205" t="s">
        <v>22</v>
      </c>
      <c r="B2205" s="1">
        <v>45749</v>
      </c>
      <c r="C2205">
        <v>21</v>
      </c>
      <c r="D2205">
        <v>2.1659999999999999</v>
      </c>
      <c r="E2205" t="s">
        <v>6</v>
      </c>
      <c r="F2205">
        <v>0.19016</v>
      </c>
    </row>
    <row r="2206" spans="1:6" x14ac:dyDescent="0.3">
      <c r="A2206" t="s">
        <v>22</v>
      </c>
      <c r="B2206" s="1">
        <v>45749</v>
      </c>
      <c r="C2206">
        <v>22</v>
      </c>
      <c r="D2206">
        <v>2.0150000000000001</v>
      </c>
      <c r="E2206" t="s">
        <v>6</v>
      </c>
      <c r="F2206">
        <v>0.18490999999999999</v>
      </c>
    </row>
    <row r="2207" spans="1:6" x14ac:dyDescent="0.3">
      <c r="A2207" t="s">
        <v>22</v>
      </c>
      <c r="B2207" s="1">
        <v>45749</v>
      </c>
      <c r="C2207">
        <v>23</v>
      </c>
      <c r="D2207">
        <v>1.8140000000000001</v>
      </c>
      <c r="E2207" t="s">
        <v>6</v>
      </c>
      <c r="F2207">
        <v>0.1042</v>
      </c>
    </row>
    <row r="2208" spans="1:6" x14ac:dyDescent="0.3">
      <c r="A2208" t="s">
        <v>22</v>
      </c>
      <c r="B2208" s="1">
        <v>45749</v>
      </c>
      <c r="C2208">
        <v>24</v>
      </c>
      <c r="D2208">
        <v>1.837</v>
      </c>
      <c r="E2208" t="s">
        <v>6</v>
      </c>
      <c r="F2208">
        <v>0.10008</v>
      </c>
    </row>
    <row r="2209" spans="1:6" x14ac:dyDescent="0.3">
      <c r="A2209" t="s">
        <v>22</v>
      </c>
      <c r="B2209" s="1">
        <v>45750</v>
      </c>
      <c r="C2209">
        <v>1</v>
      </c>
      <c r="D2209">
        <v>2.343</v>
      </c>
      <c r="E2209" t="s">
        <v>6</v>
      </c>
      <c r="F2209">
        <v>6.634000000000001E-2</v>
      </c>
    </row>
    <row r="2210" spans="1:6" x14ac:dyDescent="0.3">
      <c r="A2210" t="s">
        <v>22</v>
      </c>
      <c r="B2210" s="1">
        <v>45750</v>
      </c>
      <c r="C2210">
        <v>2</v>
      </c>
      <c r="D2210">
        <v>2.0179999999999998</v>
      </c>
      <c r="E2210" t="s">
        <v>6</v>
      </c>
      <c r="F2210">
        <v>6.8069999999999992E-2</v>
      </c>
    </row>
    <row r="2211" spans="1:6" x14ac:dyDescent="0.3">
      <c r="A2211" t="s">
        <v>22</v>
      </c>
      <c r="B2211" s="1">
        <v>45750</v>
      </c>
      <c r="C2211">
        <v>3</v>
      </c>
      <c r="D2211">
        <v>1.7010000000000001</v>
      </c>
      <c r="E2211" t="s">
        <v>6</v>
      </c>
      <c r="F2211">
        <v>7.1859999999999993E-2</v>
      </c>
    </row>
    <row r="2212" spans="1:6" x14ac:dyDescent="0.3">
      <c r="A2212" t="s">
        <v>22</v>
      </c>
      <c r="B2212" s="1">
        <v>45750</v>
      </c>
      <c r="C2212">
        <v>4</v>
      </c>
      <c r="D2212">
        <v>1.891</v>
      </c>
      <c r="E2212" t="s">
        <v>6</v>
      </c>
      <c r="F2212">
        <v>6.548000000000001E-2</v>
      </c>
    </row>
    <row r="2213" spans="1:6" x14ac:dyDescent="0.3">
      <c r="A2213" t="s">
        <v>22</v>
      </c>
      <c r="B2213" s="1">
        <v>45750</v>
      </c>
      <c r="C2213">
        <v>5</v>
      </c>
      <c r="D2213">
        <v>2.0099999999999998</v>
      </c>
      <c r="E2213" t="s">
        <v>6</v>
      </c>
      <c r="F2213">
        <v>6.2280000000000002E-2</v>
      </c>
    </row>
    <row r="2214" spans="1:6" x14ac:dyDescent="0.3">
      <c r="A2214" t="s">
        <v>22</v>
      </c>
      <c r="B2214" s="1">
        <v>45750</v>
      </c>
      <c r="C2214">
        <v>6</v>
      </c>
      <c r="D2214">
        <v>1.9059999999999999</v>
      </c>
      <c r="E2214" t="s">
        <v>6</v>
      </c>
      <c r="F2214">
        <v>6.3320000000000001E-2</v>
      </c>
    </row>
    <row r="2215" spans="1:6" x14ac:dyDescent="0.3">
      <c r="A2215" t="s">
        <v>22</v>
      </c>
      <c r="B2215" s="1">
        <v>45750</v>
      </c>
      <c r="C2215">
        <v>7</v>
      </c>
      <c r="D2215">
        <v>2.12</v>
      </c>
      <c r="E2215" t="s">
        <v>6</v>
      </c>
      <c r="F2215">
        <v>6.3390000000000002E-2</v>
      </c>
    </row>
    <row r="2216" spans="1:6" x14ac:dyDescent="0.3">
      <c r="A2216" t="s">
        <v>22</v>
      </c>
      <c r="B2216" s="1">
        <v>45750</v>
      </c>
      <c r="C2216">
        <v>8</v>
      </c>
      <c r="D2216">
        <v>2.8</v>
      </c>
      <c r="E2216" t="s">
        <v>6</v>
      </c>
      <c r="F2216">
        <v>8.3690000000000001E-2</v>
      </c>
    </row>
    <row r="2217" spans="1:6" x14ac:dyDescent="0.3">
      <c r="A2217" t="s">
        <v>22</v>
      </c>
      <c r="B2217" s="1">
        <v>45750</v>
      </c>
      <c r="C2217">
        <v>9</v>
      </c>
      <c r="D2217">
        <v>1.4490000000000001</v>
      </c>
      <c r="E2217" t="s">
        <v>6</v>
      </c>
      <c r="F2217">
        <v>0.13485</v>
      </c>
    </row>
    <row r="2218" spans="1:6" x14ac:dyDescent="0.3">
      <c r="A2218" t="s">
        <v>22</v>
      </c>
      <c r="B2218" s="1">
        <v>45750</v>
      </c>
      <c r="C2218">
        <v>10</v>
      </c>
      <c r="D2218">
        <v>0</v>
      </c>
      <c r="E2218" t="s">
        <v>6</v>
      </c>
      <c r="F2218">
        <v>0.11266</v>
      </c>
    </row>
    <row r="2219" spans="1:6" x14ac:dyDescent="0.3">
      <c r="A2219" t="s">
        <v>22</v>
      </c>
      <c r="B2219" s="1">
        <v>45750</v>
      </c>
      <c r="C2219">
        <v>11</v>
      </c>
      <c r="D2219">
        <v>0</v>
      </c>
      <c r="E2219" t="s">
        <v>6</v>
      </c>
      <c r="F2219">
        <v>0.16656000000000001</v>
      </c>
    </row>
    <row r="2220" spans="1:6" x14ac:dyDescent="0.3">
      <c r="A2220" t="s">
        <v>22</v>
      </c>
      <c r="B2220" s="1">
        <v>45750</v>
      </c>
      <c r="C2220">
        <v>12</v>
      </c>
      <c r="D2220">
        <v>0</v>
      </c>
      <c r="E2220" t="s">
        <v>6</v>
      </c>
      <c r="F2220">
        <v>0.13706000000000002</v>
      </c>
    </row>
    <row r="2221" spans="1:6" x14ac:dyDescent="0.3">
      <c r="A2221" t="s">
        <v>22</v>
      </c>
      <c r="B2221" s="1">
        <v>45750</v>
      </c>
      <c r="C2221">
        <v>13</v>
      </c>
      <c r="D2221">
        <v>0</v>
      </c>
      <c r="E2221" t="s">
        <v>6</v>
      </c>
      <c r="F2221">
        <v>0.13362000000000002</v>
      </c>
    </row>
    <row r="2222" spans="1:6" x14ac:dyDescent="0.3">
      <c r="A2222" t="s">
        <v>22</v>
      </c>
      <c r="B2222" s="1">
        <v>45750</v>
      </c>
      <c r="C2222">
        <v>14</v>
      </c>
      <c r="D2222">
        <v>0</v>
      </c>
      <c r="E2222" t="s">
        <v>6</v>
      </c>
      <c r="F2222">
        <v>0.13022999999999998</v>
      </c>
    </row>
    <row r="2223" spans="1:6" x14ac:dyDescent="0.3">
      <c r="A2223" t="s">
        <v>22</v>
      </c>
      <c r="B2223" s="1">
        <v>45750</v>
      </c>
      <c r="C2223">
        <v>15</v>
      </c>
      <c r="D2223">
        <v>0.71899999999999997</v>
      </c>
      <c r="E2223" t="s">
        <v>6</v>
      </c>
      <c r="F2223">
        <v>6.545999999999999E-2</v>
      </c>
    </row>
    <row r="2224" spans="1:6" x14ac:dyDescent="0.3">
      <c r="A2224" t="s">
        <v>22</v>
      </c>
      <c r="B2224" s="1">
        <v>45750</v>
      </c>
      <c r="C2224">
        <v>16</v>
      </c>
      <c r="D2224">
        <v>0.255</v>
      </c>
      <c r="E2224" t="s">
        <v>6</v>
      </c>
      <c r="F2224">
        <v>6.6310000000000008E-2</v>
      </c>
    </row>
    <row r="2225" spans="1:6" x14ac:dyDescent="0.3">
      <c r="A2225" t="s">
        <v>22</v>
      </c>
      <c r="B2225" s="1">
        <v>45750</v>
      </c>
      <c r="C2225">
        <v>17</v>
      </c>
      <c r="D2225">
        <v>0.30599999999999999</v>
      </c>
      <c r="E2225" t="s">
        <v>6</v>
      </c>
      <c r="F2225">
        <v>6.4950000000000008E-2</v>
      </c>
    </row>
    <row r="2226" spans="1:6" x14ac:dyDescent="0.3">
      <c r="A2226" t="s">
        <v>22</v>
      </c>
      <c r="B2226" s="1">
        <v>45750</v>
      </c>
      <c r="C2226">
        <v>18</v>
      </c>
      <c r="D2226">
        <v>0</v>
      </c>
      <c r="E2226" t="s">
        <v>6</v>
      </c>
      <c r="F2226">
        <v>6.8559999999999996E-2</v>
      </c>
    </row>
    <row r="2227" spans="1:6" x14ac:dyDescent="0.3">
      <c r="A2227" t="s">
        <v>22</v>
      </c>
      <c r="B2227" s="1">
        <v>45750</v>
      </c>
      <c r="C2227">
        <v>19</v>
      </c>
      <c r="D2227">
        <v>0</v>
      </c>
      <c r="E2227" t="s">
        <v>6</v>
      </c>
      <c r="F2227">
        <v>0.14013999999999999</v>
      </c>
    </row>
    <row r="2228" spans="1:6" x14ac:dyDescent="0.3">
      <c r="A2228" t="s">
        <v>22</v>
      </c>
      <c r="B2228" s="1">
        <v>45750</v>
      </c>
      <c r="C2228">
        <v>20</v>
      </c>
      <c r="D2228">
        <v>0.26600000000000001</v>
      </c>
      <c r="E2228" t="s">
        <v>6</v>
      </c>
      <c r="F2228">
        <v>0.16828000000000001</v>
      </c>
    </row>
    <row r="2229" spans="1:6" x14ac:dyDescent="0.3">
      <c r="A2229" t="s">
        <v>22</v>
      </c>
      <c r="B2229" s="1">
        <v>45750</v>
      </c>
      <c r="C2229">
        <v>21</v>
      </c>
      <c r="D2229">
        <v>0.89</v>
      </c>
      <c r="E2229" t="s">
        <v>6</v>
      </c>
      <c r="F2229">
        <v>0.22200999999999999</v>
      </c>
    </row>
    <row r="2230" spans="1:6" x14ac:dyDescent="0.3">
      <c r="A2230" t="s">
        <v>22</v>
      </c>
      <c r="B2230" s="1">
        <v>45750</v>
      </c>
      <c r="C2230">
        <v>22</v>
      </c>
      <c r="D2230">
        <v>2.1709999999999998</v>
      </c>
      <c r="E2230" t="s">
        <v>6</v>
      </c>
      <c r="F2230">
        <v>0.21994</v>
      </c>
    </row>
    <row r="2231" spans="1:6" x14ac:dyDescent="0.3">
      <c r="A2231" t="s">
        <v>22</v>
      </c>
      <c r="B2231" s="1">
        <v>45750</v>
      </c>
      <c r="C2231">
        <v>23</v>
      </c>
      <c r="D2231">
        <v>2.258</v>
      </c>
      <c r="E2231" t="s">
        <v>6</v>
      </c>
      <c r="F2231">
        <v>0.10553</v>
      </c>
    </row>
    <row r="2232" spans="1:6" x14ac:dyDescent="0.3">
      <c r="A2232" t="s">
        <v>22</v>
      </c>
      <c r="B2232" s="1">
        <v>45750</v>
      </c>
      <c r="C2232">
        <v>24</v>
      </c>
      <c r="D2232">
        <v>1.8640000000000001</v>
      </c>
      <c r="E2232" t="s">
        <v>6</v>
      </c>
      <c r="F2232">
        <v>7.8579999999999997E-2</v>
      </c>
    </row>
    <row r="2233" spans="1:6" x14ac:dyDescent="0.3">
      <c r="A2233" t="s">
        <v>22</v>
      </c>
      <c r="B2233" s="1">
        <v>45751</v>
      </c>
      <c r="C2233">
        <v>1</v>
      </c>
      <c r="D2233">
        <v>2.2629999999999999</v>
      </c>
      <c r="E2233" t="s">
        <v>6</v>
      </c>
      <c r="F2233">
        <v>5.6930000000000001E-2</v>
      </c>
    </row>
    <row r="2234" spans="1:6" x14ac:dyDescent="0.3">
      <c r="A2234" t="s">
        <v>22</v>
      </c>
      <c r="B2234" s="1">
        <v>45751</v>
      </c>
      <c r="C2234">
        <v>2</v>
      </c>
      <c r="D2234">
        <v>1.92</v>
      </c>
      <c r="E2234" t="s">
        <v>6</v>
      </c>
      <c r="F2234">
        <v>5.8790000000000002E-2</v>
      </c>
    </row>
    <row r="2235" spans="1:6" x14ac:dyDescent="0.3">
      <c r="A2235" t="s">
        <v>22</v>
      </c>
      <c r="B2235" s="1">
        <v>45751</v>
      </c>
      <c r="C2235">
        <v>3</v>
      </c>
      <c r="D2235">
        <v>1.4850000000000001</v>
      </c>
      <c r="E2235" t="s">
        <v>6</v>
      </c>
      <c r="F2235">
        <v>5.9880000000000003E-2</v>
      </c>
    </row>
    <row r="2236" spans="1:6" x14ac:dyDescent="0.3">
      <c r="A2236" t="s">
        <v>22</v>
      </c>
      <c r="B2236" s="1">
        <v>45751</v>
      </c>
      <c r="C2236">
        <v>4</v>
      </c>
      <c r="D2236">
        <v>1.4790000000000001</v>
      </c>
      <c r="E2236" t="s">
        <v>6</v>
      </c>
      <c r="F2236">
        <v>5.6649999999999999E-2</v>
      </c>
    </row>
    <row r="2237" spans="1:6" x14ac:dyDescent="0.3">
      <c r="A2237" t="s">
        <v>22</v>
      </c>
      <c r="B2237" s="1">
        <v>45751</v>
      </c>
      <c r="C2237">
        <v>5</v>
      </c>
      <c r="D2237">
        <v>1.5449999999999999</v>
      </c>
      <c r="E2237" t="s">
        <v>6</v>
      </c>
      <c r="F2237">
        <v>5.6680000000000001E-2</v>
      </c>
    </row>
    <row r="2238" spans="1:6" x14ac:dyDescent="0.3">
      <c r="A2238" t="s">
        <v>22</v>
      </c>
      <c r="B2238" s="1">
        <v>45751</v>
      </c>
      <c r="C2238">
        <v>6</v>
      </c>
      <c r="D2238">
        <v>1.5249999999999999</v>
      </c>
      <c r="E2238" t="s">
        <v>6</v>
      </c>
      <c r="F2238">
        <v>5.6329999999999998E-2</v>
      </c>
    </row>
    <row r="2239" spans="1:6" x14ac:dyDescent="0.3">
      <c r="A2239" t="s">
        <v>22</v>
      </c>
      <c r="B2239" s="1">
        <v>45751</v>
      </c>
      <c r="C2239">
        <v>7</v>
      </c>
      <c r="D2239">
        <v>1.5349999999999999</v>
      </c>
      <c r="E2239" t="s">
        <v>6</v>
      </c>
      <c r="F2239">
        <v>5.7149999999999999E-2</v>
      </c>
    </row>
    <row r="2240" spans="1:6" x14ac:dyDescent="0.3">
      <c r="A2240" t="s">
        <v>22</v>
      </c>
      <c r="B2240" s="1">
        <v>45751</v>
      </c>
      <c r="C2240">
        <v>8</v>
      </c>
      <c r="D2240">
        <v>1.7110000000000001</v>
      </c>
      <c r="E2240" t="s">
        <v>6</v>
      </c>
      <c r="F2240">
        <v>8.8980000000000004E-2</v>
      </c>
    </row>
    <row r="2241" spans="1:6" x14ac:dyDescent="0.3">
      <c r="A2241" t="s">
        <v>22</v>
      </c>
      <c r="B2241" s="1">
        <v>45751</v>
      </c>
      <c r="C2241">
        <v>9</v>
      </c>
      <c r="D2241">
        <v>1.5349999999999999</v>
      </c>
      <c r="E2241" t="s">
        <v>6</v>
      </c>
      <c r="F2241">
        <v>0.12121</v>
      </c>
    </row>
    <row r="2242" spans="1:6" x14ac:dyDescent="0.3">
      <c r="A2242" t="s">
        <v>22</v>
      </c>
      <c r="B2242" s="1">
        <v>45751</v>
      </c>
      <c r="C2242">
        <v>10</v>
      </c>
      <c r="D2242">
        <v>1.1399999999999999</v>
      </c>
      <c r="E2242" t="s">
        <v>6</v>
      </c>
      <c r="F2242">
        <v>9.7950000000000009E-2</v>
      </c>
    </row>
    <row r="2243" spans="1:6" x14ac:dyDescent="0.3">
      <c r="A2243" t="s">
        <v>22</v>
      </c>
      <c r="B2243" s="1">
        <v>45751</v>
      </c>
      <c r="C2243">
        <v>11</v>
      </c>
      <c r="D2243">
        <v>0</v>
      </c>
      <c r="E2243" t="s">
        <v>6</v>
      </c>
      <c r="F2243">
        <v>0.14662</v>
      </c>
    </row>
    <row r="2244" spans="1:6" x14ac:dyDescent="0.3">
      <c r="A2244" t="s">
        <v>22</v>
      </c>
      <c r="B2244" s="1">
        <v>45751</v>
      </c>
      <c r="C2244">
        <v>12</v>
      </c>
      <c r="D2244">
        <v>0</v>
      </c>
      <c r="E2244" t="s">
        <v>6</v>
      </c>
      <c r="F2244">
        <v>0.14324999999999999</v>
      </c>
    </row>
    <row r="2245" spans="1:6" x14ac:dyDescent="0.3">
      <c r="A2245" t="s">
        <v>22</v>
      </c>
      <c r="B2245" s="1">
        <v>45751</v>
      </c>
      <c r="C2245">
        <v>13</v>
      </c>
      <c r="D2245">
        <v>1.21</v>
      </c>
      <c r="E2245" t="s">
        <v>6</v>
      </c>
      <c r="F2245">
        <v>0.13633000000000001</v>
      </c>
    </row>
    <row r="2246" spans="1:6" x14ac:dyDescent="0.3">
      <c r="A2246" t="s">
        <v>22</v>
      </c>
      <c r="B2246" s="1">
        <v>45751</v>
      </c>
      <c r="C2246">
        <v>14</v>
      </c>
      <c r="D2246">
        <v>4.6900000000000004</v>
      </c>
      <c r="E2246" t="s">
        <v>6</v>
      </c>
      <c r="F2246">
        <v>0.13442999999999999</v>
      </c>
    </row>
    <row r="2247" spans="1:6" x14ac:dyDescent="0.3">
      <c r="A2247" t="s">
        <v>22</v>
      </c>
      <c r="B2247" s="1">
        <v>45751</v>
      </c>
      <c r="C2247">
        <v>15</v>
      </c>
      <c r="D2247">
        <v>3.169</v>
      </c>
      <c r="E2247" t="s">
        <v>6</v>
      </c>
      <c r="F2247">
        <v>7.016E-2</v>
      </c>
    </row>
    <row r="2248" spans="1:6" x14ac:dyDescent="0.3">
      <c r="A2248" t="s">
        <v>22</v>
      </c>
      <c r="B2248" s="1">
        <v>45751</v>
      </c>
      <c r="C2248">
        <v>16</v>
      </c>
      <c r="D2248">
        <v>0</v>
      </c>
      <c r="E2248" t="s">
        <v>6</v>
      </c>
      <c r="F2248">
        <v>7.3609999999999995E-2</v>
      </c>
    </row>
    <row r="2249" spans="1:6" x14ac:dyDescent="0.3">
      <c r="A2249" t="s">
        <v>22</v>
      </c>
      <c r="B2249" s="1">
        <v>45751</v>
      </c>
      <c r="C2249">
        <v>17</v>
      </c>
      <c r="D2249">
        <v>0</v>
      </c>
      <c r="E2249" t="s">
        <v>6</v>
      </c>
      <c r="F2249">
        <v>7.0629999999999998E-2</v>
      </c>
    </row>
    <row r="2250" spans="1:6" x14ac:dyDescent="0.3">
      <c r="A2250" t="s">
        <v>22</v>
      </c>
      <c r="B2250" s="1">
        <v>45751</v>
      </c>
      <c r="C2250">
        <v>18</v>
      </c>
      <c r="D2250">
        <v>0</v>
      </c>
      <c r="E2250" t="s">
        <v>6</v>
      </c>
      <c r="F2250">
        <v>7.1690000000000004E-2</v>
      </c>
    </row>
    <row r="2251" spans="1:6" x14ac:dyDescent="0.3">
      <c r="A2251" t="s">
        <v>22</v>
      </c>
      <c r="B2251" s="1">
        <v>45751</v>
      </c>
      <c r="C2251">
        <v>19</v>
      </c>
      <c r="D2251">
        <v>0</v>
      </c>
      <c r="E2251" t="s">
        <v>6</v>
      </c>
      <c r="F2251">
        <v>0.14058000000000001</v>
      </c>
    </row>
    <row r="2252" spans="1:6" x14ac:dyDescent="0.3">
      <c r="A2252" t="s">
        <v>22</v>
      </c>
      <c r="B2252" s="1">
        <v>45751</v>
      </c>
      <c r="C2252">
        <v>20</v>
      </c>
      <c r="D2252">
        <v>0.747</v>
      </c>
      <c r="E2252" t="s">
        <v>6</v>
      </c>
      <c r="F2252">
        <v>0.15253</v>
      </c>
    </row>
    <row r="2253" spans="1:6" x14ac:dyDescent="0.3">
      <c r="A2253" t="s">
        <v>22</v>
      </c>
      <c r="B2253" s="1">
        <v>45751</v>
      </c>
      <c r="C2253">
        <v>21</v>
      </c>
      <c r="D2253">
        <v>1.1240000000000001</v>
      </c>
      <c r="E2253" t="s">
        <v>6</v>
      </c>
      <c r="F2253">
        <v>0.17465</v>
      </c>
    </row>
    <row r="2254" spans="1:6" x14ac:dyDescent="0.3">
      <c r="A2254" t="s">
        <v>22</v>
      </c>
      <c r="B2254" s="1">
        <v>45751</v>
      </c>
      <c r="C2254">
        <v>22</v>
      </c>
      <c r="D2254">
        <v>1.859</v>
      </c>
      <c r="E2254" t="s">
        <v>6</v>
      </c>
      <c r="F2254">
        <v>0.19286</v>
      </c>
    </row>
    <row r="2255" spans="1:6" x14ac:dyDescent="0.3">
      <c r="A2255" t="s">
        <v>22</v>
      </c>
      <c r="B2255" s="1">
        <v>45751</v>
      </c>
      <c r="C2255">
        <v>23</v>
      </c>
      <c r="D2255">
        <v>1.629</v>
      </c>
      <c r="E2255" t="s">
        <v>6</v>
      </c>
      <c r="F2255">
        <v>0.11256000000000001</v>
      </c>
    </row>
    <row r="2256" spans="1:6" x14ac:dyDescent="0.3">
      <c r="A2256" t="s">
        <v>22</v>
      </c>
      <c r="B2256" s="1">
        <v>45751</v>
      </c>
      <c r="C2256">
        <v>24</v>
      </c>
      <c r="D2256">
        <v>0.95</v>
      </c>
      <c r="E2256" t="s">
        <v>6</v>
      </c>
      <c r="F2256">
        <v>9.7030000000000005E-2</v>
      </c>
    </row>
    <row r="2257" spans="1:6" x14ac:dyDescent="0.3">
      <c r="A2257" t="s">
        <v>22</v>
      </c>
      <c r="B2257" s="1">
        <v>45752</v>
      </c>
      <c r="C2257">
        <v>1</v>
      </c>
      <c r="D2257">
        <v>1.1459999999999999</v>
      </c>
      <c r="E2257" t="s">
        <v>6</v>
      </c>
      <c r="F2257">
        <v>8.6430000000000007E-2</v>
      </c>
    </row>
    <row r="2258" spans="1:6" x14ac:dyDescent="0.3">
      <c r="A2258" t="s">
        <v>22</v>
      </c>
      <c r="B2258" s="1">
        <v>45752</v>
      </c>
      <c r="C2258">
        <v>2</v>
      </c>
      <c r="D2258">
        <v>1.1890000000000001</v>
      </c>
      <c r="E2258" t="s">
        <v>6</v>
      </c>
      <c r="F2258">
        <v>7.3719999999999994E-2</v>
      </c>
    </row>
    <row r="2259" spans="1:6" x14ac:dyDescent="0.3">
      <c r="A2259" t="s">
        <v>22</v>
      </c>
      <c r="B2259" s="1">
        <v>45752</v>
      </c>
      <c r="C2259">
        <v>3</v>
      </c>
      <c r="D2259">
        <v>1.1459999999999999</v>
      </c>
      <c r="E2259" t="s">
        <v>6</v>
      </c>
      <c r="F2259">
        <v>7.2840000000000002E-2</v>
      </c>
    </row>
    <row r="2260" spans="1:6" x14ac:dyDescent="0.3">
      <c r="A2260" t="s">
        <v>22</v>
      </c>
      <c r="B2260" s="1">
        <v>45752</v>
      </c>
      <c r="C2260">
        <v>4</v>
      </c>
      <c r="D2260">
        <v>1.974</v>
      </c>
      <c r="E2260" t="s">
        <v>6</v>
      </c>
      <c r="F2260">
        <v>7.1199999999999999E-2</v>
      </c>
    </row>
    <row r="2261" spans="1:6" x14ac:dyDescent="0.3">
      <c r="A2261" t="s">
        <v>22</v>
      </c>
      <c r="B2261" s="1">
        <v>45752</v>
      </c>
      <c r="C2261">
        <v>5</v>
      </c>
      <c r="D2261">
        <v>1.6459999999999999</v>
      </c>
      <c r="E2261" t="s">
        <v>6</v>
      </c>
      <c r="F2261">
        <v>6.695000000000001E-2</v>
      </c>
    </row>
    <row r="2262" spans="1:6" x14ac:dyDescent="0.3">
      <c r="A2262" t="s">
        <v>22</v>
      </c>
      <c r="B2262" s="1">
        <v>45752</v>
      </c>
      <c r="C2262">
        <v>6</v>
      </c>
      <c r="D2262">
        <v>1.5549999999999999</v>
      </c>
      <c r="E2262" t="s">
        <v>6</v>
      </c>
      <c r="F2262">
        <v>7.0499999999999993E-2</v>
      </c>
    </row>
    <row r="2263" spans="1:6" x14ac:dyDescent="0.3">
      <c r="A2263" t="s">
        <v>22</v>
      </c>
      <c r="B2263" s="1">
        <v>45752</v>
      </c>
      <c r="C2263">
        <v>7</v>
      </c>
      <c r="D2263">
        <v>1.4870000000000001</v>
      </c>
      <c r="E2263" t="s">
        <v>6</v>
      </c>
      <c r="F2263">
        <v>7.5159999999999991E-2</v>
      </c>
    </row>
    <row r="2264" spans="1:6" x14ac:dyDescent="0.3">
      <c r="A2264" t="s">
        <v>22</v>
      </c>
      <c r="B2264" s="1">
        <v>45752</v>
      </c>
      <c r="C2264">
        <v>8</v>
      </c>
      <c r="D2264">
        <v>1.571</v>
      </c>
      <c r="E2264" t="s">
        <v>6</v>
      </c>
      <c r="F2264">
        <v>6.8400000000000002E-2</v>
      </c>
    </row>
    <row r="2265" spans="1:6" x14ac:dyDescent="0.3">
      <c r="A2265" t="s">
        <v>22</v>
      </c>
      <c r="B2265" s="1">
        <v>45752</v>
      </c>
      <c r="C2265">
        <v>9</v>
      </c>
      <c r="D2265">
        <v>1.3440000000000001</v>
      </c>
      <c r="E2265" t="s">
        <v>6</v>
      </c>
      <c r="F2265">
        <v>7.4079999999999993E-2</v>
      </c>
    </row>
    <row r="2266" spans="1:6" x14ac:dyDescent="0.3">
      <c r="A2266" t="s">
        <v>22</v>
      </c>
      <c r="B2266" s="1">
        <v>45752</v>
      </c>
      <c r="C2266">
        <v>10</v>
      </c>
      <c r="D2266">
        <v>0</v>
      </c>
      <c r="E2266" t="s">
        <v>6</v>
      </c>
      <c r="F2266">
        <v>5.5109999999999999E-2</v>
      </c>
    </row>
    <row r="2267" spans="1:6" x14ac:dyDescent="0.3">
      <c r="A2267" t="s">
        <v>22</v>
      </c>
      <c r="B2267" s="1">
        <v>45752</v>
      </c>
      <c r="C2267">
        <v>11</v>
      </c>
      <c r="D2267">
        <v>0</v>
      </c>
      <c r="E2267" t="s">
        <v>6</v>
      </c>
      <c r="F2267">
        <v>4.2360000000000002E-2</v>
      </c>
    </row>
    <row r="2268" spans="1:6" x14ac:dyDescent="0.3">
      <c r="A2268" t="s">
        <v>22</v>
      </c>
      <c r="B2268" s="1">
        <v>45752</v>
      </c>
      <c r="C2268">
        <v>12</v>
      </c>
      <c r="D2268">
        <v>0</v>
      </c>
      <c r="E2268" t="s">
        <v>6</v>
      </c>
      <c r="F2268">
        <v>3.8630000000000005E-2</v>
      </c>
    </row>
    <row r="2269" spans="1:6" x14ac:dyDescent="0.3">
      <c r="A2269" t="s">
        <v>22</v>
      </c>
      <c r="B2269" s="1">
        <v>45752</v>
      </c>
      <c r="C2269">
        <v>13</v>
      </c>
      <c r="D2269">
        <v>0</v>
      </c>
      <c r="E2269" t="s">
        <v>6</v>
      </c>
      <c r="F2269">
        <v>3.739E-2</v>
      </c>
    </row>
    <row r="2270" spans="1:6" x14ac:dyDescent="0.3">
      <c r="A2270" t="s">
        <v>22</v>
      </c>
      <c r="B2270" s="1">
        <v>45752</v>
      </c>
      <c r="C2270">
        <v>14</v>
      </c>
      <c r="D2270">
        <v>2.7090000000000001</v>
      </c>
      <c r="E2270" t="s">
        <v>6</v>
      </c>
      <c r="F2270">
        <v>3.637E-2</v>
      </c>
    </row>
    <row r="2271" spans="1:6" x14ac:dyDescent="0.3">
      <c r="A2271" t="s">
        <v>22</v>
      </c>
      <c r="B2271" s="1">
        <v>45752</v>
      </c>
      <c r="C2271">
        <v>15</v>
      </c>
      <c r="D2271">
        <v>2.2170000000000001</v>
      </c>
      <c r="E2271" t="s">
        <v>6</v>
      </c>
      <c r="F2271">
        <v>3.6659999999999998E-2</v>
      </c>
    </row>
    <row r="2272" spans="1:6" x14ac:dyDescent="0.3">
      <c r="A2272" t="s">
        <v>22</v>
      </c>
      <c r="B2272" s="1">
        <v>45752</v>
      </c>
      <c r="C2272">
        <v>16</v>
      </c>
      <c r="D2272">
        <v>0</v>
      </c>
      <c r="E2272" t="s">
        <v>6</v>
      </c>
      <c r="F2272">
        <v>3.8119999999999994E-2</v>
      </c>
    </row>
    <row r="2273" spans="1:6" x14ac:dyDescent="0.3">
      <c r="A2273" t="s">
        <v>22</v>
      </c>
      <c r="B2273" s="1">
        <v>45752</v>
      </c>
      <c r="C2273">
        <v>17</v>
      </c>
      <c r="D2273">
        <v>0</v>
      </c>
      <c r="E2273" t="s">
        <v>6</v>
      </c>
      <c r="F2273">
        <v>3.9060000000000004E-2</v>
      </c>
    </row>
    <row r="2274" spans="1:6" x14ac:dyDescent="0.3">
      <c r="A2274" t="s">
        <v>22</v>
      </c>
      <c r="B2274" s="1">
        <v>45752</v>
      </c>
      <c r="C2274">
        <v>18</v>
      </c>
      <c r="D2274">
        <v>0</v>
      </c>
      <c r="E2274" t="s">
        <v>6</v>
      </c>
      <c r="F2274">
        <v>4.0119999999999996E-2</v>
      </c>
    </row>
    <row r="2275" spans="1:6" x14ac:dyDescent="0.3">
      <c r="A2275" t="s">
        <v>22</v>
      </c>
      <c r="B2275" s="1">
        <v>45752</v>
      </c>
      <c r="C2275">
        <v>19</v>
      </c>
      <c r="D2275">
        <v>0</v>
      </c>
      <c r="E2275" t="s">
        <v>6</v>
      </c>
      <c r="F2275">
        <v>5.1650000000000001E-2</v>
      </c>
    </row>
    <row r="2276" spans="1:6" x14ac:dyDescent="0.3">
      <c r="A2276" t="s">
        <v>22</v>
      </c>
      <c r="B2276" s="1">
        <v>45752</v>
      </c>
      <c r="C2276">
        <v>20</v>
      </c>
      <c r="D2276">
        <v>2.9000000000000001E-2</v>
      </c>
      <c r="E2276" t="s">
        <v>6</v>
      </c>
      <c r="F2276">
        <v>9.9750000000000005E-2</v>
      </c>
    </row>
    <row r="2277" spans="1:6" x14ac:dyDescent="0.3">
      <c r="A2277" t="s">
        <v>22</v>
      </c>
      <c r="B2277" s="1">
        <v>45752</v>
      </c>
      <c r="C2277">
        <v>21</v>
      </c>
      <c r="D2277">
        <v>1.018</v>
      </c>
      <c r="E2277" t="s">
        <v>6</v>
      </c>
      <c r="F2277">
        <v>0.1477</v>
      </c>
    </row>
    <row r="2278" spans="1:6" x14ac:dyDescent="0.3">
      <c r="A2278" t="s">
        <v>22</v>
      </c>
      <c r="B2278" s="1">
        <v>45752</v>
      </c>
      <c r="C2278">
        <v>22</v>
      </c>
      <c r="D2278">
        <v>0.66800000000000004</v>
      </c>
      <c r="E2278" t="s">
        <v>6</v>
      </c>
      <c r="F2278">
        <v>0.15068000000000001</v>
      </c>
    </row>
    <row r="2279" spans="1:6" x14ac:dyDescent="0.3">
      <c r="A2279" t="s">
        <v>22</v>
      </c>
      <c r="B2279" s="1">
        <v>45752</v>
      </c>
      <c r="C2279">
        <v>23</v>
      </c>
      <c r="D2279">
        <v>0.45500000000000002</v>
      </c>
      <c r="E2279" t="s">
        <v>6</v>
      </c>
      <c r="F2279">
        <v>0.13295999999999999</v>
      </c>
    </row>
    <row r="2280" spans="1:6" x14ac:dyDescent="0.3">
      <c r="A2280" t="s">
        <v>22</v>
      </c>
      <c r="B2280" s="1">
        <v>45752</v>
      </c>
      <c r="C2280">
        <v>24</v>
      </c>
      <c r="D2280">
        <v>0.29199999999999998</v>
      </c>
      <c r="E2280" t="s">
        <v>6</v>
      </c>
      <c r="F2280">
        <v>0.12168000000000001</v>
      </c>
    </row>
    <row r="2281" spans="1:6" x14ac:dyDescent="0.3">
      <c r="A2281" t="s">
        <v>22</v>
      </c>
      <c r="B2281" s="1">
        <v>45753</v>
      </c>
      <c r="C2281">
        <v>1</v>
      </c>
      <c r="D2281">
        <v>1.8</v>
      </c>
      <c r="E2281" t="s">
        <v>6</v>
      </c>
      <c r="F2281">
        <v>0.13031999999999999</v>
      </c>
    </row>
    <row r="2282" spans="1:6" x14ac:dyDescent="0.3">
      <c r="A2282" t="s">
        <v>22</v>
      </c>
      <c r="B2282" s="1">
        <v>45753</v>
      </c>
      <c r="C2282">
        <v>2</v>
      </c>
      <c r="D2282">
        <v>1.5409999999999999</v>
      </c>
      <c r="E2282" t="s">
        <v>6</v>
      </c>
      <c r="F2282">
        <v>0.10879000000000001</v>
      </c>
    </row>
    <row r="2283" spans="1:6" x14ac:dyDescent="0.3">
      <c r="A2283" t="s">
        <v>22</v>
      </c>
      <c r="B2283" s="1">
        <v>45753</v>
      </c>
      <c r="C2283">
        <v>3</v>
      </c>
      <c r="D2283">
        <v>1.1379999999999999</v>
      </c>
      <c r="E2283" t="s">
        <v>6</v>
      </c>
      <c r="F2283">
        <v>9.8170000000000007E-2</v>
      </c>
    </row>
    <row r="2284" spans="1:6" x14ac:dyDescent="0.3">
      <c r="A2284" t="s">
        <v>22</v>
      </c>
      <c r="B2284" s="1">
        <v>45753</v>
      </c>
      <c r="C2284">
        <v>4</v>
      </c>
      <c r="D2284">
        <v>1.5</v>
      </c>
      <c r="E2284" t="s">
        <v>6</v>
      </c>
      <c r="F2284">
        <v>9.1260000000000008E-2</v>
      </c>
    </row>
    <row r="2285" spans="1:6" x14ac:dyDescent="0.3">
      <c r="A2285" t="s">
        <v>22</v>
      </c>
      <c r="B2285" s="1">
        <v>45753</v>
      </c>
      <c r="C2285">
        <v>5</v>
      </c>
      <c r="D2285">
        <v>1.39</v>
      </c>
      <c r="E2285" t="s">
        <v>6</v>
      </c>
      <c r="F2285">
        <v>9.1350000000000001E-2</v>
      </c>
    </row>
    <row r="2286" spans="1:6" x14ac:dyDescent="0.3">
      <c r="A2286" t="s">
        <v>22</v>
      </c>
      <c r="B2286" s="1">
        <v>45753</v>
      </c>
      <c r="C2286">
        <v>6</v>
      </c>
      <c r="D2286">
        <v>1.4470000000000001</v>
      </c>
      <c r="E2286" t="s">
        <v>6</v>
      </c>
      <c r="F2286">
        <v>9.2920000000000003E-2</v>
      </c>
    </row>
    <row r="2287" spans="1:6" x14ac:dyDescent="0.3">
      <c r="A2287" t="s">
        <v>22</v>
      </c>
      <c r="B2287" s="1">
        <v>45753</v>
      </c>
      <c r="C2287">
        <v>7</v>
      </c>
      <c r="D2287">
        <v>1.5009999999999999</v>
      </c>
      <c r="E2287" t="s">
        <v>6</v>
      </c>
      <c r="F2287">
        <v>9.265000000000001E-2</v>
      </c>
    </row>
    <row r="2288" spans="1:6" x14ac:dyDescent="0.3">
      <c r="A2288" t="s">
        <v>22</v>
      </c>
      <c r="B2288" s="1">
        <v>45753</v>
      </c>
      <c r="C2288">
        <v>8</v>
      </c>
      <c r="D2288">
        <v>1.502</v>
      </c>
      <c r="E2288" t="s">
        <v>6</v>
      </c>
      <c r="F2288">
        <v>9.4349999999999989E-2</v>
      </c>
    </row>
    <row r="2289" spans="1:6" x14ac:dyDescent="0.3">
      <c r="A2289" t="s">
        <v>22</v>
      </c>
      <c r="B2289" s="1">
        <v>45753</v>
      </c>
      <c r="C2289">
        <v>9</v>
      </c>
      <c r="D2289">
        <v>0.60199999999999998</v>
      </c>
      <c r="E2289" t="s">
        <v>6</v>
      </c>
      <c r="F2289">
        <v>9.3090000000000006E-2</v>
      </c>
    </row>
    <row r="2290" spans="1:6" x14ac:dyDescent="0.3">
      <c r="A2290" t="s">
        <v>22</v>
      </c>
      <c r="B2290" s="1">
        <v>45753</v>
      </c>
      <c r="C2290">
        <v>10</v>
      </c>
      <c r="D2290">
        <v>0</v>
      </c>
      <c r="E2290" t="s">
        <v>6</v>
      </c>
      <c r="F2290">
        <v>5.5750000000000001E-2</v>
      </c>
    </row>
    <row r="2291" spans="1:6" x14ac:dyDescent="0.3">
      <c r="A2291" t="s">
        <v>22</v>
      </c>
      <c r="B2291" s="1">
        <v>45753</v>
      </c>
      <c r="C2291">
        <v>11</v>
      </c>
      <c r="D2291">
        <v>0</v>
      </c>
      <c r="E2291" t="s">
        <v>6</v>
      </c>
      <c r="F2291">
        <v>4.0250000000000001E-2</v>
      </c>
    </row>
    <row r="2292" spans="1:6" x14ac:dyDescent="0.3">
      <c r="A2292" t="s">
        <v>22</v>
      </c>
      <c r="B2292" s="1">
        <v>45753</v>
      </c>
      <c r="C2292">
        <v>12</v>
      </c>
      <c r="D2292">
        <v>0</v>
      </c>
      <c r="E2292" t="s">
        <v>6</v>
      </c>
      <c r="F2292">
        <v>3.8109999999999998E-2</v>
      </c>
    </row>
    <row r="2293" spans="1:6" x14ac:dyDescent="0.3">
      <c r="A2293" t="s">
        <v>22</v>
      </c>
      <c r="B2293" s="1">
        <v>45753</v>
      </c>
      <c r="C2293">
        <v>13</v>
      </c>
      <c r="D2293">
        <v>0</v>
      </c>
      <c r="E2293" t="s">
        <v>6</v>
      </c>
      <c r="F2293">
        <v>3.7579999999999995E-2</v>
      </c>
    </row>
    <row r="2294" spans="1:6" x14ac:dyDescent="0.3">
      <c r="A2294" t="s">
        <v>22</v>
      </c>
      <c r="B2294" s="1">
        <v>45753</v>
      </c>
      <c r="C2294">
        <v>14</v>
      </c>
      <c r="D2294">
        <v>0</v>
      </c>
      <c r="E2294" t="s">
        <v>6</v>
      </c>
      <c r="F2294">
        <v>3.7469999999999996E-2</v>
      </c>
    </row>
    <row r="2295" spans="1:6" x14ac:dyDescent="0.3">
      <c r="A2295" t="s">
        <v>22</v>
      </c>
      <c r="B2295" s="1">
        <v>45753</v>
      </c>
      <c r="C2295">
        <v>15</v>
      </c>
      <c r="D2295">
        <v>1.5369999999999999</v>
      </c>
      <c r="E2295" t="s">
        <v>6</v>
      </c>
      <c r="F2295">
        <v>3.7829999999999996E-2</v>
      </c>
    </row>
    <row r="2296" spans="1:6" x14ac:dyDescent="0.3">
      <c r="A2296" t="s">
        <v>22</v>
      </c>
      <c r="B2296" s="1">
        <v>45753</v>
      </c>
      <c r="C2296">
        <v>16</v>
      </c>
      <c r="D2296">
        <v>0</v>
      </c>
      <c r="E2296" t="s">
        <v>6</v>
      </c>
      <c r="F2296">
        <v>3.9009999999999996E-2</v>
      </c>
    </row>
    <row r="2297" spans="1:6" x14ac:dyDescent="0.3">
      <c r="A2297" t="s">
        <v>22</v>
      </c>
      <c r="B2297" s="1">
        <v>45753</v>
      </c>
      <c r="C2297">
        <v>17</v>
      </c>
      <c r="D2297">
        <v>0</v>
      </c>
      <c r="E2297" t="s">
        <v>6</v>
      </c>
      <c r="F2297">
        <v>3.9689999999999996E-2</v>
      </c>
    </row>
    <row r="2298" spans="1:6" x14ac:dyDescent="0.3">
      <c r="A2298" t="s">
        <v>22</v>
      </c>
      <c r="B2298" s="1">
        <v>45753</v>
      </c>
      <c r="C2298">
        <v>18</v>
      </c>
      <c r="D2298">
        <v>0</v>
      </c>
      <c r="E2298" t="s">
        <v>6</v>
      </c>
      <c r="F2298">
        <v>4.0240000000000005E-2</v>
      </c>
    </row>
    <row r="2299" spans="1:6" x14ac:dyDescent="0.3">
      <c r="A2299" t="s">
        <v>22</v>
      </c>
      <c r="B2299" s="1">
        <v>45753</v>
      </c>
      <c r="C2299">
        <v>19</v>
      </c>
      <c r="D2299">
        <v>0.24399999999999999</v>
      </c>
      <c r="E2299" t="s">
        <v>6</v>
      </c>
      <c r="F2299">
        <v>5.509E-2</v>
      </c>
    </row>
    <row r="2300" spans="1:6" x14ac:dyDescent="0.3">
      <c r="A2300" t="s">
        <v>22</v>
      </c>
      <c r="B2300" s="1">
        <v>45753</v>
      </c>
      <c r="C2300">
        <v>20</v>
      </c>
      <c r="D2300">
        <v>0.66400000000000003</v>
      </c>
      <c r="E2300" t="s">
        <v>6</v>
      </c>
      <c r="F2300">
        <v>7.8060000000000004E-2</v>
      </c>
    </row>
    <row r="2301" spans="1:6" x14ac:dyDescent="0.3">
      <c r="A2301" t="s">
        <v>22</v>
      </c>
      <c r="B2301" s="1">
        <v>45753</v>
      </c>
      <c r="C2301">
        <v>21</v>
      </c>
      <c r="D2301">
        <v>0.83399999999999996</v>
      </c>
      <c r="E2301" t="s">
        <v>6</v>
      </c>
      <c r="F2301">
        <v>0.12176000000000001</v>
      </c>
    </row>
    <row r="2302" spans="1:6" x14ac:dyDescent="0.3">
      <c r="A2302" t="s">
        <v>22</v>
      </c>
      <c r="B2302" s="1">
        <v>45753</v>
      </c>
      <c r="C2302">
        <v>22</v>
      </c>
      <c r="D2302">
        <v>1.3340000000000001</v>
      </c>
      <c r="E2302" t="s">
        <v>6</v>
      </c>
      <c r="F2302">
        <v>0.12847999999999998</v>
      </c>
    </row>
    <row r="2303" spans="1:6" x14ac:dyDescent="0.3">
      <c r="A2303" t="s">
        <v>22</v>
      </c>
      <c r="B2303" s="1">
        <v>45753</v>
      </c>
      <c r="C2303">
        <v>23</v>
      </c>
      <c r="D2303">
        <v>1.7290000000000001</v>
      </c>
      <c r="E2303" t="s">
        <v>6</v>
      </c>
      <c r="F2303">
        <v>0.11856999999999999</v>
      </c>
    </row>
    <row r="2304" spans="1:6" x14ac:dyDescent="0.3">
      <c r="A2304" t="s">
        <v>22</v>
      </c>
      <c r="B2304" s="1">
        <v>45753</v>
      </c>
      <c r="C2304">
        <v>24</v>
      </c>
      <c r="D2304">
        <v>0.34499999999999997</v>
      </c>
      <c r="E2304" t="s">
        <v>6</v>
      </c>
      <c r="F2304">
        <v>0.11568000000000001</v>
      </c>
    </row>
    <row r="2305" spans="1:6" x14ac:dyDescent="0.3">
      <c r="A2305" t="s">
        <v>22</v>
      </c>
      <c r="B2305" s="1">
        <v>45754</v>
      </c>
      <c r="C2305">
        <v>1</v>
      </c>
      <c r="D2305">
        <v>0.17100000000000001</v>
      </c>
      <c r="E2305" t="s">
        <v>6</v>
      </c>
      <c r="F2305">
        <v>9.5469999999999999E-2</v>
      </c>
    </row>
    <row r="2306" spans="1:6" x14ac:dyDescent="0.3">
      <c r="A2306" t="s">
        <v>22</v>
      </c>
      <c r="B2306" s="1">
        <v>45754</v>
      </c>
      <c r="C2306">
        <v>2</v>
      </c>
      <c r="D2306">
        <v>0.14299999999999999</v>
      </c>
      <c r="E2306" t="s">
        <v>6</v>
      </c>
      <c r="F2306">
        <v>9.1900000000000009E-2</v>
      </c>
    </row>
    <row r="2307" spans="1:6" x14ac:dyDescent="0.3">
      <c r="A2307" t="s">
        <v>22</v>
      </c>
      <c r="B2307" s="1">
        <v>45754</v>
      </c>
      <c r="C2307">
        <v>3</v>
      </c>
      <c r="D2307">
        <v>0.29699999999999999</v>
      </c>
      <c r="E2307" t="s">
        <v>6</v>
      </c>
      <c r="F2307">
        <v>9.4920000000000004E-2</v>
      </c>
    </row>
    <row r="2308" spans="1:6" x14ac:dyDescent="0.3">
      <c r="A2308" t="s">
        <v>22</v>
      </c>
      <c r="B2308" s="1">
        <v>45754</v>
      </c>
      <c r="C2308">
        <v>4</v>
      </c>
      <c r="D2308">
        <v>0.27900000000000003</v>
      </c>
      <c r="E2308" t="s">
        <v>6</v>
      </c>
      <c r="F2308">
        <v>9.2180000000000012E-2</v>
      </c>
    </row>
    <row r="2309" spans="1:6" x14ac:dyDescent="0.3">
      <c r="A2309" t="s">
        <v>22</v>
      </c>
      <c r="B2309" s="1">
        <v>45754</v>
      </c>
      <c r="C2309">
        <v>5</v>
      </c>
      <c r="D2309">
        <v>0.109</v>
      </c>
      <c r="E2309" t="s">
        <v>6</v>
      </c>
      <c r="F2309">
        <v>9.2469999999999997E-2</v>
      </c>
    </row>
    <row r="2310" spans="1:6" x14ac:dyDescent="0.3">
      <c r="A2310" t="s">
        <v>22</v>
      </c>
      <c r="B2310" s="1">
        <v>45754</v>
      </c>
      <c r="C2310">
        <v>6</v>
      </c>
      <c r="D2310">
        <v>2.0510000000000002</v>
      </c>
      <c r="E2310" t="s">
        <v>6</v>
      </c>
      <c r="F2310">
        <v>9.7909999999999997E-2</v>
      </c>
    </row>
    <row r="2311" spans="1:6" x14ac:dyDescent="0.3">
      <c r="A2311" t="s">
        <v>22</v>
      </c>
      <c r="B2311" s="1">
        <v>45754</v>
      </c>
      <c r="C2311">
        <v>7</v>
      </c>
      <c r="D2311">
        <v>1.738</v>
      </c>
      <c r="E2311" t="s">
        <v>6</v>
      </c>
      <c r="F2311">
        <v>0.12176000000000001</v>
      </c>
    </row>
    <row r="2312" spans="1:6" x14ac:dyDescent="0.3">
      <c r="A2312" t="s">
        <v>22</v>
      </c>
      <c r="B2312" s="1">
        <v>45754</v>
      </c>
      <c r="C2312">
        <v>8</v>
      </c>
      <c r="D2312">
        <v>1.5189999999999999</v>
      </c>
      <c r="E2312" t="s">
        <v>6</v>
      </c>
      <c r="F2312">
        <v>0.21278</v>
      </c>
    </row>
    <row r="2313" spans="1:6" x14ac:dyDescent="0.3">
      <c r="A2313" t="s">
        <v>22</v>
      </c>
      <c r="B2313" s="1">
        <v>45754</v>
      </c>
      <c r="C2313">
        <v>9</v>
      </c>
      <c r="D2313">
        <v>0.42199999999999999</v>
      </c>
      <c r="E2313" t="s">
        <v>6</v>
      </c>
      <c r="F2313">
        <v>0.22744999999999999</v>
      </c>
    </row>
    <row r="2314" spans="1:6" x14ac:dyDescent="0.3">
      <c r="A2314" t="s">
        <v>22</v>
      </c>
      <c r="B2314" s="1">
        <v>45754</v>
      </c>
      <c r="C2314">
        <v>10</v>
      </c>
      <c r="D2314">
        <v>0.56200000000000006</v>
      </c>
      <c r="E2314" t="s">
        <v>6</v>
      </c>
      <c r="F2314">
        <v>0.12087000000000001</v>
      </c>
    </row>
    <row r="2315" spans="1:6" x14ac:dyDescent="0.3">
      <c r="A2315" t="s">
        <v>22</v>
      </c>
      <c r="B2315" s="1">
        <v>45754</v>
      </c>
      <c r="C2315">
        <v>11</v>
      </c>
      <c r="D2315">
        <v>1.845</v>
      </c>
      <c r="E2315" t="s">
        <v>6</v>
      </c>
      <c r="F2315">
        <v>0.14080000000000001</v>
      </c>
    </row>
    <row r="2316" spans="1:6" x14ac:dyDescent="0.3">
      <c r="A2316" t="s">
        <v>22</v>
      </c>
      <c r="B2316" s="1">
        <v>45754</v>
      </c>
      <c r="C2316">
        <v>12</v>
      </c>
      <c r="D2316">
        <v>0.13900000000000001</v>
      </c>
      <c r="E2316" t="s">
        <v>6</v>
      </c>
      <c r="F2316">
        <v>0.12284</v>
      </c>
    </row>
    <row r="2317" spans="1:6" x14ac:dyDescent="0.3">
      <c r="A2317" t="s">
        <v>22</v>
      </c>
      <c r="B2317" s="1">
        <v>45754</v>
      </c>
      <c r="C2317">
        <v>13</v>
      </c>
      <c r="D2317">
        <v>0</v>
      </c>
      <c r="E2317" t="s">
        <v>6</v>
      </c>
      <c r="F2317">
        <v>0.11910999999999999</v>
      </c>
    </row>
    <row r="2318" spans="1:6" x14ac:dyDescent="0.3">
      <c r="A2318" t="s">
        <v>22</v>
      </c>
      <c r="B2318" s="1">
        <v>45754</v>
      </c>
      <c r="C2318">
        <v>14</v>
      </c>
      <c r="D2318">
        <v>0</v>
      </c>
      <c r="E2318" t="s">
        <v>6</v>
      </c>
      <c r="F2318">
        <v>0.11636000000000001</v>
      </c>
    </row>
    <row r="2319" spans="1:6" x14ac:dyDescent="0.3">
      <c r="A2319" t="s">
        <v>22</v>
      </c>
      <c r="B2319" s="1">
        <v>45754</v>
      </c>
      <c r="C2319">
        <v>15</v>
      </c>
      <c r="D2319">
        <v>0</v>
      </c>
      <c r="E2319" t="s">
        <v>6</v>
      </c>
      <c r="F2319">
        <v>5.1389999999999998E-2</v>
      </c>
    </row>
    <row r="2320" spans="1:6" x14ac:dyDescent="0.3">
      <c r="A2320" t="s">
        <v>22</v>
      </c>
      <c r="B2320" s="1">
        <v>45754</v>
      </c>
      <c r="C2320">
        <v>16</v>
      </c>
      <c r="D2320">
        <v>0</v>
      </c>
      <c r="E2320" t="s">
        <v>6</v>
      </c>
      <c r="F2320">
        <v>5.2130000000000003E-2</v>
      </c>
    </row>
    <row r="2321" spans="1:6" x14ac:dyDescent="0.3">
      <c r="A2321" t="s">
        <v>22</v>
      </c>
      <c r="B2321" s="1">
        <v>45754</v>
      </c>
      <c r="C2321">
        <v>17</v>
      </c>
      <c r="D2321">
        <v>0</v>
      </c>
      <c r="E2321" t="s">
        <v>6</v>
      </c>
      <c r="F2321">
        <v>5.0599999999999999E-2</v>
      </c>
    </row>
    <row r="2322" spans="1:6" x14ac:dyDescent="0.3">
      <c r="A2322" t="s">
        <v>22</v>
      </c>
      <c r="B2322" s="1">
        <v>45754</v>
      </c>
      <c r="C2322">
        <v>18</v>
      </c>
      <c r="D2322">
        <v>0</v>
      </c>
      <c r="E2322" t="s">
        <v>6</v>
      </c>
      <c r="F2322">
        <v>5.3030000000000001E-2</v>
      </c>
    </row>
    <row r="2323" spans="1:6" x14ac:dyDescent="0.3">
      <c r="A2323" t="s">
        <v>22</v>
      </c>
      <c r="B2323" s="1">
        <v>45754</v>
      </c>
      <c r="C2323">
        <v>19</v>
      </c>
      <c r="D2323">
        <v>0</v>
      </c>
      <c r="E2323" t="s">
        <v>6</v>
      </c>
      <c r="F2323">
        <v>0.14351</v>
      </c>
    </row>
    <row r="2324" spans="1:6" x14ac:dyDescent="0.3">
      <c r="A2324" t="s">
        <v>22</v>
      </c>
      <c r="B2324" s="1">
        <v>45754</v>
      </c>
      <c r="C2324">
        <v>20</v>
      </c>
      <c r="D2324">
        <v>0</v>
      </c>
      <c r="E2324" t="s">
        <v>6</v>
      </c>
      <c r="F2324">
        <v>0.19906000000000001</v>
      </c>
    </row>
    <row r="2325" spans="1:6" x14ac:dyDescent="0.3">
      <c r="A2325" t="s">
        <v>22</v>
      </c>
      <c r="B2325" s="1">
        <v>45754</v>
      </c>
      <c r="C2325">
        <v>21</v>
      </c>
      <c r="D2325">
        <v>0.38</v>
      </c>
      <c r="E2325" t="s">
        <v>6</v>
      </c>
      <c r="F2325">
        <v>0.30057999999999996</v>
      </c>
    </row>
    <row r="2326" spans="1:6" x14ac:dyDescent="0.3">
      <c r="A2326" t="s">
        <v>22</v>
      </c>
      <c r="B2326" s="1">
        <v>45754</v>
      </c>
      <c r="C2326">
        <v>22</v>
      </c>
      <c r="D2326">
        <v>0.46300000000000002</v>
      </c>
      <c r="E2326" t="s">
        <v>6</v>
      </c>
      <c r="F2326">
        <v>0.31910000000000005</v>
      </c>
    </row>
    <row r="2327" spans="1:6" x14ac:dyDescent="0.3">
      <c r="A2327" t="s">
        <v>22</v>
      </c>
      <c r="B2327" s="1">
        <v>45754</v>
      </c>
      <c r="C2327">
        <v>23</v>
      </c>
      <c r="D2327">
        <v>0.28899999999999998</v>
      </c>
      <c r="E2327" t="s">
        <v>6</v>
      </c>
      <c r="F2327">
        <v>0.19141999999999998</v>
      </c>
    </row>
    <row r="2328" spans="1:6" x14ac:dyDescent="0.3">
      <c r="A2328" t="s">
        <v>22</v>
      </c>
      <c r="B2328" s="1">
        <v>45754</v>
      </c>
      <c r="C2328">
        <v>24</v>
      </c>
      <c r="D2328">
        <v>0.21299999999999999</v>
      </c>
      <c r="E2328" t="s">
        <v>6</v>
      </c>
      <c r="F2328">
        <v>0.17202000000000001</v>
      </c>
    </row>
    <row r="2329" spans="1:6" x14ac:dyDescent="0.3">
      <c r="A2329" t="s">
        <v>22</v>
      </c>
      <c r="B2329" s="1">
        <v>45755</v>
      </c>
      <c r="C2329">
        <v>1</v>
      </c>
      <c r="D2329">
        <v>0.13500000000000001</v>
      </c>
      <c r="E2329" t="s">
        <v>6</v>
      </c>
      <c r="F2329">
        <v>0.13016999999999998</v>
      </c>
    </row>
    <row r="2330" spans="1:6" x14ac:dyDescent="0.3">
      <c r="A2330" t="s">
        <v>22</v>
      </c>
      <c r="B2330" s="1">
        <v>45755</v>
      </c>
      <c r="C2330">
        <v>2</v>
      </c>
      <c r="D2330">
        <v>1.3560000000000001</v>
      </c>
      <c r="E2330" t="s">
        <v>6</v>
      </c>
      <c r="F2330">
        <v>0.12018999999999999</v>
      </c>
    </row>
    <row r="2331" spans="1:6" x14ac:dyDescent="0.3">
      <c r="A2331" t="s">
        <v>22</v>
      </c>
      <c r="B2331" s="1">
        <v>45755</v>
      </c>
      <c r="C2331">
        <v>3</v>
      </c>
      <c r="D2331">
        <v>1.6519999999999999</v>
      </c>
      <c r="E2331" t="s">
        <v>6</v>
      </c>
      <c r="F2331">
        <v>0.12104999999999999</v>
      </c>
    </row>
    <row r="2332" spans="1:6" x14ac:dyDescent="0.3">
      <c r="A2332" t="s">
        <v>22</v>
      </c>
      <c r="B2332" s="1">
        <v>45755</v>
      </c>
      <c r="C2332">
        <v>4</v>
      </c>
      <c r="D2332">
        <v>1.5089999999999999</v>
      </c>
      <c r="E2332" t="s">
        <v>6</v>
      </c>
      <c r="F2332">
        <v>0.10590000000000001</v>
      </c>
    </row>
    <row r="2333" spans="1:6" x14ac:dyDescent="0.3">
      <c r="A2333" t="s">
        <v>22</v>
      </c>
      <c r="B2333" s="1">
        <v>45755</v>
      </c>
      <c r="C2333">
        <v>5</v>
      </c>
      <c r="D2333">
        <v>1.466</v>
      </c>
      <c r="E2333" t="s">
        <v>6</v>
      </c>
      <c r="F2333">
        <v>9.955E-2</v>
      </c>
    </row>
    <row r="2334" spans="1:6" x14ac:dyDescent="0.3">
      <c r="A2334" t="s">
        <v>22</v>
      </c>
      <c r="B2334" s="1">
        <v>45755</v>
      </c>
      <c r="C2334">
        <v>6</v>
      </c>
      <c r="D2334">
        <v>1.423</v>
      </c>
      <c r="E2334" t="s">
        <v>6</v>
      </c>
      <c r="F2334">
        <v>0.10068000000000001</v>
      </c>
    </row>
    <row r="2335" spans="1:6" x14ac:dyDescent="0.3">
      <c r="A2335" t="s">
        <v>22</v>
      </c>
      <c r="B2335" s="1">
        <v>45755</v>
      </c>
      <c r="C2335">
        <v>7</v>
      </c>
      <c r="D2335">
        <v>1.774</v>
      </c>
      <c r="E2335" t="s">
        <v>6</v>
      </c>
      <c r="F2335">
        <v>0.10340000000000001</v>
      </c>
    </row>
    <row r="2336" spans="1:6" x14ac:dyDescent="0.3">
      <c r="A2336" t="s">
        <v>22</v>
      </c>
      <c r="B2336" s="1">
        <v>45755</v>
      </c>
      <c r="C2336">
        <v>8</v>
      </c>
      <c r="D2336">
        <v>2.8029999999999999</v>
      </c>
      <c r="E2336" t="s">
        <v>6</v>
      </c>
      <c r="F2336">
        <v>0.17815</v>
      </c>
    </row>
    <row r="2337" spans="1:6" x14ac:dyDescent="0.3">
      <c r="A2337" t="s">
        <v>22</v>
      </c>
      <c r="B2337" s="1">
        <v>45755</v>
      </c>
      <c r="C2337">
        <v>9</v>
      </c>
      <c r="D2337">
        <v>1.4219999999999999</v>
      </c>
      <c r="E2337" t="s">
        <v>6</v>
      </c>
      <c r="F2337">
        <v>0.17680000000000001</v>
      </c>
    </row>
    <row r="2338" spans="1:6" x14ac:dyDescent="0.3">
      <c r="A2338" t="s">
        <v>22</v>
      </c>
      <c r="B2338" s="1">
        <v>45755</v>
      </c>
      <c r="C2338">
        <v>10</v>
      </c>
      <c r="D2338">
        <v>1.3080000000000001</v>
      </c>
      <c r="E2338" t="s">
        <v>6</v>
      </c>
      <c r="F2338">
        <v>0.10312</v>
      </c>
    </row>
    <row r="2339" spans="1:6" x14ac:dyDescent="0.3">
      <c r="A2339" t="s">
        <v>22</v>
      </c>
      <c r="B2339" s="1">
        <v>45755</v>
      </c>
      <c r="C2339">
        <v>11</v>
      </c>
      <c r="D2339">
        <v>1.9</v>
      </c>
      <c r="E2339" t="s">
        <v>6</v>
      </c>
      <c r="F2339">
        <v>0.12343000000000001</v>
      </c>
    </row>
    <row r="2340" spans="1:6" x14ac:dyDescent="0.3">
      <c r="A2340" t="s">
        <v>22</v>
      </c>
      <c r="B2340" s="1">
        <v>45755</v>
      </c>
      <c r="C2340">
        <v>12</v>
      </c>
      <c r="D2340">
        <v>1.1160000000000001</v>
      </c>
      <c r="E2340" t="s">
        <v>6</v>
      </c>
      <c r="F2340">
        <v>0.122</v>
      </c>
    </row>
    <row r="2341" spans="1:6" x14ac:dyDescent="0.3">
      <c r="A2341" t="s">
        <v>22</v>
      </c>
      <c r="B2341" s="1">
        <v>45755</v>
      </c>
      <c r="C2341">
        <v>13</v>
      </c>
      <c r="D2341">
        <v>0</v>
      </c>
      <c r="E2341" t="s">
        <v>6</v>
      </c>
      <c r="F2341">
        <v>0.12182</v>
      </c>
    </row>
    <row r="2342" spans="1:6" x14ac:dyDescent="0.3">
      <c r="A2342" t="s">
        <v>22</v>
      </c>
      <c r="B2342" s="1">
        <v>45755</v>
      </c>
      <c r="C2342">
        <v>14</v>
      </c>
      <c r="D2342">
        <v>0</v>
      </c>
      <c r="E2342" t="s">
        <v>6</v>
      </c>
      <c r="F2342">
        <v>0.11866</v>
      </c>
    </row>
    <row r="2343" spans="1:6" x14ac:dyDescent="0.3">
      <c r="A2343" t="s">
        <v>22</v>
      </c>
      <c r="B2343" s="1">
        <v>45755</v>
      </c>
      <c r="C2343">
        <v>15</v>
      </c>
      <c r="D2343">
        <v>7.0000000000000007E-2</v>
      </c>
      <c r="E2343" t="s">
        <v>6</v>
      </c>
      <c r="F2343">
        <v>5.4369999999999995E-2</v>
      </c>
    </row>
    <row r="2344" spans="1:6" x14ac:dyDescent="0.3">
      <c r="A2344" t="s">
        <v>22</v>
      </c>
      <c r="B2344" s="1">
        <v>45755</v>
      </c>
      <c r="C2344">
        <v>16</v>
      </c>
      <c r="D2344">
        <v>0</v>
      </c>
      <c r="E2344" t="s">
        <v>6</v>
      </c>
      <c r="F2344">
        <v>5.4670000000000003E-2</v>
      </c>
    </row>
    <row r="2345" spans="1:6" x14ac:dyDescent="0.3">
      <c r="A2345" t="s">
        <v>22</v>
      </c>
      <c r="B2345" s="1">
        <v>45755</v>
      </c>
      <c r="C2345">
        <v>17</v>
      </c>
      <c r="D2345">
        <v>0</v>
      </c>
      <c r="E2345" t="s">
        <v>6</v>
      </c>
      <c r="F2345">
        <v>5.5350000000000003E-2</v>
      </c>
    </row>
    <row r="2346" spans="1:6" x14ac:dyDescent="0.3">
      <c r="A2346" t="s">
        <v>22</v>
      </c>
      <c r="B2346" s="1">
        <v>45755</v>
      </c>
      <c r="C2346">
        <v>18</v>
      </c>
      <c r="D2346">
        <v>0</v>
      </c>
      <c r="E2346" t="s">
        <v>6</v>
      </c>
      <c r="F2346">
        <v>5.6299999999999996E-2</v>
      </c>
    </row>
    <row r="2347" spans="1:6" x14ac:dyDescent="0.3">
      <c r="A2347" t="s">
        <v>22</v>
      </c>
      <c r="B2347" s="1">
        <v>45755</v>
      </c>
      <c r="C2347">
        <v>19</v>
      </c>
      <c r="D2347">
        <v>0.11600000000000001</v>
      </c>
      <c r="E2347" t="s">
        <v>6</v>
      </c>
      <c r="F2347">
        <v>0.12095</v>
      </c>
    </row>
    <row r="2348" spans="1:6" x14ac:dyDescent="0.3">
      <c r="A2348" t="s">
        <v>22</v>
      </c>
      <c r="B2348" s="1">
        <v>45755</v>
      </c>
      <c r="C2348">
        <v>20</v>
      </c>
      <c r="D2348">
        <v>0.45500000000000002</v>
      </c>
      <c r="E2348" t="s">
        <v>6</v>
      </c>
      <c r="F2348">
        <v>0.16365000000000002</v>
      </c>
    </row>
    <row r="2349" spans="1:6" x14ac:dyDescent="0.3">
      <c r="A2349" t="s">
        <v>22</v>
      </c>
      <c r="B2349" s="1">
        <v>45755</v>
      </c>
      <c r="C2349">
        <v>21</v>
      </c>
      <c r="D2349">
        <v>0.17100000000000001</v>
      </c>
      <c r="E2349" t="s">
        <v>6</v>
      </c>
      <c r="F2349">
        <v>0.25317000000000001</v>
      </c>
    </row>
    <row r="2350" spans="1:6" x14ac:dyDescent="0.3">
      <c r="A2350" t="s">
        <v>22</v>
      </c>
      <c r="B2350" s="1">
        <v>45755</v>
      </c>
      <c r="C2350">
        <v>22</v>
      </c>
      <c r="D2350">
        <v>0.189</v>
      </c>
      <c r="E2350" t="s">
        <v>6</v>
      </c>
      <c r="F2350">
        <v>0.26197999999999999</v>
      </c>
    </row>
    <row r="2351" spans="1:6" x14ac:dyDescent="0.3">
      <c r="A2351" t="s">
        <v>22</v>
      </c>
      <c r="B2351" s="1">
        <v>45755</v>
      </c>
      <c r="C2351">
        <v>23</v>
      </c>
      <c r="D2351">
        <v>0.33800000000000002</v>
      </c>
      <c r="E2351" t="s">
        <v>6</v>
      </c>
      <c r="F2351">
        <v>0.15690999999999999</v>
      </c>
    </row>
    <row r="2352" spans="1:6" x14ac:dyDescent="0.3">
      <c r="A2352" t="s">
        <v>22</v>
      </c>
      <c r="B2352" s="1">
        <v>45755</v>
      </c>
      <c r="C2352">
        <v>24</v>
      </c>
      <c r="D2352">
        <v>0.42</v>
      </c>
      <c r="E2352" t="s">
        <v>6</v>
      </c>
      <c r="F2352">
        <v>0.13903000000000001</v>
      </c>
    </row>
    <row r="2353" spans="1:6" x14ac:dyDescent="0.3">
      <c r="A2353" t="s">
        <v>22</v>
      </c>
      <c r="B2353" s="1">
        <v>45756</v>
      </c>
      <c r="C2353">
        <v>1</v>
      </c>
      <c r="D2353">
        <v>0.86</v>
      </c>
      <c r="E2353" t="s">
        <v>6</v>
      </c>
      <c r="F2353">
        <v>0.10306</v>
      </c>
    </row>
    <row r="2354" spans="1:6" x14ac:dyDescent="0.3">
      <c r="A2354" t="s">
        <v>22</v>
      </c>
      <c r="B2354" s="1">
        <v>45756</v>
      </c>
      <c r="C2354">
        <v>2</v>
      </c>
      <c r="D2354">
        <v>2.4049999999999998</v>
      </c>
      <c r="E2354" t="s">
        <v>6</v>
      </c>
      <c r="F2354">
        <v>9.0380000000000002E-2</v>
      </c>
    </row>
    <row r="2355" spans="1:6" x14ac:dyDescent="0.3">
      <c r="A2355" t="s">
        <v>22</v>
      </c>
      <c r="B2355" s="1">
        <v>45756</v>
      </c>
      <c r="C2355">
        <v>3</v>
      </c>
      <c r="D2355">
        <v>2.3290000000000002</v>
      </c>
      <c r="E2355" t="s">
        <v>6</v>
      </c>
      <c r="F2355">
        <v>8.9389999999999997E-2</v>
      </c>
    </row>
    <row r="2356" spans="1:6" x14ac:dyDescent="0.3">
      <c r="A2356" t="s">
        <v>22</v>
      </c>
      <c r="B2356" s="1">
        <v>45756</v>
      </c>
      <c r="C2356">
        <v>4</v>
      </c>
      <c r="D2356">
        <v>1.8089999999999999</v>
      </c>
      <c r="E2356" t="s">
        <v>6</v>
      </c>
      <c r="F2356">
        <v>8.5209999999999994E-2</v>
      </c>
    </row>
    <row r="2357" spans="1:6" x14ac:dyDescent="0.3">
      <c r="A2357" t="s">
        <v>22</v>
      </c>
      <c r="B2357" s="1">
        <v>45756</v>
      </c>
      <c r="C2357">
        <v>5</v>
      </c>
      <c r="D2357">
        <v>1.617</v>
      </c>
      <c r="E2357" t="s">
        <v>6</v>
      </c>
      <c r="F2357">
        <v>8.1810000000000008E-2</v>
      </c>
    </row>
    <row r="2358" spans="1:6" x14ac:dyDescent="0.3">
      <c r="A2358" t="s">
        <v>22</v>
      </c>
      <c r="B2358" s="1">
        <v>45756</v>
      </c>
      <c r="C2358">
        <v>6</v>
      </c>
      <c r="D2358">
        <v>1.583</v>
      </c>
      <c r="E2358" t="s">
        <v>6</v>
      </c>
      <c r="F2358">
        <v>8.1909999999999997E-2</v>
      </c>
    </row>
    <row r="2359" spans="1:6" x14ac:dyDescent="0.3">
      <c r="A2359" t="s">
        <v>22</v>
      </c>
      <c r="B2359" s="1">
        <v>45756</v>
      </c>
      <c r="C2359">
        <v>7</v>
      </c>
      <c r="D2359">
        <v>1.5820000000000001</v>
      </c>
      <c r="E2359" t="s">
        <v>6</v>
      </c>
      <c r="F2359">
        <v>9.0040000000000009E-2</v>
      </c>
    </row>
    <row r="2360" spans="1:6" x14ac:dyDescent="0.3">
      <c r="A2360" t="s">
        <v>22</v>
      </c>
      <c r="B2360" s="1">
        <v>45756</v>
      </c>
      <c r="C2360">
        <v>8</v>
      </c>
      <c r="D2360">
        <v>2.14</v>
      </c>
      <c r="E2360" t="s">
        <v>6</v>
      </c>
      <c r="F2360">
        <v>0.13797000000000001</v>
      </c>
    </row>
    <row r="2361" spans="1:6" x14ac:dyDescent="0.3">
      <c r="A2361" t="s">
        <v>22</v>
      </c>
      <c r="B2361" s="1">
        <v>45756</v>
      </c>
      <c r="C2361">
        <v>9</v>
      </c>
      <c r="D2361">
        <v>1.996</v>
      </c>
      <c r="E2361" t="s">
        <v>6</v>
      </c>
      <c r="F2361">
        <v>0.17965999999999999</v>
      </c>
    </row>
    <row r="2362" spans="1:6" x14ac:dyDescent="0.3">
      <c r="A2362" t="s">
        <v>22</v>
      </c>
      <c r="B2362" s="1">
        <v>45756</v>
      </c>
      <c r="C2362">
        <v>10</v>
      </c>
      <c r="D2362">
        <v>0</v>
      </c>
      <c r="E2362" t="s">
        <v>6</v>
      </c>
      <c r="F2362">
        <v>0.10829999999999999</v>
      </c>
    </row>
    <row r="2363" spans="1:6" x14ac:dyDescent="0.3">
      <c r="A2363" t="s">
        <v>22</v>
      </c>
      <c r="B2363" s="1">
        <v>45756</v>
      </c>
      <c r="C2363">
        <v>11</v>
      </c>
      <c r="D2363">
        <v>0</v>
      </c>
      <c r="E2363" t="s">
        <v>6</v>
      </c>
      <c r="F2363">
        <v>0.14185</v>
      </c>
    </row>
    <row r="2364" spans="1:6" x14ac:dyDescent="0.3">
      <c r="A2364" t="s">
        <v>22</v>
      </c>
      <c r="B2364" s="1">
        <v>45756</v>
      </c>
      <c r="C2364">
        <v>12</v>
      </c>
      <c r="D2364">
        <v>0</v>
      </c>
      <c r="E2364" t="s">
        <v>6</v>
      </c>
      <c r="F2364">
        <v>0.13388999999999998</v>
      </c>
    </row>
    <row r="2365" spans="1:6" x14ac:dyDescent="0.3">
      <c r="A2365" t="s">
        <v>22</v>
      </c>
      <c r="B2365" s="1">
        <v>45756</v>
      </c>
      <c r="C2365">
        <v>13</v>
      </c>
      <c r="D2365">
        <v>0.158</v>
      </c>
      <c r="E2365" t="s">
        <v>6</v>
      </c>
      <c r="F2365">
        <v>0.13334000000000001</v>
      </c>
    </row>
    <row r="2366" spans="1:6" x14ac:dyDescent="0.3">
      <c r="A2366" t="s">
        <v>22</v>
      </c>
      <c r="B2366" s="1">
        <v>45756</v>
      </c>
      <c r="C2366">
        <v>14</v>
      </c>
      <c r="D2366">
        <v>0.91900000000000004</v>
      </c>
      <c r="E2366" t="s">
        <v>6</v>
      </c>
      <c r="F2366">
        <v>0.13044</v>
      </c>
    </row>
    <row r="2367" spans="1:6" x14ac:dyDescent="0.3">
      <c r="A2367" t="s">
        <v>22</v>
      </c>
      <c r="B2367" s="1">
        <v>45756</v>
      </c>
      <c r="C2367">
        <v>15</v>
      </c>
      <c r="D2367">
        <v>0.442</v>
      </c>
      <c r="E2367" t="s">
        <v>6</v>
      </c>
      <c r="F2367">
        <v>6.6009999999999999E-2</v>
      </c>
    </row>
    <row r="2368" spans="1:6" x14ac:dyDescent="0.3">
      <c r="A2368" t="s">
        <v>22</v>
      </c>
      <c r="B2368" s="1">
        <v>45756</v>
      </c>
      <c r="C2368">
        <v>16</v>
      </c>
      <c r="D2368">
        <v>0</v>
      </c>
      <c r="E2368" t="s">
        <v>6</v>
      </c>
      <c r="F2368">
        <v>6.6489999999999994E-2</v>
      </c>
    </row>
    <row r="2369" spans="1:6" x14ac:dyDescent="0.3">
      <c r="A2369" t="s">
        <v>22</v>
      </c>
      <c r="B2369" s="1">
        <v>45756</v>
      </c>
      <c r="C2369">
        <v>17</v>
      </c>
      <c r="D2369">
        <v>0</v>
      </c>
      <c r="E2369" t="s">
        <v>6</v>
      </c>
      <c r="F2369">
        <v>6.2880000000000005E-2</v>
      </c>
    </row>
    <row r="2370" spans="1:6" x14ac:dyDescent="0.3">
      <c r="A2370" t="s">
        <v>22</v>
      </c>
      <c r="B2370" s="1">
        <v>45756</v>
      </c>
      <c r="C2370">
        <v>18</v>
      </c>
      <c r="D2370">
        <v>0</v>
      </c>
      <c r="E2370" t="s">
        <v>6</v>
      </c>
      <c r="F2370">
        <v>6.2219999999999998E-2</v>
      </c>
    </row>
    <row r="2371" spans="1:6" x14ac:dyDescent="0.3">
      <c r="A2371" t="s">
        <v>22</v>
      </c>
      <c r="B2371" s="1">
        <v>45756</v>
      </c>
      <c r="C2371">
        <v>19</v>
      </c>
      <c r="D2371">
        <v>0.53100000000000003</v>
      </c>
      <c r="E2371" t="s">
        <v>6</v>
      </c>
      <c r="F2371">
        <v>0.14311000000000001</v>
      </c>
    </row>
    <row r="2372" spans="1:6" x14ac:dyDescent="0.3">
      <c r="A2372" t="s">
        <v>22</v>
      </c>
      <c r="B2372" s="1">
        <v>45756</v>
      </c>
      <c r="C2372">
        <v>20</v>
      </c>
      <c r="D2372">
        <v>0.54300000000000004</v>
      </c>
      <c r="E2372" t="s">
        <v>6</v>
      </c>
      <c r="F2372">
        <v>0.18253</v>
      </c>
    </row>
    <row r="2373" spans="1:6" x14ac:dyDescent="0.3">
      <c r="A2373" t="s">
        <v>22</v>
      </c>
      <c r="B2373" s="1">
        <v>45756</v>
      </c>
      <c r="C2373">
        <v>21</v>
      </c>
      <c r="D2373">
        <v>0.66</v>
      </c>
      <c r="E2373" t="s">
        <v>6</v>
      </c>
      <c r="F2373">
        <v>0.20940999999999999</v>
      </c>
    </row>
    <row r="2374" spans="1:6" x14ac:dyDescent="0.3">
      <c r="A2374" t="s">
        <v>22</v>
      </c>
      <c r="B2374" s="1">
        <v>45756</v>
      </c>
      <c r="C2374">
        <v>22</v>
      </c>
      <c r="D2374">
        <v>0.46100000000000002</v>
      </c>
      <c r="E2374" t="s">
        <v>6</v>
      </c>
      <c r="F2374">
        <v>0.23022000000000001</v>
      </c>
    </row>
    <row r="2375" spans="1:6" x14ac:dyDescent="0.3">
      <c r="A2375" t="s">
        <v>22</v>
      </c>
      <c r="B2375" s="1">
        <v>45756</v>
      </c>
      <c r="C2375">
        <v>23</v>
      </c>
      <c r="D2375">
        <v>0.32400000000000001</v>
      </c>
      <c r="E2375" t="s">
        <v>6</v>
      </c>
      <c r="F2375">
        <v>0.12762999999999999</v>
      </c>
    </row>
    <row r="2376" spans="1:6" x14ac:dyDescent="0.3">
      <c r="A2376" t="s">
        <v>22</v>
      </c>
      <c r="B2376" s="1">
        <v>45756</v>
      </c>
      <c r="C2376">
        <v>24</v>
      </c>
      <c r="D2376">
        <v>0.19500000000000001</v>
      </c>
      <c r="E2376" t="s">
        <v>6</v>
      </c>
      <c r="F2376">
        <v>0.11047</v>
      </c>
    </row>
    <row r="2377" spans="1:6" x14ac:dyDescent="0.3">
      <c r="A2377" t="s">
        <v>22</v>
      </c>
      <c r="B2377" s="1">
        <v>45757</v>
      </c>
      <c r="C2377">
        <v>1</v>
      </c>
      <c r="D2377">
        <v>0.184</v>
      </c>
      <c r="E2377" t="s">
        <v>6</v>
      </c>
      <c r="F2377">
        <v>8.8340000000000002E-2</v>
      </c>
    </row>
    <row r="2378" spans="1:6" x14ac:dyDescent="0.3">
      <c r="A2378" t="s">
        <v>22</v>
      </c>
      <c r="B2378" s="1">
        <v>45757</v>
      </c>
      <c r="C2378">
        <v>2</v>
      </c>
      <c r="D2378">
        <v>1.0469999999999999</v>
      </c>
      <c r="E2378" t="s">
        <v>6</v>
      </c>
      <c r="F2378">
        <v>8.4360000000000004E-2</v>
      </c>
    </row>
    <row r="2379" spans="1:6" x14ac:dyDescent="0.3">
      <c r="A2379" t="s">
        <v>22</v>
      </c>
      <c r="B2379" s="1">
        <v>45757</v>
      </c>
      <c r="C2379">
        <v>3</v>
      </c>
      <c r="D2379">
        <v>1.31</v>
      </c>
      <c r="E2379" t="s">
        <v>6</v>
      </c>
      <c r="F2379">
        <v>7.7969999999999998E-2</v>
      </c>
    </row>
    <row r="2380" spans="1:6" x14ac:dyDescent="0.3">
      <c r="A2380" t="s">
        <v>22</v>
      </c>
      <c r="B2380" s="1">
        <v>45757</v>
      </c>
      <c r="C2380">
        <v>4</v>
      </c>
      <c r="D2380">
        <v>1.2350000000000001</v>
      </c>
      <c r="E2380" t="s">
        <v>6</v>
      </c>
      <c r="F2380">
        <v>7.3109999999999994E-2</v>
      </c>
    </row>
    <row r="2381" spans="1:6" x14ac:dyDescent="0.3">
      <c r="A2381" t="s">
        <v>22</v>
      </c>
      <c r="B2381" s="1">
        <v>45757</v>
      </c>
      <c r="C2381">
        <v>5</v>
      </c>
      <c r="D2381">
        <v>0.91300000000000003</v>
      </c>
      <c r="E2381" t="s">
        <v>6</v>
      </c>
      <c r="F2381">
        <v>7.1559999999999999E-2</v>
      </c>
    </row>
    <row r="2382" spans="1:6" x14ac:dyDescent="0.3">
      <c r="A2382" t="s">
        <v>22</v>
      </c>
      <c r="B2382" s="1">
        <v>45757</v>
      </c>
      <c r="C2382">
        <v>6</v>
      </c>
      <c r="D2382">
        <v>1.1379999999999999</v>
      </c>
      <c r="E2382" t="s">
        <v>6</v>
      </c>
      <c r="F2382">
        <v>7.1410000000000001E-2</v>
      </c>
    </row>
    <row r="2383" spans="1:6" x14ac:dyDescent="0.3">
      <c r="A2383" t="s">
        <v>22</v>
      </c>
      <c r="B2383" s="1">
        <v>45757</v>
      </c>
      <c r="C2383">
        <v>7</v>
      </c>
      <c r="D2383">
        <v>1.05</v>
      </c>
      <c r="E2383" t="s">
        <v>6</v>
      </c>
      <c r="F2383">
        <v>6.7760000000000001E-2</v>
      </c>
    </row>
    <row r="2384" spans="1:6" x14ac:dyDescent="0.3">
      <c r="A2384" t="s">
        <v>22</v>
      </c>
      <c r="B2384" s="1">
        <v>45757</v>
      </c>
      <c r="C2384">
        <v>8</v>
      </c>
      <c r="D2384">
        <v>1.115</v>
      </c>
      <c r="E2384" t="s">
        <v>6</v>
      </c>
      <c r="F2384">
        <v>8.5089999999999999E-2</v>
      </c>
    </row>
    <row r="2385" spans="1:6" x14ac:dyDescent="0.3">
      <c r="A2385" t="s">
        <v>22</v>
      </c>
      <c r="B2385" s="1">
        <v>45757</v>
      </c>
      <c r="C2385">
        <v>9</v>
      </c>
      <c r="D2385">
        <v>1.73</v>
      </c>
      <c r="E2385" t="s">
        <v>6</v>
      </c>
      <c r="F2385">
        <v>0.11650000000000001</v>
      </c>
    </row>
    <row r="2386" spans="1:6" x14ac:dyDescent="0.3">
      <c r="A2386" t="s">
        <v>22</v>
      </c>
      <c r="B2386" s="1">
        <v>45757</v>
      </c>
      <c r="C2386">
        <v>10</v>
      </c>
      <c r="D2386">
        <v>1.653</v>
      </c>
      <c r="E2386" t="s">
        <v>6</v>
      </c>
      <c r="F2386">
        <v>0.10792</v>
      </c>
    </row>
    <row r="2387" spans="1:6" x14ac:dyDescent="0.3">
      <c r="A2387" t="s">
        <v>22</v>
      </c>
      <c r="B2387" s="1">
        <v>45757</v>
      </c>
      <c r="C2387">
        <v>11</v>
      </c>
      <c r="D2387">
        <v>0</v>
      </c>
      <c r="E2387" t="s">
        <v>6</v>
      </c>
      <c r="F2387">
        <v>0.15483000000000002</v>
      </c>
    </row>
    <row r="2388" spans="1:6" x14ac:dyDescent="0.3">
      <c r="A2388" t="s">
        <v>22</v>
      </c>
      <c r="B2388" s="1">
        <v>45757</v>
      </c>
      <c r="C2388">
        <v>12</v>
      </c>
      <c r="D2388">
        <v>0</v>
      </c>
      <c r="E2388" t="s">
        <v>6</v>
      </c>
      <c r="F2388">
        <v>0.14366000000000001</v>
      </c>
    </row>
    <row r="2389" spans="1:6" x14ac:dyDescent="0.3">
      <c r="A2389" t="s">
        <v>22</v>
      </c>
      <c r="B2389" s="1">
        <v>45757</v>
      </c>
      <c r="C2389">
        <v>13</v>
      </c>
      <c r="D2389">
        <v>0</v>
      </c>
      <c r="E2389" t="s">
        <v>6</v>
      </c>
      <c r="F2389">
        <v>0.14269000000000001</v>
      </c>
    </row>
    <row r="2390" spans="1:6" x14ac:dyDescent="0.3">
      <c r="A2390" t="s">
        <v>22</v>
      </c>
      <c r="B2390" s="1">
        <v>45757</v>
      </c>
      <c r="C2390">
        <v>14</v>
      </c>
      <c r="D2390">
        <v>0</v>
      </c>
      <c r="E2390" t="s">
        <v>6</v>
      </c>
      <c r="F2390">
        <v>0.13979</v>
      </c>
    </row>
    <row r="2391" spans="1:6" x14ac:dyDescent="0.3">
      <c r="A2391" t="s">
        <v>22</v>
      </c>
      <c r="B2391" s="1">
        <v>45757</v>
      </c>
      <c r="C2391">
        <v>15</v>
      </c>
      <c r="D2391">
        <v>0</v>
      </c>
      <c r="E2391" t="s">
        <v>6</v>
      </c>
      <c r="F2391">
        <v>7.6239999999999988E-2</v>
      </c>
    </row>
    <row r="2392" spans="1:6" x14ac:dyDescent="0.3">
      <c r="A2392" t="s">
        <v>22</v>
      </c>
      <c r="B2392" s="1">
        <v>45757</v>
      </c>
      <c r="C2392">
        <v>16</v>
      </c>
      <c r="D2392">
        <v>0</v>
      </c>
      <c r="E2392" t="s">
        <v>6</v>
      </c>
      <c r="F2392">
        <v>7.7430000000000013E-2</v>
      </c>
    </row>
    <row r="2393" spans="1:6" x14ac:dyDescent="0.3">
      <c r="A2393" t="s">
        <v>22</v>
      </c>
      <c r="B2393" s="1">
        <v>45757</v>
      </c>
      <c r="C2393">
        <v>17</v>
      </c>
      <c r="D2393">
        <v>0</v>
      </c>
      <c r="E2393" t="s">
        <v>6</v>
      </c>
      <c r="F2393">
        <v>7.374E-2</v>
      </c>
    </row>
    <row r="2394" spans="1:6" x14ac:dyDescent="0.3">
      <c r="A2394" t="s">
        <v>22</v>
      </c>
      <c r="B2394" s="1">
        <v>45757</v>
      </c>
      <c r="C2394">
        <v>18</v>
      </c>
      <c r="D2394">
        <v>0</v>
      </c>
      <c r="E2394" t="s">
        <v>6</v>
      </c>
      <c r="F2394">
        <v>7.4740000000000001E-2</v>
      </c>
    </row>
    <row r="2395" spans="1:6" x14ac:dyDescent="0.3">
      <c r="A2395" t="s">
        <v>22</v>
      </c>
      <c r="B2395" s="1">
        <v>45757</v>
      </c>
      <c r="C2395">
        <v>19</v>
      </c>
      <c r="D2395">
        <v>0</v>
      </c>
      <c r="E2395" t="s">
        <v>6</v>
      </c>
      <c r="F2395">
        <v>0.14427999999999999</v>
      </c>
    </row>
    <row r="2396" spans="1:6" x14ac:dyDescent="0.3">
      <c r="A2396" t="s">
        <v>22</v>
      </c>
      <c r="B2396" s="1">
        <v>45757</v>
      </c>
      <c r="C2396">
        <v>20</v>
      </c>
      <c r="D2396">
        <v>0</v>
      </c>
      <c r="E2396" t="s">
        <v>6</v>
      </c>
      <c r="F2396">
        <v>0.16215000000000002</v>
      </c>
    </row>
    <row r="2397" spans="1:6" x14ac:dyDescent="0.3">
      <c r="A2397" t="s">
        <v>22</v>
      </c>
      <c r="B2397" s="1">
        <v>45757</v>
      </c>
      <c r="C2397">
        <v>21</v>
      </c>
      <c r="D2397">
        <v>0.315</v>
      </c>
      <c r="E2397" t="s">
        <v>6</v>
      </c>
      <c r="F2397">
        <v>0.17798</v>
      </c>
    </row>
    <row r="2398" spans="1:6" x14ac:dyDescent="0.3">
      <c r="A2398" t="s">
        <v>22</v>
      </c>
      <c r="B2398" s="1">
        <v>45757</v>
      </c>
      <c r="C2398">
        <v>22</v>
      </c>
      <c r="D2398">
        <v>0.17599999999999999</v>
      </c>
      <c r="E2398" t="s">
        <v>6</v>
      </c>
      <c r="F2398">
        <v>0.19184999999999999</v>
      </c>
    </row>
    <row r="2399" spans="1:6" x14ac:dyDescent="0.3">
      <c r="A2399" t="s">
        <v>22</v>
      </c>
      <c r="B2399" s="1">
        <v>45757</v>
      </c>
      <c r="C2399">
        <v>23</v>
      </c>
      <c r="D2399">
        <v>0.28499999999999998</v>
      </c>
      <c r="E2399" t="s">
        <v>6</v>
      </c>
      <c r="F2399">
        <v>0.12062</v>
      </c>
    </row>
    <row r="2400" spans="1:6" x14ac:dyDescent="0.3">
      <c r="A2400" t="s">
        <v>22</v>
      </c>
      <c r="B2400" s="1">
        <v>45757</v>
      </c>
      <c r="C2400">
        <v>24</v>
      </c>
      <c r="D2400">
        <v>0.35699999999999998</v>
      </c>
      <c r="E2400" t="s">
        <v>6</v>
      </c>
      <c r="F2400">
        <v>0.11261</v>
      </c>
    </row>
    <row r="2401" spans="1:6" x14ac:dyDescent="0.3">
      <c r="A2401" t="s">
        <v>22</v>
      </c>
      <c r="B2401" s="1">
        <v>45758</v>
      </c>
      <c r="C2401">
        <v>1</v>
      </c>
      <c r="D2401">
        <v>1.389</v>
      </c>
      <c r="E2401" t="s">
        <v>6</v>
      </c>
      <c r="F2401">
        <v>7.4219999999999994E-2</v>
      </c>
    </row>
    <row r="2402" spans="1:6" x14ac:dyDescent="0.3">
      <c r="A2402" t="s">
        <v>22</v>
      </c>
      <c r="B2402" s="1">
        <v>45758</v>
      </c>
      <c r="C2402">
        <v>2</v>
      </c>
      <c r="D2402">
        <v>1.508</v>
      </c>
      <c r="E2402" t="s">
        <v>6</v>
      </c>
      <c r="F2402">
        <v>6.9470000000000004E-2</v>
      </c>
    </row>
    <row r="2403" spans="1:6" x14ac:dyDescent="0.3">
      <c r="A2403" t="s">
        <v>22</v>
      </c>
      <c r="B2403" s="1">
        <v>45758</v>
      </c>
      <c r="C2403">
        <v>3</v>
      </c>
      <c r="D2403">
        <v>1.4650000000000001</v>
      </c>
      <c r="E2403" t="s">
        <v>6</v>
      </c>
      <c r="F2403">
        <v>6.8659999999999999E-2</v>
      </c>
    </row>
    <row r="2404" spans="1:6" x14ac:dyDescent="0.3">
      <c r="A2404" t="s">
        <v>22</v>
      </c>
      <c r="B2404" s="1">
        <v>45758</v>
      </c>
      <c r="C2404">
        <v>4</v>
      </c>
      <c r="D2404">
        <v>1.2310000000000001</v>
      </c>
      <c r="E2404" t="s">
        <v>6</v>
      </c>
      <c r="F2404">
        <v>6.7989999999999995E-2</v>
      </c>
    </row>
    <row r="2405" spans="1:6" x14ac:dyDescent="0.3">
      <c r="A2405" t="s">
        <v>22</v>
      </c>
      <c r="B2405" s="1">
        <v>45758</v>
      </c>
      <c r="C2405">
        <v>5</v>
      </c>
      <c r="D2405">
        <v>1.1399999999999999</v>
      </c>
      <c r="E2405" t="s">
        <v>6</v>
      </c>
      <c r="F2405">
        <v>6.6290000000000002E-2</v>
      </c>
    </row>
    <row r="2406" spans="1:6" x14ac:dyDescent="0.3">
      <c r="A2406" t="s">
        <v>22</v>
      </c>
      <c r="B2406" s="1">
        <v>45758</v>
      </c>
      <c r="C2406">
        <v>6</v>
      </c>
      <c r="D2406">
        <v>1.6339999999999999</v>
      </c>
      <c r="E2406" t="s">
        <v>6</v>
      </c>
      <c r="F2406">
        <v>6.7629999999999996E-2</v>
      </c>
    </row>
    <row r="2407" spans="1:6" x14ac:dyDescent="0.3">
      <c r="A2407" t="s">
        <v>22</v>
      </c>
      <c r="B2407" s="1">
        <v>45758</v>
      </c>
      <c r="C2407">
        <v>7</v>
      </c>
      <c r="D2407">
        <v>1.6519999999999999</v>
      </c>
      <c r="E2407" t="s">
        <v>6</v>
      </c>
      <c r="F2407">
        <v>6.5879999999999994E-2</v>
      </c>
    </row>
    <row r="2408" spans="1:6" x14ac:dyDescent="0.3">
      <c r="A2408" t="s">
        <v>22</v>
      </c>
      <c r="B2408" s="1">
        <v>45758</v>
      </c>
      <c r="C2408">
        <v>8</v>
      </c>
      <c r="D2408">
        <v>1.861</v>
      </c>
      <c r="E2408" t="s">
        <v>6</v>
      </c>
      <c r="F2408">
        <v>8.2360000000000003E-2</v>
      </c>
    </row>
    <row r="2409" spans="1:6" x14ac:dyDescent="0.3">
      <c r="A2409" t="s">
        <v>22</v>
      </c>
      <c r="B2409" s="1">
        <v>45758</v>
      </c>
      <c r="C2409">
        <v>9</v>
      </c>
      <c r="D2409">
        <v>1.446</v>
      </c>
      <c r="E2409" t="s">
        <v>6</v>
      </c>
      <c r="F2409">
        <v>0.1143</v>
      </c>
    </row>
    <row r="2410" spans="1:6" x14ac:dyDescent="0.3">
      <c r="A2410" t="s">
        <v>22</v>
      </c>
      <c r="B2410" s="1">
        <v>45758</v>
      </c>
      <c r="C2410">
        <v>10</v>
      </c>
      <c r="D2410">
        <v>0.83</v>
      </c>
      <c r="E2410" t="s">
        <v>6</v>
      </c>
      <c r="F2410">
        <v>0.10612000000000001</v>
      </c>
    </row>
    <row r="2411" spans="1:6" x14ac:dyDescent="0.3">
      <c r="A2411" t="s">
        <v>22</v>
      </c>
      <c r="B2411" s="1">
        <v>45758</v>
      </c>
      <c r="C2411">
        <v>11</v>
      </c>
      <c r="D2411">
        <v>0</v>
      </c>
      <c r="E2411" t="s">
        <v>6</v>
      </c>
      <c r="F2411">
        <v>0.15687000000000001</v>
      </c>
    </row>
    <row r="2412" spans="1:6" x14ac:dyDescent="0.3">
      <c r="A2412" t="s">
        <v>22</v>
      </c>
      <c r="B2412" s="1">
        <v>45758</v>
      </c>
      <c r="C2412">
        <v>12</v>
      </c>
      <c r="D2412">
        <v>0</v>
      </c>
      <c r="E2412" t="s">
        <v>6</v>
      </c>
      <c r="F2412">
        <v>0.14221999999999999</v>
      </c>
    </row>
    <row r="2413" spans="1:6" x14ac:dyDescent="0.3">
      <c r="A2413" t="s">
        <v>22</v>
      </c>
      <c r="B2413" s="1">
        <v>45758</v>
      </c>
      <c r="C2413">
        <v>13</v>
      </c>
      <c r="D2413">
        <v>0</v>
      </c>
      <c r="E2413" t="s">
        <v>6</v>
      </c>
      <c r="F2413">
        <v>0.13794000000000001</v>
      </c>
    </row>
    <row r="2414" spans="1:6" x14ac:dyDescent="0.3">
      <c r="A2414" t="s">
        <v>22</v>
      </c>
      <c r="B2414" s="1">
        <v>45758</v>
      </c>
      <c r="C2414">
        <v>14</v>
      </c>
      <c r="D2414">
        <v>0</v>
      </c>
      <c r="E2414" t="s">
        <v>6</v>
      </c>
      <c r="F2414">
        <v>0.13453999999999999</v>
      </c>
    </row>
    <row r="2415" spans="1:6" x14ac:dyDescent="0.3">
      <c r="A2415" t="s">
        <v>22</v>
      </c>
      <c r="B2415" s="1">
        <v>45758</v>
      </c>
      <c r="C2415">
        <v>15</v>
      </c>
      <c r="D2415">
        <v>0.92200000000000004</v>
      </c>
      <c r="E2415" t="s">
        <v>6</v>
      </c>
      <c r="F2415">
        <v>6.9919999999999996E-2</v>
      </c>
    </row>
    <row r="2416" spans="1:6" x14ac:dyDescent="0.3">
      <c r="A2416" t="s">
        <v>22</v>
      </c>
      <c r="B2416" s="1">
        <v>45758</v>
      </c>
      <c r="C2416">
        <v>16</v>
      </c>
      <c r="D2416">
        <v>2.3199999999999998</v>
      </c>
      <c r="E2416" t="s">
        <v>6</v>
      </c>
      <c r="F2416">
        <v>7.1010000000000004E-2</v>
      </c>
    </row>
    <row r="2417" spans="1:6" x14ac:dyDescent="0.3">
      <c r="A2417" t="s">
        <v>22</v>
      </c>
      <c r="B2417" s="1">
        <v>45758</v>
      </c>
      <c r="C2417">
        <v>17</v>
      </c>
      <c r="D2417">
        <v>3.6469999999999998</v>
      </c>
      <c r="E2417" t="s">
        <v>6</v>
      </c>
      <c r="F2417">
        <v>7.1309999999999998E-2</v>
      </c>
    </row>
    <row r="2418" spans="1:6" x14ac:dyDescent="0.3">
      <c r="A2418" t="s">
        <v>22</v>
      </c>
      <c r="B2418" s="1">
        <v>45758</v>
      </c>
      <c r="C2418">
        <v>18</v>
      </c>
      <c r="D2418">
        <v>0</v>
      </c>
      <c r="E2418" t="s">
        <v>6</v>
      </c>
      <c r="F2418">
        <v>7.596E-2</v>
      </c>
    </row>
    <row r="2419" spans="1:6" x14ac:dyDescent="0.3">
      <c r="A2419" t="s">
        <v>22</v>
      </c>
      <c r="B2419" s="1">
        <v>45758</v>
      </c>
      <c r="C2419">
        <v>19</v>
      </c>
      <c r="D2419">
        <v>0.26800000000000002</v>
      </c>
      <c r="E2419" t="s">
        <v>6</v>
      </c>
      <c r="F2419">
        <v>0.1474</v>
      </c>
    </row>
    <row r="2420" spans="1:6" x14ac:dyDescent="0.3">
      <c r="A2420" t="s">
        <v>22</v>
      </c>
      <c r="B2420" s="1">
        <v>45758</v>
      </c>
      <c r="C2420">
        <v>20</v>
      </c>
      <c r="D2420">
        <v>0.26900000000000002</v>
      </c>
      <c r="E2420" t="s">
        <v>6</v>
      </c>
      <c r="F2420">
        <v>0.17396</v>
      </c>
    </row>
    <row r="2421" spans="1:6" x14ac:dyDescent="0.3">
      <c r="A2421" t="s">
        <v>22</v>
      </c>
      <c r="B2421" s="1">
        <v>45758</v>
      </c>
      <c r="C2421">
        <v>21</v>
      </c>
      <c r="D2421">
        <v>0.23</v>
      </c>
      <c r="E2421" t="s">
        <v>6</v>
      </c>
      <c r="F2421">
        <v>0.19353999999999999</v>
      </c>
    </row>
    <row r="2422" spans="1:6" x14ac:dyDescent="0.3">
      <c r="A2422" t="s">
        <v>22</v>
      </c>
      <c r="B2422" s="1">
        <v>45758</v>
      </c>
      <c r="C2422">
        <v>22</v>
      </c>
      <c r="D2422">
        <v>0.3</v>
      </c>
      <c r="E2422" t="s">
        <v>6</v>
      </c>
      <c r="F2422">
        <v>0.20031000000000002</v>
      </c>
    </row>
    <row r="2423" spans="1:6" x14ac:dyDescent="0.3">
      <c r="A2423" t="s">
        <v>22</v>
      </c>
      <c r="B2423" s="1">
        <v>45758</v>
      </c>
      <c r="C2423">
        <v>23</v>
      </c>
      <c r="D2423">
        <v>0.24099999999999999</v>
      </c>
      <c r="E2423" t="s">
        <v>6</v>
      </c>
      <c r="F2423">
        <v>0.11934</v>
      </c>
    </row>
    <row r="2424" spans="1:6" x14ac:dyDescent="0.3">
      <c r="A2424" t="s">
        <v>22</v>
      </c>
      <c r="B2424" s="1">
        <v>45758</v>
      </c>
      <c r="C2424">
        <v>24</v>
      </c>
      <c r="D2424">
        <v>0.24399999999999999</v>
      </c>
      <c r="E2424" t="s">
        <v>6</v>
      </c>
      <c r="F2424">
        <v>0.11241</v>
      </c>
    </row>
    <row r="2425" spans="1:6" x14ac:dyDescent="0.3">
      <c r="A2425" t="s">
        <v>22</v>
      </c>
      <c r="B2425" s="1">
        <v>45759</v>
      </c>
      <c r="C2425">
        <v>1</v>
      </c>
      <c r="D2425">
        <v>0.42299999999999999</v>
      </c>
      <c r="E2425" t="s">
        <v>6</v>
      </c>
      <c r="F2425">
        <v>9.781999999999999E-2</v>
      </c>
    </row>
    <row r="2426" spans="1:6" x14ac:dyDescent="0.3">
      <c r="A2426" t="s">
        <v>22</v>
      </c>
      <c r="B2426" s="1">
        <v>45759</v>
      </c>
      <c r="C2426">
        <v>2</v>
      </c>
      <c r="D2426">
        <v>2.028</v>
      </c>
      <c r="E2426" t="s">
        <v>6</v>
      </c>
      <c r="F2426">
        <v>9.5700000000000007E-2</v>
      </c>
    </row>
    <row r="2427" spans="1:6" x14ac:dyDescent="0.3">
      <c r="A2427" t="s">
        <v>22</v>
      </c>
      <c r="B2427" s="1">
        <v>45759</v>
      </c>
      <c r="C2427">
        <v>3</v>
      </c>
      <c r="D2427">
        <v>1.391</v>
      </c>
      <c r="E2427" t="s">
        <v>6</v>
      </c>
      <c r="F2427">
        <v>0.10144</v>
      </c>
    </row>
    <row r="2428" spans="1:6" x14ac:dyDescent="0.3">
      <c r="A2428" t="s">
        <v>22</v>
      </c>
      <c r="B2428" s="1">
        <v>45759</v>
      </c>
      <c r="C2428">
        <v>4</v>
      </c>
      <c r="D2428">
        <v>1.395</v>
      </c>
      <c r="E2428" t="s">
        <v>6</v>
      </c>
      <c r="F2428">
        <v>9.733E-2</v>
      </c>
    </row>
    <row r="2429" spans="1:6" x14ac:dyDescent="0.3">
      <c r="A2429" t="s">
        <v>22</v>
      </c>
      <c r="B2429" s="1">
        <v>45759</v>
      </c>
      <c r="C2429">
        <v>5</v>
      </c>
      <c r="D2429">
        <v>1.8149999999999999</v>
      </c>
      <c r="E2429" t="s">
        <v>6</v>
      </c>
      <c r="F2429">
        <v>9.7750000000000004E-2</v>
      </c>
    </row>
    <row r="2430" spans="1:6" x14ac:dyDescent="0.3">
      <c r="A2430" t="s">
        <v>22</v>
      </c>
      <c r="B2430" s="1">
        <v>45759</v>
      </c>
      <c r="C2430">
        <v>6</v>
      </c>
      <c r="D2430">
        <v>1.3089999999999999</v>
      </c>
      <c r="E2430" t="s">
        <v>6</v>
      </c>
      <c r="F2430">
        <v>9.9140000000000006E-2</v>
      </c>
    </row>
    <row r="2431" spans="1:6" x14ac:dyDescent="0.3">
      <c r="A2431" t="s">
        <v>22</v>
      </c>
      <c r="B2431" s="1">
        <v>45759</v>
      </c>
      <c r="C2431">
        <v>7</v>
      </c>
      <c r="D2431">
        <v>1.77</v>
      </c>
      <c r="E2431" t="s">
        <v>6</v>
      </c>
      <c r="F2431">
        <v>9.8879999999999996E-2</v>
      </c>
    </row>
    <row r="2432" spans="1:6" x14ac:dyDescent="0.3">
      <c r="A2432" t="s">
        <v>22</v>
      </c>
      <c r="B2432" s="1">
        <v>45759</v>
      </c>
      <c r="C2432">
        <v>8</v>
      </c>
      <c r="D2432">
        <v>1.5840000000000001</v>
      </c>
      <c r="E2432" t="s">
        <v>6</v>
      </c>
      <c r="F2432">
        <v>8.4750000000000006E-2</v>
      </c>
    </row>
    <row r="2433" spans="1:6" x14ac:dyDescent="0.3">
      <c r="A2433" t="s">
        <v>22</v>
      </c>
      <c r="B2433" s="1">
        <v>45759</v>
      </c>
      <c r="C2433">
        <v>9</v>
      </c>
      <c r="D2433">
        <v>0.89500000000000002</v>
      </c>
      <c r="E2433" t="s">
        <v>6</v>
      </c>
      <c r="F2433">
        <v>8.5589999999999999E-2</v>
      </c>
    </row>
    <row r="2434" spans="1:6" x14ac:dyDescent="0.3">
      <c r="A2434" t="s">
        <v>22</v>
      </c>
      <c r="B2434" s="1">
        <v>45759</v>
      </c>
      <c r="C2434">
        <v>10</v>
      </c>
      <c r="D2434">
        <v>1.0229999999999999</v>
      </c>
      <c r="E2434" t="s">
        <v>6</v>
      </c>
      <c r="F2434">
        <v>8.4370000000000001E-2</v>
      </c>
    </row>
    <row r="2435" spans="1:6" x14ac:dyDescent="0.3">
      <c r="A2435" t="s">
        <v>22</v>
      </c>
      <c r="B2435" s="1">
        <v>45759</v>
      </c>
      <c r="C2435">
        <v>11</v>
      </c>
      <c r="D2435">
        <v>0</v>
      </c>
      <c r="E2435" t="s">
        <v>6</v>
      </c>
      <c r="F2435">
        <v>7.0449999999999999E-2</v>
      </c>
    </row>
    <row r="2436" spans="1:6" x14ac:dyDescent="0.3">
      <c r="A2436" t="s">
        <v>22</v>
      </c>
      <c r="B2436" s="1">
        <v>45759</v>
      </c>
      <c r="C2436">
        <v>12</v>
      </c>
      <c r="D2436">
        <v>0</v>
      </c>
      <c r="E2436" t="s">
        <v>6</v>
      </c>
      <c r="F2436">
        <v>5.5899999999999998E-2</v>
      </c>
    </row>
    <row r="2437" spans="1:6" x14ac:dyDescent="0.3">
      <c r="A2437" t="s">
        <v>22</v>
      </c>
      <c r="B2437" s="1">
        <v>45759</v>
      </c>
      <c r="C2437">
        <v>13</v>
      </c>
      <c r="D2437">
        <v>0.79400000000000004</v>
      </c>
      <c r="E2437" t="s">
        <v>6</v>
      </c>
      <c r="F2437">
        <v>5.0279999999999998E-2</v>
      </c>
    </row>
    <row r="2438" spans="1:6" x14ac:dyDescent="0.3">
      <c r="A2438" t="s">
        <v>22</v>
      </c>
      <c r="B2438" s="1">
        <v>45759</v>
      </c>
      <c r="C2438">
        <v>14</v>
      </c>
      <c r="D2438">
        <v>3.4830000000000001</v>
      </c>
      <c r="E2438" t="s">
        <v>6</v>
      </c>
      <c r="F2438">
        <v>4.752E-2</v>
      </c>
    </row>
    <row r="2439" spans="1:6" x14ac:dyDescent="0.3">
      <c r="A2439" t="s">
        <v>22</v>
      </c>
      <c r="B2439" s="1">
        <v>45759</v>
      </c>
      <c r="C2439">
        <v>15</v>
      </c>
      <c r="D2439">
        <v>3.2450000000000001</v>
      </c>
      <c r="E2439" t="s">
        <v>6</v>
      </c>
      <c r="F2439">
        <v>4.6329999999999996E-2</v>
      </c>
    </row>
    <row r="2440" spans="1:6" x14ac:dyDescent="0.3">
      <c r="A2440" t="s">
        <v>22</v>
      </c>
      <c r="B2440" s="1">
        <v>45759</v>
      </c>
      <c r="C2440">
        <v>16</v>
      </c>
      <c r="D2440">
        <v>0</v>
      </c>
      <c r="E2440" t="s">
        <v>6</v>
      </c>
      <c r="F2440">
        <v>4.7820000000000001E-2</v>
      </c>
    </row>
    <row r="2441" spans="1:6" x14ac:dyDescent="0.3">
      <c r="A2441" t="s">
        <v>22</v>
      </c>
      <c r="B2441" s="1">
        <v>45759</v>
      </c>
      <c r="C2441">
        <v>17</v>
      </c>
      <c r="D2441">
        <v>0</v>
      </c>
      <c r="E2441" t="s">
        <v>6</v>
      </c>
      <c r="F2441">
        <v>4.9779999999999998E-2</v>
      </c>
    </row>
    <row r="2442" spans="1:6" x14ac:dyDescent="0.3">
      <c r="A2442" t="s">
        <v>22</v>
      </c>
      <c r="B2442" s="1">
        <v>45759</v>
      </c>
      <c r="C2442">
        <v>18</v>
      </c>
      <c r="D2442">
        <v>0</v>
      </c>
      <c r="E2442" t="s">
        <v>6</v>
      </c>
      <c r="F2442">
        <v>6.9199999999999998E-2</v>
      </c>
    </row>
    <row r="2443" spans="1:6" x14ac:dyDescent="0.3">
      <c r="A2443" t="s">
        <v>22</v>
      </c>
      <c r="B2443" s="1">
        <v>45759</v>
      </c>
      <c r="C2443">
        <v>19</v>
      </c>
      <c r="D2443">
        <v>0</v>
      </c>
      <c r="E2443" t="s">
        <v>6</v>
      </c>
      <c r="F2443">
        <v>7.2219999999999993E-2</v>
      </c>
    </row>
    <row r="2444" spans="1:6" x14ac:dyDescent="0.3">
      <c r="A2444" t="s">
        <v>22</v>
      </c>
      <c r="B2444" s="1">
        <v>45759</v>
      </c>
      <c r="C2444">
        <v>20</v>
      </c>
      <c r="D2444">
        <v>3.6999999999999998E-2</v>
      </c>
      <c r="E2444" t="s">
        <v>6</v>
      </c>
      <c r="F2444">
        <v>8.7739999999999999E-2</v>
      </c>
    </row>
    <row r="2445" spans="1:6" x14ac:dyDescent="0.3">
      <c r="A2445" t="s">
        <v>22</v>
      </c>
      <c r="B2445" s="1">
        <v>45759</v>
      </c>
      <c r="C2445">
        <v>21</v>
      </c>
      <c r="D2445">
        <v>0.69299999999999995</v>
      </c>
      <c r="E2445" t="s">
        <v>6</v>
      </c>
      <c r="F2445">
        <v>9.9559999999999996E-2</v>
      </c>
    </row>
    <row r="2446" spans="1:6" x14ac:dyDescent="0.3">
      <c r="A2446" t="s">
        <v>22</v>
      </c>
      <c r="B2446" s="1">
        <v>45759</v>
      </c>
      <c r="C2446">
        <v>22</v>
      </c>
      <c r="D2446">
        <v>0.59699999999999998</v>
      </c>
      <c r="E2446" t="s">
        <v>6</v>
      </c>
      <c r="F2446">
        <v>0.13437000000000002</v>
      </c>
    </row>
    <row r="2447" spans="1:6" x14ac:dyDescent="0.3">
      <c r="A2447" t="s">
        <v>22</v>
      </c>
      <c r="B2447" s="1">
        <v>45759</v>
      </c>
      <c r="C2447">
        <v>23</v>
      </c>
      <c r="D2447">
        <v>0.378</v>
      </c>
      <c r="E2447" t="s">
        <v>6</v>
      </c>
      <c r="F2447">
        <v>0.10596999999999999</v>
      </c>
    </row>
    <row r="2448" spans="1:6" x14ac:dyDescent="0.3">
      <c r="A2448" t="s">
        <v>22</v>
      </c>
      <c r="B2448" s="1">
        <v>45759</v>
      </c>
      <c r="C2448">
        <v>24</v>
      </c>
      <c r="D2448">
        <v>0.71</v>
      </c>
      <c r="E2448" t="s">
        <v>6</v>
      </c>
      <c r="F2448">
        <v>9.7239999999999993E-2</v>
      </c>
    </row>
    <row r="2449" spans="1:6" x14ac:dyDescent="0.3">
      <c r="A2449" t="s">
        <v>22</v>
      </c>
      <c r="B2449" s="1">
        <v>45760</v>
      </c>
      <c r="C2449">
        <v>1</v>
      </c>
      <c r="D2449">
        <v>1.2829999999999999</v>
      </c>
      <c r="E2449" t="s">
        <v>6</v>
      </c>
      <c r="F2449">
        <v>0.10718000000000001</v>
      </c>
    </row>
    <row r="2450" spans="1:6" x14ac:dyDescent="0.3">
      <c r="A2450" t="s">
        <v>22</v>
      </c>
      <c r="B2450" s="1">
        <v>45760</v>
      </c>
      <c r="C2450">
        <v>2</v>
      </c>
      <c r="D2450">
        <v>0.34</v>
      </c>
      <c r="E2450" t="s">
        <v>6</v>
      </c>
      <c r="F2450">
        <v>0.11011</v>
      </c>
    </row>
    <row r="2451" spans="1:6" x14ac:dyDescent="0.3">
      <c r="A2451" t="s">
        <v>22</v>
      </c>
      <c r="B2451" s="1">
        <v>45760</v>
      </c>
      <c r="C2451">
        <v>3</v>
      </c>
      <c r="D2451">
        <v>2.1160000000000001</v>
      </c>
      <c r="E2451" t="s">
        <v>6</v>
      </c>
      <c r="F2451">
        <v>0.10812000000000001</v>
      </c>
    </row>
    <row r="2452" spans="1:6" x14ac:dyDescent="0.3">
      <c r="A2452" t="s">
        <v>22</v>
      </c>
      <c r="B2452" s="1">
        <v>45760</v>
      </c>
      <c r="C2452">
        <v>4</v>
      </c>
      <c r="D2452">
        <v>1.575</v>
      </c>
      <c r="E2452" t="s">
        <v>6</v>
      </c>
      <c r="F2452">
        <v>9.8849999999999993E-2</v>
      </c>
    </row>
    <row r="2453" spans="1:6" x14ac:dyDescent="0.3">
      <c r="A2453" t="s">
        <v>22</v>
      </c>
      <c r="B2453" s="1">
        <v>45760</v>
      </c>
      <c r="C2453">
        <v>5</v>
      </c>
      <c r="D2453">
        <v>1.3859999999999999</v>
      </c>
      <c r="E2453" t="s">
        <v>6</v>
      </c>
      <c r="F2453">
        <v>9.4519999999999993E-2</v>
      </c>
    </row>
    <row r="2454" spans="1:6" x14ac:dyDescent="0.3">
      <c r="A2454" t="s">
        <v>22</v>
      </c>
      <c r="B2454" s="1">
        <v>45760</v>
      </c>
      <c r="C2454">
        <v>6</v>
      </c>
      <c r="D2454">
        <v>1.37</v>
      </c>
      <c r="E2454" t="s">
        <v>6</v>
      </c>
      <c r="F2454">
        <v>9.401000000000001E-2</v>
      </c>
    </row>
    <row r="2455" spans="1:6" x14ac:dyDescent="0.3">
      <c r="A2455" t="s">
        <v>22</v>
      </c>
      <c r="B2455" s="1">
        <v>45760</v>
      </c>
      <c r="C2455">
        <v>7</v>
      </c>
      <c r="D2455">
        <v>1.01</v>
      </c>
      <c r="E2455" t="s">
        <v>6</v>
      </c>
      <c r="F2455">
        <v>9.8330000000000001E-2</v>
      </c>
    </row>
    <row r="2456" spans="1:6" x14ac:dyDescent="0.3">
      <c r="A2456" t="s">
        <v>22</v>
      </c>
      <c r="B2456" s="1">
        <v>45760</v>
      </c>
      <c r="C2456">
        <v>8</v>
      </c>
      <c r="D2456">
        <v>0.85099999999999998</v>
      </c>
      <c r="E2456" t="s">
        <v>6</v>
      </c>
      <c r="F2456">
        <v>0.10192</v>
      </c>
    </row>
    <row r="2457" spans="1:6" x14ac:dyDescent="0.3">
      <c r="A2457" t="s">
        <v>22</v>
      </c>
      <c r="B2457" s="1">
        <v>45760</v>
      </c>
      <c r="C2457">
        <v>9</v>
      </c>
      <c r="D2457">
        <v>0.61099999999999999</v>
      </c>
      <c r="E2457" t="s">
        <v>6</v>
      </c>
      <c r="F2457">
        <v>8.9760000000000006E-2</v>
      </c>
    </row>
    <row r="2458" spans="1:6" x14ac:dyDescent="0.3">
      <c r="A2458" t="s">
        <v>22</v>
      </c>
      <c r="B2458" s="1">
        <v>45760</v>
      </c>
      <c r="C2458">
        <v>10</v>
      </c>
      <c r="D2458">
        <v>0</v>
      </c>
      <c r="E2458" t="s">
        <v>6</v>
      </c>
      <c r="F2458">
        <v>6.3409999999999994E-2</v>
      </c>
    </row>
    <row r="2459" spans="1:6" x14ac:dyDescent="0.3">
      <c r="A2459" t="s">
        <v>22</v>
      </c>
      <c r="B2459" s="1">
        <v>45760</v>
      </c>
      <c r="C2459">
        <v>11</v>
      </c>
      <c r="D2459">
        <v>0</v>
      </c>
      <c r="E2459" t="s">
        <v>6</v>
      </c>
      <c r="F2459">
        <v>5.2440000000000001E-2</v>
      </c>
    </row>
    <row r="2460" spans="1:6" x14ac:dyDescent="0.3">
      <c r="A2460" t="s">
        <v>22</v>
      </c>
      <c r="B2460" s="1">
        <v>45760</v>
      </c>
      <c r="C2460">
        <v>12</v>
      </c>
      <c r="D2460">
        <v>0</v>
      </c>
      <c r="E2460" t="s">
        <v>6</v>
      </c>
      <c r="F2460">
        <v>4.7920000000000004E-2</v>
      </c>
    </row>
    <row r="2461" spans="1:6" x14ac:dyDescent="0.3">
      <c r="A2461" t="s">
        <v>22</v>
      </c>
      <c r="B2461" s="1">
        <v>45760</v>
      </c>
      <c r="C2461">
        <v>13</v>
      </c>
      <c r="D2461">
        <v>0.45700000000000002</v>
      </c>
      <c r="E2461" t="s">
        <v>6</v>
      </c>
      <c r="F2461">
        <v>4.7149999999999997E-2</v>
      </c>
    </row>
    <row r="2462" spans="1:6" x14ac:dyDescent="0.3">
      <c r="A2462" t="s">
        <v>22</v>
      </c>
      <c r="B2462" s="1">
        <v>45760</v>
      </c>
      <c r="C2462">
        <v>14</v>
      </c>
      <c r="D2462">
        <v>0.36799999999999999</v>
      </c>
      <c r="E2462" t="s">
        <v>6</v>
      </c>
      <c r="F2462">
        <v>4.6420000000000003E-2</v>
      </c>
    </row>
    <row r="2463" spans="1:6" x14ac:dyDescent="0.3">
      <c r="A2463" t="s">
        <v>22</v>
      </c>
      <c r="B2463" s="1">
        <v>45760</v>
      </c>
      <c r="C2463">
        <v>15</v>
      </c>
      <c r="D2463">
        <v>0.112</v>
      </c>
      <c r="E2463" t="s">
        <v>6</v>
      </c>
      <c r="F2463">
        <v>4.6520000000000006E-2</v>
      </c>
    </row>
    <row r="2464" spans="1:6" x14ac:dyDescent="0.3">
      <c r="A2464" t="s">
        <v>22</v>
      </c>
      <c r="B2464" s="1">
        <v>45760</v>
      </c>
      <c r="C2464">
        <v>16</v>
      </c>
      <c r="D2464">
        <v>1.6E-2</v>
      </c>
      <c r="E2464" t="s">
        <v>6</v>
      </c>
      <c r="F2464">
        <v>4.6579999999999996E-2</v>
      </c>
    </row>
    <row r="2465" spans="1:6" x14ac:dyDescent="0.3">
      <c r="A2465" t="s">
        <v>22</v>
      </c>
      <c r="B2465" s="1">
        <v>45760</v>
      </c>
      <c r="C2465">
        <v>17</v>
      </c>
      <c r="D2465">
        <v>2.7E-2</v>
      </c>
      <c r="E2465" t="s">
        <v>6</v>
      </c>
      <c r="F2465">
        <v>4.8710000000000003E-2</v>
      </c>
    </row>
    <row r="2466" spans="1:6" x14ac:dyDescent="0.3">
      <c r="A2466" t="s">
        <v>22</v>
      </c>
      <c r="B2466" s="1">
        <v>45760</v>
      </c>
      <c r="C2466">
        <v>18</v>
      </c>
      <c r="D2466">
        <v>1.3049999999999999</v>
      </c>
      <c r="E2466" t="s">
        <v>6</v>
      </c>
      <c r="F2466">
        <v>5.0549999999999998E-2</v>
      </c>
    </row>
    <row r="2467" spans="1:6" x14ac:dyDescent="0.3">
      <c r="A2467" t="s">
        <v>22</v>
      </c>
      <c r="B2467" s="1">
        <v>45760</v>
      </c>
      <c r="C2467">
        <v>19</v>
      </c>
      <c r="D2467">
        <v>0.59899999999999998</v>
      </c>
      <c r="E2467" t="s">
        <v>6</v>
      </c>
      <c r="F2467">
        <v>5.305E-2</v>
      </c>
    </row>
    <row r="2468" spans="1:6" x14ac:dyDescent="0.3">
      <c r="A2468" t="s">
        <v>22</v>
      </c>
      <c r="B2468" s="1">
        <v>45760</v>
      </c>
      <c r="C2468">
        <v>20</v>
      </c>
      <c r="D2468">
        <v>0.48399999999999999</v>
      </c>
      <c r="E2468" t="s">
        <v>6</v>
      </c>
      <c r="F2468">
        <v>6.1289999999999997E-2</v>
      </c>
    </row>
    <row r="2469" spans="1:6" x14ac:dyDescent="0.3">
      <c r="A2469" t="s">
        <v>22</v>
      </c>
      <c r="B2469" s="1">
        <v>45760</v>
      </c>
      <c r="C2469">
        <v>21</v>
      </c>
      <c r="D2469">
        <v>0.49099999999999999</v>
      </c>
      <c r="E2469" t="s">
        <v>6</v>
      </c>
      <c r="F2469">
        <v>9.4769999999999993E-2</v>
      </c>
    </row>
    <row r="2470" spans="1:6" x14ac:dyDescent="0.3">
      <c r="A2470" t="s">
        <v>22</v>
      </c>
      <c r="B2470" s="1">
        <v>45760</v>
      </c>
      <c r="C2470">
        <v>22</v>
      </c>
      <c r="D2470">
        <v>1.9039999999999999</v>
      </c>
      <c r="E2470" t="s">
        <v>6</v>
      </c>
      <c r="F2470">
        <v>0.11364</v>
      </c>
    </row>
    <row r="2471" spans="1:6" x14ac:dyDescent="0.3">
      <c r="A2471" t="s">
        <v>22</v>
      </c>
      <c r="B2471" s="1">
        <v>45760</v>
      </c>
      <c r="C2471">
        <v>23</v>
      </c>
      <c r="D2471">
        <v>1.113</v>
      </c>
      <c r="E2471" t="s">
        <v>6</v>
      </c>
      <c r="F2471">
        <v>0.11322</v>
      </c>
    </row>
    <row r="2472" spans="1:6" x14ac:dyDescent="0.3">
      <c r="A2472" t="s">
        <v>22</v>
      </c>
      <c r="B2472" s="1">
        <v>45760</v>
      </c>
      <c r="C2472">
        <v>24</v>
      </c>
      <c r="D2472">
        <v>0.221</v>
      </c>
      <c r="E2472" t="s">
        <v>6</v>
      </c>
      <c r="F2472">
        <v>9.2159999999999992E-2</v>
      </c>
    </row>
    <row r="2473" spans="1:6" x14ac:dyDescent="0.3">
      <c r="A2473" t="s">
        <v>22</v>
      </c>
      <c r="B2473" s="1">
        <v>45761</v>
      </c>
      <c r="C2473">
        <v>1</v>
      </c>
      <c r="D2473">
        <v>0.75700000000000001</v>
      </c>
      <c r="E2473" t="s">
        <v>6</v>
      </c>
      <c r="F2473">
        <v>0.10833</v>
      </c>
    </row>
    <row r="2474" spans="1:6" x14ac:dyDescent="0.3">
      <c r="A2474" t="s">
        <v>22</v>
      </c>
      <c r="B2474" s="1">
        <v>45761</v>
      </c>
      <c r="C2474">
        <v>2</v>
      </c>
      <c r="D2474">
        <v>1.5049999999999999</v>
      </c>
      <c r="E2474" t="s">
        <v>6</v>
      </c>
      <c r="F2474">
        <v>0.10856</v>
      </c>
    </row>
    <row r="2475" spans="1:6" x14ac:dyDescent="0.3">
      <c r="A2475" t="s">
        <v>22</v>
      </c>
      <c r="B2475" s="1">
        <v>45761</v>
      </c>
      <c r="C2475">
        <v>3</v>
      </c>
      <c r="D2475">
        <v>1.1419999999999999</v>
      </c>
      <c r="E2475" t="s">
        <v>6</v>
      </c>
      <c r="F2475">
        <v>0.10945000000000001</v>
      </c>
    </row>
    <row r="2476" spans="1:6" x14ac:dyDescent="0.3">
      <c r="A2476" t="s">
        <v>22</v>
      </c>
      <c r="B2476" s="1">
        <v>45761</v>
      </c>
      <c r="C2476">
        <v>4</v>
      </c>
      <c r="D2476">
        <v>1.0409999999999999</v>
      </c>
      <c r="E2476" t="s">
        <v>6</v>
      </c>
      <c r="F2476">
        <v>0.10865000000000001</v>
      </c>
    </row>
    <row r="2477" spans="1:6" x14ac:dyDescent="0.3">
      <c r="A2477" t="s">
        <v>22</v>
      </c>
      <c r="B2477" s="1">
        <v>45761</v>
      </c>
      <c r="C2477">
        <v>5</v>
      </c>
      <c r="D2477">
        <v>1.19</v>
      </c>
      <c r="E2477" t="s">
        <v>6</v>
      </c>
      <c r="F2477">
        <v>0.10367</v>
      </c>
    </row>
    <row r="2478" spans="1:6" x14ac:dyDescent="0.3">
      <c r="A2478" t="s">
        <v>22</v>
      </c>
      <c r="B2478" s="1">
        <v>45761</v>
      </c>
      <c r="C2478">
        <v>6</v>
      </c>
      <c r="D2478">
        <v>0.94699999999999995</v>
      </c>
      <c r="E2478" t="s">
        <v>6</v>
      </c>
      <c r="F2478">
        <v>0.10564</v>
      </c>
    </row>
    <row r="2479" spans="1:6" x14ac:dyDescent="0.3">
      <c r="A2479" t="s">
        <v>22</v>
      </c>
      <c r="B2479" s="1">
        <v>45761</v>
      </c>
      <c r="C2479">
        <v>7</v>
      </c>
      <c r="D2479">
        <v>1.9990000000000001</v>
      </c>
      <c r="E2479" t="s">
        <v>6</v>
      </c>
      <c r="F2479">
        <v>0.10928</v>
      </c>
    </row>
    <row r="2480" spans="1:6" x14ac:dyDescent="0.3">
      <c r="A2480" t="s">
        <v>22</v>
      </c>
      <c r="B2480" s="1">
        <v>45761</v>
      </c>
      <c r="C2480">
        <v>8</v>
      </c>
      <c r="D2480">
        <v>1.595</v>
      </c>
      <c r="E2480" t="s">
        <v>6</v>
      </c>
      <c r="F2480">
        <v>0.12307</v>
      </c>
    </row>
    <row r="2481" spans="1:6" x14ac:dyDescent="0.3">
      <c r="A2481" t="s">
        <v>22</v>
      </c>
      <c r="B2481" s="1">
        <v>45761</v>
      </c>
      <c r="C2481">
        <v>9</v>
      </c>
      <c r="D2481">
        <v>1.841</v>
      </c>
      <c r="E2481" t="s">
        <v>6</v>
      </c>
      <c r="F2481">
        <v>0.16081000000000001</v>
      </c>
    </row>
    <row r="2482" spans="1:6" x14ac:dyDescent="0.3">
      <c r="A2482" t="s">
        <v>22</v>
      </c>
      <c r="B2482" s="1">
        <v>45761</v>
      </c>
      <c r="C2482">
        <v>10</v>
      </c>
      <c r="D2482">
        <v>0.22500000000000001</v>
      </c>
      <c r="E2482" t="s">
        <v>6</v>
      </c>
      <c r="F2482">
        <v>0.11361</v>
      </c>
    </row>
    <row r="2483" spans="1:6" x14ac:dyDescent="0.3">
      <c r="A2483" t="s">
        <v>22</v>
      </c>
      <c r="B2483" s="1">
        <v>45761</v>
      </c>
      <c r="C2483">
        <v>11</v>
      </c>
      <c r="D2483">
        <v>0.77300000000000002</v>
      </c>
      <c r="E2483" t="s">
        <v>6</v>
      </c>
      <c r="F2483">
        <v>0.16993</v>
      </c>
    </row>
    <row r="2484" spans="1:6" x14ac:dyDescent="0.3">
      <c r="A2484" t="s">
        <v>22</v>
      </c>
      <c r="B2484" s="1">
        <v>45761</v>
      </c>
      <c r="C2484">
        <v>12</v>
      </c>
      <c r="D2484">
        <v>0</v>
      </c>
      <c r="E2484" t="s">
        <v>6</v>
      </c>
      <c r="F2484">
        <v>0.14384</v>
      </c>
    </row>
    <row r="2485" spans="1:6" x14ac:dyDescent="0.3">
      <c r="A2485" t="s">
        <v>22</v>
      </c>
      <c r="B2485" s="1">
        <v>45761</v>
      </c>
      <c r="C2485">
        <v>13</v>
      </c>
      <c r="D2485">
        <v>0</v>
      </c>
      <c r="E2485" t="s">
        <v>6</v>
      </c>
      <c r="F2485">
        <v>0.1394</v>
      </c>
    </row>
    <row r="2486" spans="1:6" x14ac:dyDescent="0.3">
      <c r="A2486" t="s">
        <v>22</v>
      </c>
      <c r="B2486" s="1">
        <v>45761</v>
      </c>
      <c r="C2486">
        <v>14</v>
      </c>
      <c r="D2486">
        <v>0</v>
      </c>
      <c r="E2486" t="s">
        <v>6</v>
      </c>
      <c r="F2486">
        <v>0.13358</v>
      </c>
    </row>
    <row r="2487" spans="1:6" x14ac:dyDescent="0.3">
      <c r="A2487" t="s">
        <v>22</v>
      </c>
      <c r="B2487" s="1">
        <v>45761</v>
      </c>
      <c r="C2487">
        <v>15</v>
      </c>
      <c r="D2487">
        <v>0</v>
      </c>
      <c r="E2487" t="s">
        <v>6</v>
      </c>
      <c r="F2487">
        <v>6.8569999999999992E-2</v>
      </c>
    </row>
    <row r="2488" spans="1:6" x14ac:dyDescent="0.3">
      <c r="A2488" t="s">
        <v>22</v>
      </c>
      <c r="B2488" s="1">
        <v>45761</v>
      </c>
      <c r="C2488">
        <v>16</v>
      </c>
      <c r="D2488">
        <v>0</v>
      </c>
      <c r="E2488" t="s">
        <v>6</v>
      </c>
      <c r="F2488">
        <v>6.9440000000000002E-2</v>
      </c>
    </row>
    <row r="2489" spans="1:6" x14ac:dyDescent="0.3">
      <c r="A2489" t="s">
        <v>22</v>
      </c>
      <c r="B2489" s="1">
        <v>45761</v>
      </c>
      <c r="C2489">
        <v>17</v>
      </c>
      <c r="D2489">
        <v>0</v>
      </c>
      <c r="E2489" t="s">
        <v>6</v>
      </c>
      <c r="F2489">
        <v>6.9989999999999997E-2</v>
      </c>
    </row>
    <row r="2490" spans="1:6" x14ac:dyDescent="0.3">
      <c r="A2490" t="s">
        <v>22</v>
      </c>
      <c r="B2490" s="1">
        <v>45761</v>
      </c>
      <c r="C2490">
        <v>18</v>
      </c>
      <c r="D2490">
        <v>0</v>
      </c>
      <c r="E2490" t="s">
        <v>6</v>
      </c>
      <c r="F2490">
        <v>7.0360000000000006E-2</v>
      </c>
    </row>
    <row r="2491" spans="1:6" x14ac:dyDescent="0.3">
      <c r="A2491" t="s">
        <v>22</v>
      </c>
      <c r="B2491" s="1">
        <v>45761</v>
      </c>
      <c r="C2491">
        <v>19</v>
      </c>
      <c r="D2491">
        <v>0</v>
      </c>
      <c r="E2491" t="s">
        <v>6</v>
      </c>
      <c r="F2491">
        <v>0.14022000000000001</v>
      </c>
    </row>
    <row r="2492" spans="1:6" x14ac:dyDescent="0.3">
      <c r="A2492" t="s">
        <v>22</v>
      </c>
      <c r="B2492" s="1">
        <v>45761</v>
      </c>
      <c r="C2492">
        <v>20</v>
      </c>
      <c r="D2492">
        <v>0.14699999999999999</v>
      </c>
      <c r="E2492" t="s">
        <v>6</v>
      </c>
      <c r="F2492">
        <v>0.14483000000000001</v>
      </c>
    </row>
    <row r="2493" spans="1:6" x14ac:dyDescent="0.3">
      <c r="A2493" t="s">
        <v>22</v>
      </c>
      <c r="B2493" s="1">
        <v>45761</v>
      </c>
      <c r="C2493">
        <v>21</v>
      </c>
      <c r="D2493">
        <v>0.19400000000000001</v>
      </c>
      <c r="E2493" t="s">
        <v>6</v>
      </c>
      <c r="F2493">
        <v>0.17288999999999999</v>
      </c>
    </row>
    <row r="2494" spans="1:6" x14ac:dyDescent="0.3">
      <c r="A2494" t="s">
        <v>22</v>
      </c>
      <c r="B2494" s="1">
        <v>45761</v>
      </c>
      <c r="C2494">
        <v>22</v>
      </c>
      <c r="D2494">
        <v>0.32900000000000001</v>
      </c>
      <c r="E2494" t="s">
        <v>6</v>
      </c>
      <c r="F2494">
        <v>0.17083999999999999</v>
      </c>
    </row>
    <row r="2495" spans="1:6" x14ac:dyDescent="0.3">
      <c r="A2495" t="s">
        <v>22</v>
      </c>
      <c r="B2495" s="1">
        <v>45761</v>
      </c>
      <c r="C2495">
        <v>23</v>
      </c>
      <c r="D2495">
        <v>2.2029999999999998</v>
      </c>
      <c r="E2495" t="s">
        <v>6</v>
      </c>
      <c r="F2495">
        <v>9.0719999999999995E-2</v>
      </c>
    </row>
    <row r="2496" spans="1:6" x14ac:dyDescent="0.3">
      <c r="A2496" t="s">
        <v>22</v>
      </c>
      <c r="B2496" s="1">
        <v>45761</v>
      </c>
      <c r="C2496">
        <v>24</v>
      </c>
      <c r="D2496">
        <v>1.5529999999999999</v>
      </c>
      <c r="E2496" t="s">
        <v>6</v>
      </c>
      <c r="F2496">
        <v>8.4879999999999997E-2</v>
      </c>
    </row>
    <row r="2497" spans="1:6" x14ac:dyDescent="0.3">
      <c r="A2497" t="s">
        <v>22</v>
      </c>
      <c r="B2497" s="1">
        <v>45762</v>
      </c>
      <c r="C2497">
        <v>1</v>
      </c>
      <c r="D2497">
        <v>1.304</v>
      </c>
      <c r="E2497" t="s">
        <v>6</v>
      </c>
      <c r="F2497">
        <v>7.6999999999999999E-2</v>
      </c>
    </row>
    <row r="2498" spans="1:6" x14ac:dyDescent="0.3">
      <c r="A2498" t="s">
        <v>22</v>
      </c>
      <c r="B2498" s="1">
        <v>45762</v>
      </c>
      <c r="C2498">
        <v>2</v>
      </c>
      <c r="D2498">
        <v>1.5229999999999999</v>
      </c>
      <c r="E2498" t="s">
        <v>6</v>
      </c>
      <c r="F2498">
        <v>7.1859999999999993E-2</v>
      </c>
    </row>
    <row r="2499" spans="1:6" x14ac:dyDescent="0.3">
      <c r="A2499" t="s">
        <v>22</v>
      </c>
      <c r="B2499" s="1">
        <v>45762</v>
      </c>
      <c r="C2499">
        <v>3</v>
      </c>
      <c r="D2499">
        <v>1.1819999999999999</v>
      </c>
      <c r="E2499" t="s">
        <v>6</v>
      </c>
      <c r="F2499">
        <v>7.0949999999999999E-2</v>
      </c>
    </row>
    <row r="2500" spans="1:6" x14ac:dyDescent="0.3">
      <c r="A2500" t="s">
        <v>22</v>
      </c>
      <c r="B2500" s="1">
        <v>45762</v>
      </c>
      <c r="C2500">
        <v>4</v>
      </c>
      <c r="D2500">
        <v>0.80600000000000005</v>
      </c>
      <c r="E2500" t="s">
        <v>6</v>
      </c>
      <c r="F2500">
        <v>6.6430000000000003E-2</v>
      </c>
    </row>
    <row r="2501" spans="1:6" x14ac:dyDescent="0.3">
      <c r="A2501" t="s">
        <v>22</v>
      </c>
      <c r="B2501" s="1">
        <v>45762</v>
      </c>
      <c r="C2501">
        <v>5</v>
      </c>
      <c r="D2501">
        <v>1.0940000000000001</v>
      </c>
      <c r="E2501" t="s">
        <v>6</v>
      </c>
      <c r="F2501">
        <v>6.6119999999999998E-2</v>
      </c>
    </row>
    <row r="2502" spans="1:6" x14ac:dyDescent="0.3">
      <c r="A2502" t="s">
        <v>22</v>
      </c>
      <c r="B2502" s="1">
        <v>45762</v>
      </c>
      <c r="C2502">
        <v>6</v>
      </c>
      <c r="D2502">
        <v>1.0529999999999999</v>
      </c>
      <c r="E2502" t="s">
        <v>6</v>
      </c>
      <c r="F2502">
        <v>6.8940000000000001E-2</v>
      </c>
    </row>
    <row r="2503" spans="1:6" x14ac:dyDescent="0.3">
      <c r="A2503" t="s">
        <v>22</v>
      </c>
      <c r="B2503" s="1">
        <v>45762</v>
      </c>
      <c r="C2503">
        <v>7</v>
      </c>
      <c r="D2503">
        <v>1.2190000000000001</v>
      </c>
      <c r="E2503" t="s">
        <v>6</v>
      </c>
      <c r="F2503">
        <v>8.3640000000000006E-2</v>
      </c>
    </row>
    <row r="2504" spans="1:6" x14ac:dyDescent="0.3">
      <c r="A2504" t="s">
        <v>22</v>
      </c>
      <c r="B2504" s="1">
        <v>45762</v>
      </c>
      <c r="C2504">
        <v>8</v>
      </c>
      <c r="D2504">
        <v>0.88500000000000001</v>
      </c>
      <c r="E2504" t="s">
        <v>6</v>
      </c>
      <c r="F2504">
        <v>9.487000000000001E-2</v>
      </c>
    </row>
    <row r="2505" spans="1:6" x14ac:dyDescent="0.3">
      <c r="A2505" t="s">
        <v>22</v>
      </c>
      <c r="B2505" s="1">
        <v>45762</v>
      </c>
      <c r="C2505">
        <v>9</v>
      </c>
      <c r="D2505">
        <v>0</v>
      </c>
      <c r="E2505" t="s">
        <v>6</v>
      </c>
      <c r="F2505">
        <v>0.11902</v>
      </c>
    </row>
    <row r="2506" spans="1:6" x14ac:dyDescent="0.3">
      <c r="A2506" t="s">
        <v>22</v>
      </c>
      <c r="B2506" s="1">
        <v>45762</v>
      </c>
      <c r="C2506">
        <v>10</v>
      </c>
      <c r="D2506">
        <v>0.17499999999999999</v>
      </c>
      <c r="E2506" t="s">
        <v>6</v>
      </c>
      <c r="F2506">
        <v>9.5379999999999993E-2</v>
      </c>
    </row>
    <row r="2507" spans="1:6" x14ac:dyDescent="0.3">
      <c r="A2507" t="s">
        <v>22</v>
      </c>
      <c r="B2507" s="1">
        <v>45762</v>
      </c>
      <c r="C2507">
        <v>11</v>
      </c>
      <c r="D2507">
        <v>0</v>
      </c>
      <c r="E2507" t="s">
        <v>6</v>
      </c>
      <c r="F2507">
        <v>0.14513999999999999</v>
      </c>
    </row>
    <row r="2508" spans="1:6" x14ac:dyDescent="0.3">
      <c r="A2508" t="s">
        <v>22</v>
      </c>
      <c r="B2508" s="1">
        <v>45762</v>
      </c>
      <c r="C2508">
        <v>12</v>
      </c>
      <c r="D2508">
        <v>0</v>
      </c>
      <c r="E2508" t="s">
        <v>6</v>
      </c>
      <c r="F2508">
        <v>0.14248</v>
      </c>
    </row>
    <row r="2509" spans="1:6" x14ac:dyDescent="0.3">
      <c r="A2509" t="s">
        <v>22</v>
      </c>
      <c r="B2509" s="1">
        <v>45762</v>
      </c>
      <c r="C2509">
        <v>13</v>
      </c>
      <c r="D2509">
        <v>0</v>
      </c>
      <c r="E2509" t="s">
        <v>6</v>
      </c>
      <c r="F2509">
        <v>0.13886999999999999</v>
      </c>
    </row>
    <row r="2510" spans="1:6" x14ac:dyDescent="0.3">
      <c r="A2510" t="s">
        <v>22</v>
      </c>
      <c r="B2510" s="1">
        <v>45762</v>
      </c>
      <c r="C2510">
        <v>14</v>
      </c>
      <c r="D2510">
        <v>0</v>
      </c>
      <c r="E2510" t="s">
        <v>6</v>
      </c>
      <c r="F2510">
        <v>0.13578000000000001</v>
      </c>
    </row>
    <row r="2511" spans="1:6" x14ac:dyDescent="0.3">
      <c r="A2511" t="s">
        <v>22</v>
      </c>
      <c r="B2511" s="1">
        <v>45762</v>
      </c>
      <c r="C2511">
        <v>15</v>
      </c>
      <c r="D2511">
        <v>3.3000000000000002E-2</v>
      </c>
      <c r="E2511" t="s">
        <v>6</v>
      </c>
      <c r="F2511">
        <v>7.1779999999999997E-2</v>
      </c>
    </row>
    <row r="2512" spans="1:6" x14ac:dyDescent="0.3">
      <c r="A2512" t="s">
        <v>22</v>
      </c>
      <c r="B2512" s="1">
        <v>45762</v>
      </c>
      <c r="C2512">
        <v>16</v>
      </c>
      <c r="D2512">
        <v>0</v>
      </c>
      <c r="E2512" t="s">
        <v>6</v>
      </c>
      <c r="F2512">
        <v>7.2510000000000005E-2</v>
      </c>
    </row>
    <row r="2513" spans="1:6" x14ac:dyDescent="0.3">
      <c r="A2513" t="s">
        <v>22</v>
      </c>
      <c r="B2513" s="1">
        <v>45762</v>
      </c>
      <c r="C2513">
        <v>17</v>
      </c>
      <c r="D2513">
        <v>0.16900000000000001</v>
      </c>
      <c r="E2513" t="s">
        <v>6</v>
      </c>
      <c r="F2513">
        <v>7.306E-2</v>
      </c>
    </row>
    <row r="2514" spans="1:6" x14ac:dyDescent="0.3">
      <c r="A2514" t="s">
        <v>22</v>
      </c>
      <c r="B2514" s="1">
        <v>45762</v>
      </c>
      <c r="C2514">
        <v>18</v>
      </c>
      <c r="D2514">
        <v>0.30099999999999999</v>
      </c>
      <c r="E2514" t="s">
        <v>6</v>
      </c>
      <c r="F2514">
        <v>7.3219999999999993E-2</v>
      </c>
    </row>
    <row r="2515" spans="1:6" x14ac:dyDescent="0.3">
      <c r="A2515" t="s">
        <v>22</v>
      </c>
      <c r="B2515" s="1">
        <v>45762</v>
      </c>
      <c r="C2515">
        <v>19</v>
      </c>
      <c r="D2515">
        <v>1.3460000000000001</v>
      </c>
      <c r="E2515" t="s">
        <v>6</v>
      </c>
      <c r="F2515">
        <v>0.14127999999999999</v>
      </c>
    </row>
    <row r="2516" spans="1:6" x14ac:dyDescent="0.3">
      <c r="A2516" t="s">
        <v>22</v>
      </c>
      <c r="B2516" s="1">
        <v>45762</v>
      </c>
      <c r="C2516">
        <v>20</v>
      </c>
      <c r="D2516">
        <v>1.2669999999999999</v>
      </c>
      <c r="E2516" t="s">
        <v>6</v>
      </c>
      <c r="F2516">
        <v>0.14788999999999999</v>
      </c>
    </row>
    <row r="2517" spans="1:6" x14ac:dyDescent="0.3">
      <c r="A2517" t="s">
        <v>22</v>
      </c>
      <c r="B2517" s="1">
        <v>45762</v>
      </c>
      <c r="C2517">
        <v>21</v>
      </c>
      <c r="D2517">
        <v>1.488</v>
      </c>
      <c r="E2517" t="s">
        <v>6</v>
      </c>
      <c r="F2517">
        <v>0.17588000000000001</v>
      </c>
    </row>
    <row r="2518" spans="1:6" x14ac:dyDescent="0.3">
      <c r="A2518" t="s">
        <v>22</v>
      </c>
      <c r="B2518" s="1">
        <v>45762</v>
      </c>
      <c r="C2518">
        <v>22</v>
      </c>
      <c r="D2518">
        <v>1.679</v>
      </c>
      <c r="E2518" t="s">
        <v>6</v>
      </c>
      <c r="F2518">
        <v>0.17624000000000001</v>
      </c>
    </row>
    <row r="2519" spans="1:6" x14ac:dyDescent="0.3">
      <c r="A2519" t="s">
        <v>22</v>
      </c>
      <c r="B2519" s="1">
        <v>45762</v>
      </c>
      <c r="C2519">
        <v>23</v>
      </c>
      <c r="D2519">
        <v>1.655</v>
      </c>
      <c r="E2519" t="s">
        <v>6</v>
      </c>
      <c r="F2519">
        <v>9.8709999999999992E-2</v>
      </c>
    </row>
    <row r="2520" spans="1:6" x14ac:dyDescent="0.3">
      <c r="A2520" t="s">
        <v>22</v>
      </c>
      <c r="B2520" s="1">
        <v>45762</v>
      </c>
      <c r="C2520">
        <v>24</v>
      </c>
      <c r="D2520">
        <v>2.0070000000000001</v>
      </c>
      <c r="E2520" t="s">
        <v>6</v>
      </c>
      <c r="F2520">
        <v>0.10043000000000001</v>
      </c>
    </row>
    <row r="2521" spans="1:6" x14ac:dyDescent="0.3">
      <c r="A2521" t="s">
        <v>22</v>
      </c>
      <c r="B2521" s="1">
        <v>45763</v>
      </c>
      <c r="C2521">
        <v>1</v>
      </c>
      <c r="D2521">
        <v>1.72</v>
      </c>
      <c r="E2521" t="s">
        <v>6</v>
      </c>
      <c r="F2521">
        <v>7.664E-2</v>
      </c>
    </row>
    <row r="2522" spans="1:6" x14ac:dyDescent="0.3">
      <c r="A2522" t="s">
        <v>22</v>
      </c>
      <c r="B2522" s="1">
        <v>45763</v>
      </c>
      <c r="C2522">
        <v>2</v>
      </c>
      <c r="D2522">
        <v>1.577</v>
      </c>
      <c r="E2522" t="s">
        <v>6</v>
      </c>
      <c r="F2522">
        <v>7.9239999999999991E-2</v>
      </c>
    </row>
    <row r="2523" spans="1:6" x14ac:dyDescent="0.3">
      <c r="A2523" t="s">
        <v>22</v>
      </c>
      <c r="B2523" s="1">
        <v>45763</v>
      </c>
      <c r="C2523">
        <v>3</v>
      </c>
      <c r="D2523">
        <v>1.3879999999999999</v>
      </c>
      <c r="E2523" t="s">
        <v>6</v>
      </c>
      <c r="F2523">
        <v>7.9189999999999997E-2</v>
      </c>
    </row>
    <row r="2524" spans="1:6" x14ac:dyDescent="0.3">
      <c r="A2524" t="s">
        <v>22</v>
      </c>
      <c r="B2524" s="1">
        <v>45763</v>
      </c>
      <c r="C2524">
        <v>4</v>
      </c>
      <c r="D2524">
        <v>1.73</v>
      </c>
      <c r="E2524" t="s">
        <v>6</v>
      </c>
      <c r="F2524">
        <v>7.535E-2</v>
      </c>
    </row>
    <row r="2525" spans="1:6" x14ac:dyDescent="0.3">
      <c r="A2525" t="s">
        <v>22</v>
      </c>
      <c r="B2525" s="1">
        <v>45763</v>
      </c>
      <c r="C2525">
        <v>5</v>
      </c>
      <c r="D2525">
        <v>1.623</v>
      </c>
      <c r="E2525" t="s">
        <v>6</v>
      </c>
      <c r="F2525">
        <v>6.8519999999999998E-2</v>
      </c>
    </row>
    <row r="2526" spans="1:6" x14ac:dyDescent="0.3">
      <c r="A2526" t="s">
        <v>22</v>
      </c>
      <c r="B2526" s="1">
        <v>45763</v>
      </c>
      <c r="C2526">
        <v>6</v>
      </c>
      <c r="D2526">
        <v>1.5269999999999999</v>
      </c>
      <c r="E2526" t="s">
        <v>6</v>
      </c>
      <c r="F2526">
        <v>6.8699999999999997E-2</v>
      </c>
    </row>
    <row r="2527" spans="1:6" x14ac:dyDescent="0.3">
      <c r="A2527" t="s">
        <v>22</v>
      </c>
      <c r="B2527" s="1">
        <v>45763</v>
      </c>
      <c r="C2527">
        <v>7</v>
      </c>
      <c r="D2527">
        <v>1.7030000000000001</v>
      </c>
      <c r="E2527" t="s">
        <v>6</v>
      </c>
      <c r="F2527">
        <v>7.5639999999999999E-2</v>
      </c>
    </row>
    <row r="2528" spans="1:6" x14ac:dyDescent="0.3">
      <c r="A2528" t="s">
        <v>22</v>
      </c>
      <c r="B2528" s="1">
        <v>45763</v>
      </c>
      <c r="C2528">
        <v>8</v>
      </c>
      <c r="D2528">
        <v>1.542</v>
      </c>
      <c r="E2528" t="s">
        <v>6</v>
      </c>
      <c r="F2528">
        <v>7.195E-2</v>
      </c>
    </row>
    <row r="2529" spans="1:6" x14ac:dyDescent="0.3">
      <c r="A2529" t="s">
        <v>22</v>
      </c>
      <c r="B2529" s="1">
        <v>45763</v>
      </c>
      <c r="C2529">
        <v>9</v>
      </c>
      <c r="D2529">
        <v>1.1319999999999999</v>
      </c>
      <c r="E2529" t="s">
        <v>6</v>
      </c>
      <c r="F2529">
        <v>9.5239999999999991E-2</v>
      </c>
    </row>
    <row r="2530" spans="1:6" x14ac:dyDescent="0.3">
      <c r="A2530" t="s">
        <v>22</v>
      </c>
      <c r="B2530" s="1">
        <v>45763</v>
      </c>
      <c r="C2530">
        <v>10</v>
      </c>
      <c r="D2530">
        <v>1.6890000000000001</v>
      </c>
      <c r="E2530" t="s">
        <v>6</v>
      </c>
      <c r="F2530">
        <v>7.986E-2</v>
      </c>
    </row>
    <row r="2531" spans="1:6" x14ac:dyDescent="0.3">
      <c r="A2531" t="s">
        <v>22</v>
      </c>
      <c r="B2531" s="1">
        <v>45763</v>
      </c>
      <c r="C2531">
        <v>11</v>
      </c>
      <c r="D2531">
        <v>1.2989999999999999</v>
      </c>
      <c r="E2531" t="s">
        <v>6</v>
      </c>
      <c r="F2531">
        <v>0.14121</v>
      </c>
    </row>
    <row r="2532" spans="1:6" x14ac:dyDescent="0.3">
      <c r="A2532" t="s">
        <v>22</v>
      </c>
      <c r="B2532" s="1">
        <v>45763</v>
      </c>
      <c r="C2532">
        <v>12</v>
      </c>
      <c r="D2532">
        <v>0.33200000000000002</v>
      </c>
      <c r="E2532" t="s">
        <v>6</v>
      </c>
      <c r="F2532">
        <v>0.13980000000000001</v>
      </c>
    </row>
    <row r="2533" spans="1:6" x14ac:dyDescent="0.3">
      <c r="A2533" t="s">
        <v>22</v>
      </c>
      <c r="B2533" s="1">
        <v>45763</v>
      </c>
      <c r="C2533">
        <v>13</v>
      </c>
      <c r="D2533">
        <v>8.2000000000000003E-2</v>
      </c>
      <c r="E2533" t="s">
        <v>6</v>
      </c>
      <c r="F2533">
        <v>0.13974</v>
      </c>
    </row>
    <row r="2534" spans="1:6" x14ac:dyDescent="0.3">
      <c r="A2534" t="s">
        <v>22</v>
      </c>
      <c r="B2534" s="1">
        <v>45763</v>
      </c>
      <c r="C2534">
        <v>14</v>
      </c>
      <c r="D2534">
        <v>0</v>
      </c>
      <c r="E2534" t="s">
        <v>6</v>
      </c>
      <c r="F2534">
        <v>0.13707</v>
      </c>
    </row>
    <row r="2535" spans="1:6" x14ac:dyDescent="0.3">
      <c r="A2535" t="s">
        <v>22</v>
      </c>
      <c r="B2535" s="1">
        <v>45763</v>
      </c>
      <c r="C2535">
        <v>15</v>
      </c>
      <c r="D2535">
        <v>0</v>
      </c>
      <c r="E2535" t="s">
        <v>6</v>
      </c>
      <c r="F2535">
        <v>7.281E-2</v>
      </c>
    </row>
    <row r="2536" spans="1:6" x14ac:dyDescent="0.3">
      <c r="A2536" t="s">
        <v>22</v>
      </c>
      <c r="B2536" s="1">
        <v>45763</v>
      </c>
      <c r="C2536">
        <v>16</v>
      </c>
      <c r="D2536">
        <v>0</v>
      </c>
      <c r="E2536" t="s">
        <v>6</v>
      </c>
      <c r="F2536">
        <v>7.3849999999999999E-2</v>
      </c>
    </row>
    <row r="2537" spans="1:6" x14ac:dyDescent="0.3">
      <c r="A2537" t="s">
        <v>22</v>
      </c>
      <c r="B2537" s="1">
        <v>45763</v>
      </c>
      <c r="C2537">
        <v>17</v>
      </c>
      <c r="D2537">
        <v>0</v>
      </c>
      <c r="E2537" t="s">
        <v>6</v>
      </c>
      <c r="F2537">
        <v>7.443000000000001E-2</v>
      </c>
    </row>
    <row r="2538" spans="1:6" x14ac:dyDescent="0.3">
      <c r="A2538" t="s">
        <v>22</v>
      </c>
      <c r="B2538" s="1">
        <v>45763</v>
      </c>
      <c r="C2538">
        <v>18</v>
      </c>
      <c r="D2538">
        <v>0</v>
      </c>
      <c r="E2538" t="s">
        <v>6</v>
      </c>
      <c r="F2538">
        <v>7.492E-2</v>
      </c>
    </row>
    <row r="2539" spans="1:6" x14ac:dyDescent="0.3">
      <c r="A2539" t="s">
        <v>22</v>
      </c>
      <c r="B2539" s="1">
        <v>45763</v>
      </c>
      <c r="C2539">
        <v>19</v>
      </c>
      <c r="D2539">
        <v>9.7000000000000003E-2</v>
      </c>
      <c r="E2539" t="s">
        <v>6</v>
      </c>
      <c r="F2539">
        <v>0.14330000000000001</v>
      </c>
    </row>
    <row r="2540" spans="1:6" x14ac:dyDescent="0.3">
      <c r="A2540" t="s">
        <v>22</v>
      </c>
      <c r="B2540" s="1">
        <v>45763</v>
      </c>
      <c r="C2540">
        <v>20</v>
      </c>
      <c r="D2540">
        <v>6.5000000000000002E-2</v>
      </c>
      <c r="E2540" t="s">
        <v>6</v>
      </c>
      <c r="F2540">
        <v>0.15001</v>
      </c>
    </row>
    <row r="2541" spans="1:6" x14ac:dyDescent="0.3">
      <c r="A2541" t="s">
        <v>22</v>
      </c>
      <c r="B2541" s="1">
        <v>45763</v>
      </c>
      <c r="C2541">
        <v>21</v>
      </c>
      <c r="D2541">
        <v>2.73</v>
      </c>
      <c r="E2541" t="s">
        <v>6</v>
      </c>
      <c r="F2541">
        <v>0.1744</v>
      </c>
    </row>
    <row r="2542" spans="1:6" x14ac:dyDescent="0.3">
      <c r="A2542" t="s">
        <v>22</v>
      </c>
      <c r="B2542" s="1">
        <v>45763</v>
      </c>
      <c r="C2542">
        <v>22</v>
      </c>
      <c r="D2542">
        <v>2.4020000000000001</v>
      </c>
      <c r="E2542" t="s">
        <v>6</v>
      </c>
      <c r="F2542">
        <v>0.21743999999999999</v>
      </c>
    </row>
    <row r="2543" spans="1:6" x14ac:dyDescent="0.3">
      <c r="A2543" t="s">
        <v>22</v>
      </c>
      <c r="B2543" s="1">
        <v>45763</v>
      </c>
      <c r="C2543">
        <v>23</v>
      </c>
      <c r="D2543">
        <v>2.5659999999999998</v>
      </c>
      <c r="E2543" t="s">
        <v>6</v>
      </c>
      <c r="F2543">
        <v>0.11791</v>
      </c>
    </row>
    <row r="2544" spans="1:6" x14ac:dyDescent="0.3">
      <c r="A2544" t="s">
        <v>22</v>
      </c>
      <c r="B2544" s="1">
        <v>45763</v>
      </c>
      <c r="C2544">
        <v>24</v>
      </c>
      <c r="D2544">
        <v>2.4590000000000001</v>
      </c>
      <c r="E2544" t="s">
        <v>6</v>
      </c>
      <c r="F2544">
        <v>0.10425</v>
      </c>
    </row>
    <row r="2545" spans="1:6" x14ac:dyDescent="0.3">
      <c r="A2545" t="s">
        <v>22</v>
      </c>
      <c r="B2545" s="1">
        <v>45764</v>
      </c>
      <c r="C2545">
        <v>1</v>
      </c>
      <c r="D2545">
        <v>2.37</v>
      </c>
      <c r="E2545" t="s">
        <v>6</v>
      </c>
      <c r="F2545">
        <v>8.5300000000000001E-2</v>
      </c>
    </row>
    <row r="2546" spans="1:6" x14ac:dyDescent="0.3">
      <c r="A2546" t="s">
        <v>22</v>
      </c>
      <c r="B2546" s="1">
        <v>45764</v>
      </c>
      <c r="C2546">
        <v>2</v>
      </c>
      <c r="D2546">
        <v>2.0609999999999999</v>
      </c>
      <c r="E2546" t="s">
        <v>6</v>
      </c>
      <c r="F2546">
        <v>8.3650000000000002E-2</v>
      </c>
    </row>
    <row r="2547" spans="1:6" x14ac:dyDescent="0.3">
      <c r="A2547" t="s">
        <v>22</v>
      </c>
      <c r="B2547" s="1">
        <v>45764</v>
      </c>
      <c r="C2547">
        <v>3</v>
      </c>
      <c r="D2547">
        <v>1.6830000000000001</v>
      </c>
      <c r="E2547" t="s">
        <v>6</v>
      </c>
      <c r="F2547">
        <v>8.6069999999999994E-2</v>
      </c>
    </row>
    <row r="2548" spans="1:6" x14ac:dyDescent="0.3">
      <c r="A2548" t="s">
        <v>22</v>
      </c>
      <c r="B2548" s="1">
        <v>45764</v>
      </c>
      <c r="C2548">
        <v>4</v>
      </c>
      <c r="D2548">
        <v>2.3319999999999999</v>
      </c>
      <c r="E2548" t="s">
        <v>6</v>
      </c>
      <c r="F2548">
        <v>8.3150000000000002E-2</v>
      </c>
    </row>
    <row r="2549" spans="1:6" x14ac:dyDescent="0.3">
      <c r="A2549" t="s">
        <v>22</v>
      </c>
      <c r="B2549" s="1">
        <v>45764</v>
      </c>
      <c r="C2549">
        <v>5</v>
      </c>
      <c r="D2549">
        <v>2.6269999999999998</v>
      </c>
      <c r="E2549" t="s">
        <v>6</v>
      </c>
      <c r="F2549">
        <v>8.3379999999999996E-2</v>
      </c>
    </row>
    <row r="2550" spans="1:6" x14ac:dyDescent="0.3">
      <c r="A2550" t="s">
        <v>22</v>
      </c>
      <c r="B2550" s="1">
        <v>45764</v>
      </c>
      <c r="C2550">
        <v>6</v>
      </c>
      <c r="D2550">
        <v>2.5049999999999999</v>
      </c>
      <c r="E2550" t="s">
        <v>6</v>
      </c>
      <c r="F2550">
        <v>8.301E-2</v>
      </c>
    </row>
    <row r="2551" spans="1:6" x14ac:dyDescent="0.3">
      <c r="A2551" t="s">
        <v>22</v>
      </c>
      <c r="B2551" s="1">
        <v>45764</v>
      </c>
      <c r="C2551">
        <v>7</v>
      </c>
      <c r="D2551">
        <v>2.448</v>
      </c>
      <c r="E2551" t="s">
        <v>6</v>
      </c>
      <c r="F2551">
        <v>8.070999999999999E-2</v>
      </c>
    </row>
    <row r="2552" spans="1:6" x14ac:dyDescent="0.3">
      <c r="A2552" t="s">
        <v>22</v>
      </c>
      <c r="B2552" s="1">
        <v>45764</v>
      </c>
      <c r="C2552">
        <v>8</v>
      </c>
      <c r="D2552">
        <v>2.4060000000000001</v>
      </c>
      <c r="E2552" t="s">
        <v>6</v>
      </c>
      <c r="F2552">
        <v>8.5500000000000007E-2</v>
      </c>
    </row>
    <row r="2553" spans="1:6" x14ac:dyDescent="0.3">
      <c r="A2553" t="s">
        <v>22</v>
      </c>
      <c r="B2553" s="1">
        <v>45764</v>
      </c>
      <c r="C2553">
        <v>9</v>
      </c>
      <c r="D2553">
        <v>2.4369999999999998</v>
      </c>
      <c r="E2553" t="s">
        <v>6</v>
      </c>
      <c r="F2553">
        <v>9.9569999999999992E-2</v>
      </c>
    </row>
    <row r="2554" spans="1:6" x14ac:dyDescent="0.3">
      <c r="A2554" t="s">
        <v>22</v>
      </c>
      <c r="B2554" s="1">
        <v>45764</v>
      </c>
      <c r="C2554">
        <v>10</v>
      </c>
      <c r="D2554">
        <v>2.5529999999999999</v>
      </c>
      <c r="E2554" t="s">
        <v>6</v>
      </c>
      <c r="F2554">
        <v>8.2729999999999998E-2</v>
      </c>
    </row>
    <row r="2555" spans="1:6" x14ac:dyDescent="0.3">
      <c r="A2555" t="s">
        <v>22</v>
      </c>
      <c r="B2555" s="1">
        <v>45764</v>
      </c>
      <c r="C2555">
        <v>11</v>
      </c>
      <c r="D2555">
        <v>0.52200000000000002</v>
      </c>
      <c r="E2555" t="s">
        <v>6</v>
      </c>
      <c r="F2555">
        <v>0.14091000000000001</v>
      </c>
    </row>
    <row r="2556" spans="1:6" x14ac:dyDescent="0.3">
      <c r="A2556" t="s">
        <v>22</v>
      </c>
      <c r="B2556" s="1">
        <v>45764</v>
      </c>
      <c r="C2556">
        <v>12</v>
      </c>
      <c r="D2556">
        <v>0</v>
      </c>
      <c r="E2556" t="s">
        <v>6</v>
      </c>
      <c r="F2556">
        <v>0.13866000000000001</v>
      </c>
    </row>
    <row r="2557" spans="1:6" x14ac:dyDescent="0.3">
      <c r="A2557" t="s">
        <v>22</v>
      </c>
      <c r="B2557" s="1">
        <v>45764</v>
      </c>
      <c r="C2557">
        <v>13</v>
      </c>
      <c r="D2557">
        <v>0</v>
      </c>
      <c r="E2557" t="s">
        <v>6</v>
      </c>
      <c r="F2557">
        <v>0.13721</v>
      </c>
    </row>
    <row r="2558" spans="1:6" x14ac:dyDescent="0.3">
      <c r="A2558" t="s">
        <v>22</v>
      </c>
      <c r="B2558" s="1">
        <v>45764</v>
      </c>
      <c r="C2558">
        <v>14</v>
      </c>
      <c r="D2558">
        <v>0</v>
      </c>
      <c r="E2558" t="s">
        <v>6</v>
      </c>
      <c r="F2558">
        <v>0.13685</v>
      </c>
    </row>
    <row r="2559" spans="1:6" x14ac:dyDescent="0.3">
      <c r="A2559" t="s">
        <v>22</v>
      </c>
      <c r="B2559" s="1">
        <v>45764</v>
      </c>
      <c r="C2559">
        <v>15</v>
      </c>
      <c r="D2559">
        <v>0</v>
      </c>
      <c r="E2559" t="s">
        <v>6</v>
      </c>
      <c r="F2559">
        <v>7.2139999999999996E-2</v>
      </c>
    </row>
    <row r="2560" spans="1:6" x14ac:dyDescent="0.3">
      <c r="A2560" t="s">
        <v>22</v>
      </c>
      <c r="B2560" s="1">
        <v>45764</v>
      </c>
      <c r="C2560">
        <v>16</v>
      </c>
      <c r="D2560">
        <v>0</v>
      </c>
      <c r="E2560" t="s">
        <v>6</v>
      </c>
      <c r="F2560">
        <v>7.3400000000000007E-2</v>
      </c>
    </row>
    <row r="2561" spans="1:6" x14ac:dyDescent="0.3">
      <c r="A2561" t="s">
        <v>22</v>
      </c>
      <c r="B2561" s="1">
        <v>45764</v>
      </c>
      <c r="C2561">
        <v>17</v>
      </c>
      <c r="D2561">
        <v>0</v>
      </c>
      <c r="E2561" t="s">
        <v>6</v>
      </c>
      <c r="F2561">
        <v>7.4319999999999997E-2</v>
      </c>
    </row>
    <row r="2562" spans="1:6" x14ac:dyDescent="0.3">
      <c r="A2562" t="s">
        <v>22</v>
      </c>
      <c r="B2562" s="1">
        <v>45764</v>
      </c>
      <c r="C2562">
        <v>18</v>
      </c>
      <c r="D2562">
        <v>0</v>
      </c>
      <c r="E2562" t="s">
        <v>6</v>
      </c>
      <c r="F2562">
        <v>7.5340000000000004E-2</v>
      </c>
    </row>
    <row r="2563" spans="1:6" x14ac:dyDescent="0.3">
      <c r="A2563" t="s">
        <v>22</v>
      </c>
      <c r="B2563" s="1">
        <v>45764</v>
      </c>
      <c r="C2563">
        <v>19</v>
      </c>
      <c r="D2563">
        <v>0</v>
      </c>
      <c r="E2563" t="s">
        <v>6</v>
      </c>
      <c r="F2563">
        <v>0.14337</v>
      </c>
    </row>
    <row r="2564" spans="1:6" x14ac:dyDescent="0.3">
      <c r="A2564" t="s">
        <v>22</v>
      </c>
      <c r="B2564" s="1">
        <v>45764</v>
      </c>
      <c r="C2564">
        <v>20</v>
      </c>
      <c r="D2564">
        <v>1.1220000000000001</v>
      </c>
      <c r="E2564" t="s">
        <v>6</v>
      </c>
      <c r="F2564">
        <v>0.15884000000000001</v>
      </c>
    </row>
    <row r="2565" spans="1:6" x14ac:dyDescent="0.3">
      <c r="A2565" t="s">
        <v>22</v>
      </c>
      <c r="B2565" s="1">
        <v>45764</v>
      </c>
      <c r="C2565">
        <v>21</v>
      </c>
      <c r="D2565">
        <v>1.33</v>
      </c>
      <c r="E2565" t="s">
        <v>6</v>
      </c>
      <c r="F2565">
        <v>0.21543999999999999</v>
      </c>
    </row>
    <row r="2566" spans="1:6" x14ac:dyDescent="0.3">
      <c r="A2566" t="s">
        <v>22</v>
      </c>
      <c r="B2566" s="1">
        <v>45764</v>
      </c>
      <c r="C2566">
        <v>22</v>
      </c>
      <c r="D2566">
        <v>1.3129999999999999</v>
      </c>
      <c r="E2566" t="s">
        <v>6</v>
      </c>
      <c r="F2566">
        <v>0.25607000000000002</v>
      </c>
    </row>
    <row r="2567" spans="1:6" x14ac:dyDescent="0.3">
      <c r="A2567" t="s">
        <v>22</v>
      </c>
      <c r="B2567" s="1">
        <v>45764</v>
      </c>
      <c r="C2567">
        <v>23</v>
      </c>
      <c r="D2567">
        <v>1.641</v>
      </c>
      <c r="E2567" t="s">
        <v>6</v>
      </c>
      <c r="F2567">
        <v>0.17238999999999999</v>
      </c>
    </row>
    <row r="2568" spans="1:6" x14ac:dyDescent="0.3">
      <c r="A2568" t="s">
        <v>22</v>
      </c>
      <c r="B2568" s="1">
        <v>45764</v>
      </c>
      <c r="C2568">
        <v>24</v>
      </c>
      <c r="D2568">
        <v>1.9159999999999999</v>
      </c>
      <c r="E2568" t="s">
        <v>6</v>
      </c>
      <c r="F2568">
        <v>0.14596000000000001</v>
      </c>
    </row>
    <row r="2569" spans="1:6" x14ac:dyDescent="0.3">
      <c r="A2569" t="s">
        <v>22</v>
      </c>
      <c r="B2569" s="1">
        <v>45765</v>
      </c>
      <c r="C2569">
        <v>1</v>
      </c>
      <c r="D2569">
        <v>1.2929999999999999</v>
      </c>
      <c r="E2569" t="s">
        <v>6</v>
      </c>
      <c r="F2569">
        <v>0.11137999999999999</v>
      </c>
    </row>
    <row r="2570" spans="1:6" x14ac:dyDescent="0.3">
      <c r="A2570" t="s">
        <v>22</v>
      </c>
      <c r="B2570" s="1">
        <v>45765</v>
      </c>
      <c r="C2570">
        <v>2</v>
      </c>
      <c r="D2570">
        <v>1.97</v>
      </c>
      <c r="E2570" t="s">
        <v>6</v>
      </c>
      <c r="F2570">
        <v>0.10274</v>
      </c>
    </row>
    <row r="2571" spans="1:6" x14ac:dyDescent="0.3">
      <c r="A2571" t="s">
        <v>22</v>
      </c>
      <c r="B2571" s="1">
        <v>45765</v>
      </c>
      <c r="C2571">
        <v>3</v>
      </c>
      <c r="D2571">
        <v>1.5640000000000001</v>
      </c>
      <c r="E2571" t="s">
        <v>6</v>
      </c>
      <c r="F2571">
        <v>0.10485999999999999</v>
      </c>
    </row>
    <row r="2572" spans="1:6" x14ac:dyDescent="0.3">
      <c r="A2572" t="s">
        <v>22</v>
      </c>
      <c r="B2572" s="1">
        <v>45765</v>
      </c>
      <c r="C2572">
        <v>4</v>
      </c>
      <c r="D2572">
        <v>1.786</v>
      </c>
      <c r="E2572" t="s">
        <v>6</v>
      </c>
      <c r="F2572">
        <v>0.10640000000000001</v>
      </c>
    </row>
    <row r="2573" spans="1:6" x14ac:dyDescent="0.3">
      <c r="A2573" t="s">
        <v>22</v>
      </c>
      <c r="B2573" s="1">
        <v>45765</v>
      </c>
      <c r="C2573">
        <v>5</v>
      </c>
      <c r="D2573">
        <v>1.6</v>
      </c>
      <c r="E2573" t="s">
        <v>6</v>
      </c>
      <c r="F2573">
        <v>0.10711</v>
      </c>
    </row>
    <row r="2574" spans="1:6" x14ac:dyDescent="0.3">
      <c r="A2574" t="s">
        <v>22</v>
      </c>
      <c r="B2574" s="1">
        <v>45765</v>
      </c>
      <c r="C2574">
        <v>6</v>
      </c>
      <c r="D2574">
        <v>1.643</v>
      </c>
      <c r="E2574" t="s">
        <v>6</v>
      </c>
      <c r="F2574">
        <v>0.10642</v>
      </c>
    </row>
    <row r="2575" spans="1:6" x14ac:dyDescent="0.3">
      <c r="A2575" t="s">
        <v>22</v>
      </c>
      <c r="B2575" s="1">
        <v>45765</v>
      </c>
      <c r="C2575">
        <v>7</v>
      </c>
      <c r="D2575">
        <v>1.6359999999999999</v>
      </c>
      <c r="E2575" t="s">
        <v>6</v>
      </c>
      <c r="F2575">
        <v>9.845000000000001E-2</v>
      </c>
    </row>
    <row r="2576" spans="1:6" x14ac:dyDescent="0.3">
      <c r="A2576" t="s">
        <v>22</v>
      </c>
      <c r="B2576" s="1">
        <v>45765</v>
      </c>
      <c r="C2576">
        <v>8</v>
      </c>
      <c r="D2576">
        <v>1.506</v>
      </c>
      <c r="E2576" t="s">
        <v>6</v>
      </c>
      <c r="F2576">
        <v>9.9659999999999999E-2</v>
      </c>
    </row>
    <row r="2577" spans="1:6" x14ac:dyDescent="0.3">
      <c r="A2577" t="s">
        <v>22</v>
      </c>
      <c r="B2577" s="1">
        <v>45765</v>
      </c>
      <c r="C2577">
        <v>9</v>
      </c>
      <c r="D2577">
        <v>0.59399999999999997</v>
      </c>
      <c r="E2577" t="s">
        <v>6</v>
      </c>
      <c r="F2577">
        <v>0.12082999999999999</v>
      </c>
    </row>
    <row r="2578" spans="1:6" x14ac:dyDescent="0.3">
      <c r="A2578" t="s">
        <v>22</v>
      </c>
      <c r="B2578" s="1">
        <v>45765</v>
      </c>
      <c r="C2578">
        <v>10</v>
      </c>
      <c r="D2578">
        <v>1.294</v>
      </c>
      <c r="E2578" t="s">
        <v>6</v>
      </c>
      <c r="F2578">
        <v>0.10421999999999999</v>
      </c>
    </row>
    <row r="2579" spans="1:6" x14ac:dyDescent="0.3">
      <c r="A2579" t="s">
        <v>22</v>
      </c>
      <c r="B2579" s="1">
        <v>45765</v>
      </c>
      <c r="C2579">
        <v>11</v>
      </c>
      <c r="D2579">
        <v>1.5780000000000001</v>
      </c>
      <c r="E2579" t="s">
        <v>6</v>
      </c>
      <c r="F2579">
        <v>0.15190999999999999</v>
      </c>
    </row>
    <row r="2580" spans="1:6" x14ac:dyDescent="0.3">
      <c r="A2580" t="s">
        <v>22</v>
      </c>
      <c r="B2580" s="1">
        <v>45765</v>
      </c>
      <c r="C2580">
        <v>12</v>
      </c>
      <c r="D2580">
        <v>0.50800000000000001</v>
      </c>
      <c r="E2580" t="s">
        <v>6</v>
      </c>
      <c r="F2580">
        <v>0.14945</v>
      </c>
    </row>
    <row r="2581" spans="1:6" x14ac:dyDescent="0.3">
      <c r="A2581" t="s">
        <v>22</v>
      </c>
      <c r="B2581" s="1">
        <v>45765</v>
      </c>
      <c r="C2581">
        <v>13</v>
      </c>
      <c r="D2581">
        <v>0</v>
      </c>
      <c r="E2581" t="s">
        <v>6</v>
      </c>
      <c r="F2581">
        <v>0.14908000000000002</v>
      </c>
    </row>
    <row r="2582" spans="1:6" x14ac:dyDescent="0.3">
      <c r="A2582" t="s">
        <v>22</v>
      </c>
      <c r="B2582" s="1">
        <v>45765</v>
      </c>
      <c r="C2582">
        <v>14</v>
      </c>
      <c r="D2582">
        <v>0</v>
      </c>
      <c r="E2582" t="s">
        <v>6</v>
      </c>
      <c r="F2582">
        <v>0.14774000000000001</v>
      </c>
    </row>
    <row r="2583" spans="1:6" x14ac:dyDescent="0.3">
      <c r="A2583" t="s">
        <v>22</v>
      </c>
      <c r="B2583" s="1">
        <v>45765</v>
      </c>
      <c r="C2583">
        <v>15</v>
      </c>
      <c r="D2583">
        <v>0</v>
      </c>
      <c r="E2583" t="s">
        <v>6</v>
      </c>
      <c r="F2583">
        <v>8.2729999999999998E-2</v>
      </c>
    </row>
    <row r="2584" spans="1:6" x14ac:dyDescent="0.3">
      <c r="A2584" t="s">
        <v>22</v>
      </c>
      <c r="B2584" s="1">
        <v>45765</v>
      </c>
      <c r="C2584">
        <v>16</v>
      </c>
      <c r="D2584">
        <v>0</v>
      </c>
      <c r="E2584" t="s">
        <v>6</v>
      </c>
      <c r="F2584">
        <v>8.3819999999999992E-2</v>
      </c>
    </row>
    <row r="2585" spans="1:6" x14ac:dyDescent="0.3">
      <c r="A2585" t="s">
        <v>22</v>
      </c>
      <c r="B2585" s="1">
        <v>45765</v>
      </c>
      <c r="C2585">
        <v>17</v>
      </c>
      <c r="D2585">
        <v>0</v>
      </c>
      <c r="E2585" t="s">
        <v>6</v>
      </c>
      <c r="F2585">
        <v>8.5319999999999993E-2</v>
      </c>
    </row>
    <row r="2586" spans="1:6" x14ac:dyDescent="0.3">
      <c r="A2586" t="s">
        <v>22</v>
      </c>
      <c r="B2586" s="1">
        <v>45765</v>
      </c>
      <c r="C2586">
        <v>18</v>
      </c>
      <c r="D2586">
        <v>0</v>
      </c>
      <c r="E2586" t="s">
        <v>6</v>
      </c>
      <c r="F2586">
        <v>8.616E-2</v>
      </c>
    </row>
    <row r="2587" spans="1:6" x14ac:dyDescent="0.3">
      <c r="A2587" t="s">
        <v>22</v>
      </c>
      <c r="B2587" s="1">
        <v>45765</v>
      </c>
      <c r="C2587">
        <v>19</v>
      </c>
      <c r="D2587">
        <v>0</v>
      </c>
      <c r="E2587" t="s">
        <v>6</v>
      </c>
      <c r="F2587">
        <v>0.15156</v>
      </c>
    </row>
    <row r="2588" spans="1:6" x14ac:dyDescent="0.3">
      <c r="A2588" t="s">
        <v>22</v>
      </c>
      <c r="B2588" s="1">
        <v>45765</v>
      </c>
      <c r="C2588">
        <v>20</v>
      </c>
      <c r="D2588">
        <v>0.16900000000000001</v>
      </c>
      <c r="E2588" t="s">
        <v>6</v>
      </c>
      <c r="F2588">
        <v>0.155</v>
      </c>
    </row>
    <row r="2589" spans="1:6" x14ac:dyDescent="0.3">
      <c r="A2589" t="s">
        <v>22</v>
      </c>
      <c r="B2589" s="1">
        <v>45765</v>
      </c>
      <c r="C2589">
        <v>21</v>
      </c>
      <c r="D2589">
        <v>0.84099999999999997</v>
      </c>
      <c r="E2589" t="s">
        <v>6</v>
      </c>
      <c r="F2589">
        <v>0.16249</v>
      </c>
    </row>
    <row r="2590" spans="1:6" x14ac:dyDescent="0.3">
      <c r="A2590" t="s">
        <v>22</v>
      </c>
      <c r="B2590" s="1">
        <v>45765</v>
      </c>
      <c r="C2590">
        <v>22</v>
      </c>
      <c r="D2590">
        <v>0.71299999999999997</v>
      </c>
      <c r="E2590" t="s">
        <v>6</v>
      </c>
      <c r="F2590">
        <v>0.17896000000000001</v>
      </c>
    </row>
    <row r="2591" spans="1:6" x14ac:dyDescent="0.3">
      <c r="A2591" t="s">
        <v>22</v>
      </c>
      <c r="B2591" s="1">
        <v>45765</v>
      </c>
      <c r="C2591">
        <v>23</v>
      </c>
      <c r="D2591">
        <v>0.51800000000000002</v>
      </c>
      <c r="E2591" t="s">
        <v>6</v>
      </c>
      <c r="F2591">
        <v>0.10917</v>
      </c>
    </row>
    <row r="2592" spans="1:6" x14ac:dyDescent="0.3">
      <c r="A2592" t="s">
        <v>22</v>
      </c>
      <c r="B2592" s="1">
        <v>45765</v>
      </c>
      <c r="C2592">
        <v>24</v>
      </c>
      <c r="D2592">
        <v>0.248</v>
      </c>
      <c r="E2592" t="s">
        <v>6</v>
      </c>
      <c r="F2592">
        <v>0.10105</v>
      </c>
    </row>
    <row r="2593" spans="1:6" x14ac:dyDescent="0.3">
      <c r="A2593" t="s">
        <v>22</v>
      </c>
      <c r="B2593" s="1">
        <v>45766</v>
      </c>
      <c r="C2593">
        <v>1</v>
      </c>
      <c r="D2593">
        <v>0.19</v>
      </c>
      <c r="E2593" t="s">
        <v>6</v>
      </c>
      <c r="F2593">
        <v>9.103E-2</v>
      </c>
    </row>
    <row r="2594" spans="1:6" x14ac:dyDescent="0.3">
      <c r="A2594" t="s">
        <v>22</v>
      </c>
      <c r="B2594" s="1">
        <v>45766</v>
      </c>
      <c r="C2594">
        <v>2</v>
      </c>
      <c r="D2594">
        <v>1.796</v>
      </c>
      <c r="E2594" t="s">
        <v>6</v>
      </c>
      <c r="F2594">
        <v>9.154000000000001E-2</v>
      </c>
    </row>
    <row r="2595" spans="1:6" x14ac:dyDescent="0.3">
      <c r="A2595" t="s">
        <v>22</v>
      </c>
      <c r="B2595" s="1">
        <v>45766</v>
      </c>
      <c r="C2595">
        <v>3</v>
      </c>
      <c r="D2595">
        <v>1.522</v>
      </c>
      <c r="E2595" t="s">
        <v>6</v>
      </c>
      <c r="F2595">
        <v>9.351000000000001E-2</v>
      </c>
    </row>
    <row r="2596" spans="1:6" x14ac:dyDescent="0.3">
      <c r="A2596" t="s">
        <v>22</v>
      </c>
      <c r="B2596" s="1">
        <v>45766</v>
      </c>
      <c r="C2596">
        <v>4</v>
      </c>
      <c r="D2596">
        <v>2.3570000000000002</v>
      </c>
      <c r="E2596" t="s">
        <v>6</v>
      </c>
      <c r="F2596">
        <v>9.4500000000000001E-2</v>
      </c>
    </row>
    <row r="2597" spans="1:6" x14ac:dyDescent="0.3">
      <c r="A2597" t="s">
        <v>22</v>
      </c>
      <c r="B2597" s="1">
        <v>45766</v>
      </c>
      <c r="C2597">
        <v>5</v>
      </c>
      <c r="D2597">
        <v>1.982</v>
      </c>
      <c r="E2597" t="s">
        <v>6</v>
      </c>
      <c r="F2597">
        <v>9.5180000000000001E-2</v>
      </c>
    </row>
    <row r="2598" spans="1:6" x14ac:dyDescent="0.3">
      <c r="A2598" t="s">
        <v>22</v>
      </c>
      <c r="B2598" s="1">
        <v>45766</v>
      </c>
      <c r="C2598">
        <v>6</v>
      </c>
      <c r="D2598">
        <v>1.821</v>
      </c>
      <c r="E2598" t="s">
        <v>6</v>
      </c>
      <c r="F2598">
        <v>9.4790000000000013E-2</v>
      </c>
    </row>
    <row r="2599" spans="1:6" x14ac:dyDescent="0.3">
      <c r="A2599" t="s">
        <v>22</v>
      </c>
      <c r="B2599" s="1">
        <v>45766</v>
      </c>
      <c r="C2599">
        <v>7</v>
      </c>
      <c r="D2599">
        <v>1.4339999999999999</v>
      </c>
      <c r="E2599" t="s">
        <v>6</v>
      </c>
      <c r="F2599">
        <v>9.1969999999999996E-2</v>
      </c>
    </row>
    <row r="2600" spans="1:6" x14ac:dyDescent="0.3">
      <c r="A2600" t="s">
        <v>22</v>
      </c>
      <c r="B2600" s="1">
        <v>45766</v>
      </c>
      <c r="C2600">
        <v>8</v>
      </c>
      <c r="D2600">
        <v>1.595</v>
      </c>
      <c r="E2600" t="s">
        <v>6</v>
      </c>
      <c r="F2600">
        <v>8.9169999999999999E-2</v>
      </c>
    </row>
    <row r="2601" spans="1:6" x14ac:dyDescent="0.3">
      <c r="A2601" t="s">
        <v>22</v>
      </c>
      <c r="B2601" s="1">
        <v>45766</v>
      </c>
      <c r="C2601">
        <v>9</v>
      </c>
      <c r="D2601">
        <v>1.5429999999999999</v>
      </c>
      <c r="E2601" t="s">
        <v>6</v>
      </c>
      <c r="F2601">
        <v>8.5110000000000005E-2</v>
      </c>
    </row>
    <row r="2602" spans="1:6" x14ac:dyDescent="0.3">
      <c r="A2602" t="s">
        <v>22</v>
      </c>
      <c r="B2602" s="1">
        <v>45766</v>
      </c>
      <c r="C2602">
        <v>10</v>
      </c>
      <c r="D2602">
        <v>0.93200000000000005</v>
      </c>
      <c r="E2602" t="s">
        <v>6</v>
      </c>
      <c r="F2602">
        <v>7.715000000000001E-2</v>
      </c>
    </row>
    <row r="2603" spans="1:6" x14ac:dyDescent="0.3">
      <c r="A2603" t="s">
        <v>22</v>
      </c>
      <c r="B2603" s="1">
        <v>45766</v>
      </c>
      <c r="C2603">
        <v>11</v>
      </c>
      <c r="D2603">
        <v>0.67400000000000004</v>
      </c>
      <c r="E2603" t="s">
        <v>6</v>
      </c>
      <c r="F2603">
        <v>6.368E-2</v>
      </c>
    </row>
    <row r="2604" spans="1:6" x14ac:dyDescent="0.3">
      <c r="A2604" t="s">
        <v>22</v>
      </c>
      <c r="B2604" s="1">
        <v>45766</v>
      </c>
      <c r="C2604">
        <v>12</v>
      </c>
      <c r="D2604">
        <v>0.96</v>
      </c>
      <c r="E2604" t="s">
        <v>6</v>
      </c>
      <c r="F2604">
        <v>6.1939999999999995E-2</v>
      </c>
    </row>
    <row r="2605" spans="1:6" x14ac:dyDescent="0.3">
      <c r="A2605" t="s">
        <v>22</v>
      </c>
      <c r="B2605" s="1">
        <v>45766</v>
      </c>
      <c r="C2605">
        <v>13</v>
      </c>
      <c r="D2605">
        <v>0.371</v>
      </c>
      <c r="E2605" t="s">
        <v>6</v>
      </c>
      <c r="F2605">
        <v>6.1539999999999997E-2</v>
      </c>
    </row>
    <row r="2606" spans="1:6" x14ac:dyDescent="0.3">
      <c r="A2606" t="s">
        <v>22</v>
      </c>
      <c r="B2606" s="1">
        <v>45766</v>
      </c>
      <c r="C2606">
        <v>14</v>
      </c>
      <c r="D2606">
        <v>0</v>
      </c>
      <c r="E2606" t="s">
        <v>6</v>
      </c>
      <c r="F2606">
        <v>6.0840000000000005E-2</v>
      </c>
    </row>
    <row r="2607" spans="1:6" x14ac:dyDescent="0.3">
      <c r="A2607" t="s">
        <v>22</v>
      </c>
      <c r="B2607" s="1">
        <v>45766</v>
      </c>
      <c r="C2607">
        <v>15</v>
      </c>
      <c r="D2607">
        <v>0</v>
      </c>
      <c r="E2607" t="s">
        <v>6</v>
      </c>
      <c r="F2607">
        <v>6.0359999999999997E-2</v>
      </c>
    </row>
    <row r="2608" spans="1:6" x14ac:dyDescent="0.3">
      <c r="A2608" t="s">
        <v>22</v>
      </c>
      <c r="B2608" s="1">
        <v>45766</v>
      </c>
      <c r="C2608">
        <v>16</v>
      </c>
      <c r="D2608">
        <v>0</v>
      </c>
      <c r="E2608" t="s">
        <v>6</v>
      </c>
      <c r="F2608">
        <v>6.1710000000000001E-2</v>
      </c>
    </row>
    <row r="2609" spans="1:6" x14ac:dyDescent="0.3">
      <c r="A2609" t="s">
        <v>22</v>
      </c>
      <c r="B2609" s="1">
        <v>45766</v>
      </c>
      <c r="C2609">
        <v>17</v>
      </c>
      <c r="D2609">
        <v>0</v>
      </c>
      <c r="E2609" t="s">
        <v>6</v>
      </c>
      <c r="F2609">
        <v>6.3079999999999997E-2</v>
      </c>
    </row>
    <row r="2610" spans="1:6" x14ac:dyDescent="0.3">
      <c r="A2610" t="s">
        <v>22</v>
      </c>
      <c r="B2610" s="1">
        <v>45766</v>
      </c>
      <c r="C2610">
        <v>18</v>
      </c>
      <c r="D2610">
        <v>0</v>
      </c>
      <c r="E2610" t="s">
        <v>6</v>
      </c>
      <c r="F2610">
        <v>6.445999999999999E-2</v>
      </c>
    </row>
    <row r="2611" spans="1:6" x14ac:dyDescent="0.3">
      <c r="A2611" t="s">
        <v>22</v>
      </c>
      <c r="B2611" s="1">
        <v>45766</v>
      </c>
      <c r="C2611">
        <v>19</v>
      </c>
      <c r="D2611">
        <v>0</v>
      </c>
      <c r="E2611" t="s">
        <v>6</v>
      </c>
      <c r="F2611">
        <v>5.4090000000000006E-2</v>
      </c>
    </row>
    <row r="2612" spans="1:6" x14ac:dyDescent="0.3">
      <c r="A2612" t="s">
        <v>22</v>
      </c>
      <c r="B2612" s="1">
        <v>45766</v>
      </c>
      <c r="C2612">
        <v>20</v>
      </c>
      <c r="D2612">
        <v>0</v>
      </c>
      <c r="E2612" t="s">
        <v>6</v>
      </c>
      <c r="F2612">
        <v>5.5890000000000002E-2</v>
      </c>
    </row>
    <row r="2613" spans="1:6" x14ac:dyDescent="0.3">
      <c r="A2613" t="s">
        <v>22</v>
      </c>
      <c r="B2613" s="1">
        <v>45766</v>
      </c>
      <c r="C2613">
        <v>21</v>
      </c>
      <c r="D2613">
        <v>1.7410000000000001</v>
      </c>
      <c r="E2613" t="s">
        <v>6</v>
      </c>
      <c r="F2613">
        <v>4.9750000000000003E-2</v>
      </c>
    </row>
    <row r="2614" spans="1:6" x14ac:dyDescent="0.3">
      <c r="A2614" t="s">
        <v>22</v>
      </c>
      <c r="B2614" s="1">
        <v>45766</v>
      </c>
      <c r="C2614">
        <v>22</v>
      </c>
      <c r="D2614">
        <v>1.639</v>
      </c>
      <c r="E2614" t="s">
        <v>6</v>
      </c>
      <c r="F2614">
        <v>5.7890000000000004E-2</v>
      </c>
    </row>
    <row r="2615" spans="1:6" x14ac:dyDescent="0.3">
      <c r="A2615" t="s">
        <v>22</v>
      </c>
      <c r="B2615" s="1">
        <v>45766</v>
      </c>
      <c r="C2615">
        <v>23</v>
      </c>
      <c r="D2615">
        <v>1.722</v>
      </c>
      <c r="E2615" t="s">
        <v>6</v>
      </c>
      <c r="F2615">
        <v>5.6420000000000005E-2</v>
      </c>
    </row>
    <row r="2616" spans="1:6" x14ac:dyDescent="0.3">
      <c r="A2616" t="s">
        <v>22</v>
      </c>
      <c r="B2616" s="1">
        <v>45766</v>
      </c>
      <c r="C2616">
        <v>24</v>
      </c>
      <c r="D2616">
        <v>2.286</v>
      </c>
      <c r="E2616" t="s">
        <v>6</v>
      </c>
      <c r="F2616">
        <v>6.6280000000000006E-2</v>
      </c>
    </row>
    <row r="2617" spans="1:6" x14ac:dyDescent="0.3">
      <c r="A2617" t="s">
        <v>22</v>
      </c>
      <c r="B2617" s="1">
        <v>45767</v>
      </c>
      <c r="C2617">
        <v>1</v>
      </c>
      <c r="D2617">
        <v>2.6360000000000001</v>
      </c>
      <c r="E2617" t="s">
        <v>6</v>
      </c>
      <c r="F2617">
        <v>8.134000000000001E-2</v>
      </c>
    </row>
    <row r="2618" spans="1:6" x14ac:dyDescent="0.3">
      <c r="A2618" t="s">
        <v>22</v>
      </c>
      <c r="B2618" s="1">
        <v>45767</v>
      </c>
      <c r="C2618">
        <v>2</v>
      </c>
      <c r="D2618">
        <v>2.6389999999999998</v>
      </c>
      <c r="E2618" t="s">
        <v>6</v>
      </c>
      <c r="F2618">
        <v>8.5330000000000003E-2</v>
      </c>
    </row>
    <row r="2619" spans="1:6" x14ac:dyDescent="0.3">
      <c r="A2619" t="s">
        <v>22</v>
      </c>
      <c r="B2619" s="1">
        <v>45767</v>
      </c>
      <c r="C2619">
        <v>3</v>
      </c>
      <c r="D2619">
        <v>2.1749999999999998</v>
      </c>
      <c r="E2619" t="s">
        <v>6</v>
      </c>
      <c r="F2619">
        <v>8.8410000000000002E-2</v>
      </c>
    </row>
    <row r="2620" spans="1:6" x14ac:dyDescent="0.3">
      <c r="A2620" t="s">
        <v>22</v>
      </c>
      <c r="B2620" s="1">
        <v>45767</v>
      </c>
      <c r="C2620">
        <v>4</v>
      </c>
      <c r="D2620">
        <v>2.5510000000000002</v>
      </c>
      <c r="E2620" t="s">
        <v>6</v>
      </c>
      <c r="F2620">
        <v>9.1120000000000007E-2</v>
      </c>
    </row>
    <row r="2621" spans="1:6" x14ac:dyDescent="0.3">
      <c r="A2621" t="s">
        <v>22</v>
      </c>
      <c r="B2621" s="1">
        <v>45767</v>
      </c>
      <c r="C2621">
        <v>5</v>
      </c>
      <c r="D2621">
        <v>2.3220000000000001</v>
      </c>
      <c r="E2621" t="s">
        <v>6</v>
      </c>
      <c r="F2621">
        <v>9.2939999999999995E-2</v>
      </c>
    </row>
    <row r="2622" spans="1:6" x14ac:dyDescent="0.3">
      <c r="A2622" t="s">
        <v>22</v>
      </c>
      <c r="B2622" s="1">
        <v>45767</v>
      </c>
      <c r="C2622">
        <v>6</v>
      </c>
      <c r="D2622">
        <v>2.3180000000000001</v>
      </c>
      <c r="E2622" t="s">
        <v>6</v>
      </c>
      <c r="F2622">
        <v>9.3290000000000012E-2</v>
      </c>
    </row>
    <row r="2623" spans="1:6" x14ac:dyDescent="0.3">
      <c r="A2623" t="s">
        <v>22</v>
      </c>
      <c r="B2623" s="1">
        <v>45767</v>
      </c>
      <c r="C2623">
        <v>7</v>
      </c>
      <c r="D2623">
        <v>2.6259999999999999</v>
      </c>
      <c r="E2623" t="s">
        <v>6</v>
      </c>
      <c r="F2623">
        <v>9.1930000000000012E-2</v>
      </c>
    </row>
    <row r="2624" spans="1:6" x14ac:dyDescent="0.3">
      <c r="A2624" t="s">
        <v>22</v>
      </c>
      <c r="B2624" s="1">
        <v>45767</v>
      </c>
      <c r="C2624">
        <v>8</v>
      </c>
      <c r="D2624">
        <v>2.089</v>
      </c>
      <c r="E2624" t="s">
        <v>6</v>
      </c>
      <c r="F2624">
        <v>9.4840000000000008E-2</v>
      </c>
    </row>
    <row r="2625" spans="1:6" x14ac:dyDescent="0.3">
      <c r="A2625" t="s">
        <v>22</v>
      </c>
      <c r="B2625" s="1">
        <v>45767</v>
      </c>
      <c r="C2625">
        <v>9</v>
      </c>
      <c r="D2625">
        <v>0.57699999999999996</v>
      </c>
      <c r="E2625" t="s">
        <v>6</v>
      </c>
      <c r="F2625">
        <v>9.1209999999999999E-2</v>
      </c>
    </row>
    <row r="2626" spans="1:6" x14ac:dyDescent="0.3">
      <c r="A2626" t="s">
        <v>22</v>
      </c>
      <c r="B2626" s="1">
        <v>45767</v>
      </c>
      <c r="C2626">
        <v>10</v>
      </c>
      <c r="D2626">
        <v>2.641</v>
      </c>
      <c r="E2626" t="s">
        <v>6</v>
      </c>
      <c r="F2626">
        <v>7.4650000000000008E-2</v>
      </c>
    </row>
    <row r="2627" spans="1:6" x14ac:dyDescent="0.3">
      <c r="A2627" t="s">
        <v>22</v>
      </c>
      <c r="B2627" s="1">
        <v>45767</v>
      </c>
      <c r="C2627">
        <v>11</v>
      </c>
      <c r="D2627">
        <v>2.6869999999999998</v>
      </c>
      <c r="E2627" t="s">
        <v>6</v>
      </c>
      <c r="F2627">
        <v>6.1009999999999995E-2</v>
      </c>
    </row>
    <row r="2628" spans="1:6" x14ac:dyDescent="0.3">
      <c r="A2628" t="s">
        <v>22</v>
      </c>
      <c r="B2628" s="1">
        <v>45767</v>
      </c>
      <c r="C2628">
        <v>12</v>
      </c>
      <c r="D2628">
        <v>1.929</v>
      </c>
      <c r="E2628" t="s">
        <v>6</v>
      </c>
      <c r="F2628">
        <v>5.9789999999999996E-2</v>
      </c>
    </row>
    <row r="2629" spans="1:6" x14ac:dyDescent="0.3">
      <c r="A2629" t="s">
        <v>22</v>
      </c>
      <c r="B2629" s="1">
        <v>45767</v>
      </c>
      <c r="C2629">
        <v>13</v>
      </c>
      <c r="D2629">
        <v>0.747</v>
      </c>
      <c r="E2629" t="s">
        <v>6</v>
      </c>
      <c r="F2629">
        <v>5.8270000000000002E-2</v>
      </c>
    </row>
    <row r="2630" spans="1:6" x14ac:dyDescent="0.3">
      <c r="A2630" t="s">
        <v>22</v>
      </c>
      <c r="B2630" s="1">
        <v>45767</v>
      </c>
      <c r="C2630">
        <v>14</v>
      </c>
      <c r="D2630">
        <v>0.33500000000000002</v>
      </c>
      <c r="E2630" t="s">
        <v>6</v>
      </c>
      <c r="F2630">
        <v>5.475E-2</v>
      </c>
    </row>
    <row r="2631" spans="1:6" x14ac:dyDescent="0.3">
      <c r="A2631" t="s">
        <v>22</v>
      </c>
      <c r="B2631" s="1">
        <v>45767</v>
      </c>
      <c r="C2631">
        <v>15</v>
      </c>
      <c r="D2631">
        <v>0</v>
      </c>
      <c r="E2631" t="s">
        <v>6</v>
      </c>
      <c r="F2631">
        <v>5.4210000000000001E-2</v>
      </c>
    </row>
    <row r="2632" spans="1:6" x14ac:dyDescent="0.3">
      <c r="A2632" t="s">
        <v>22</v>
      </c>
      <c r="B2632" s="1">
        <v>45767</v>
      </c>
      <c r="C2632">
        <v>16</v>
      </c>
      <c r="D2632">
        <v>0</v>
      </c>
      <c r="E2632" t="s">
        <v>6</v>
      </c>
      <c r="F2632">
        <v>5.6950000000000001E-2</v>
      </c>
    </row>
    <row r="2633" spans="1:6" x14ac:dyDescent="0.3">
      <c r="A2633" t="s">
        <v>22</v>
      </c>
      <c r="B2633" s="1">
        <v>45767</v>
      </c>
      <c r="C2633">
        <v>17</v>
      </c>
      <c r="D2633">
        <v>0</v>
      </c>
      <c r="E2633" t="s">
        <v>6</v>
      </c>
      <c r="F2633">
        <v>6.1009999999999995E-2</v>
      </c>
    </row>
    <row r="2634" spans="1:6" x14ac:dyDescent="0.3">
      <c r="A2634" t="s">
        <v>22</v>
      </c>
      <c r="B2634" s="1">
        <v>45767</v>
      </c>
      <c r="C2634">
        <v>18</v>
      </c>
      <c r="D2634">
        <v>0</v>
      </c>
      <c r="E2634" t="s">
        <v>6</v>
      </c>
      <c r="F2634">
        <v>6.2289999999999998E-2</v>
      </c>
    </row>
    <row r="2635" spans="1:6" x14ac:dyDescent="0.3">
      <c r="A2635" t="s">
        <v>22</v>
      </c>
      <c r="B2635" s="1">
        <v>45767</v>
      </c>
      <c r="C2635">
        <v>19</v>
      </c>
      <c r="D2635">
        <v>0</v>
      </c>
      <c r="E2635" t="s">
        <v>6</v>
      </c>
      <c r="F2635">
        <v>6.3530000000000003E-2</v>
      </c>
    </row>
    <row r="2636" spans="1:6" x14ac:dyDescent="0.3">
      <c r="A2636" t="s">
        <v>22</v>
      </c>
      <c r="B2636" s="1">
        <v>45767</v>
      </c>
      <c r="C2636">
        <v>20</v>
      </c>
      <c r="D2636">
        <v>0</v>
      </c>
      <c r="E2636" t="s">
        <v>6</v>
      </c>
      <c r="F2636">
        <v>5.8299999999999998E-2</v>
      </c>
    </row>
    <row r="2637" spans="1:6" x14ac:dyDescent="0.3">
      <c r="A2637" t="s">
        <v>22</v>
      </c>
      <c r="B2637" s="1">
        <v>45767</v>
      </c>
      <c r="C2637">
        <v>21</v>
      </c>
      <c r="D2637">
        <v>0.36199999999999999</v>
      </c>
      <c r="E2637" t="s">
        <v>6</v>
      </c>
      <c r="F2637">
        <v>9.0950000000000003E-2</v>
      </c>
    </row>
    <row r="2638" spans="1:6" x14ac:dyDescent="0.3">
      <c r="A2638" t="s">
        <v>22</v>
      </c>
      <c r="B2638" s="1">
        <v>45767</v>
      </c>
      <c r="C2638">
        <v>22</v>
      </c>
      <c r="D2638">
        <v>2.085</v>
      </c>
      <c r="E2638" t="s">
        <v>6</v>
      </c>
      <c r="F2638">
        <v>0.14324999999999999</v>
      </c>
    </row>
    <row r="2639" spans="1:6" x14ac:dyDescent="0.3">
      <c r="A2639" t="s">
        <v>22</v>
      </c>
      <c r="B2639" s="1">
        <v>45767</v>
      </c>
      <c r="C2639">
        <v>23</v>
      </c>
      <c r="D2639">
        <v>2.0510000000000002</v>
      </c>
      <c r="E2639" t="s">
        <v>6</v>
      </c>
      <c r="F2639">
        <v>0.14271999999999999</v>
      </c>
    </row>
    <row r="2640" spans="1:6" x14ac:dyDescent="0.3">
      <c r="A2640" t="s">
        <v>22</v>
      </c>
      <c r="B2640" s="1">
        <v>45767</v>
      </c>
      <c r="C2640">
        <v>24</v>
      </c>
      <c r="D2640">
        <v>1.738</v>
      </c>
      <c r="E2640" t="s">
        <v>6</v>
      </c>
      <c r="F2640">
        <v>9.9290000000000003E-2</v>
      </c>
    </row>
    <row r="2641" spans="1:6" x14ac:dyDescent="0.3">
      <c r="A2641" t="s">
        <v>22</v>
      </c>
      <c r="B2641" s="1">
        <v>45768</v>
      </c>
      <c r="C2641">
        <v>1</v>
      </c>
      <c r="D2641">
        <v>2.484</v>
      </c>
      <c r="E2641" t="s">
        <v>6</v>
      </c>
      <c r="F2641">
        <v>0.10138</v>
      </c>
    </row>
    <row r="2642" spans="1:6" x14ac:dyDescent="0.3">
      <c r="A2642" t="s">
        <v>22</v>
      </c>
      <c r="B2642" s="1">
        <v>45768</v>
      </c>
      <c r="C2642">
        <v>2</v>
      </c>
      <c r="D2642">
        <v>1.958</v>
      </c>
      <c r="E2642" t="s">
        <v>6</v>
      </c>
      <c r="F2642">
        <v>9.078E-2</v>
      </c>
    </row>
    <row r="2643" spans="1:6" x14ac:dyDescent="0.3">
      <c r="A2643" t="s">
        <v>22</v>
      </c>
      <c r="B2643" s="1">
        <v>45768</v>
      </c>
      <c r="C2643">
        <v>3</v>
      </c>
      <c r="D2643">
        <v>2.3610000000000002</v>
      </c>
      <c r="E2643" t="s">
        <v>6</v>
      </c>
      <c r="F2643">
        <v>9.0870000000000006E-2</v>
      </c>
    </row>
    <row r="2644" spans="1:6" x14ac:dyDescent="0.3">
      <c r="A2644" t="s">
        <v>22</v>
      </c>
      <c r="B2644" s="1">
        <v>45768</v>
      </c>
      <c r="C2644">
        <v>4</v>
      </c>
      <c r="D2644">
        <v>2.141</v>
      </c>
      <c r="E2644" t="s">
        <v>6</v>
      </c>
      <c r="F2644">
        <v>9.0909999999999991E-2</v>
      </c>
    </row>
    <row r="2645" spans="1:6" x14ac:dyDescent="0.3">
      <c r="A2645" t="s">
        <v>22</v>
      </c>
      <c r="B2645" s="1">
        <v>45768</v>
      </c>
      <c r="C2645">
        <v>5</v>
      </c>
      <c r="D2645">
        <v>1.7989999999999999</v>
      </c>
      <c r="E2645" t="s">
        <v>6</v>
      </c>
      <c r="F2645">
        <v>9.3370000000000009E-2</v>
      </c>
    </row>
    <row r="2646" spans="1:6" x14ac:dyDescent="0.3">
      <c r="A2646" t="s">
        <v>22</v>
      </c>
      <c r="B2646" s="1">
        <v>45768</v>
      </c>
      <c r="C2646">
        <v>6</v>
      </c>
      <c r="D2646">
        <v>2.157</v>
      </c>
      <c r="E2646" t="s">
        <v>6</v>
      </c>
      <c r="F2646">
        <v>9.6869999999999998E-2</v>
      </c>
    </row>
    <row r="2647" spans="1:6" x14ac:dyDescent="0.3">
      <c r="A2647" t="s">
        <v>22</v>
      </c>
      <c r="B2647" s="1">
        <v>45768</v>
      </c>
      <c r="C2647">
        <v>7</v>
      </c>
      <c r="D2647">
        <v>2.0459999999999998</v>
      </c>
      <c r="E2647" t="s">
        <v>6</v>
      </c>
      <c r="F2647">
        <v>0.12619</v>
      </c>
    </row>
    <row r="2648" spans="1:6" x14ac:dyDescent="0.3">
      <c r="A2648" t="s">
        <v>22</v>
      </c>
      <c r="B2648" s="1">
        <v>45768</v>
      </c>
      <c r="C2648">
        <v>8</v>
      </c>
      <c r="D2648">
        <v>1.3640000000000001</v>
      </c>
      <c r="E2648" t="s">
        <v>6</v>
      </c>
      <c r="F2648">
        <v>0.13041999999999998</v>
      </c>
    </row>
    <row r="2649" spans="1:6" x14ac:dyDescent="0.3">
      <c r="A2649" t="s">
        <v>22</v>
      </c>
      <c r="B2649" s="1">
        <v>45768</v>
      </c>
      <c r="C2649">
        <v>9</v>
      </c>
      <c r="D2649">
        <v>0.64400000000000002</v>
      </c>
      <c r="E2649" t="s">
        <v>6</v>
      </c>
      <c r="F2649">
        <v>0.14133000000000001</v>
      </c>
    </row>
    <row r="2650" spans="1:6" x14ac:dyDescent="0.3">
      <c r="A2650" t="s">
        <v>22</v>
      </c>
      <c r="B2650" s="1">
        <v>45768</v>
      </c>
      <c r="C2650">
        <v>10</v>
      </c>
      <c r="D2650">
        <v>0.62</v>
      </c>
      <c r="E2650" t="s">
        <v>6</v>
      </c>
      <c r="F2650">
        <v>9.8659999999999998E-2</v>
      </c>
    </row>
    <row r="2651" spans="1:6" x14ac:dyDescent="0.3">
      <c r="A2651" t="s">
        <v>22</v>
      </c>
      <c r="B2651" s="1">
        <v>45768</v>
      </c>
      <c r="C2651">
        <v>11</v>
      </c>
      <c r="D2651">
        <v>1.494</v>
      </c>
      <c r="E2651" t="s">
        <v>6</v>
      </c>
      <c r="F2651">
        <v>0.15449000000000002</v>
      </c>
    </row>
    <row r="2652" spans="1:6" x14ac:dyDescent="0.3">
      <c r="A2652" t="s">
        <v>22</v>
      </c>
      <c r="B2652" s="1">
        <v>45768</v>
      </c>
      <c r="C2652">
        <v>12</v>
      </c>
      <c r="D2652">
        <v>2.6379999999999999</v>
      </c>
      <c r="E2652" t="s">
        <v>6</v>
      </c>
      <c r="F2652">
        <v>0.14152999999999999</v>
      </c>
    </row>
    <row r="2653" spans="1:6" x14ac:dyDescent="0.3">
      <c r="A2653" t="s">
        <v>22</v>
      </c>
      <c r="B2653" s="1">
        <v>45768</v>
      </c>
      <c r="C2653">
        <v>13</v>
      </c>
      <c r="D2653">
        <v>0</v>
      </c>
      <c r="E2653" t="s">
        <v>6</v>
      </c>
      <c r="F2653">
        <v>0.13791</v>
      </c>
    </row>
    <row r="2654" spans="1:6" x14ac:dyDescent="0.3">
      <c r="A2654" t="s">
        <v>22</v>
      </c>
      <c r="B2654" s="1">
        <v>45768</v>
      </c>
      <c r="C2654">
        <v>14</v>
      </c>
      <c r="D2654">
        <v>0</v>
      </c>
      <c r="E2654" t="s">
        <v>6</v>
      </c>
      <c r="F2654">
        <v>0.13063</v>
      </c>
    </row>
    <row r="2655" spans="1:6" x14ac:dyDescent="0.3">
      <c r="A2655" t="s">
        <v>22</v>
      </c>
      <c r="B2655" s="1">
        <v>45768</v>
      </c>
      <c r="C2655">
        <v>15</v>
      </c>
      <c r="D2655">
        <v>0</v>
      </c>
      <c r="E2655" t="s">
        <v>6</v>
      </c>
      <c r="F2655">
        <v>6.4500000000000002E-2</v>
      </c>
    </row>
    <row r="2656" spans="1:6" x14ac:dyDescent="0.3">
      <c r="A2656" t="s">
        <v>22</v>
      </c>
      <c r="B2656" s="1">
        <v>45768</v>
      </c>
      <c r="C2656">
        <v>16</v>
      </c>
      <c r="D2656">
        <v>0</v>
      </c>
      <c r="E2656" t="s">
        <v>6</v>
      </c>
      <c r="F2656">
        <v>6.8879999999999997E-2</v>
      </c>
    </row>
    <row r="2657" spans="1:6" x14ac:dyDescent="0.3">
      <c r="A2657" t="s">
        <v>22</v>
      </c>
      <c r="B2657" s="1">
        <v>45768</v>
      </c>
      <c r="C2657">
        <v>17</v>
      </c>
      <c r="D2657">
        <v>0</v>
      </c>
      <c r="E2657" t="s">
        <v>6</v>
      </c>
      <c r="F2657">
        <v>7.3079999999999992E-2</v>
      </c>
    </row>
    <row r="2658" spans="1:6" x14ac:dyDescent="0.3">
      <c r="A2658" t="s">
        <v>22</v>
      </c>
      <c r="B2658" s="1">
        <v>45768</v>
      </c>
      <c r="C2658">
        <v>18</v>
      </c>
      <c r="D2658">
        <v>0</v>
      </c>
      <c r="E2658" t="s">
        <v>6</v>
      </c>
      <c r="F2658">
        <v>8.4849999999999995E-2</v>
      </c>
    </row>
    <row r="2659" spans="1:6" x14ac:dyDescent="0.3">
      <c r="A2659" t="s">
        <v>22</v>
      </c>
      <c r="B2659" s="1">
        <v>45768</v>
      </c>
      <c r="C2659">
        <v>19</v>
      </c>
      <c r="D2659">
        <v>0</v>
      </c>
      <c r="E2659" t="s">
        <v>6</v>
      </c>
      <c r="F2659">
        <v>0.17917</v>
      </c>
    </row>
    <row r="2660" spans="1:6" x14ac:dyDescent="0.3">
      <c r="A2660" t="s">
        <v>22</v>
      </c>
      <c r="B2660" s="1">
        <v>45768</v>
      </c>
      <c r="C2660">
        <v>20</v>
      </c>
      <c r="D2660">
        <v>0</v>
      </c>
      <c r="E2660" t="s">
        <v>6</v>
      </c>
      <c r="F2660">
        <v>0.25022</v>
      </c>
    </row>
    <row r="2661" spans="1:6" x14ac:dyDescent="0.3">
      <c r="A2661" t="s">
        <v>22</v>
      </c>
      <c r="B2661" s="1">
        <v>45768</v>
      </c>
      <c r="C2661">
        <v>21</v>
      </c>
      <c r="D2661">
        <v>0.155</v>
      </c>
      <c r="E2661" t="s">
        <v>6</v>
      </c>
      <c r="F2661">
        <v>0.27673999999999999</v>
      </c>
    </row>
    <row r="2662" spans="1:6" x14ac:dyDescent="0.3">
      <c r="A2662" t="s">
        <v>22</v>
      </c>
      <c r="B2662" s="1">
        <v>45768</v>
      </c>
      <c r="C2662">
        <v>22</v>
      </c>
      <c r="D2662">
        <v>0.97899999999999998</v>
      </c>
      <c r="E2662" t="s">
        <v>6</v>
      </c>
      <c r="F2662">
        <v>0.30745</v>
      </c>
    </row>
    <row r="2663" spans="1:6" x14ac:dyDescent="0.3">
      <c r="A2663" t="s">
        <v>22</v>
      </c>
      <c r="B2663" s="1">
        <v>45768</v>
      </c>
      <c r="C2663">
        <v>23</v>
      </c>
      <c r="D2663">
        <v>0.51900000000000002</v>
      </c>
      <c r="E2663" t="s">
        <v>6</v>
      </c>
      <c r="F2663">
        <v>0.20236000000000001</v>
      </c>
    </row>
    <row r="2664" spans="1:6" x14ac:dyDescent="0.3">
      <c r="A2664" t="s">
        <v>22</v>
      </c>
      <c r="B2664" s="1">
        <v>45768</v>
      </c>
      <c r="C2664">
        <v>24</v>
      </c>
      <c r="D2664">
        <v>0.23499999999999999</v>
      </c>
      <c r="E2664" t="s">
        <v>6</v>
      </c>
      <c r="F2664">
        <v>0.18211000000000002</v>
      </c>
    </row>
    <row r="2665" spans="1:6" x14ac:dyDescent="0.3">
      <c r="A2665" t="s">
        <v>22</v>
      </c>
      <c r="B2665" s="1">
        <v>45769</v>
      </c>
      <c r="C2665">
        <v>1</v>
      </c>
      <c r="D2665">
        <v>0.224</v>
      </c>
      <c r="E2665" t="s">
        <v>6</v>
      </c>
      <c r="F2665">
        <v>0.13977999999999999</v>
      </c>
    </row>
    <row r="2666" spans="1:6" x14ac:dyDescent="0.3">
      <c r="A2666" t="s">
        <v>22</v>
      </c>
      <c r="B2666" s="1">
        <v>45769</v>
      </c>
      <c r="C2666">
        <v>2</v>
      </c>
      <c r="D2666">
        <v>1.661</v>
      </c>
      <c r="E2666" t="s">
        <v>6</v>
      </c>
      <c r="F2666">
        <v>0.13313</v>
      </c>
    </row>
    <row r="2667" spans="1:6" x14ac:dyDescent="0.3">
      <c r="A2667" t="s">
        <v>22</v>
      </c>
      <c r="B2667" s="1">
        <v>45769</v>
      </c>
      <c r="C2667">
        <v>3</v>
      </c>
      <c r="D2667">
        <v>1.504</v>
      </c>
      <c r="E2667" t="s">
        <v>6</v>
      </c>
      <c r="F2667">
        <v>0.13034000000000001</v>
      </c>
    </row>
    <row r="2668" spans="1:6" x14ac:dyDescent="0.3">
      <c r="A2668" t="s">
        <v>22</v>
      </c>
      <c r="B2668" s="1">
        <v>45769</v>
      </c>
      <c r="C2668">
        <v>4</v>
      </c>
      <c r="D2668">
        <v>1.51</v>
      </c>
      <c r="E2668" t="s">
        <v>6</v>
      </c>
      <c r="F2668">
        <v>0.12553</v>
      </c>
    </row>
    <row r="2669" spans="1:6" x14ac:dyDescent="0.3">
      <c r="A2669" t="s">
        <v>22</v>
      </c>
      <c r="B2669" s="1">
        <v>45769</v>
      </c>
      <c r="C2669">
        <v>5</v>
      </c>
      <c r="D2669">
        <v>1.4079999999999999</v>
      </c>
      <c r="E2669" t="s">
        <v>6</v>
      </c>
      <c r="F2669">
        <v>0.12819999999999998</v>
      </c>
    </row>
    <row r="2670" spans="1:6" x14ac:dyDescent="0.3">
      <c r="A2670" t="s">
        <v>22</v>
      </c>
      <c r="B2670" s="1">
        <v>45769</v>
      </c>
      <c r="C2670">
        <v>6</v>
      </c>
      <c r="D2670">
        <v>2.09</v>
      </c>
      <c r="E2670" t="s">
        <v>6</v>
      </c>
      <c r="F2670">
        <v>0.1198</v>
      </c>
    </row>
    <row r="2671" spans="1:6" x14ac:dyDescent="0.3">
      <c r="A2671" t="s">
        <v>22</v>
      </c>
      <c r="B2671" s="1">
        <v>45769</v>
      </c>
      <c r="C2671">
        <v>7</v>
      </c>
      <c r="D2671">
        <v>2.073</v>
      </c>
      <c r="E2671" t="s">
        <v>6</v>
      </c>
      <c r="F2671">
        <v>0.13166999999999998</v>
      </c>
    </row>
    <row r="2672" spans="1:6" x14ac:dyDescent="0.3">
      <c r="A2672" t="s">
        <v>22</v>
      </c>
      <c r="B2672" s="1">
        <v>45769</v>
      </c>
      <c r="C2672">
        <v>8</v>
      </c>
      <c r="D2672">
        <v>3.0009999999999999</v>
      </c>
      <c r="E2672" t="s">
        <v>6</v>
      </c>
      <c r="F2672">
        <v>0.16249</v>
      </c>
    </row>
    <row r="2673" spans="1:6" x14ac:dyDescent="0.3">
      <c r="A2673" t="s">
        <v>22</v>
      </c>
      <c r="B2673" s="1">
        <v>45769</v>
      </c>
      <c r="C2673">
        <v>9</v>
      </c>
      <c r="D2673">
        <v>3.0089999999999999</v>
      </c>
      <c r="E2673" t="s">
        <v>6</v>
      </c>
      <c r="F2673">
        <v>0.19975000000000001</v>
      </c>
    </row>
    <row r="2674" spans="1:6" x14ac:dyDescent="0.3">
      <c r="A2674" t="s">
        <v>22</v>
      </c>
      <c r="B2674" s="1">
        <v>45769</v>
      </c>
      <c r="C2674">
        <v>10</v>
      </c>
      <c r="D2674">
        <v>2.8940000000000001</v>
      </c>
      <c r="E2674" t="s">
        <v>6</v>
      </c>
      <c r="F2674">
        <v>0.1411</v>
      </c>
    </row>
    <row r="2675" spans="1:6" x14ac:dyDescent="0.3">
      <c r="A2675" t="s">
        <v>22</v>
      </c>
      <c r="B2675" s="1">
        <v>45769</v>
      </c>
      <c r="C2675">
        <v>11</v>
      </c>
      <c r="D2675">
        <v>0.39500000000000002</v>
      </c>
      <c r="E2675" t="s">
        <v>6</v>
      </c>
      <c r="F2675">
        <v>0.19165000000000001</v>
      </c>
    </row>
    <row r="2676" spans="1:6" x14ac:dyDescent="0.3">
      <c r="A2676" t="s">
        <v>22</v>
      </c>
      <c r="B2676" s="1">
        <v>45769</v>
      </c>
      <c r="C2676">
        <v>12</v>
      </c>
      <c r="D2676">
        <v>0</v>
      </c>
      <c r="E2676" t="s">
        <v>6</v>
      </c>
      <c r="F2676">
        <v>0.16322999999999999</v>
      </c>
    </row>
    <row r="2677" spans="1:6" x14ac:dyDescent="0.3">
      <c r="A2677" t="s">
        <v>22</v>
      </c>
      <c r="B2677" s="1">
        <v>45769</v>
      </c>
      <c r="C2677">
        <v>13</v>
      </c>
      <c r="D2677">
        <v>0</v>
      </c>
      <c r="E2677" t="s">
        <v>6</v>
      </c>
      <c r="F2677">
        <v>0.14602999999999999</v>
      </c>
    </row>
    <row r="2678" spans="1:6" x14ac:dyDescent="0.3">
      <c r="A2678" t="s">
        <v>22</v>
      </c>
      <c r="B2678" s="1">
        <v>45769</v>
      </c>
      <c r="C2678">
        <v>14</v>
      </c>
      <c r="D2678">
        <v>6.6000000000000003E-2</v>
      </c>
      <c r="E2678" t="s">
        <v>6</v>
      </c>
      <c r="F2678">
        <v>0.13255</v>
      </c>
    </row>
    <row r="2679" spans="1:6" x14ac:dyDescent="0.3">
      <c r="A2679" t="s">
        <v>22</v>
      </c>
      <c r="B2679" s="1">
        <v>45769</v>
      </c>
      <c r="C2679">
        <v>15</v>
      </c>
      <c r="D2679">
        <v>0.88700000000000001</v>
      </c>
      <c r="E2679" t="s">
        <v>6</v>
      </c>
      <c r="F2679">
        <v>6.2049999999999994E-2</v>
      </c>
    </row>
    <row r="2680" spans="1:6" x14ac:dyDescent="0.3">
      <c r="A2680" t="s">
        <v>22</v>
      </c>
      <c r="B2680" s="1">
        <v>45769</v>
      </c>
      <c r="C2680">
        <v>16</v>
      </c>
      <c r="D2680">
        <v>0</v>
      </c>
      <c r="E2680" t="s">
        <v>6</v>
      </c>
      <c r="F2680">
        <v>5.101E-2</v>
      </c>
    </row>
    <row r="2681" spans="1:6" x14ac:dyDescent="0.3">
      <c r="A2681" t="s">
        <v>22</v>
      </c>
      <c r="B2681" s="1">
        <v>45769</v>
      </c>
      <c r="C2681">
        <v>17</v>
      </c>
      <c r="D2681">
        <v>0.58099999999999996</v>
      </c>
      <c r="E2681" t="s">
        <v>6</v>
      </c>
      <c r="F2681">
        <v>5.058E-2</v>
      </c>
    </row>
    <row r="2682" spans="1:6" x14ac:dyDescent="0.3">
      <c r="A2682" t="s">
        <v>22</v>
      </c>
      <c r="B2682" s="1">
        <v>45769</v>
      </c>
      <c r="C2682">
        <v>18</v>
      </c>
      <c r="D2682">
        <v>1.21</v>
      </c>
      <c r="E2682" t="s">
        <v>6</v>
      </c>
      <c r="F2682">
        <v>5.237E-2</v>
      </c>
    </row>
    <row r="2683" spans="1:6" x14ac:dyDescent="0.3">
      <c r="A2683" t="s">
        <v>22</v>
      </c>
      <c r="B2683" s="1">
        <v>45769</v>
      </c>
      <c r="C2683">
        <v>19</v>
      </c>
      <c r="D2683">
        <v>0.98199999999999998</v>
      </c>
      <c r="E2683" t="s">
        <v>6</v>
      </c>
      <c r="F2683">
        <v>0.14016000000000001</v>
      </c>
    </row>
    <row r="2684" spans="1:6" x14ac:dyDescent="0.3">
      <c r="A2684" t="s">
        <v>22</v>
      </c>
      <c r="B2684" s="1">
        <v>45769</v>
      </c>
      <c r="C2684">
        <v>20</v>
      </c>
      <c r="D2684">
        <v>0.89300000000000002</v>
      </c>
      <c r="E2684" t="s">
        <v>6</v>
      </c>
      <c r="F2684">
        <v>0.18227000000000002</v>
      </c>
    </row>
    <row r="2685" spans="1:6" x14ac:dyDescent="0.3">
      <c r="A2685" t="s">
        <v>22</v>
      </c>
      <c r="B2685" s="1">
        <v>45769</v>
      </c>
      <c r="C2685">
        <v>21</v>
      </c>
      <c r="D2685">
        <v>1.5820000000000001</v>
      </c>
      <c r="E2685" t="s">
        <v>6</v>
      </c>
      <c r="F2685">
        <v>0.2268</v>
      </c>
    </row>
    <row r="2686" spans="1:6" x14ac:dyDescent="0.3">
      <c r="A2686" t="s">
        <v>22</v>
      </c>
      <c r="B2686" s="1">
        <v>45769</v>
      </c>
      <c r="C2686">
        <v>22</v>
      </c>
      <c r="D2686">
        <v>2.7829999999999999</v>
      </c>
      <c r="E2686" t="s">
        <v>6</v>
      </c>
      <c r="F2686">
        <v>0.26139999999999997</v>
      </c>
    </row>
    <row r="2687" spans="1:6" x14ac:dyDescent="0.3">
      <c r="A2687" t="s">
        <v>22</v>
      </c>
      <c r="B2687" s="1">
        <v>45769</v>
      </c>
      <c r="C2687">
        <v>23</v>
      </c>
      <c r="D2687">
        <v>1.8160000000000001</v>
      </c>
      <c r="E2687" t="s">
        <v>6</v>
      </c>
      <c r="F2687">
        <v>0.17147000000000001</v>
      </c>
    </row>
    <row r="2688" spans="1:6" x14ac:dyDescent="0.3">
      <c r="A2688" t="s">
        <v>22</v>
      </c>
      <c r="B2688" s="1">
        <v>45769</v>
      </c>
      <c r="C2688">
        <v>24</v>
      </c>
      <c r="D2688">
        <v>1.55</v>
      </c>
      <c r="E2688" t="s">
        <v>6</v>
      </c>
      <c r="F2688">
        <v>0.13899</v>
      </c>
    </row>
    <row r="2689" spans="1:6" x14ac:dyDescent="0.3">
      <c r="A2689" t="s">
        <v>22</v>
      </c>
      <c r="B2689" s="1">
        <v>45770</v>
      </c>
      <c r="C2689">
        <v>1</v>
      </c>
      <c r="D2689">
        <v>1.2749999999999999</v>
      </c>
      <c r="E2689" t="s">
        <v>6</v>
      </c>
      <c r="F2689">
        <v>0.12703</v>
      </c>
    </row>
    <row r="2690" spans="1:6" x14ac:dyDescent="0.3">
      <c r="A2690" t="s">
        <v>22</v>
      </c>
      <c r="B2690" s="1">
        <v>45770</v>
      </c>
      <c r="C2690">
        <v>2</v>
      </c>
      <c r="D2690">
        <v>0.95199999999999996</v>
      </c>
      <c r="E2690" t="s">
        <v>6</v>
      </c>
      <c r="F2690">
        <v>0.11716</v>
      </c>
    </row>
    <row r="2691" spans="1:6" x14ac:dyDescent="0.3">
      <c r="A2691" t="s">
        <v>22</v>
      </c>
      <c r="B2691" s="1">
        <v>45770</v>
      </c>
      <c r="C2691">
        <v>3</v>
      </c>
      <c r="D2691">
        <v>1.2430000000000001</v>
      </c>
      <c r="E2691" t="s">
        <v>6</v>
      </c>
      <c r="F2691">
        <v>0.12284</v>
      </c>
    </row>
    <row r="2692" spans="1:6" x14ac:dyDescent="0.3">
      <c r="A2692" t="s">
        <v>22</v>
      </c>
      <c r="B2692" s="1">
        <v>45770</v>
      </c>
      <c r="C2692">
        <v>4</v>
      </c>
      <c r="D2692">
        <v>0.94199999999999995</v>
      </c>
      <c r="E2692" t="s">
        <v>6</v>
      </c>
      <c r="F2692">
        <v>0.11233</v>
      </c>
    </row>
    <row r="2693" spans="1:6" x14ac:dyDescent="0.3">
      <c r="A2693" t="s">
        <v>22</v>
      </c>
      <c r="B2693" s="1">
        <v>45770</v>
      </c>
      <c r="C2693">
        <v>5</v>
      </c>
      <c r="D2693">
        <v>1.1399999999999999</v>
      </c>
      <c r="E2693" t="s">
        <v>6</v>
      </c>
      <c r="F2693">
        <v>0.11022</v>
      </c>
    </row>
    <row r="2694" spans="1:6" x14ac:dyDescent="0.3">
      <c r="A2694" t="s">
        <v>22</v>
      </c>
      <c r="B2694" s="1">
        <v>45770</v>
      </c>
      <c r="C2694">
        <v>6</v>
      </c>
      <c r="D2694">
        <v>1.1850000000000001</v>
      </c>
      <c r="E2694" t="s">
        <v>6</v>
      </c>
      <c r="F2694">
        <v>0.11229</v>
      </c>
    </row>
    <row r="2695" spans="1:6" x14ac:dyDescent="0.3">
      <c r="A2695" t="s">
        <v>22</v>
      </c>
      <c r="B2695" s="1">
        <v>45770</v>
      </c>
      <c r="C2695">
        <v>7</v>
      </c>
      <c r="D2695">
        <v>1.131</v>
      </c>
      <c r="E2695" t="s">
        <v>6</v>
      </c>
      <c r="F2695">
        <v>0.12195</v>
      </c>
    </row>
    <row r="2696" spans="1:6" x14ac:dyDescent="0.3">
      <c r="A2696" t="s">
        <v>22</v>
      </c>
      <c r="B2696" s="1">
        <v>45770</v>
      </c>
      <c r="C2696">
        <v>8</v>
      </c>
      <c r="D2696">
        <v>1.542</v>
      </c>
      <c r="E2696" t="s">
        <v>6</v>
      </c>
      <c r="F2696">
        <v>0.12537000000000001</v>
      </c>
    </row>
    <row r="2697" spans="1:6" x14ac:dyDescent="0.3">
      <c r="A2697" t="s">
        <v>22</v>
      </c>
      <c r="B2697" s="1">
        <v>45770</v>
      </c>
      <c r="C2697">
        <v>9</v>
      </c>
      <c r="D2697">
        <v>2.7280000000000002</v>
      </c>
      <c r="E2697" t="s">
        <v>6</v>
      </c>
      <c r="F2697">
        <v>0.14363000000000001</v>
      </c>
    </row>
    <row r="2698" spans="1:6" x14ac:dyDescent="0.3">
      <c r="A2698" t="s">
        <v>22</v>
      </c>
      <c r="B2698" s="1">
        <v>45770</v>
      </c>
      <c r="C2698">
        <v>10</v>
      </c>
      <c r="D2698">
        <v>0.26700000000000002</v>
      </c>
      <c r="E2698" t="s">
        <v>6</v>
      </c>
      <c r="F2698">
        <v>0.10798000000000001</v>
      </c>
    </row>
    <row r="2699" spans="1:6" x14ac:dyDescent="0.3">
      <c r="A2699" t="s">
        <v>22</v>
      </c>
      <c r="B2699" s="1">
        <v>45770</v>
      </c>
      <c r="C2699">
        <v>11</v>
      </c>
      <c r="D2699">
        <v>0</v>
      </c>
      <c r="E2699" t="s">
        <v>6</v>
      </c>
      <c r="F2699">
        <v>0.13447999999999999</v>
      </c>
    </row>
    <row r="2700" spans="1:6" x14ac:dyDescent="0.3">
      <c r="A2700" t="s">
        <v>22</v>
      </c>
      <c r="B2700" s="1">
        <v>45770</v>
      </c>
      <c r="C2700">
        <v>12</v>
      </c>
      <c r="D2700">
        <v>0</v>
      </c>
      <c r="E2700" t="s">
        <v>6</v>
      </c>
      <c r="F2700">
        <v>0.12603</v>
      </c>
    </row>
    <row r="2701" spans="1:6" x14ac:dyDescent="0.3">
      <c r="A2701" t="s">
        <v>22</v>
      </c>
      <c r="B2701" s="1">
        <v>45770</v>
      </c>
      <c r="C2701">
        <v>13</v>
      </c>
      <c r="D2701">
        <v>0</v>
      </c>
      <c r="E2701" t="s">
        <v>6</v>
      </c>
      <c r="F2701">
        <v>0.12156</v>
      </c>
    </row>
    <row r="2702" spans="1:6" x14ac:dyDescent="0.3">
      <c r="A2702" t="s">
        <v>22</v>
      </c>
      <c r="B2702" s="1">
        <v>45770</v>
      </c>
      <c r="C2702">
        <v>14</v>
      </c>
      <c r="D2702">
        <v>0</v>
      </c>
      <c r="E2702" t="s">
        <v>6</v>
      </c>
      <c r="F2702">
        <v>0.11835999999999999</v>
      </c>
    </row>
    <row r="2703" spans="1:6" x14ac:dyDescent="0.3">
      <c r="A2703" t="s">
        <v>22</v>
      </c>
      <c r="B2703" s="1">
        <v>45770</v>
      </c>
      <c r="C2703">
        <v>15</v>
      </c>
      <c r="D2703">
        <v>0</v>
      </c>
      <c r="E2703" t="s">
        <v>6</v>
      </c>
      <c r="F2703">
        <v>5.3490000000000003E-2</v>
      </c>
    </row>
    <row r="2704" spans="1:6" x14ac:dyDescent="0.3">
      <c r="A2704" t="s">
        <v>22</v>
      </c>
      <c r="B2704" s="1">
        <v>45770</v>
      </c>
      <c r="C2704">
        <v>16</v>
      </c>
      <c r="D2704">
        <v>1.129</v>
      </c>
      <c r="E2704" t="s">
        <v>6</v>
      </c>
      <c r="F2704">
        <v>5.3920000000000003E-2</v>
      </c>
    </row>
    <row r="2705" spans="1:6" x14ac:dyDescent="0.3">
      <c r="A2705" t="s">
        <v>22</v>
      </c>
      <c r="B2705" s="1">
        <v>45770</v>
      </c>
      <c r="C2705">
        <v>17</v>
      </c>
      <c r="D2705">
        <v>0.155</v>
      </c>
      <c r="E2705" t="s">
        <v>6</v>
      </c>
      <c r="F2705">
        <v>5.4280000000000002E-2</v>
      </c>
    </row>
    <row r="2706" spans="1:6" x14ac:dyDescent="0.3">
      <c r="A2706" t="s">
        <v>22</v>
      </c>
      <c r="B2706" s="1">
        <v>45770</v>
      </c>
      <c r="C2706">
        <v>18</v>
      </c>
      <c r="D2706">
        <v>0.184</v>
      </c>
      <c r="E2706" t="s">
        <v>6</v>
      </c>
      <c r="F2706">
        <v>5.4399999999999997E-2</v>
      </c>
    </row>
    <row r="2707" spans="1:6" x14ac:dyDescent="0.3">
      <c r="A2707" t="s">
        <v>22</v>
      </c>
      <c r="B2707" s="1">
        <v>45770</v>
      </c>
      <c r="C2707">
        <v>19</v>
      </c>
      <c r="D2707">
        <v>0</v>
      </c>
      <c r="E2707" t="s">
        <v>6</v>
      </c>
      <c r="F2707">
        <v>0.12669</v>
      </c>
    </row>
    <row r="2708" spans="1:6" x14ac:dyDescent="0.3">
      <c r="A2708" t="s">
        <v>22</v>
      </c>
      <c r="B2708" s="1">
        <v>45770</v>
      </c>
      <c r="C2708">
        <v>20</v>
      </c>
      <c r="D2708">
        <v>0</v>
      </c>
      <c r="E2708" t="s">
        <v>6</v>
      </c>
      <c r="F2708">
        <v>0.16083</v>
      </c>
    </row>
    <row r="2709" spans="1:6" x14ac:dyDescent="0.3">
      <c r="A2709" t="s">
        <v>22</v>
      </c>
      <c r="B2709" s="1">
        <v>45770</v>
      </c>
      <c r="C2709">
        <v>21</v>
      </c>
      <c r="D2709">
        <v>9.1999999999999998E-2</v>
      </c>
      <c r="E2709" t="s">
        <v>6</v>
      </c>
      <c r="F2709">
        <v>0.22384000000000001</v>
      </c>
    </row>
    <row r="2710" spans="1:6" x14ac:dyDescent="0.3">
      <c r="A2710" t="s">
        <v>22</v>
      </c>
      <c r="B2710" s="1">
        <v>45770</v>
      </c>
      <c r="C2710">
        <v>22</v>
      </c>
      <c r="D2710">
        <v>0.40500000000000003</v>
      </c>
      <c r="E2710" t="s">
        <v>6</v>
      </c>
      <c r="F2710">
        <v>0.25779000000000002</v>
      </c>
    </row>
    <row r="2711" spans="1:6" x14ac:dyDescent="0.3">
      <c r="A2711" t="s">
        <v>22</v>
      </c>
      <c r="B2711" s="1">
        <v>45770</v>
      </c>
      <c r="C2711">
        <v>23</v>
      </c>
      <c r="D2711">
        <v>0.64500000000000002</v>
      </c>
      <c r="E2711" t="s">
        <v>6</v>
      </c>
      <c r="F2711">
        <v>0.18444999999999998</v>
      </c>
    </row>
    <row r="2712" spans="1:6" x14ac:dyDescent="0.3">
      <c r="A2712" t="s">
        <v>22</v>
      </c>
      <c r="B2712" s="1">
        <v>45770</v>
      </c>
      <c r="C2712">
        <v>24</v>
      </c>
      <c r="D2712">
        <v>0.30499999999999999</v>
      </c>
      <c r="E2712" t="s">
        <v>6</v>
      </c>
      <c r="F2712">
        <v>0.15559000000000001</v>
      </c>
    </row>
    <row r="2713" spans="1:6" x14ac:dyDescent="0.3">
      <c r="A2713" t="s">
        <v>22</v>
      </c>
      <c r="B2713" s="1">
        <v>45771</v>
      </c>
      <c r="C2713">
        <v>1</v>
      </c>
      <c r="D2713">
        <v>0.70299999999999996</v>
      </c>
      <c r="E2713" t="s">
        <v>6</v>
      </c>
      <c r="F2713">
        <v>0.12655</v>
      </c>
    </row>
    <row r="2714" spans="1:6" x14ac:dyDescent="0.3">
      <c r="A2714" t="s">
        <v>22</v>
      </c>
      <c r="B2714" s="1">
        <v>45771</v>
      </c>
      <c r="C2714">
        <v>2</v>
      </c>
      <c r="D2714">
        <v>1.4770000000000001</v>
      </c>
      <c r="E2714" t="s">
        <v>6</v>
      </c>
      <c r="F2714">
        <v>0.10714</v>
      </c>
    </row>
    <row r="2715" spans="1:6" x14ac:dyDescent="0.3">
      <c r="A2715" t="s">
        <v>22</v>
      </c>
      <c r="B2715" s="1">
        <v>45771</v>
      </c>
      <c r="C2715">
        <v>3</v>
      </c>
      <c r="D2715">
        <v>1.0449999999999999</v>
      </c>
      <c r="E2715" t="s">
        <v>6</v>
      </c>
      <c r="F2715">
        <v>0.10618000000000001</v>
      </c>
    </row>
    <row r="2716" spans="1:6" x14ac:dyDescent="0.3">
      <c r="A2716" t="s">
        <v>22</v>
      </c>
      <c r="B2716" s="1">
        <v>45771</v>
      </c>
      <c r="C2716">
        <v>4</v>
      </c>
      <c r="D2716">
        <v>1.988</v>
      </c>
      <c r="E2716" t="s">
        <v>6</v>
      </c>
      <c r="F2716">
        <v>0.10332</v>
      </c>
    </row>
    <row r="2717" spans="1:6" x14ac:dyDescent="0.3">
      <c r="A2717" t="s">
        <v>22</v>
      </c>
      <c r="B2717" s="1">
        <v>45771</v>
      </c>
      <c r="C2717">
        <v>5</v>
      </c>
      <c r="D2717">
        <v>1.2949999999999999</v>
      </c>
      <c r="E2717" t="s">
        <v>6</v>
      </c>
      <c r="F2717">
        <v>0.10291</v>
      </c>
    </row>
    <row r="2718" spans="1:6" x14ac:dyDescent="0.3">
      <c r="A2718" t="s">
        <v>22</v>
      </c>
      <c r="B2718" s="1">
        <v>45771</v>
      </c>
      <c r="C2718">
        <v>6</v>
      </c>
      <c r="D2718">
        <v>1.04</v>
      </c>
      <c r="E2718" t="s">
        <v>6</v>
      </c>
      <c r="F2718">
        <v>0.10798000000000001</v>
      </c>
    </row>
    <row r="2719" spans="1:6" x14ac:dyDescent="0.3">
      <c r="A2719" t="s">
        <v>22</v>
      </c>
      <c r="B2719" s="1">
        <v>45771</v>
      </c>
      <c r="C2719">
        <v>7</v>
      </c>
      <c r="D2719">
        <v>1.288</v>
      </c>
      <c r="E2719" t="s">
        <v>6</v>
      </c>
      <c r="F2719">
        <v>0.11302</v>
      </c>
    </row>
    <row r="2720" spans="1:6" x14ac:dyDescent="0.3">
      <c r="A2720" t="s">
        <v>22</v>
      </c>
      <c r="B2720" s="1">
        <v>45771</v>
      </c>
      <c r="C2720">
        <v>8</v>
      </c>
      <c r="D2720">
        <v>1.9550000000000001</v>
      </c>
      <c r="E2720" t="s">
        <v>6</v>
      </c>
      <c r="F2720">
        <v>0.14021</v>
      </c>
    </row>
    <row r="2721" spans="1:6" x14ac:dyDescent="0.3">
      <c r="A2721" t="s">
        <v>22</v>
      </c>
      <c r="B2721" s="1">
        <v>45771</v>
      </c>
      <c r="C2721">
        <v>9</v>
      </c>
      <c r="D2721">
        <v>0</v>
      </c>
      <c r="E2721" t="s">
        <v>6</v>
      </c>
      <c r="F2721">
        <v>0.14413000000000001</v>
      </c>
    </row>
    <row r="2722" spans="1:6" x14ac:dyDescent="0.3">
      <c r="A2722" t="s">
        <v>22</v>
      </c>
      <c r="B2722" s="1">
        <v>45771</v>
      </c>
      <c r="C2722">
        <v>10</v>
      </c>
      <c r="D2722">
        <v>0</v>
      </c>
      <c r="E2722" t="s">
        <v>6</v>
      </c>
      <c r="F2722">
        <v>7.7920000000000003E-2</v>
      </c>
    </row>
    <row r="2723" spans="1:6" x14ac:dyDescent="0.3">
      <c r="A2723" t="s">
        <v>22</v>
      </c>
      <c r="B2723" s="1">
        <v>45771</v>
      </c>
      <c r="C2723">
        <v>11</v>
      </c>
      <c r="D2723">
        <v>0</v>
      </c>
      <c r="E2723" t="s">
        <v>6</v>
      </c>
      <c r="F2723">
        <v>0.12131</v>
      </c>
    </row>
    <row r="2724" spans="1:6" x14ac:dyDescent="0.3">
      <c r="A2724" t="s">
        <v>22</v>
      </c>
      <c r="B2724" s="1">
        <v>45771</v>
      </c>
      <c r="C2724">
        <v>12</v>
      </c>
      <c r="D2724">
        <v>0</v>
      </c>
      <c r="E2724" t="s">
        <v>6</v>
      </c>
      <c r="F2724">
        <v>0.12006</v>
      </c>
    </row>
    <row r="2725" spans="1:6" x14ac:dyDescent="0.3">
      <c r="A2725" t="s">
        <v>22</v>
      </c>
      <c r="B2725" s="1">
        <v>45771</v>
      </c>
      <c r="C2725">
        <v>13</v>
      </c>
      <c r="D2725">
        <v>0</v>
      </c>
      <c r="E2725" t="s">
        <v>6</v>
      </c>
      <c r="F2725">
        <v>0.12027</v>
      </c>
    </row>
    <row r="2726" spans="1:6" x14ac:dyDescent="0.3">
      <c r="A2726" t="s">
        <v>22</v>
      </c>
      <c r="B2726" s="1">
        <v>45771</v>
      </c>
      <c r="C2726">
        <v>14</v>
      </c>
      <c r="D2726">
        <v>0</v>
      </c>
      <c r="E2726" t="s">
        <v>6</v>
      </c>
      <c r="F2726">
        <v>0.11745999999999999</v>
      </c>
    </row>
    <row r="2727" spans="1:6" x14ac:dyDescent="0.3">
      <c r="A2727" t="s">
        <v>22</v>
      </c>
      <c r="B2727" s="1">
        <v>45771</v>
      </c>
      <c r="C2727">
        <v>15</v>
      </c>
      <c r="D2727">
        <v>0</v>
      </c>
      <c r="E2727" t="s">
        <v>6</v>
      </c>
      <c r="F2727">
        <v>5.2789999999999997E-2</v>
      </c>
    </row>
    <row r="2728" spans="1:6" x14ac:dyDescent="0.3">
      <c r="A2728" t="s">
        <v>22</v>
      </c>
      <c r="B2728" s="1">
        <v>45771</v>
      </c>
      <c r="C2728">
        <v>16</v>
      </c>
      <c r="D2728">
        <v>0</v>
      </c>
      <c r="E2728" t="s">
        <v>6</v>
      </c>
      <c r="F2728">
        <v>5.3190000000000001E-2</v>
      </c>
    </row>
    <row r="2729" spans="1:6" x14ac:dyDescent="0.3">
      <c r="A2729" t="s">
        <v>22</v>
      </c>
      <c r="B2729" s="1">
        <v>45771</v>
      </c>
      <c r="C2729">
        <v>17</v>
      </c>
      <c r="D2729">
        <v>0</v>
      </c>
      <c r="E2729" t="s">
        <v>6</v>
      </c>
      <c r="F2729">
        <v>5.3749999999999999E-2</v>
      </c>
    </row>
    <row r="2730" spans="1:6" x14ac:dyDescent="0.3">
      <c r="A2730" t="s">
        <v>22</v>
      </c>
      <c r="B2730" s="1">
        <v>45771</v>
      </c>
      <c r="C2730">
        <v>18</v>
      </c>
      <c r="D2730">
        <v>0</v>
      </c>
      <c r="E2730" t="s">
        <v>6</v>
      </c>
      <c r="F2730">
        <v>5.3829999999999996E-2</v>
      </c>
    </row>
    <row r="2731" spans="1:6" x14ac:dyDescent="0.3">
      <c r="A2731" t="s">
        <v>22</v>
      </c>
      <c r="B2731" s="1">
        <v>45771</v>
      </c>
      <c r="C2731">
        <v>19</v>
      </c>
      <c r="D2731">
        <v>0.159</v>
      </c>
      <c r="E2731" t="s">
        <v>6</v>
      </c>
      <c r="F2731">
        <v>0.12594</v>
      </c>
    </row>
    <row r="2732" spans="1:6" x14ac:dyDescent="0.3">
      <c r="A2732" t="s">
        <v>22</v>
      </c>
      <c r="B2732" s="1">
        <v>45771</v>
      </c>
      <c r="C2732">
        <v>20</v>
      </c>
      <c r="D2732">
        <v>0.47</v>
      </c>
      <c r="E2732" t="s">
        <v>6</v>
      </c>
      <c r="F2732">
        <v>0.17746000000000001</v>
      </c>
    </row>
    <row r="2733" spans="1:6" x14ac:dyDescent="0.3">
      <c r="A2733" t="s">
        <v>22</v>
      </c>
      <c r="B2733" s="1">
        <v>45771</v>
      </c>
      <c r="C2733">
        <v>21</v>
      </c>
      <c r="D2733">
        <v>0.70599999999999996</v>
      </c>
      <c r="E2733" t="s">
        <v>6</v>
      </c>
      <c r="F2733">
        <v>0.23813999999999999</v>
      </c>
    </row>
    <row r="2734" spans="1:6" x14ac:dyDescent="0.3">
      <c r="A2734" t="s">
        <v>22</v>
      </c>
      <c r="B2734" s="1">
        <v>45771</v>
      </c>
      <c r="C2734">
        <v>22</v>
      </c>
      <c r="D2734">
        <v>1.401</v>
      </c>
      <c r="E2734" t="s">
        <v>6</v>
      </c>
      <c r="F2734">
        <v>0.25347999999999998</v>
      </c>
    </row>
    <row r="2735" spans="1:6" x14ac:dyDescent="0.3">
      <c r="A2735" t="s">
        <v>22</v>
      </c>
      <c r="B2735" s="1">
        <v>45771</v>
      </c>
      <c r="C2735">
        <v>23</v>
      </c>
      <c r="D2735">
        <v>1.216</v>
      </c>
      <c r="E2735" t="s">
        <v>6</v>
      </c>
      <c r="F2735">
        <v>0.18422999999999998</v>
      </c>
    </row>
    <row r="2736" spans="1:6" x14ac:dyDescent="0.3">
      <c r="A2736" t="s">
        <v>22</v>
      </c>
      <c r="B2736" s="1">
        <v>45771</v>
      </c>
      <c r="C2736">
        <v>24</v>
      </c>
      <c r="D2736">
        <v>0.94199999999999995</v>
      </c>
      <c r="E2736" t="s">
        <v>6</v>
      </c>
      <c r="F2736">
        <v>0.17179</v>
      </c>
    </row>
    <row r="2737" spans="1:6" x14ac:dyDescent="0.3">
      <c r="A2737" t="s">
        <v>22</v>
      </c>
      <c r="B2737" s="1">
        <v>45772</v>
      </c>
      <c r="C2737">
        <v>1</v>
      </c>
      <c r="D2737">
        <v>0.72899999999999998</v>
      </c>
      <c r="E2737" t="s">
        <v>6</v>
      </c>
      <c r="F2737">
        <v>0.12623999999999999</v>
      </c>
    </row>
    <row r="2738" spans="1:6" x14ac:dyDescent="0.3">
      <c r="A2738" t="s">
        <v>22</v>
      </c>
      <c r="B2738" s="1">
        <v>45772</v>
      </c>
      <c r="C2738">
        <v>2</v>
      </c>
      <c r="D2738">
        <v>0.96</v>
      </c>
      <c r="E2738" t="s">
        <v>6</v>
      </c>
      <c r="F2738">
        <v>0.11768000000000001</v>
      </c>
    </row>
    <row r="2739" spans="1:6" x14ac:dyDescent="0.3">
      <c r="A2739" t="s">
        <v>22</v>
      </c>
      <c r="B2739" s="1">
        <v>45772</v>
      </c>
      <c r="C2739">
        <v>3</v>
      </c>
      <c r="D2739">
        <v>0.627</v>
      </c>
      <c r="E2739" t="s">
        <v>6</v>
      </c>
      <c r="F2739">
        <v>0.13261000000000001</v>
      </c>
    </row>
    <row r="2740" spans="1:6" x14ac:dyDescent="0.3">
      <c r="A2740" t="s">
        <v>22</v>
      </c>
      <c r="B2740" s="1">
        <v>45772</v>
      </c>
      <c r="C2740">
        <v>4</v>
      </c>
      <c r="D2740">
        <v>0.79200000000000004</v>
      </c>
      <c r="E2740" t="s">
        <v>6</v>
      </c>
      <c r="F2740">
        <v>0.12104000000000001</v>
      </c>
    </row>
    <row r="2741" spans="1:6" x14ac:dyDescent="0.3">
      <c r="A2741" t="s">
        <v>22</v>
      </c>
      <c r="B2741" s="1">
        <v>45772</v>
      </c>
      <c r="C2741">
        <v>5</v>
      </c>
      <c r="D2741">
        <v>1.869</v>
      </c>
      <c r="E2741" t="s">
        <v>6</v>
      </c>
      <c r="F2741">
        <v>0.12544</v>
      </c>
    </row>
    <row r="2742" spans="1:6" x14ac:dyDescent="0.3">
      <c r="A2742" t="s">
        <v>22</v>
      </c>
      <c r="B2742" s="1">
        <v>45772</v>
      </c>
      <c r="C2742">
        <v>6</v>
      </c>
      <c r="D2742">
        <v>0.64100000000000001</v>
      </c>
      <c r="E2742" t="s">
        <v>6</v>
      </c>
      <c r="F2742">
        <v>0.13291999999999998</v>
      </c>
    </row>
    <row r="2743" spans="1:6" x14ac:dyDescent="0.3">
      <c r="A2743" t="s">
        <v>22</v>
      </c>
      <c r="B2743" s="1">
        <v>45772</v>
      </c>
      <c r="C2743">
        <v>7</v>
      </c>
      <c r="D2743">
        <v>0.95799999999999996</v>
      </c>
      <c r="E2743" t="s">
        <v>6</v>
      </c>
      <c r="F2743">
        <v>0.14238000000000001</v>
      </c>
    </row>
    <row r="2744" spans="1:6" x14ac:dyDescent="0.3">
      <c r="A2744" t="s">
        <v>22</v>
      </c>
      <c r="B2744" s="1">
        <v>45772</v>
      </c>
      <c r="C2744">
        <v>8</v>
      </c>
      <c r="D2744">
        <v>1.974</v>
      </c>
      <c r="E2744" t="s">
        <v>6</v>
      </c>
      <c r="F2744">
        <v>0.16131000000000001</v>
      </c>
    </row>
    <row r="2745" spans="1:6" x14ac:dyDescent="0.3">
      <c r="A2745" t="s">
        <v>22</v>
      </c>
      <c r="B2745" s="1">
        <v>45772</v>
      </c>
      <c r="C2745">
        <v>9</v>
      </c>
      <c r="D2745">
        <v>1.284</v>
      </c>
      <c r="E2745" t="s">
        <v>6</v>
      </c>
      <c r="F2745">
        <v>0.17312</v>
      </c>
    </row>
    <row r="2746" spans="1:6" x14ac:dyDescent="0.3">
      <c r="A2746" t="s">
        <v>22</v>
      </c>
      <c r="B2746" s="1">
        <v>45772</v>
      </c>
      <c r="C2746">
        <v>10</v>
      </c>
      <c r="D2746">
        <v>0.17899999999999999</v>
      </c>
      <c r="E2746" t="s">
        <v>6</v>
      </c>
      <c r="F2746">
        <v>0.10345</v>
      </c>
    </row>
    <row r="2747" spans="1:6" x14ac:dyDescent="0.3">
      <c r="A2747" t="s">
        <v>22</v>
      </c>
      <c r="B2747" s="1">
        <v>45772</v>
      </c>
      <c r="C2747">
        <v>11</v>
      </c>
      <c r="D2747">
        <v>0</v>
      </c>
      <c r="E2747" t="s">
        <v>6</v>
      </c>
      <c r="F2747">
        <v>0.13786999999999999</v>
      </c>
    </row>
    <row r="2748" spans="1:6" x14ac:dyDescent="0.3">
      <c r="A2748" t="s">
        <v>22</v>
      </c>
      <c r="B2748" s="1">
        <v>45772</v>
      </c>
      <c r="C2748">
        <v>12</v>
      </c>
      <c r="D2748">
        <v>0</v>
      </c>
      <c r="E2748" t="s">
        <v>6</v>
      </c>
      <c r="F2748">
        <v>0.12107</v>
      </c>
    </row>
    <row r="2749" spans="1:6" x14ac:dyDescent="0.3">
      <c r="A2749" t="s">
        <v>22</v>
      </c>
      <c r="B2749" s="1">
        <v>45772</v>
      </c>
      <c r="C2749">
        <v>13</v>
      </c>
      <c r="D2749">
        <v>0.48899999999999999</v>
      </c>
      <c r="E2749" t="s">
        <v>6</v>
      </c>
      <c r="F2749">
        <v>0.12002</v>
      </c>
    </row>
    <row r="2750" spans="1:6" x14ac:dyDescent="0.3">
      <c r="A2750" t="s">
        <v>22</v>
      </c>
      <c r="B2750" s="1">
        <v>45772</v>
      </c>
      <c r="C2750">
        <v>14</v>
      </c>
      <c r="D2750">
        <v>1.3120000000000001</v>
      </c>
      <c r="E2750" t="s">
        <v>6</v>
      </c>
      <c r="F2750">
        <v>0.1171</v>
      </c>
    </row>
    <row r="2751" spans="1:6" x14ac:dyDescent="0.3">
      <c r="A2751" t="s">
        <v>22</v>
      </c>
      <c r="B2751" s="1">
        <v>45772</v>
      </c>
      <c r="C2751">
        <v>15</v>
      </c>
      <c r="D2751">
        <v>0.184</v>
      </c>
      <c r="E2751" t="s">
        <v>6</v>
      </c>
      <c r="F2751">
        <v>5.2499999999999998E-2</v>
      </c>
    </row>
    <row r="2752" spans="1:6" x14ac:dyDescent="0.3">
      <c r="A2752" t="s">
        <v>22</v>
      </c>
      <c r="B2752" s="1">
        <v>45772</v>
      </c>
      <c r="C2752">
        <v>16</v>
      </c>
      <c r="D2752">
        <v>0</v>
      </c>
      <c r="E2752" t="s">
        <v>6</v>
      </c>
      <c r="F2752">
        <v>5.2780000000000001E-2</v>
      </c>
    </row>
    <row r="2753" spans="1:6" x14ac:dyDescent="0.3">
      <c r="A2753" t="s">
        <v>22</v>
      </c>
      <c r="B2753" s="1">
        <v>45772</v>
      </c>
      <c r="C2753">
        <v>17</v>
      </c>
      <c r="D2753">
        <v>0</v>
      </c>
      <c r="E2753" t="s">
        <v>6</v>
      </c>
      <c r="F2753">
        <v>5.3310000000000003E-2</v>
      </c>
    </row>
    <row r="2754" spans="1:6" x14ac:dyDescent="0.3">
      <c r="A2754" t="s">
        <v>22</v>
      </c>
      <c r="B2754" s="1">
        <v>45772</v>
      </c>
      <c r="C2754">
        <v>18</v>
      </c>
      <c r="D2754">
        <v>0.56299999999999994</v>
      </c>
      <c r="E2754" t="s">
        <v>6</v>
      </c>
      <c r="F2754">
        <v>5.3859999999999998E-2</v>
      </c>
    </row>
    <row r="2755" spans="1:6" x14ac:dyDescent="0.3">
      <c r="A2755" t="s">
        <v>22</v>
      </c>
      <c r="B2755" s="1">
        <v>45772</v>
      </c>
      <c r="C2755">
        <v>19</v>
      </c>
      <c r="D2755">
        <v>0</v>
      </c>
      <c r="E2755" t="s">
        <v>6</v>
      </c>
      <c r="F2755">
        <v>0.12326999999999999</v>
      </c>
    </row>
    <row r="2756" spans="1:6" x14ac:dyDescent="0.3">
      <c r="A2756" t="s">
        <v>22</v>
      </c>
      <c r="B2756" s="1">
        <v>45772</v>
      </c>
      <c r="C2756">
        <v>20</v>
      </c>
      <c r="D2756">
        <v>0.441</v>
      </c>
      <c r="E2756" t="s">
        <v>6</v>
      </c>
      <c r="F2756">
        <v>0.14731</v>
      </c>
    </row>
    <row r="2757" spans="1:6" x14ac:dyDescent="0.3">
      <c r="A2757" t="s">
        <v>22</v>
      </c>
      <c r="B2757" s="1">
        <v>45772</v>
      </c>
      <c r="C2757">
        <v>21</v>
      </c>
      <c r="D2757">
        <v>0.90200000000000002</v>
      </c>
      <c r="E2757" t="s">
        <v>6</v>
      </c>
      <c r="F2757">
        <v>0.21503</v>
      </c>
    </row>
    <row r="2758" spans="1:6" x14ac:dyDescent="0.3">
      <c r="A2758" t="s">
        <v>22</v>
      </c>
      <c r="B2758" s="1">
        <v>45772</v>
      </c>
      <c r="C2758">
        <v>22</v>
      </c>
      <c r="D2758">
        <v>0.86</v>
      </c>
      <c r="E2758" t="s">
        <v>6</v>
      </c>
      <c r="F2758">
        <v>0.24700999999999998</v>
      </c>
    </row>
    <row r="2759" spans="1:6" x14ac:dyDescent="0.3">
      <c r="A2759" t="s">
        <v>22</v>
      </c>
      <c r="B2759" s="1">
        <v>45772</v>
      </c>
      <c r="C2759">
        <v>23</v>
      </c>
      <c r="D2759">
        <v>0.82899999999999996</v>
      </c>
      <c r="E2759" t="s">
        <v>6</v>
      </c>
      <c r="F2759">
        <v>0.14830000000000002</v>
      </c>
    </row>
    <row r="2760" spans="1:6" x14ac:dyDescent="0.3">
      <c r="A2760" t="s">
        <v>22</v>
      </c>
      <c r="B2760" s="1">
        <v>45772</v>
      </c>
      <c r="C2760">
        <v>24</v>
      </c>
      <c r="D2760">
        <v>0.88400000000000001</v>
      </c>
      <c r="E2760" t="s">
        <v>6</v>
      </c>
      <c r="F2760">
        <v>0.10672</v>
      </c>
    </row>
    <row r="2761" spans="1:6" x14ac:dyDescent="0.3">
      <c r="A2761" t="s">
        <v>22</v>
      </c>
      <c r="B2761" s="1">
        <v>45773</v>
      </c>
      <c r="C2761">
        <v>1</v>
      </c>
      <c r="D2761">
        <v>0.65800000000000003</v>
      </c>
      <c r="E2761" t="s">
        <v>6</v>
      </c>
      <c r="F2761">
        <v>8.7680000000000008E-2</v>
      </c>
    </row>
    <row r="2762" spans="1:6" x14ac:dyDescent="0.3">
      <c r="A2762" t="s">
        <v>22</v>
      </c>
      <c r="B2762" s="1">
        <v>45773</v>
      </c>
      <c r="C2762">
        <v>2</v>
      </c>
      <c r="D2762">
        <v>0.72</v>
      </c>
      <c r="E2762" t="s">
        <v>6</v>
      </c>
      <c r="F2762">
        <v>7.6730000000000007E-2</v>
      </c>
    </row>
    <row r="2763" spans="1:6" x14ac:dyDescent="0.3">
      <c r="A2763" t="s">
        <v>22</v>
      </c>
      <c r="B2763" s="1">
        <v>45773</v>
      </c>
      <c r="C2763">
        <v>3</v>
      </c>
      <c r="D2763">
        <v>1.0389999999999999</v>
      </c>
      <c r="E2763" t="s">
        <v>6</v>
      </c>
      <c r="F2763">
        <v>8.1430000000000002E-2</v>
      </c>
    </row>
    <row r="2764" spans="1:6" x14ac:dyDescent="0.3">
      <c r="A2764" t="s">
        <v>22</v>
      </c>
      <c r="B2764" s="1">
        <v>45773</v>
      </c>
      <c r="C2764">
        <v>4</v>
      </c>
      <c r="D2764">
        <v>1.4870000000000001</v>
      </c>
      <c r="E2764" t="s">
        <v>6</v>
      </c>
      <c r="F2764">
        <v>8.0579999999999999E-2</v>
      </c>
    </row>
    <row r="2765" spans="1:6" x14ac:dyDescent="0.3">
      <c r="A2765" t="s">
        <v>22</v>
      </c>
      <c r="B2765" s="1">
        <v>45773</v>
      </c>
      <c r="C2765">
        <v>5</v>
      </c>
      <c r="D2765">
        <v>0.88</v>
      </c>
      <c r="E2765" t="s">
        <v>6</v>
      </c>
      <c r="F2765">
        <v>8.1209999999999991E-2</v>
      </c>
    </row>
    <row r="2766" spans="1:6" x14ac:dyDescent="0.3">
      <c r="A2766" t="s">
        <v>22</v>
      </c>
      <c r="B2766" s="1">
        <v>45773</v>
      </c>
      <c r="C2766">
        <v>6</v>
      </c>
      <c r="D2766">
        <v>0.65</v>
      </c>
      <c r="E2766" t="s">
        <v>6</v>
      </c>
      <c r="F2766">
        <v>7.937000000000001E-2</v>
      </c>
    </row>
    <row r="2767" spans="1:6" x14ac:dyDescent="0.3">
      <c r="A2767" t="s">
        <v>22</v>
      </c>
      <c r="B2767" s="1">
        <v>45773</v>
      </c>
      <c r="C2767">
        <v>7</v>
      </c>
      <c r="D2767">
        <v>0.65100000000000002</v>
      </c>
      <c r="E2767" t="s">
        <v>6</v>
      </c>
      <c r="F2767">
        <v>8.1230000000000011E-2</v>
      </c>
    </row>
    <row r="2768" spans="1:6" x14ac:dyDescent="0.3">
      <c r="A2768" t="s">
        <v>22</v>
      </c>
      <c r="B2768" s="1">
        <v>45773</v>
      </c>
      <c r="C2768">
        <v>8</v>
      </c>
      <c r="D2768">
        <v>0.81599999999999995</v>
      </c>
      <c r="E2768" t="s">
        <v>6</v>
      </c>
      <c r="F2768">
        <v>8.1129999999999994E-2</v>
      </c>
    </row>
    <row r="2769" spans="1:6" x14ac:dyDescent="0.3">
      <c r="A2769" t="s">
        <v>22</v>
      </c>
      <c r="B2769" s="1">
        <v>45773</v>
      </c>
      <c r="C2769">
        <v>9</v>
      </c>
      <c r="D2769">
        <v>0.113</v>
      </c>
      <c r="E2769" t="s">
        <v>6</v>
      </c>
      <c r="F2769">
        <v>7.009E-2</v>
      </c>
    </row>
    <row r="2770" spans="1:6" x14ac:dyDescent="0.3">
      <c r="A2770" t="s">
        <v>22</v>
      </c>
      <c r="B2770" s="1">
        <v>45773</v>
      </c>
      <c r="C2770">
        <v>10</v>
      </c>
      <c r="D2770">
        <v>0.314</v>
      </c>
      <c r="E2770" t="s">
        <v>6</v>
      </c>
      <c r="F2770">
        <v>5.4560000000000004E-2</v>
      </c>
    </row>
    <row r="2771" spans="1:6" x14ac:dyDescent="0.3">
      <c r="A2771" t="s">
        <v>22</v>
      </c>
      <c r="B2771" s="1">
        <v>45773</v>
      </c>
      <c r="C2771">
        <v>11</v>
      </c>
      <c r="D2771">
        <v>0.28399999999999997</v>
      </c>
      <c r="E2771" t="s">
        <v>6</v>
      </c>
      <c r="F2771">
        <v>5.2600000000000001E-2</v>
      </c>
    </row>
    <row r="2772" spans="1:6" x14ac:dyDescent="0.3">
      <c r="A2772" t="s">
        <v>22</v>
      </c>
      <c r="B2772" s="1">
        <v>45773</v>
      </c>
      <c r="C2772">
        <v>12</v>
      </c>
      <c r="D2772">
        <v>0.378</v>
      </c>
      <c r="E2772" t="s">
        <v>6</v>
      </c>
      <c r="F2772">
        <v>5.1139999999999998E-2</v>
      </c>
    </row>
    <row r="2773" spans="1:6" x14ac:dyDescent="0.3">
      <c r="A2773" t="s">
        <v>22</v>
      </c>
      <c r="B2773" s="1">
        <v>45773</v>
      </c>
      <c r="C2773">
        <v>13</v>
      </c>
      <c r="D2773">
        <v>1.3620000000000001</v>
      </c>
      <c r="E2773" t="s">
        <v>6</v>
      </c>
      <c r="F2773">
        <v>5.0619999999999998E-2</v>
      </c>
    </row>
    <row r="2774" spans="1:6" x14ac:dyDescent="0.3">
      <c r="A2774" t="s">
        <v>22</v>
      </c>
      <c r="B2774" s="1">
        <v>45773</v>
      </c>
      <c r="C2774">
        <v>14</v>
      </c>
      <c r="D2774">
        <v>2.6419999999999999</v>
      </c>
      <c r="E2774" t="s">
        <v>6</v>
      </c>
      <c r="F2774">
        <v>5.0270000000000002E-2</v>
      </c>
    </row>
    <row r="2775" spans="1:6" x14ac:dyDescent="0.3">
      <c r="A2775" t="s">
        <v>22</v>
      </c>
      <c r="B2775" s="1">
        <v>45773</v>
      </c>
      <c r="C2775">
        <v>15</v>
      </c>
      <c r="D2775">
        <v>0.59099999999999997</v>
      </c>
      <c r="E2775" t="s">
        <v>6</v>
      </c>
      <c r="F2775">
        <v>4.9430000000000002E-2</v>
      </c>
    </row>
    <row r="2776" spans="1:6" x14ac:dyDescent="0.3">
      <c r="A2776" t="s">
        <v>22</v>
      </c>
      <c r="B2776" s="1">
        <v>45773</v>
      </c>
      <c r="C2776">
        <v>16</v>
      </c>
      <c r="D2776">
        <v>2.1999999999999999E-2</v>
      </c>
      <c r="E2776" t="s">
        <v>6</v>
      </c>
      <c r="F2776">
        <v>5.0610000000000002E-2</v>
      </c>
    </row>
    <row r="2777" spans="1:6" x14ac:dyDescent="0.3">
      <c r="A2777" t="s">
        <v>22</v>
      </c>
      <c r="B2777" s="1">
        <v>45773</v>
      </c>
      <c r="C2777">
        <v>17</v>
      </c>
      <c r="D2777">
        <v>8.0000000000000002E-3</v>
      </c>
      <c r="E2777" t="s">
        <v>6</v>
      </c>
      <c r="F2777">
        <v>5.1470000000000002E-2</v>
      </c>
    </row>
    <row r="2778" spans="1:6" x14ac:dyDescent="0.3">
      <c r="A2778" t="s">
        <v>22</v>
      </c>
      <c r="B2778" s="1">
        <v>45773</v>
      </c>
      <c r="C2778">
        <v>18</v>
      </c>
      <c r="D2778">
        <v>1.7000000000000001E-2</v>
      </c>
      <c r="E2778" t="s">
        <v>6</v>
      </c>
      <c r="F2778">
        <v>5.2229999999999999E-2</v>
      </c>
    </row>
    <row r="2779" spans="1:6" x14ac:dyDescent="0.3">
      <c r="A2779" t="s">
        <v>22</v>
      </c>
      <c r="B2779" s="1">
        <v>45773</v>
      </c>
      <c r="C2779">
        <v>19</v>
      </c>
      <c r="D2779">
        <v>0.02</v>
      </c>
      <c r="E2779" t="s">
        <v>6</v>
      </c>
      <c r="F2779">
        <v>5.1189999999999999E-2</v>
      </c>
    </row>
    <row r="2780" spans="1:6" x14ac:dyDescent="0.3">
      <c r="A2780" t="s">
        <v>22</v>
      </c>
      <c r="B2780" s="1">
        <v>45773</v>
      </c>
      <c r="C2780">
        <v>20</v>
      </c>
      <c r="D2780">
        <v>0.128</v>
      </c>
      <c r="E2780" t="s">
        <v>6</v>
      </c>
      <c r="F2780">
        <v>5.3719999999999997E-2</v>
      </c>
    </row>
    <row r="2781" spans="1:6" x14ac:dyDescent="0.3">
      <c r="A2781" t="s">
        <v>22</v>
      </c>
      <c r="B2781" s="1">
        <v>45773</v>
      </c>
      <c r="C2781">
        <v>21</v>
      </c>
      <c r="D2781">
        <v>1.0469999999999999</v>
      </c>
      <c r="E2781" t="s">
        <v>6</v>
      </c>
      <c r="F2781">
        <v>6.584000000000001E-2</v>
      </c>
    </row>
    <row r="2782" spans="1:6" x14ac:dyDescent="0.3">
      <c r="A2782" t="s">
        <v>22</v>
      </c>
      <c r="B2782" s="1">
        <v>45773</v>
      </c>
      <c r="C2782">
        <v>22</v>
      </c>
      <c r="D2782">
        <v>0.85299999999999998</v>
      </c>
      <c r="E2782" t="s">
        <v>6</v>
      </c>
      <c r="F2782">
        <v>8.0610000000000001E-2</v>
      </c>
    </row>
    <row r="2783" spans="1:6" x14ac:dyDescent="0.3">
      <c r="A2783" t="s">
        <v>22</v>
      </c>
      <c r="B2783" s="1">
        <v>45773</v>
      </c>
      <c r="C2783">
        <v>23</v>
      </c>
      <c r="D2783">
        <v>0.78700000000000003</v>
      </c>
      <c r="E2783" t="s">
        <v>6</v>
      </c>
      <c r="F2783">
        <v>7.639E-2</v>
      </c>
    </row>
    <row r="2784" spans="1:6" x14ac:dyDescent="0.3">
      <c r="A2784" t="s">
        <v>22</v>
      </c>
      <c r="B2784" s="1">
        <v>45773</v>
      </c>
      <c r="C2784">
        <v>24</v>
      </c>
      <c r="D2784">
        <v>1.7649999999999999</v>
      </c>
      <c r="E2784" t="s">
        <v>6</v>
      </c>
      <c r="F2784">
        <v>7.5109999999999996E-2</v>
      </c>
    </row>
    <row r="2785" spans="1:6" x14ac:dyDescent="0.3">
      <c r="A2785" t="s">
        <v>22</v>
      </c>
      <c r="B2785" s="1">
        <v>45774</v>
      </c>
      <c r="C2785">
        <v>1</v>
      </c>
      <c r="D2785">
        <v>0.28799999999999998</v>
      </c>
      <c r="E2785" t="s">
        <v>6</v>
      </c>
      <c r="F2785">
        <v>8.9760000000000006E-2</v>
      </c>
    </row>
    <row r="2786" spans="1:6" x14ac:dyDescent="0.3">
      <c r="A2786" t="s">
        <v>22</v>
      </c>
      <c r="B2786" s="1">
        <v>45774</v>
      </c>
      <c r="C2786">
        <v>2</v>
      </c>
      <c r="D2786">
        <v>0.27400000000000002</v>
      </c>
      <c r="E2786" t="s">
        <v>6</v>
      </c>
      <c r="F2786">
        <v>8.4360000000000004E-2</v>
      </c>
    </row>
    <row r="2787" spans="1:6" x14ac:dyDescent="0.3">
      <c r="A2787" t="s">
        <v>22</v>
      </c>
      <c r="B2787" s="1">
        <v>45774</v>
      </c>
      <c r="C2787">
        <v>3</v>
      </c>
      <c r="D2787">
        <v>0.128</v>
      </c>
      <c r="E2787" t="s">
        <v>6</v>
      </c>
      <c r="F2787">
        <v>8.3720000000000003E-2</v>
      </c>
    </row>
    <row r="2788" spans="1:6" x14ac:dyDescent="0.3">
      <c r="A2788" t="s">
        <v>22</v>
      </c>
      <c r="B2788" s="1">
        <v>45774</v>
      </c>
      <c r="C2788">
        <v>4</v>
      </c>
      <c r="D2788">
        <v>0.11799999999999999</v>
      </c>
      <c r="E2788" t="s">
        <v>6</v>
      </c>
      <c r="F2788">
        <v>8.6510000000000004E-2</v>
      </c>
    </row>
    <row r="2789" spans="1:6" x14ac:dyDescent="0.3">
      <c r="A2789" t="s">
        <v>22</v>
      </c>
      <c r="B2789" s="1">
        <v>45774</v>
      </c>
      <c r="C2789">
        <v>5</v>
      </c>
      <c r="D2789">
        <v>0.17899999999999999</v>
      </c>
      <c r="E2789" t="s">
        <v>6</v>
      </c>
      <c r="F2789">
        <v>8.6900000000000005E-2</v>
      </c>
    </row>
    <row r="2790" spans="1:6" x14ac:dyDescent="0.3">
      <c r="A2790" t="s">
        <v>22</v>
      </c>
      <c r="B2790" s="1">
        <v>45774</v>
      </c>
      <c r="C2790">
        <v>6</v>
      </c>
      <c r="D2790">
        <v>0.49299999999999999</v>
      </c>
      <c r="E2790" t="s">
        <v>6</v>
      </c>
      <c r="F2790">
        <v>8.6489999999999997E-2</v>
      </c>
    </row>
    <row r="2791" spans="1:6" x14ac:dyDescent="0.3">
      <c r="A2791" t="s">
        <v>22</v>
      </c>
      <c r="B2791" s="1">
        <v>45774</v>
      </c>
      <c r="C2791">
        <v>7</v>
      </c>
      <c r="D2791">
        <v>2.444</v>
      </c>
      <c r="E2791" t="s">
        <v>6</v>
      </c>
      <c r="F2791">
        <v>8.4000000000000005E-2</v>
      </c>
    </row>
    <row r="2792" spans="1:6" x14ac:dyDescent="0.3">
      <c r="A2792" t="s">
        <v>22</v>
      </c>
      <c r="B2792" s="1">
        <v>45774</v>
      </c>
      <c r="C2792">
        <v>8</v>
      </c>
      <c r="D2792">
        <v>1.528</v>
      </c>
      <c r="E2792" t="s">
        <v>6</v>
      </c>
      <c r="F2792">
        <v>8.3510000000000001E-2</v>
      </c>
    </row>
    <row r="2793" spans="1:6" x14ac:dyDescent="0.3">
      <c r="A2793" t="s">
        <v>22</v>
      </c>
      <c r="B2793" s="1">
        <v>45774</v>
      </c>
      <c r="C2793">
        <v>9</v>
      </c>
      <c r="D2793">
        <v>0.52400000000000002</v>
      </c>
      <c r="E2793" t="s">
        <v>6</v>
      </c>
      <c r="F2793">
        <v>7.0680000000000007E-2</v>
      </c>
    </row>
    <row r="2794" spans="1:6" x14ac:dyDescent="0.3">
      <c r="A2794" t="s">
        <v>22</v>
      </c>
      <c r="B2794" s="1">
        <v>45774</v>
      </c>
      <c r="C2794">
        <v>10</v>
      </c>
      <c r="D2794">
        <v>0</v>
      </c>
      <c r="E2794" t="s">
        <v>6</v>
      </c>
      <c r="F2794">
        <v>5.9409999999999998E-2</v>
      </c>
    </row>
    <row r="2795" spans="1:6" x14ac:dyDescent="0.3">
      <c r="A2795" t="s">
        <v>22</v>
      </c>
      <c r="B2795" s="1">
        <v>45774</v>
      </c>
      <c r="C2795">
        <v>11</v>
      </c>
      <c r="D2795">
        <v>0</v>
      </c>
      <c r="E2795" t="s">
        <v>6</v>
      </c>
      <c r="F2795">
        <v>5.6809999999999999E-2</v>
      </c>
    </row>
    <row r="2796" spans="1:6" x14ac:dyDescent="0.3">
      <c r="A2796" t="s">
        <v>22</v>
      </c>
      <c r="B2796" s="1">
        <v>45774</v>
      </c>
      <c r="C2796">
        <v>12</v>
      </c>
      <c r="D2796">
        <v>0</v>
      </c>
      <c r="E2796" t="s">
        <v>6</v>
      </c>
      <c r="F2796">
        <v>5.4689999999999996E-2</v>
      </c>
    </row>
    <row r="2797" spans="1:6" x14ac:dyDescent="0.3">
      <c r="A2797" t="s">
        <v>22</v>
      </c>
      <c r="B2797" s="1">
        <v>45774</v>
      </c>
      <c r="C2797">
        <v>13</v>
      </c>
      <c r="D2797">
        <v>0</v>
      </c>
      <c r="E2797" t="s">
        <v>6</v>
      </c>
      <c r="F2797">
        <v>5.4439999999999995E-2</v>
      </c>
    </row>
    <row r="2798" spans="1:6" x14ac:dyDescent="0.3">
      <c r="A2798" t="s">
        <v>22</v>
      </c>
      <c r="B2798" s="1">
        <v>45774</v>
      </c>
      <c r="C2798">
        <v>14</v>
      </c>
      <c r="D2798">
        <v>0</v>
      </c>
      <c r="E2798" t="s">
        <v>6</v>
      </c>
      <c r="F2798">
        <v>5.3619999999999994E-2</v>
      </c>
    </row>
    <row r="2799" spans="1:6" x14ac:dyDescent="0.3">
      <c r="A2799" t="s">
        <v>22</v>
      </c>
      <c r="B2799" s="1">
        <v>45774</v>
      </c>
      <c r="C2799">
        <v>15</v>
      </c>
      <c r="D2799">
        <v>0</v>
      </c>
      <c r="E2799" t="s">
        <v>6</v>
      </c>
      <c r="F2799">
        <v>5.391E-2</v>
      </c>
    </row>
    <row r="2800" spans="1:6" x14ac:dyDescent="0.3">
      <c r="A2800" t="s">
        <v>22</v>
      </c>
      <c r="B2800" s="1">
        <v>45774</v>
      </c>
      <c r="C2800">
        <v>16</v>
      </c>
      <c r="D2800">
        <v>3.3000000000000002E-2</v>
      </c>
      <c r="E2800" t="s">
        <v>6</v>
      </c>
      <c r="F2800">
        <v>5.4950000000000006E-2</v>
      </c>
    </row>
    <row r="2801" spans="1:6" x14ac:dyDescent="0.3">
      <c r="A2801" t="s">
        <v>22</v>
      </c>
      <c r="B2801" s="1">
        <v>45774</v>
      </c>
      <c r="C2801">
        <v>17</v>
      </c>
      <c r="D2801">
        <v>0</v>
      </c>
      <c r="E2801" t="s">
        <v>6</v>
      </c>
      <c r="F2801">
        <v>5.7090000000000002E-2</v>
      </c>
    </row>
    <row r="2802" spans="1:6" x14ac:dyDescent="0.3">
      <c r="A2802" t="s">
        <v>22</v>
      </c>
      <c r="B2802" s="1">
        <v>45774</v>
      </c>
      <c r="C2802">
        <v>18</v>
      </c>
      <c r="D2802">
        <v>0</v>
      </c>
      <c r="E2802" t="s">
        <v>6</v>
      </c>
      <c r="F2802">
        <v>5.9290000000000002E-2</v>
      </c>
    </row>
    <row r="2803" spans="1:6" x14ac:dyDescent="0.3">
      <c r="A2803" t="s">
        <v>22</v>
      </c>
      <c r="B2803" s="1">
        <v>45774</v>
      </c>
      <c r="C2803">
        <v>19</v>
      </c>
      <c r="D2803">
        <v>0</v>
      </c>
      <c r="E2803" t="s">
        <v>6</v>
      </c>
      <c r="F2803">
        <v>5.2240000000000002E-2</v>
      </c>
    </row>
    <row r="2804" spans="1:6" x14ac:dyDescent="0.3">
      <c r="A2804" t="s">
        <v>22</v>
      </c>
      <c r="B2804" s="1">
        <v>45774</v>
      </c>
      <c r="C2804">
        <v>20</v>
      </c>
      <c r="D2804">
        <v>0</v>
      </c>
      <c r="E2804" t="s">
        <v>6</v>
      </c>
      <c r="F2804">
        <v>5.8959999999999999E-2</v>
      </c>
    </row>
    <row r="2805" spans="1:6" x14ac:dyDescent="0.3">
      <c r="A2805" t="s">
        <v>22</v>
      </c>
      <c r="B2805" s="1">
        <v>45774</v>
      </c>
      <c r="C2805">
        <v>21</v>
      </c>
      <c r="D2805">
        <v>0.41599999999999998</v>
      </c>
      <c r="E2805" t="s">
        <v>6</v>
      </c>
      <c r="F2805">
        <v>9.3709999999999988E-2</v>
      </c>
    </row>
    <row r="2806" spans="1:6" x14ac:dyDescent="0.3">
      <c r="A2806" t="s">
        <v>22</v>
      </c>
      <c r="B2806" s="1">
        <v>45774</v>
      </c>
      <c r="C2806">
        <v>22</v>
      </c>
      <c r="D2806">
        <v>0.997</v>
      </c>
      <c r="E2806" t="s">
        <v>6</v>
      </c>
      <c r="F2806">
        <v>0.16472000000000001</v>
      </c>
    </row>
    <row r="2807" spans="1:6" x14ac:dyDescent="0.3">
      <c r="A2807" t="s">
        <v>22</v>
      </c>
      <c r="B2807" s="1">
        <v>45774</v>
      </c>
      <c r="C2807">
        <v>23</v>
      </c>
      <c r="D2807">
        <v>0.27500000000000002</v>
      </c>
      <c r="E2807" t="s">
        <v>6</v>
      </c>
      <c r="F2807">
        <v>0.14892</v>
      </c>
    </row>
    <row r="2808" spans="1:6" x14ac:dyDescent="0.3">
      <c r="A2808" t="s">
        <v>22</v>
      </c>
      <c r="B2808" s="1">
        <v>45774</v>
      </c>
      <c r="C2808">
        <v>24</v>
      </c>
      <c r="D2808">
        <v>2.5369999999999999</v>
      </c>
      <c r="E2808" t="s">
        <v>6</v>
      </c>
      <c r="F2808">
        <v>9.9569999999999992E-2</v>
      </c>
    </row>
    <row r="2809" spans="1:6" x14ac:dyDescent="0.3">
      <c r="A2809" t="s">
        <v>22</v>
      </c>
      <c r="B2809" s="1">
        <v>45775</v>
      </c>
      <c r="C2809">
        <v>1</v>
      </c>
      <c r="D2809">
        <v>2.3140000000000001</v>
      </c>
      <c r="E2809" t="s">
        <v>6</v>
      </c>
      <c r="F2809">
        <v>9.9089999999999998E-2</v>
      </c>
    </row>
    <row r="2810" spans="1:6" x14ac:dyDescent="0.3">
      <c r="A2810" t="s">
        <v>22</v>
      </c>
      <c r="B2810" s="1">
        <v>45775</v>
      </c>
      <c r="C2810">
        <v>2</v>
      </c>
      <c r="D2810">
        <v>2.4300000000000002</v>
      </c>
      <c r="E2810" t="s">
        <v>6</v>
      </c>
      <c r="F2810">
        <v>9.2219999999999996E-2</v>
      </c>
    </row>
    <row r="2811" spans="1:6" x14ac:dyDescent="0.3">
      <c r="A2811" t="s">
        <v>22</v>
      </c>
      <c r="B2811" s="1">
        <v>45775</v>
      </c>
      <c r="C2811">
        <v>3</v>
      </c>
      <c r="D2811">
        <v>1.7110000000000001</v>
      </c>
      <c r="E2811" t="s">
        <v>6</v>
      </c>
      <c r="F2811">
        <v>9.5500000000000002E-2</v>
      </c>
    </row>
    <row r="2812" spans="1:6" x14ac:dyDescent="0.3">
      <c r="A2812" t="s">
        <v>22</v>
      </c>
      <c r="B2812" s="1">
        <v>45775</v>
      </c>
      <c r="C2812">
        <v>4</v>
      </c>
      <c r="D2812">
        <v>1.5569999999999999</v>
      </c>
      <c r="E2812" t="s">
        <v>6</v>
      </c>
      <c r="F2812">
        <v>9.6909999999999996E-2</v>
      </c>
    </row>
    <row r="2813" spans="1:6" x14ac:dyDescent="0.3">
      <c r="A2813" t="s">
        <v>22</v>
      </c>
      <c r="B2813" s="1">
        <v>45775</v>
      </c>
      <c r="C2813">
        <v>5</v>
      </c>
      <c r="D2813">
        <v>1.5629999999999999</v>
      </c>
      <c r="E2813" t="s">
        <v>6</v>
      </c>
      <c r="F2813">
        <v>9.6849999999999992E-2</v>
      </c>
    </row>
    <row r="2814" spans="1:6" x14ac:dyDescent="0.3">
      <c r="A2814" t="s">
        <v>22</v>
      </c>
      <c r="B2814" s="1">
        <v>45775</v>
      </c>
      <c r="C2814">
        <v>6</v>
      </c>
      <c r="D2814">
        <v>0.91500000000000004</v>
      </c>
      <c r="E2814" t="s">
        <v>6</v>
      </c>
      <c r="F2814">
        <v>0.1018</v>
      </c>
    </row>
    <row r="2815" spans="1:6" x14ac:dyDescent="0.3">
      <c r="A2815" t="s">
        <v>22</v>
      </c>
      <c r="B2815" s="1">
        <v>45775</v>
      </c>
      <c r="C2815">
        <v>7</v>
      </c>
      <c r="D2815">
        <v>1.306</v>
      </c>
      <c r="E2815" t="s">
        <v>6</v>
      </c>
      <c r="F2815">
        <v>9.9319999999999992E-2</v>
      </c>
    </row>
    <row r="2816" spans="1:6" x14ac:dyDescent="0.3">
      <c r="A2816" t="s">
        <v>22</v>
      </c>
      <c r="B2816" s="1">
        <v>45775</v>
      </c>
      <c r="C2816">
        <v>8</v>
      </c>
      <c r="D2816">
        <v>1.6020000000000001</v>
      </c>
      <c r="E2816" t="s">
        <v>6</v>
      </c>
      <c r="F2816">
        <v>0.11595999999999999</v>
      </c>
    </row>
    <row r="2817" spans="1:6" x14ac:dyDescent="0.3">
      <c r="A2817" t="s">
        <v>22</v>
      </c>
      <c r="B2817" s="1">
        <v>45775</v>
      </c>
      <c r="C2817">
        <v>9</v>
      </c>
      <c r="D2817">
        <v>0.03</v>
      </c>
      <c r="E2817" t="s">
        <v>6</v>
      </c>
      <c r="F2817">
        <v>0.11123999999999999</v>
      </c>
    </row>
    <row r="2818" spans="1:6" x14ac:dyDescent="0.3">
      <c r="A2818" t="s">
        <v>22</v>
      </c>
      <c r="B2818" s="1">
        <v>45775</v>
      </c>
      <c r="C2818">
        <v>10</v>
      </c>
      <c r="D2818">
        <v>0</v>
      </c>
      <c r="E2818" t="s">
        <v>6</v>
      </c>
      <c r="F2818">
        <v>7.5049999999999992E-2</v>
      </c>
    </row>
    <row r="2819" spans="1:6" x14ac:dyDescent="0.3">
      <c r="A2819" t="s">
        <v>22</v>
      </c>
      <c r="B2819" s="1">
        <v>45775</v>
      </c>
      <c r="C2819">
        <v>11</v>
      </c>
      <c r="D2819">
        <v>0</v>
      </c>
      <c r="E2819" t="s">
        <v>6</v>
      </c>
      <c r="F2819">
        <v>0.13582</v>
      </c>
    </row>
    <row r="2820" spans="1:6" x14ac:dyDescent="0.3">
      <c r="A2820" t="s">
        <v>22</v>
      </c>
      <c r="B2820" s="1">
        <v>45775</v>
      </c>
      <c r="C2820">
        <v>12</v>
      </c>
      <c r="D2820">
        <v>0</v>
      </c>
      <c r="E2820" t="s">
        <v>6</v>
      </c>
      <c r="F2820">
        <v>0.13586999999999999</v>
      </c>
    </row>
    <row r="2821" spans="1:6" x14ac:dyDescent="0.3">
      <c r="A2821" t="s">
        <v>22</v>
      </c>
      <c r="B2821" s="1">
        <v>45775</v>
      </c>
      <c r="C2821">
        <v>13</v>
      </c>
      <c r="D2821">
        <v>0</v>
      </c>
      <c r="E2821" t="s">
        <v>6</v>
      </c>
      <c r="F2821">
        <v>0.13475000000000001</v>
      </c>
    </row>
    <row r="2822" spans="1:6" x14ac:dyDescent="0.3">
      <c r="A2822" t="s">
        <v>22</v>
      </c>
      <c r="B2822" s="1">
        <v>45775</v>
      </c>
      <c r="C2822">
        <v>14</v>
      </c>
      <c r="D2822">
        <v>0</v>
      </c>
      <c r="E2822" t="s">
        <v>6</v>
      </c>
      <c r="F2822">
        <v>0.13034999999999999</v>
      </c>
    </row>
    <row r="2823" spans="1:6" x14ac:dyDescent="0.3">
      <c r="A2823" t="s">
        <v>22</v>
      </c>
      <c r="B2823" s="1">
        <v>45775</v>
      </c>
      <c r="C2823">
        <v>15</v>
      </c>
      <c r="D2823">
        <v>0</v>
      </c>
      <c r="E2823" t="s">
        <v>6</v>
      </c>
      <c r="F2823">
        <v>6.5379999999999994E-2</v>
      </c>
    </row>
    <row r="2824" spans="1:6" x14ac:dyDescent="0.3">
      <c r="A2824" t="s">
        <v>22</v>
      </c>
      <c r="B2824" s="1">
        <v>45775</v>
      </c>
      <c r="C2824">
        <v>16</v>
      </c>
      <c r="D2824">
        <v>0</v>
      </c>
      <c r="E2824" t="s">
        <v>6</v>
      </c>
      <c r="F2824">
        <v>6.7159999999999997E-2</v>
      </c>
    </row>
    <row r="2825" spans="1:6" x14ac:dyDescent="0.3">
      <c r="A2825" t="s">
        <v>22</v>
      </c>
      <c r="B2825" s="1">
        <v>45775</v>
      </c>
      <c r="C2825">
        <v>17</v>
      </c>
      <c r="D2825">
        <v>0</v>
      </c>
      <c r="E2825" t="s">
        <v>6</v>
      </c>
      <c r="F2825">
        <v>6.787E-2</v>
      </c>
    </row>
    <row r="2826" spans="1:6" x14ac:dyDescent="0.3">
      <c r="A2826" t="s">
        <v>22</v>
      </c>
      <c r="B2826" s="1">
        <v>45775</v>
      </c>
      <c r="C2826">
        <v>18</v>
      </c>
      <c r="D2826">
        <v>0</v>
      </c>
      <c r="E2826" t="s">
        <v>6</v>
      </c>
      <c r="F2826">
        <v>7.0279999999999995E-2</v>
      </c>
    </row>
    <row r="2827" spans="1:6" x14ac:dyDescent="0.3">
      <c r="A2827" t="s">
        <v>22</v>
      </c>
      <c r="B2827" s="1">
        <v>45775</v>
      </c>
      <c r="C2827">
        <v>19</v>
      </c>
      <c r="D2827">
        <v>0</v>
      </c>
      <c r="E2827" t="s">
        <v>6</v>
      </c>
      <c r="F2827">
        <v>0.13728000000000001</v>
      </c>
    </row>
    <row r="2828" spans="1:6" x14ac:dyDescent="0.3">
      <c r="A2828" t="s">
        <v>22</v>
      </c>
      <c r="B2828" s="1">
        <v>45775</v>
      </c>
      <c r="C2828">
        <v>20</v>
      </c>
      <c r="D2828">
        <v>0</v>
      </c>
      <c r="E2828" t="s">
        <v>6</v>
      </c>
      <c r="F2828">
        <v>0.14388000000000001</v>
      </c>
    </row>
    <row r="2829" spans="1:6" x14ac:dyDescent="0.3">
      <c r="A2829" t="s">
        <v>22</v>
      </c>
      <c r="B2829" s="1">
        <v>45775</v>
      </c>
      <c r="C2829">
        <v>21</v>
      </c>
      <c r="D2829">
        <v>0</v>
      </c>
      <c r="E2829" t="s">
        <v>6</v>
      </c>
      <c r="F2829">
        <v>0.18574000000000002</v>
      </c>
    </row>
    <row r="2830" spans="1:6" x14ac:dyDescent="0.3">
      <c r="A2830" t="s">
        <v>22</v>
      </c>
      <c r="B2830" s="1">
        <v>45775</v>
      </c>
      <c r="C2830">
        <v>22</v>
      </c>
      <c r="D2830">
        <v>0</v>
      </c>
      <c r="E2830" t="s">
        <v>6</v>
      </c>
      <c r="F2830">
        <v>0.22941999999999999</v>
      </c>
    </row>
    <row r="2831" spans="1:6" x14ac:dyDescent="0.3">
      <c r="A2831" t="s">
        <v>22</v>
      </c>
      <c r="B2831" s="1">
        <v>45775</v>
      </c>
      <c r="C2831">
        <v>23</v>
      </c>
      <c r="D2831">
        <v>0</v>
      </c>
      <c r="E2831" t="s">
        <v>6</v>
      </c>
      <c r="F2831">
        <v>0.14510000000000001</v>
      </c>
    </row>
    <row r="2832" spans="1:6" x14ac:dyDescent="0.3">
      <c r="A2832" t="s">
        <v>22</v>
      </c>
      <c r="B2832" s="1">
        <v>45775</v>
      </c>
      <c r="C2832">
        <v>24</v>
      </c>
      <c r="D2832">
        <v>0</v>
      </c>
      <c r="E2832" t="s">
        <v>6</v>
      </c>
      <c r="F2832">
        <v>0.11612</v>
      </c>
    </row>
    <row r="2833" spans="1:6" x14ac:dyDescent="0.3">
      <c r="A2833" t="s">
        <v>22</v>
      </c>
      <c r="B2833" s="1">
        <v>45776</v>
      </c>
      <c r="C2833">
        <v>1</v>
      </c>
      <c r="D2833">
        <v>0</v>
      </c>
      <c r="E2833" t="s">
        <v>6</v>
      </c>
      <c r="F2833">
        <v>9.35E-2</v>
      </c>
    </row>
    <row r="2834" spans="1:6" x14ac:dyDescent="0.3">
      <c r="A2834" t="s">
        <v>22</v>
      </c>
      <c r="B2834" s="1">
        <v>45776</v>
      </c>
      <c r="C2834">
        <v>2</v>
      </c>
      <c r="D2834">
        <v>1.3029999999999999</v>
      </c>
      <c r="E2834" t="s">
        <v>6</v>
      </c>
      <c r="F2834">
        <v>9.1739999999999988E-2</v>
      </c>
    </row>
    <row r="2835" spans="1:6" x14ac:dyDescent="0.3">
      <c r="A2835" t="s">
        <v>22</v>
      </c>
      <c r="B2835" s="1">
        <v>45776</v>
      </c>
      <c r="C2835">
        <v>3</v>
      </c>
      <c r="D2835">
        <v>2.4369999999999998</v>
      </c>
      <c r="E2835" t="s">
        <v>6</v>
      </c>
      <c r="F2835">
        <v>9.4500000000000001E-2</v>
      </c>
    </row>
    <row r="2836" spans="1:6" x14ac:dyDescent="0.3">
      <c r="A2836" t="s">
        <v>22</v>
      </c>
      <c r="B2836" s="1">
        <v>45776</v>
      </c>
      <c r="C2836">
        <v>4</v>
      </c>
      <c r="D2836">
        <v>1.8</v>
      </c>
      <c r="E2836" t="s">
        <v>6</v>
      </c>
      <c r="F2836">
        <v>9.1219999999999996E-2</v>
      </c>
    </row>
    <row r="2837" spans="1:6" x14ac:dyDescent="0.3">
      <c r="A2837" t="s">
        <v>22</v>
      </c>
      <c r="B2837" s="1">
        <v>45776</v>
      </c>
      <c r="C2837">
        <v>5</v>
      </c>
      <c r="D2837">
        <v>1.696</v>
      </c>
      <c r="E2837" t="s">
        <v>6</v>
      </c>
      <c r="F2837">
        <v>9.104000000000001E-2</v>
      </c>
    </row>
    <row r="2838" spans="1:6" x14ac:dyDescent="0.3">
      <c r="A2838" t="s">
        <v>22</v>
      </c>
      <c r="B2838" s="1">
        <v>45776</v>
      </c>
      <c r="C2838">
        <v>6</v>
      </c>
      <c r="D2838">
        <v>1.5980000000000001</v>
      </c>
      <c r="E2838" t="s">
        <v>6</v>
      </c>
      <c r="F2838">
        <v>8.9400000000000007E-2</v>
      </c>
    </row>
    <row r="2839" spans="1:6" x14ac:dyDescent="0.3">
      <c r="A2839" t="s">
        <v>22</v>
      </c>
      <c r="B2839" s="1">
        <v>45776</v>
      </c>
      <c r="C2839">
        <v>7</v>
      </c>
      <c r="D2839">
        <v>1.635</v>
      </c>
      <c r="E2839" t="s">
        <v>6</v>
      </c>
      <c r="F2839">
        <v>8.8800000000000004E-2</v>
      </c>
    </row>
    <row r="2840" spans="1:6" x14ac:dyDescent="0.3">
      <c r="A2840" t="s">
        <v>22</v>
      </c>
      <c r="B2840" s="1">
        <v>45776</v>
      </c>
      <c r="C2840">
        <v>8</v>
      </c>
      <c r="D2840">
        <v>1.859</v>
      </c>
      <c r="E2840" t="s">
        <v>6</v>
      </c>
      <c r="F2840">
        <v>9.3670000000000003E-2</v>
      </c>
    </row>
    <row r="2841" spans="1:6" x14ac:dyDescent="0.3">
      <c r="A2841" t="s">
        <v>22</v>
      </c>
      <c r="B2841" s="1">
        <v>45776</v>
      </c>
      <c r="C2841">
        <v>9</v>
      </c>
      <c r="D2841">
        <v>3.7679999999999998</v>
      </c>
      <c r="E2841" t="s">
        <v>6</v>
      </c>
      <c r="F2841">
        <v>0.11095999999999999</v>
      </c>
    </row>
    <row r="2842" spans="1:6" x14ac:dyDescent="0.3">
      <c r="A2842" t="s">
        <v>22</v>
      </c>
      <c r="B2842" s="1">
        <v>45776</v>
      </c>
      <c r="C2842">
        <v>10</v>
      </c>
      <c r="D2842">
        <v>0</v>
      </c>
      <c r="E2842" t="s">
        <v>6</v>
      </c>
      <c r="F2842">
        <v>0.10246</v>
      </c>
    </row>
    <row r="2843" spans="1:6" x14ac:dyDescent="0.3">
      <c r="A2843" t="s">
        <v>22</v>
      </c>
      <c r="B2843" s="1">
        <v>45776</v>
      </c>
      <c r="C2843">
        <v>11</v>
      </c>
      <c r="D2843">
        <v>0</v>
      </c>
      <c r="E2843" t="s">
        <v>6</v>
      </c>
      <c r="F2843">
        <v>0.16308</v>
      </c>
    </row>
    <row r="2844" spans="1:6" x14ac:dyDescent="0.3">
      <c r="A2844" t="s">
        <v>22</v>
      </c>
      <c r="B2844" s="1">
        <v>45776</v>
      </c>
      <c r="C2844">
        <v>12</v>
      </c>
      <c r="D2844">
        <v>0</v>
      </c>
      <c r="E2844" t="s">
        <v>6</v>
      </c>
      <c r="F2844">
        <v>0.15952000000000002</v>
      </c>
    </row>
    <row r="2845" spans="1:6" x14ac:dyDescent="0.3">
      <c r="A2845" t="s">
        <v>22</v>
      </c>
      <c r="B2845" s="1">
        <v>45776</v>
      </c>
      <c r="C2845">
        <v>13</v>
      </c>
      <c r="D2845">
        <v>0</v>
      </c>
      <c r="E2845" t="s">
        <v>6</v>
      </c>
      <c r="F2845">
        <v>0.15812999999999999</v>
      </c>
    </row>
    <row r="2846" spans="1:6" x14ac:dyDescent="0.3">
      <c r="A2846" t="s">
        <v>22</v>
      </c>
      <c r="B2846" s="1">
        <v>45776</v>
      </c>
      <c r="C2846">
        <v>14</v>
      </c>
      <c r="D2846">
        <v>0</v>
      </c>
      <c r="E2846" t="s">
        <v>6</v>
      </c>
      <c r="F2846">
        <v>0.15408000000000002</v>
      </c>
    </row>
    <row r="2847" spans="1:6" x14ac:dyDescent="0.3">
      <c r="A2847" t="s">
        <v>22</v>
      </c>
      <c r="B2847" s="1">
        <v>45776</v>
      </c>
      <c r="C2847">
        <v>15</v>
      </c>
      <c r="D2847">
        <v>0</v>
      </c>
      <c r="E2847" t="s">
        <v>6</v>
      </c>
      <c r="F2847">
        <v>9.079000000000001E-2</v>
      </c>
    </row>
    <row r="2848" spans="1:6" x14ac:dyDescent="0.3">
      <c r="A2848" t="s">
        <v>22</v>
      </c>
      <c r="B2848" s="1">
        <v>45776</v>
      </c>
      <c r="C2848">
        <v>16</v>
      </c>
      <c r="D2848">
        <v>2.2309999999999999</v>
      </c>
      <c r="E2848" t="s">
        <v>6</v>
      </c>
      <c r="F2848">
        <v>9.2170000000000002E-2</v>
      </c>
    </row>
    <row r="2849" spans="1:6" x14ac:dyDescent="0.3">
      <c r="A2849" t="s">
        <v>22</v>
      </c>
      <c r="B2849" s="1">
        <v>45776</v>
      </c>
      <c r="C2849">
        <v>17</v>
      </c>
      <c r="D2849">
        <v>2.6549999999999998</v>
      </c>
      <c r="E2849" t="s">
        <v>6</v>
      </c>
      <c r="F2849">
        <v>9.3400000000000011E-2</v>
      </c>
    </row>
    <row r="2850" spans="1:6" x14ac:dyDescent="0.3">
      <c r="A2850" t="s">
        <v>22</v>
      </c>
      <c r="B2850" s="1">
        <v>45776</v>
      </c>
      <c r="C2850">
        <v>18</v>
      </c>
      <c r="D2850">
        <v>1.7999999999999999E-2</v>
      </c>
      <c r="E2850" t="s">
        <v>6</v>
      </c>
      <c r="F2850">
        <v>9.5079999999999998E-2</v>
      </c>
    </row>
    <row r="2851" spans="1:6" x14ac:dyDescent="0.3">
      <c r="A2851" t="s">
        <v>22</v>
      </c>
      <c r="B2851" s="1">
        <v>45776</v>
      </c>
      <c r="C2851">
        <v>19</v>
      </c>
      <c r="D2851">
        <v>0</v>
      </c>
      <c r="E2851" t="s">
        <v>6</v>
      </c>
      <c r="F2851">
        <v>0.16435</v>
      </c>
    </row>
    <row r="2852" spans="1:6" x14ac:dyDescent="0.3">
      <c r="A2852" t="s">
        <v>22</v>
      </c>
      <c r="B2852" s="1">
        <v>45776</v>
      </c>
      <c r="C2852">
        <v>20</v>
      </c>
      <c r="D2852">
        <v>0.40699999999999997</v>
      </c>
      <c r="E2852" t="s">
        <v>6</v>
      </c>
      <c r="F2852">
        <v>0.17227000000000001</v>
      </c>
    </row>
    <row r="2853" spans="1:6" x14ac:dyDescent="0.3">
      <c r="A2853" t="s">
        <v>22</v>
      </c>
      <c r="B2853" s="1">
        <v>45776</v>
      </c>
      <c r="C2853">
        <v>21</v>
      </c>
      <c r="D2853">
        <v>1.7390000000000001</v>
      </c>
      <c r="E2853" t="s">
        <v>6</v>
      </c>
      <c r="F2853">
        <v>0.18259999999999998</v>
      </c>
    </row>
    <row r="2854" spans="1:6" x14ac:dyDescent="0.3">
      <c r="A2854" t="s">
        <v>22</v>
      </c>
      <c r="B2854" s="1">
        <v>45776</v>
      </c>
      <c r="C2854">
        <v>22</v>
      </c>
      <c r="D2854">
        <v>2.4950000000000001</v>
      </c>
      <c r="E2854" t="s">
        <v>6</v>
      </c>
      <c r="F2854">
        <v>0.19861999999999999</v>
      </c>
    </row>
    <row r="2855" spans="1:6" x14ac:dyDescent="0.3">
      <c r="A2855" t="s">
        <v>22</v>
      </c>
      <c r="B2855" s="1">
        <v>45776</v>
      </c>
      <c r="C2855">
        <v>23</v>
      </c>
      <c r="D2855">
        <v>1.877</v>
      </c>
      <c r="E2855" t="s">
        <v>6</v>
      </c>
      <c r="F2855">
        <v>0.14041999999999999</v>
      </c>
    </row>
    <row r="2856" spans="1:6" x14ac:dyDescent="0.3">
      <c r="A2856" t="s">
        <v>22</v>
      </c>
      <c r="B2856" s="1">
        <v>45776</v>
      </c>
      <c r="C2856">
        <v>24</v>
      </c>
      <c r="D2856">
        <v>0.93500000000000005</v>
      </c>
      <c r="E2856" t="s">
        <v>6</v>
      </c>
      <c r="F2856">
        <v>0.12592</v>
      </c>
    </row>
    <row r="2857" spans="1:6" x14ac:dyDescent="0.3">
      <c r="A2857" t="s">
        <v>22</v>
      </c>
      <c r="B2857" s="1">
        <v>45777</v>
      </c>
      <c r="C2857">
        <v>1</v>
      </c>
      <c r="D2857">
        <v>0.88200000000000001</v>
      </c>
      <c r="E2857" t="s">
        <v>6</v>
      </c>
      <c r="F2857">
        <v>0.10293000000000001</v>
      </c>
    </row>
    <row r="2858" spans="1:6" x14ac:dyDescent="0.3">
      <c r="A2858" t="s">
        <v>22</v>
      </c>
      <c r="B2858" s="1">
        <v>45777</v>
      </c>
      <c r="C2858">
        <v>2</v>
      </c>
      <c r="D2858">
        <v>1.2629999999999999</v>
      </c>
      <c r="E2858" t="s">
        <v>6</v>
      </c>
      <c r="F2858">
        <v>8.6480000000000001E-2</v>
      </c>
    </row>
    <row r="2859" spans="1:6" x14ac:dyDescent="0.3">
      <c r="A2859" t="s">
        <v>22</v>
      </c>
      <c r="B2859" s="1">
        <v>45777</v>
      </c>
      <c r="C2859">
        <v>3</v>
      </c>
      <c r="D2859">
        <v>0.78700000000000003</v>
      </c>
      <c r="E2859" t="s">
        <v>6</v>
      </c>
      <c r="F2859">
        <v>8.5750000000000007E-2</v>
      </c>
    </row>
    <row r="2860" spans="1:6" x14ac:dyDescent="0.3">
      <c r="A2860" t="s">
        <v>22</v>
      </c>
      <c r="B2860" s="1">
        <v>45777</v>
      </c>
      <c r="C2860">
        <v>4</v>
      </c>
      <c r="D2860">
        <v>1.282</v>
      </c>
      <c r="E2860" t="s">
        <v>6</v>
      </c>
      <c r="F2860">
        <v>8.2949999999999996E-2</v>
      </c>
    </row>
    <row r="2861" spans="1:6" x14ac:dyDescent="0.3">
      <c r="A2861" t="s">
        <v>22</v>
      </c>
      <c r="B2861" s="1">
        <v>45777</v>
      </c>
      <c r="C2861">
        <v>5</v>
      </c>
      <c r="D2861">
        <v>1.1319999999999999</v>
      </c>
      <c r="E2861" t="s">
        <v>6</v>
      </c>
      <c r="F2861">
        <v>8.4830000000000003E-2</v>
      </c>
    </row>
    <row r="2862" spans="1:6" x14ac:dyDescent="0.3">
      <c r="A2862" t="s">
        <v>22</v>
      </c>
      <c r="B2862" s="1">
        <v>45777</v>
      </c>
      <c r="C2862">
        <v>6</v>
      </c>
      <c r="D2862">
        <v>1.246</v>
      </c>
      <c r="E2862" t="s">
        <v>6</v>
      </c>
      <c r="F2862">
        <v>0.10532</v>
      </c>
    </row>
    <row r="2863" spans="1:6" x14ac:dyDescent="0.3">
      <c r="A2863" t="s">
        <v>22</v>
      </c>
      <c r="B2863" s="1">
        <v>45777</v>
      </c>
      <c r="C2863">
        <v>7</v>
      </c>
      <c r="D2863">
        <v>1.212</v>
      </c>
      <c r="E2863" t="s">
        <v>6</v>
      </c>
      <c r="F2863">
        <v>0.15616999999999998</v>
      </c>
    </row>
    <row r="2864" spans="1:6" x14ac:dyDescent="0.3">
      <c r="A2864" t="s">
        <v>22</v>
      </c>
      <c r="B2864" s="1">
        <v>45777</v>
      </c>
      <c r="C2864">
        <v>8</v>
      </c>
      <c r="D2864">
        <v>1.62</v>
      </c>
      <c r="E2864" t="s">
        <v>6</v>
      </c>
      <c r="F2864">
        <v>0.18195</v>
      </c>
    </row>
    <row r="2865" spans="1:6" x14ac:dyDescent="0.3">
      <c r="A2865" t="s">
        <v>22</v>
      </c>
      <c r="B2865" s="1">
        <v>45777</v>
      </c>
      <c r="C2865">
        <v>9</v>
      </c>
      <c r="D2865">
        <v>0.73199999999999998</v>
      </c>
      <c r="E2865" t="s">
        <v>6</v>
      </c>
      <c r="F2865">
        <v>0.18694</v>
      </c>
    </row>
    <row r="2866" spans="1:6" x14ac:dyDescent="0.3">
      <c r="A2866" t="s">
        <v>22</v>
      </c>
      <c r="B2866" s="1">
        <v>45777</v>
      </c>
      <c r="C2866">
        <v>10</v>
      </c>
      <c r="D2866">
        <v>0</v>
      </c>
      <c r="E2866" t="s">
        <v>6</v>
      </c>
      <c r="F2866">
        <v>0.11662</v>
      </c>
    </row>
    <row r="2867" spans="1:6" x14ac:dyDescent="0.3">
      <c r="A2867" t="s">
        <v>22</v>
      </c>
      <c r="B2867" s="1">
        <v>45777</v>
      </c>
      <c r="C2867">
        <v>11</v>
      </c>
      <c r="D2867">
        <v>0</v>
      </c>
      <c r="E2867" t="s">
        <v>6</v>
      </c>
      <c r="F2867">
        <v>0.15841999999999998</v>
      </c>
    </row>
    <row r="2868" spans="1:6" x14ac:dyDescent="0.3">
      <c r="A2868" t="s">
        <v>22</v>
      </c>
      <c r="B2868" s="1">
        <v>45777</v>
      </c>
      <c r="C2868">
        <v>12</v>
      </c>
      <c r="D2868">
        <v>0</v>
      </c>
      <c r="E2868" t="s">
        <v>6</v>
      </c>
      <c r="F2868">
        <v>0.14902000000000001</v>
      </c>
    </row>
    <row r="2869" spans="1:6" x14ac:dyDescent="0.3">
      <c r="A2869" t="s">
        <v>22</v>
      </c>
      <c r="B2869" s="1">
        <v>45777</v>
      </c>
      <c r="C2869">
        <v>13</v>
      </c>
      <c r="D2869">
        <v>0</v>
      </c>
      <c r="E2869" t="s">
        <v>6</v>
      </c>
      <c r="F2869">
        <v>0.14815</v>
      </c>
    </row>
    <row r="2870" spans="1:6" x14ac:dyDescent="0.3">
      <c r="A2870" t="s">
        <v>22</v>
      </c>
      <c r="B2870" s="1">
        <v>45777</v>
      </c>
      <c r="C2870">
        <v>14</v>
      </c>
      <c r="D2870">
        <v>0</v>
      </c>
      <c r="E2870" t="s">
        <v>6</v>
      </c>
      <c r="F2870">
        <v>0.14496000000000001</v>
      </c>
    </row>
    <row r="2871" spans="1:6" x14ac:dyDescent="0.3">
      <c r="A2871" t="s">
        <v>22</v>
      </c>
      <c r="B2871" s="1">
        <v>45777</v>
      </c>
      <c r="C2871">
        <v>15</v>
      </c>
      <c r="D2871">
        <v>0</v>
      </c>
      <c r="E2871" t="s">
        <v>6</v>
      </c>
      <c r="F2871">
        <v>8.1369999999999998E-2</v>
      </c>
    </row>
    <row r="2872" spans="1:6" x14ac:dyDescent="0.3">
      <c r="A2872" t="s">
        <v>22</v>
      </c>
      <c r="B2872" s="1">
        <v>45777</v>
      </c>
      <c r="C2872">
        <v>16</v>
      </c>
      <c r="D2872">
        <v>0</v>
      </c>
      <c r="E2872" t="s">
        <v>6</v>
      </c>
      <c r="F2872">
        <v>8.2959999999999992E-2</v>
      </c>
    </row>
    <row r="2873" spans="1:6" x14ac:dyDescent="0.3">
      <c r="A2873" t="s">
        <v>22</v>
      </c>
      <c r="B2873" s="1">
        <v>45777</v>
      </c>
      <c r="C2873">
        <v>17</v>
      </c>
      <c r="D2873">
        <v>0</v>
      </c>
      <c r="E2873" t="s">
        <v>6</v>
      </c>
      <c r="F2873">
        <v>8.3769999999999997E-2</v>
      </c>
    </row>
    <row r="2874" spans="1:6" x14ac:dyDescent="0.3">
      <c r="A2874" t="s">
        <v>22</v>
      </c>
      <c r="B2874" s="1">
        <v>45777</v>
      </c>
      <c r="C2874">
        <v>18</v>
      </c>
      <c r="D2874">
        <v>1.7470000000000001</v>
      </c>
      <c r="E2874" t="s">
        <v>6</v>
      </c>
      <c r="F2874">
        <v>8.4209999999999993E-2</v>
      </c>
    </row>
    <row r="2875" spans="1:6" x14ac:dyDescent="0.3">
      <c r="A2875" t="s">
        <v>22</v>
      </c>
      <c r="B2875" s="1">
        <v>45777</v>
      </c>
      <c r="C2875">
        <v>19</v>
      </c>
      <c r="D2875">
        <v>3.4649999999999999</v>
      </c>
      <c r="E2875" t="s">
        <v>6</v>
      </c>
      <c r="F2875">
        <v>0.15368999999999999</v>
      </c>
    </row>
    <row r="2876" spans="1:6" x14ac:dyDescent="0.3">
      <c r="A2876" t="s">
        <v>22</v>
      </c>
      <c r="B2876" s="1">
        <v>45777</v>
      </c>
      <c r="C2876">
        <v>20</v>
      </c>
      <c r="D2876">
        <v>0.25700000000000001</v>
      </c>
      <c r="E2876" t="s">
        <v>6</v>
      </c>
      <c r="F2876">
        <v>0.15486000000000003</v>
      </c>
    </row>
    <row r="2877" spans="1:6" x14ac:dyDescent="0.3">
      <c r="A2877" t="s">
        <v>22</v>
      </c>
      <c r="B2877" s="1">
        <v>45777</v>
      </c>
      <c r="C2877">
        <v>21</v>
      </c>
      <c r="D2877">
        <v>0.90100000000000002</v>
      </c>
      <c r="E2877" t="s">
        <v>6</v>
      </c>
      <c r="F2877">
        <v>0.18353</v>
      </c>
    </row>
    <row r="2878" spans="1:6" x14ac:dyDescent="0.3">
      <c r="A2878" t="s">
        <v>22</v>
      </c>
      <c r="B2878" s="1">
        <v>45777</v>
      </c>
      <c r="C2878">
        <v>22</v>
      </c>
      <c r="D2878">
        <v>0.93</v>
      </c>
      <c r="E2878" t="s">
        <v>6</v>
      </c>
      <c r="F2878">
        <v>0.2581</v>
      </c>
    </row>
    <row r="2879" spans="1:6" x14ac:dyDescent="0.3">
      <c r="A2879" t="s">
        <v>22</v>
      </c>
      <c r="B2879" s="1">
        <v>45777</v>
      </c>
      <c r="C2879">
        <v>23</v>
      </c>
      <c r="D2879">
        <v>0.82499999999999996</v>
      </c>
      <c r="E2879" t="s">
        <v>6</v>
      </c>
      <c r="F2879">
        <v>0.18517</v>
      </c>
    </row>
    <row r="2880" spans="1:6" x14ac:dyDescent="0.3">
      <c r="A2880" t="s">
        <v>22</v>
      </c>
      <c r="B2880" s="1">
        <v>45777</v>
      </c>
      <c r="C2880">
        <v>24</v>
      </c>
      <c r="D2880">
        <v>1.0329999999999999</v>
      </c>
      <c r="E2880" t="s">
        <v>6</v>
      </c>
      <c r="F2880">
        <v>0.13655</v>
      </c>
    </row>
    <row r="2881" spans="1:6" x14ac:dyDescent="0.3">
      <c r="A2881" t="s">
        <v>22</v>
      </c>
      <c r="B2881" s="1">
        <v>45778</v>
      </c>
      <c r="C2881">
        <v>1</v>
      </c>
      <c r="D2881">
        <v>0.93400000000000005</v>
      </c>
      <c r="E2881" t="s">
        <v>6</v>
      </c>
      <c r="F2881">
        <v>0.11320000000000001</v>
      </c>
    </row>
    <row r="2882" spans="1:6" x14ac:dyDescent="0.3">
      <c r="A2882" t="s">
        <v>22</v>
      </c>
      <c r="B2882" s="1">
        <v>45778</v>
      </c>
      <c r="C2882">
        <v>2</v>
      </c>
      <c r="D2882">
        <v>0.80500000000000005</v>
      </c>
      <c r="E2882" t="s">
        <v>6</v>
      </c>
      <c r="F2882">
        <v>0.11072</v>
      </c>
    </row>
    <row r="2883" spans="1:6" x14ac:dyDescent="0.3">
      <c r="A2883" t="s">
        <v>22</v>
      </c>
      <c r="B2883" s="1">
        <v>45778</v>
      </c>
      <c r="C2883">
        <v>3</v>
      </c>
      <c r="D2883">
        <v>1.02</v>
      </c>
      <c r="E2883" t="s">
        <v>6</v>
      </c>
      <c r="F2883">
        <v>0.11409</v>
      </c>
    </row>
    <row r="2884" spans="1:6" x14ac:dyDescent="0.3">
      <c r="A2884" t="s">
        <v>22</v>
      </c>
      <c r="B2884" s="1">
        <v>45778</v>
      </c>
      <c r="C2884">
        <v>4</v>
      </c>
      <c r="D2884">
        <v>0.98</v>
      </c>
      <c r="E2884" t="s">
        <v>6</v>
      </c>
      <c r="F2884">
        <v>0.11375</v>
      </c>
    </row>
    <row r="2885" spans="1:6" x14ac:dyDescent="0.3">
      <c r="A2885" t="s">
        <v>22</v>
      </c>
      <c r="B2885" s="1">
        <v>45778</v>
      </c>
      <c r="C2885">
        <v>5</v>
      </c>
      <c r="D2885">
        <v>1.2509999999999999</v>
      </c>
      <c r="E2885" t="s">
        <v>6</v>
      </c>
      <c r="F2885">
        <v>0.1145</v>
      </c>
    </row>
    <row r="2886" spans="1:6" x14ac:dyDescent="0.3">
      <c r="A2886" t="s">
        <v>22</v>
      </c>
      <c r="B2886" s="1">
        <v>45778</v>
      </c>
      <c r="C2886">
        <v>6</v>
      </c>
      <c r="D2886">
        <v>1.0569999999999999</v>
      </c>
      <c r="E2886" t="s">
        <v>6</v>
      </c>
      <c r="F2886">
        <v>0.11887</v>
      </c>
    </row>
    <row r="2887" spans="1:6" x14ac:dyDescent="0.3">
      <c r="A2887" t="s">
        <v>22</v>
      </c>
      <c r="B2887" s="1">
        <v>45778</v>
      </c>
      <c r="C2887">
        <v>7</v>
      </c>
      <c r="D2887">
        <v>1.3939999999999999</v>
      </c>
      <c r="E2887" t="s">
        <v>6</v>
      </c>
      <c r="F2887">
        <v>0.11812</v>
      </c>
    </row>
    <row r="2888" spans="1:6" x14ac:dyDescent="0.3">
      <c r="A2888" t="s">
        <v>22</v>
      </c>
      <c r="B2888" s="1">
        <v>45778</v>
      </c>
      <c r="C2888">
        <v>8</v>
      </c>
      <c r="D2888">
        <v>0.93400000000000005</v>
      </c>
      <c r="E2888" t="s">
        <v>6</v>
      </c>
      <c r="F2888">
        <v>0.11308</v>
      </c>
    </row>
    <row r="2889" spans="1:6" x14ac:dyDescent="0.3">
      <c r="A2889" t="s">
        <v>22</v>
      </c>
      <c r="B2889" s="1">
        <v>45778</v>
      </c>
      <c r="C2889">
        <v>9</v>
      </c>
      <c r="D2889">
        <v>0.72799999999999998</v>
      </c>
      <c r="E2889" t="s">
        <v>6</v>
      </c>
      <c r="F2889">
        <v>0.10771</v>
      </c>
    </row>
    <row r="2890" spans="1:6" x14ac:dyDescent="0.3">
      <c r="A2890" t="s">
        <v>22</v>
      </c>
      <c r="B2890" s="1">
        <v>45778</v>
      </c>
      <c r="C2890">
        <v>10</v>
      </c>
      <c r="D2890">
        <v>3.0219999999999998</v>
      </c>
      <c r="E2890" t="s">
        <v>6</v>
      </c>
      <c r="F2890">
        <v>8.6190000000000003E-2</v>
      </c>
    </row>
    <row r="2891" spans="1:6" x14ac:dyDescent="0.3">
      <c r="A2891" t="s">
        <v>22</v>
      </c>
      <c r="B2891" s="1">
        <v>45778</v>
      </c>
      <c r="C2891">
        <v>11</v>
      </c>
      <c r="D2891">
        <v>3.3130000000000002</v>
      </c>
      <c r="E2891" t="s">
        <v>6</v>
      </c>
      <c r="F2891">
        <v>7.937000000000001E-2</v>
      </c>
    </row>
    <row r="2892" spans="1:6" x14ac:dyDescent="0.3">
      <c r="A2892" t="s">
        <v>22</v>
      </c>
      <c r="B2892" s="1">
        <v>45778</v>
      </c>
      <c r="C2892">
        <v>12</v>
      </c>
      <c r="D2892">
        <v>0</v>
      </c>
      <c r="E2892" t="s">
        <v>6</v>
      </c>
      <c r="F2892">
        <v>7.4939999999999993E-2</v>
      </c>
    </row>
    <row r="2893" spans="1:6" x14ac:dyDescent="0.3">
      <c r="A2893" t="s">
        <v>22</v>
      </c>
      <c r="B2893" s="1">
        <v>45778</v>
      </c>
      <c r="C2893">
        <v>13</v>
      </c>
      <c r="D2893">
        <v>0</v>
      </c>
      <c r="E2893" t="s">
        <v>6</v>
      </c>
      <c r="F2893">
        <v>7.1690000000000004E-2</v>
      </c>
    </row>
    <row r="2894" spans="1:6" x14ac:dyDescent="0.3">
      <c r="A2894" t="s">
        <v>22</v>
      </c>
      <c r="B2894" s="1">
        <v>45778</v>
      </c>
      <c r="C2894">
        <v>14</v>
      </c>
      <c r="D2894">
        <v>0</v>
      </c>
      <c r="E2894" t="s">
        <v>6</v>
      </c>
      <c r="F2894">
        <v>6.9470000000000004E-2</v>
      </c>
    </row>
    <row r="2895" spans="1:6" x14ac:dyDescent="0.3">
      <c r="A2895" t="s">
        <v>22</v>
      </c>
      <c r="B2895" s="1">
        <v>45778</v>
      </c>
      <c r="C2895">
        <v>15</v>
      </c>
      <c r="D2895">
        <v>0</v>
      </c>
      <c r="E2895" t="s">
        <v>6</v>
      </c>
      <c r="F2895">
        <v>6.9970000000000004E-2</v>
      </c>
    </row>
    <row r="2896" spans="1:6" x14ac:dyDescent="0.3">
      <c r="A2896" t="s">
        <v>22</v>
      </c>
      <c r="B2896" s="1">
        <v>45778</v>
      </c>
      <c r="C2896">
        <v>16</v>
      </c>
      <c r="D2896">
        <v>0</v>
      </c>
      <c r="E2896" t="s">
        <v>6</v>
      </c>
      <c r="F2896">
        <v>7.238E-2</v>
      </c>
    </row>
    <row r="2897" spans="1:6" x14ac:dyDescent="0.3">
      <c r="A2897" t="s">
        <v>22</v>
      </c>
      <c r="B2897" s="1">
        <v>45778</v>
      </c>
      <c r="C2897">
        <v>17</v>
      </c>
      <c r="D2897">
        <v>0</v>
      </c>
      <c r="E2897" t="s">
        <v>6</v>
      </c>
      <c r="F2897">
        <v>7.8920000000000004E-2</v>
      </c>
    </row>
    <row r="2898" spans="1:6" x14ac:dyDescent="0.3">
      <c r="A2898" t="s">
        <v>22</v>
      </c>
      <c r="B2898" s="1">
        <v>45778</v>
      </c>
      <c r="C2898">
        <v>18</v>
      </c>
      <c r="D2898">
        <v>0</v>
      </c>
      <c r="E2898" t="s">
        <v>6</v>
      </c>
      <c r="F2898">
        <v>8.3330000000000001E-2</v>
      </c>
    </row>
    <row r="2899" spans="1:6" x14ac:dyDescent="0.3">
      <c r="A2899" t="s">
        <v>22</v>
      </c>
      <c r="B2899" s="1">
        <v>45778</v>
      </c>
      <c r="C2899">
        <v>19</v>
      </c>
      <c r="D2899">
        <v>0</v>
      </c>
      <c r="E2899" t="s">
        <v>6</v>
      </c>
      <c r="F2899">
        <v>8.4610000000000005E-2</v>
      </c>
    </row>
    <row r="2900" spans="1:6" x14ac:dyDescent="0.3">
      <c r="A2900" t="s">
        <v>22</v>
      </c>
      <c r="B2900" s="1">
        <v>45778</v>
      </c>
      <c r="C2900">
        <v>20</v>
      </c>
      <c r="D2900">
        <v>0.23699999999999999</v>
      </c>
      <c r="E2900" t="s">
        <v>6</v>
      </c>
      <c r="F2900">
        <v>8.3129999999999996E-2</v>
      </c>
    </row>
    <row r="2901" spans="1:6" x14ac:dyDescent="0.3">
      <c r="A2901" t="s">
        <v>22</v>
      </c>
      <c r="B2901" s="1">
        <v>45778</v>
      </c>
      <c r="C2901">
        <v>21</v>
      </c>
      <c r="D2901">
        <v>0.57199999999999995</v>
      </c>
      <c r="E2901" t="s">
        <v>6</v>
      </c>
      <c r="F2901">
        <v>0.10836</v>
      </c>
    </row>
    <row r="2902" spans="1:6" x14ac:dyDescent="0.3">
      <c r="A2902" t="s">
        <v>22</v>
      </c>
      <c r="B2902" s="1">
        <v>45778</v>
      </c>
      <c r="C2902">
        <v>22</v>
      </c>
      <c r="D2902">
        <v>1.093</v>
      </c>
      <c r="E2902" t="s">
        <v>6</v>
      </c>
      <c r="F2902">
        <v>0.12936</v>
      </c>
    </row>
    <row r="2903" spans="1:6" x14ac:dyDescent="0.3">
      <c r="A2903" t="s">
        <v>22</v>
      </c>
      <c r="B2903" s="1">
        <v>45778</v>
      </c>
      <c r="C2903">
        <v>23</v>
      </c>
      <c r="D2903">
        <v>0.96499999999999997</v>
      </c>
      <c r="E2903" t="s">
        <v>6</v>
      </c>
      <c r="F2903">
        <v>0.10965000000000001</v>
      </c>
    </row>
    <row r="2904" spans="1:6" x14ac:dyDescent="0.3">
      <c r="A2904" t="s">
        <v>22</v>
      </c>
      <c r="B2904" s="1">
        <v>45778</v>
      </c>
      <c r="C2904">
        <v>24</v>
      </c>
      <c r="D2904">
        <v>0.89600000000000002</v>
      </c>
      <c r="E2904" t="s">
        <v>6</v>
      </c>
      <c r="F2904">
        <v>0.11275</v>
      </c>
    </row>
    <row r="2905" spans="1:6" x14ac:dyDescent="0.3">
      <c r="A2905" t="s">
        <v>22</v>
      </c>
      <c r="B2905" s="1">
        <v>45779</v>
      </c>
      <c r="C2905">
        <v>1</v>
      </c>
      <c r="D2905">
        <v>0.95899999999999996</v>
      </c>
      <c r="E2905" t="s">
        <v>6</v>
      </c>
      <c r="F2905">
        <v>0.10529999999999999</v>
      </c>
    </row>
    <row r="2906" spans="1:6" x14ac:dyDescent="0.3">
      <c r="A2906" t="s">
        <v>22</v>
      </c>
      <c r="B2906" s="1">
        <v>45779</v>
      </c>
      <c r="C2906">
        <v>2</v>
      </c>
      <c r="D2906">
        <v>0.58399999999999996</v>
      </c>
      <c r="E2906" t="s">
        <v>6</v>
      </c>
      <c r="F2906">
        <v>0.10156</v>
      </c>
    </row>
    <row r="2907" spans="1:6" x14ac:dyDescent="0.3">
      <c r="A2907" t="s">
        <v>22</v>
      </c>
      <c r="B2907" s="1">
        <v>45779</v>
      </c>
      <c r="C2907">
        <v>3</v>
      </c>
      <c r="D2907">
        <v>1.3480000000000001</v>
      </c>
      <c r="E2907" t="s">
        <v>6</v>
      </c>
      <c r="F2907">
        <v>0.10226</v>
      </c>
    </row>
    <row r="2908" spans="1:6" x14ac:dyDescent="0.3">
      <c r="A2908" t="s">
        <v>22</v>
      </c>
      <c r="B2908" s="1">
        <v>45779</v>
      </c>
      <c r="C2908">
        <v>4</v>
      </c>
      <c r="D2908">
        <v>1.0029999999999999</v>
      </c>
      <c r="E2908" t="s">
        <v>6</v>
      </c>
      <c r="F2908">
        <v>0.10341</v>
      </c>
    </row>
    <row r="2909" spans="1:6" x14ac:dyDescent="0.3">
      <c r="A2909" t="s">
        <v>22</v>
      </c>
      <c r="B2909" s="1">
        <v>45779</v>
      </c>
      <c r="C2909">
        <v>5</v>
      </c>
      <c r="D2909">
        <v>0.77500000000000002</v>
      </c>
      <c r="E2909" t="s">
        <v>6</v>
      </c>
      <c r="F2909">
        <v>0.10374</v>
      </c>
    </row>
    <row r="2910" spans="1:6" x14ac:dyDescent="0.3">
      <c r="A2910" t="s">
        <v>22</v>
      </c>
      <c r="B2910" s="1">
        <v>45779</v>
      </c>
      <c r="C2910">
        <v>6</v>
      </c>
      <c r="D2910">
        <v>1.355</v>
      </c>
      <c r="E2910" t="s">
        <v>6</v>
      </c>
      <c r="F2910">
        <v>0.10237</v>
      </c>
    </row>
    <row r="2911" spans="1:6" x14ac:dyDescent="0.3">
      <c r="A2911" t="s">
        <v>22</v>
      </c>
      <c r="B2911" s="1">
        <v>45779</v>
      </c>
      <c r="C2911">
        <v>7</v>
      </c>
      <c r="D2911">
        <v>1.012</v>
      </c>
      <c r="E2911" t="s">
        <v>6</v>
      </c>
      <c r="F2911">
        <v>0.10463</v>
      </c>
    </row>
    <row r="2912" spans="1:6" x14ac:dyDescent="0.3">
      <c r="A2912" t="s">
        <v>22</v>
      </c>
      <c r="B2912" s="1">
        <v>45779</v>
      </c>
      <c r="C2912">
        <v>8</v>
      </c>
      <c r="D2912">
        <v>0.71499999999999997</v>
      </c>
      <c r="E2912" t="s">
        <v>6</v>
      </c>
      <c r="F2912">
        <v>9.7519999999999996E-2</v>
      </c>
    </row>
    <row r="2913" spans="1:6" x14ac:dyDescent="0.3">
      <c r="A2913" t="s">
        <v>22</v>
      </c>
      <c r="B2913" s="1">
        <v>45779</v>
      </c>
      <c r="C2913">
        <v>9</v>
      </c>
      <c r="D2913">
        <v>0</v>
      </c>
      <c r="E2913" t="s">
        <v>6</v>
      </c>
      <c r="F2913">
        <v>0.12397</v>
      </c>
    </row>
    <row r="2914" spans="1:6" x14ac:dyDescent="0.3">
      <c r="A2914" t="s">
        <v>22</v>
      </c>
      <c r="B2914" s="1">
        <v>45779</v>
      </c>
      <c r="C2914">
        <v>10</v>
      </c>
      <c r="D2914">
        <v>0</v>
      </c>
      <c r="E2914" t="s">
        <v>6</v>
      </c>
      <c r="F2914">
        <v>0.11917</v>
      </c>
    </row>
    <row r="2915" spans="1:6" x14ac:dyDescent="0.3">
      <c r="A2915" t="s">
        <v>22</v>
      </c>
      <c r="B2915" s="1">
        <v>45779</v>
      </c>
      <c r="C2915">
        <v>11</v>
      </c>
      <c r="D2915">
        <v>0.14699999999999999</v>
      </c>
      <c r="E2915" t="s">
        <v>6</v>
      </c>
      <c r="F2915">
        <v>0.17077000000000001</v>
      </c>
    </row>
    <row r="2916" spans="1:6" x14ac:dyDescent="0.3">
      <c r="A2916" t="s">
        <v>22</v>
      </c>
      <c r="B2916" s="1">
        <v>45779</v>
      </c>
      <c r="C2916">
        <v>12</v>
      </c>
      <c r="D2916">
        <v>0.996</v>
      </c>
      <c r="E2916" t="s">
        <v>6</v>
      </c>
      <c r="F2916">
        <v>0.16975000000000001</v>
      </c>
    </row>
    <row r="2917" spans="1:6" x14ac:dyDescent="0.3">
      <c r="A2917" t="s">
        <v>22</v>
      </c>
      <c r="B2917" s="1">
        <v>45779</v>
      </c>
      <c r="C2917">
        <v>13</v>
      </c>
      <c r="D2917">
        <v>2.044</v>
      </c>
      <c r="E2917" t="s">
        <v>6</v>
      </c>
      <c r="F2917">
        <v>0.16913</v>
      </c>
    </row>
    <row r="2918" spans="1:6" x14ac:dyDescent="0.3">
      <c r="A2918" t="s">
        <v>22</v>
      </c>
      <c r="B2918" s="1">
        <v>45779</v>
      </c>
      <c r="C2918">
        <v>14</v>
      </c>
      <c r="D2918">
        <v>2.5499999999999998</v>
      </c>
      <c r="E2918" t="s">
        <v>6</v>
      </c>
      <c r="F2918">
        <v>0.16438</v>
      </c>
    </row>
    <row r="2919" spans="1:6" x14ac:dyDescent="0.3">
      <c r="A2919" t="s">
        <v>22</v>
      </c>
      <c r="B2919" s="1">
        <v>45779</v>
      </c>
      <c r="C2919">
        <v>15</v>
      </c>
      <c r="D2919">
        <v>2.319</v>
      </c>
      <c r="E2919" t="s">
        <v>6</v>
      </c>
      <c r="F2919">
        <v>0.10024</v>
      </c>
    </row>
    <row r="2920" spans="1:6" x14ac:dyDescent="0.3">
      <c r="A2920" t="s">
        <v>22</v>
      </c>
      <c r="B2920" s="1">
        <v>45779</v>
      </c>
      <c r="C2920">
        <v>16</v>
      </c>
      <c r="D2920">
        <v>1.7509999999999999</v>
      </c>
      <c r="E2920" t="s">
        <v>6</v>
      </c>
      <c r="F2920">
        <v>0.10192</v>
      </c>
    </row>
    <row r="2921" spans="1:6" x14ac:dyDescent="0.3">
      <c r="A2921" t="s">
        <v>22</v>
      </c>
      <c r="B2921" s="1">
        <v>45779</v>
      </c>
      <c r="C2921">
        <v>17</v>
      </c>
      <c r="D2921">
        <v>2.2559999999999998</v>
      </c>
      <c r="E2921" t="s">
        <v>6</v>
      </c>
      <c r="F2921">
        <v>0.10314</v>
      </c>
    </row>
    <row r="2922" spans="1:6" x14ac:dyDescent="0.3">
      <c r="A2922" t="s">
        <v>22</v>
      </c>
      <c r="B2922" s="1">
        <v>45779</v>
      </c>
      <c r="C2922">
        <v>18</v>
      </c>
      <c r="D2922">
        <v>4.5119999999999996</v>
      </c>
      <c r="E2922" t="s">
        <v>6</v>
      </c>
      <c r="F2922">
        <v>0.10585</v>
      </c>
    </row>
    <row r="2923" spans="1:6" x14ac:dyDescent="0.3">
      <c r="A2923" t="s">
        <v>22</v>
      </c>
      <c r="B2923" s="1">
        <v>45779</v>
      </c>
      <c r="C2923">
        <v>19</v>
      </c>
      <c r="D2923">
        <v>5.226</v>
      </c>
      <c r="E2923" t="s">
        <v>6</v>
      </c>
      <c r="F2923">
        <v>0.17</v>
      </c>
    </row>
    <row r="2924" spans="1:6" x14ac:dyDescent="0.3">
      <c r="A2924" t="s">
        <v>22</v>
      </c>
      <c r="B2924" s="1">
        <v>45779</v>
      </c>
      <c r="C2924">
        <v>20</v>
      </c>
      <c r="D2924">
        <v>1.907</v>
      </c>
      <c r="E2924" t="s">
        <v>6</v>
      </c>
      <c r="F2924">
        <v>0.18384999999999999</v>
      </c>
    </row>
    <row r="2925" spans="1:6" x14ac:dyDescent="0.3">
      <c r="A2925" t="s">
        <v>22</v>
      </c>
      <c r="B2925" s="1">
        <v>45779</v>
      </c>
      <c r="C2925">
        <v>21</v>
      </c>
      <c r="D2925">
        <v>1.27</v>
      </c>
      <c r="E2925" t="s">
        <v>6</v>
      </c>
      <c r="F2925">
        <v>0.20138</v>
      </c>
    </row>
    <row r="2926" spans="1:6" x14ac:dyDescent="0.3">
      <c r="A2926" t="s">
        <v>22</v>
      </c>
      <c r="B2926" s="1">
        <v>45779</v>
      </c>
      <c r="C2926">
        <v>22</v>
      </c>
      <c r="D2926">
        <v>0.72199999999999998</v>
      </c>
      <c r="E2926" t="s">
        <v>6</v>
      </c>
      <c r="F2926">
        <v>0.23208999999999999</v>
      </c>
    </row>
    <row r="2927" spans="1:6" x14ac:dyDescent="0.3">
      <c r="A2927" t="s">
        <v>22</v>
      </c>
      <c r="B2927" s="1">
        <v>45779</v>
      </c>
      <c r="C2927">
        <v>23</v>
      </c>
      <c r="D2927">
        <v>0.91300000000000003</v>
      </c>
      <c r="E2927" t="s">
        <v>6</v>
      </c>
      <c r="F2927">
        <v>0.15569999999999998</v>
      </c>
    </row>
    <row r="2928" spans="1:6" x14ac:dyDescent="0.3">
      <c r="A2928" t="s">
        <v>22</v>
      </c>
      <c r="B2928" s="1">
        <v>45779</v>
      </c>
      <c r="C2928">
        <v>24</v>
      </c>
      <c r="D2928">
        <v>0.73699999999999999</v>
      </c>
      <c r="E2928" t="s">
        <v>6</v>
      </c>
      <c r="F2928">
        <v>0.14599000000000001</v>
      </c>
    </row>
    <row r="2929" spans="1:6" x14ac:dyDescent="0.3">
      <c r="A2929" t="s">
        <v>22</v>
      </c>
      <c r="B2929" s="1">
        <v>45780</v>
      </c>
      <c r="C2929">
        <v>1</v>
      </c>
      <c r="D2929">
        <v>0.80100000000000005</v>
      </c>
      <c r="E2929" t="s">
        <v>6</v>
      </c>
      <c r="F2929">
        <v>0.11776</v>
      </c>
    </row>
    <row r="2930" spans="1:6" x14ac:dyDescent="0.3">
      <c r="A2930" t="s">
        <v>22</v>
      </c>
      <c r="B2930" s="1">
        <v>45780</v>
      </c>
      <c r="C2930">
        <v>2</v>
      </c>
      <c r="D2930">
        <v>0.83499999999999996</v>
      </c>
      <c r="E2930" t="s">
        <v>6</v>
      </c>
      <c r="F2930">
        <v>0.11647</v>
      </c>
    </row>
    <row r="2931" spans="1:6" x14ac:dyDescent="0.3">
      <c r="A2931" t="s">
        <v>22</v>
      </c>
      <c r="B2931" s="1">
        <v>45780</v>
      </c>
      <c r="C2931">
        <v>3</v>
      </c>
      <c r="D2931">
        <v>1.794</v>
      </c>
      <c r="E2931" t="s">
        <v>6</v>
      </c>
      <c r="F2931">
        <v>0.11006999999999999</v>
      </c>
    </row>
    <row r="2932" spans="1:6" x14ac:dyDescent="0.3">
      <c r="A2932" t="s">
        <v>22</v>
      </c>
      <c r="B2932" s="1">
        <v>45780</v>
      </c>
      <c r="C2932">
        <v>4</v>
      </c>
      <c r="D2932">
        <v>0.85299999999999998</v>
      </c>
      <c r="E2932" t="s">
        <v>6</v>
      </c>
      <c r="F2932">
        <v>0.10539</v>
      </c>
    </row>
    <row r="2933" spans="1:6" x14ac:dyDescent="0.3">
      <c r="A2933" t="s">
        <v>22</v>
      </c>
      <c r="B2933" s="1">
        <v>45780</v>
      </c>
      <c r="C2933">
        <v>5</v>
      </c>
      <c r="D2933">
        <v>0.69199999999999995</v>
      </c>
      <c r="E2933" t="s">
        <v>6</v>
      </c>
      <c r="F2933">
        <v>0.10584</v>
      </c>
    </row>
    <row r="2934" spans="1:6" x14ac:dyDescent="0.3">
      <c r="A2934" t="s">
        <v>22</v>
      </c>
      <c r="B2934" s="1">
        <v>45780</v>
      </c>
      <c r="C2934">
        <v>6</v>
      </c>
      <c r="D2934">
        <v>0.82</v>
      </c>
      <c r="E2934" t="s">
        <v>6</v>
      </c>
      <c r="F2934">
        <v>0.10812999999999999</v>
      </c>
    </row>
    <row r="2935" spans="1:6" x14ac:dyDescent="0.3">
      <c r="A2935" t="s">
        <v>22</v>
      </c>
      <c r="B2935" s="1">
        <v>45780</v>
      </c>
      <c r="C2935">
        <v>7</v>
      </c>
      <c r="D2935">
        <v>0.73399999999999999</v>
      </c>
      <c r="E2935" t="s">
        <v>6</v>
      </c>
      <c r="F2935">
        <v>0.10773000000000001</v>
      </c>
    </row>
    <row r="2936" spans="1:6" x14ac:dyDescent="0.3">
      <c r="A2936" t="s">
        <v>22</v>
      </c>
      <c r="B2936" s="1">
        <v>45780</v>
      </c>
      <c r="C2936">
        <v>8</v>
      </c>
      <c r="D2936">
        <v>0.95199999999999996</v>
      </c>
      <c r="E2936" t="s">
        <v>6</v>
      </c>
      <c r="F2936">
        <v>0.10323</v>
      </c>
    </row>
    <row r="2937" spans="1:6" x14ac:dyDescent="0.3">
      <c r="A2937" t="s">
        <v>22</v>
      </c>
      <c r="B2937" s="1">
        <v>45780</v>
      </c>
      <c r="C2937">
        <v>9</v>
      </c>
      <c r="D2937">
        <v>0.57599999999999996</v>
      </c>
      <c r="E2937" t="s">
        <v>6</v>
      </c>
      <c r="F2937">
        <v>9.673000000000001E-2</v>
      </c>
    </row>
    <row r="2938" spans="1:6" x14ac:dyDescent="0.3">
      <c r="A2938" t="s">
        <v>22</v>
      </c>
      <c r="B2938" s="1">
        <v>45780</v>
      </c>
      <c r="C2938">
        <v>10</v>
      </c>
      <c r="D2938">
        <v>0.64</v>
      </c>
      <c r="E2938" t="s">
        <v>6</v>
      </c>
      <c r="F2938">
        <v>8.4290000000000004E-2</v>
      </c>
    </row>
    <row r="2939" spans="1:6" x14ac:dyDescent="0.3">
      <c r="A2939" t="s">
        <v>22</v>
      </c>
      <c r="B2939" s="1">
        <v>45780</v>
      </c>
      <c r="C2939">
        <v>11</v>
      </c>
      <c r="D2939">
        <v>0.68500000000000005</v>
      </c>
      <c r="E2939" t="s">
        <v>6</v>
      </c>
      <c r="F2939">
        <v>7.1840000000000001E-2</v>
      </c>
    </row>
    <row r="2940" spans="1:6" x14ac:dyDescent="0.3">
      <c r="A2940" t="s">
        <v>22</v>
      </c>
      <c r="B2940" s="1">
        <v>45780</v>
      </c>
      <c r="C2940">
        <v>12</v>
      </c>
      <c r="D2940">
        <v>0.61699999999999999</v>
      </c>
      <c r="E2940" t="s">
        <v>6</v>
      </c>
      <c r="F2940">
        <v>6.9349999999999995E-2</v>
      </c>
    </row>
    <row r="2941" spans="1:6" x14ac:dyDescent="0.3">
      <c r="A2941" t="s">
        <v>22</v>
      </c>
      <c r="B2941" s="1">
        <v>45780</v>
      </c>
      <c r="C2941">
        <v>13</v>
      </c>
      <c r="D2941">
        <v>5.1680000000000001</v>
      </c>
      <c r="E2941" t="s">
        <v>6</v>
      </c>
      <c r="F2941">
        <v>6.8709999999999993E-2</v>
      </c>
    </row>
    <row r="2942" spans="1:6" x14ac:dyDescent="0.3">
      <c r="A2942" t="s">
        <v>22</v>
      </c>
      <c r="B2942" s="1">
        <v>45780</v>
      </c>
      <c r="C2942">
        <v>14</v>
      </c>
      <c r="D2942">
        <v>2.56</v>
      </c>
      <c r="E2942" t="s">
        <v>6</v>
      </c>
      <c r="F2942">
        <v>6.6670000000000007E-2</v>
      </c>
    </row>
    <row r="2943" spans="1:6" x14ac:dyDescent="0.3">
      <c r="A2943" t="s">
        <v>22</v>
      </c>
      <c r="B2943" s="1">
        <v>45780</v>
      </c>
      <c r="C2943">
        <v>15</v>
      </c>
      <c r="D2943">
        <v>2.3820000000000001</v>
      </c>
      <c r="E2943" t="s">
        <v>6</v>
      </c>
      <c r="F2943">
        <v>6.7479999999999998E-2</v>
      </c>
    </row>
    <row r="2944" spans="1:6" x14ac:dyDescent="0.3">
      <c r="A2944" t="s">
        <v>22</v>
      </c>
      <c r="B2944" s="1">
        <v>45780</v>
      </c>
      <c r="C2944">
        <v>16</v>
      </c>
      <c r="D2944">
        <v>1.133</v>
      </c>
      <c r="E2944" t="s">
        <v>6</v>
      </c>
      <c r="F2944">
        <v>6.9589999999999999E-2</v>
      </c>
    </row>
    <row r="2945" spans="1:6" x14ac:dyDescent="0.3">
      <c r="A2945" t="s">
        <v>22</v>
      </c>
      <c r="B2945" s="1">
        <v>45780</v>
      </c>
      <c r="C2945">
        <v>17</v>
      </c>
      <c r="D2945">
        <v>0.67900000000000005</v>
      </c>
      <c r="E2945" t="s">
        <v>6</v>
      </c>
      <c r="F2945">
        <v>7.1739999999999998E-2</v>
      </c>
    </row>
    <row r="2946" spans="1:6" x14ac:dyDescent="0.3">
      <c r="A2946" t="s">
        <v>22</v>
      </c>
      <c r="B2946" s="1">
        <v>45780</v>
      </c>
      <c r="C2946">
        <v>18</v>
      </c>
      <c r="D2946">
        <v>0.34899999999999998</v>
      </c>
      <c r="E2946" t="s">
        <v>6</v>
      </c>
      <c r="F2946">
        <v>7.4109999999999995E-2</v>
      </c>
    </row>
    <row r="2947" spans="1:6" x14ac:dyDescent="0.3">
      <c r="A2947" t="s">
        <v>22</v>
      </c>
      <c r="B2947" s="1">
        <v>45780</v>
      </c>
      <c r="C2947">
        <v>19</v>
      </c>
      <c r="D2947">
        <v>0.314</v>
      </c>
      <c r="E2947" t="s">
        <v>6</v>
      </c>
      <c r="F2947">
        <v>7.7620000000000008E-2</v>
      </c>
    </row>
    <row r="2948" spans="1:6" x14ac:dyDescent="0.3">
      <c r="A2948" t="s">
        <v>22</v>
      </c>
      <c r="B2948" s="1">
        <v>45780</v>
      </c>
      <c r="C2948">
        <v>20</v>
      </c>
      <c r="D2948">
        <v>0.371</v>
      </c>
      <c r="E2948" t="s">
        <v>6</v>
      </c>
      <c r="F2948">
        <v>9.5689999999999997E-2</v>
      </c>
    </row>
    <row r="2949" spans="1:6" x14ac:dyDescent="0.3">
      <c r="A2949" t="s">
        <v>22</v>
      </c>
      <c r="B2949" s="1">
        <v>45780</v>
      </c>
      <c r="C2949">
        <v>21</v>
      </c>
      <c r="D2949">
        <v>0.79200000000000004</v>
      </c>
      <c r="E2949" t="s">
        <v>6</v>
      </c>
      <c r="F2949">
        <v>0.10768999999999999</v>
      </c>
    </row>
    <row r="2950" spans="1:6" x14ac:dyDescent="0.3">
      <c r="A2950" t="s">
        <v>22</v>
      </c>
      <c r="B2950" s="1">
        <v>45780</v>
      </c>
      <c r="C2950">
        <v>22</v>
      </c>
      <c r="D2950">
        <v>0.27600000000000002</v>
      </c>
      <c r="E2950" t="s">
        <v>6</v>
      </c>
      <c r="F2950">
        <v>0.13564999999999999</v>
      </c>
    </row>
    <row r="2951" spans="1:6" x14ac:dyDescent="0.3">
      <c r="A2951" t="s">
        <v>22</v>
      </c>
      <c r="B2951" s="1">
        <v>45780</v>
      </c>
      <c r="C2951">
        <v>23</v>
      </c>
      <c r="D2951">
        <v>0.26</v>
      </c>
      <c r="E2951" t="s">
        <v>6</v>
      </c>
      <c r="F2951">
        <v>0.13741</v>
      </c>
    </row>
    <row r="2952" spans="1:6" x14ac:dyDescent="0.3">
      <c r="A2952" t="s">
        <v>22</v>
      </c>
      <c r="B2952" s="1">
        <v>45780</v>
      </c>
      <c r="C2952">
        <v>24</v>
      </c>
      <c r="D2952">
        <v>0.28100000000000003</v>
      </c>
      <c r="E2952" t="s">
        <v>6</v>
      </c>
      <c r="F2952">
        <v>0.12204000000000001</v>
      </c>
    </row>
    <row r="2953" spans="1:6" x14ac:dyDescent="0.3">
      <c r="A2953" t="s">
        <v>22</v>
      </c>
      <c r="B2953" s="1">
        <v>45781</v>
      </c>
      <c r="C2953">
        <v>1</v>
      </c>
      <c r="D2953">
        <v>0.17299999999999999</v>
      </c>
      <c r="E2953" t="s">
        <v>6</v>
      </c>
      <c r="F2953">
        <v>0.11854000000000001</v>
      </c>
    </row>
    <row r="2954" spans="1:6" x14ac:dyDescent="0.3">
      <c r="A2954" t="s">
        <v>22</v>
      </c>
      <c r="B2954" s="1">
        <v>45781</v>
      </c>
      <c r="C2954">
        <v>2</v>
      </c>
      <c r="D2954">
        <v>0.29899999999999999</v>
      </c>
      <c r="E2954" t="s">
        <v>6</v>
      </c>
      <c r="F2954">
        <v>0.12168000000000001</v>
      </c>
    </row>
    <row r="2955" spans="1:6" x14ac:dyDescent="0.3">
      <c r="A2955" t="s">
        <v>22</v>
      </c>
      <c r="B2955" s="1">
        <v>45781</v>
      </c>
      <c r="C2955">
        <v>3</v>
      </c>
      <c r="D2955">
        <v>0.17699999999999999</v>
      </c>
      <c r="E2955" t="s">
        <v>6</v>
      </c>
      <c r="F2955">
        <v>0.11695999999999999</v>
      </c>
    </row>
    <row r="2956" spans="1:6" x14ac:dyDescent="0.3">
      <c r="A2956" t="s">
        <v>22</v>
      </c>
      <c r="B2956" s="1">
        <v>45781</v>
      </c>
      <c r="C2956">
        <v>4</v>
      </c>
      <c r="D2956">
        <v>0.108</v>
      </c>
      <c r="E2956" t="s">
        <v>6</v>
      </c>
      <c r="F2956">
        <v>0.11595999999999999</v>
      </c>
    </row>
    <row r="2957" spans="1:6" x14ac:dyDescent="0.3">
      <c r="A2957" t="s">
        <v>22</v>
      </c>
      <c r="B2957" s="1">
        <v>45781</v>
      </c>
      <c r="C2957">
        <v>5</v>
      </c>
      <c r="D2957">
        <v>0.83399999999999996</v>
      </c>
      <c r="E2957" t="s">
        <v>6</v>
      </c>
      <c r="F2957">
        <v>0.1143</v>
      </c>
    </row>
    <row r="2958" spans="1:6" x14ac:dyDescent="0.3">
      <c r="A2958" t="s">
        <v>22</v>
      </c>
      <c r="B2958" s="1">
        <v>45781</v>
      </c>
      <c r="C2958">
        <v>6</v>
      </c>
      <c r="D2958">
        <v>0.75700000000000001</v>
      </c>
      <c r="E2958" t="s">
        <v>6</v>
      </c>
      <c r="F2958">
        <v>0.11417000000000001</v>
      </c>
    </row>
    <row r="2959" spans="1:6" x14ac:dyDescent="0.3">
      <c r="A2959" t="s">
        <v>22</v>
      </c>
      <c r="B2959" s="1">
        <v>45781</v>
      </c>
      <c r="C2959">
        <v>7</v>
      </c>
      <c r="D2959">
        <v>0.69899999999999995</v>
      </c>
      <c r="E2959" t="s">
        <v>6</v>
      </c>
      <c r="F2959">
        <v>0.11047</v>
      </c>
    </row>
    <row r="2960" spans="1:6" x14ac:dyDescent="0.3">
      <c r="A2960" t="s">
        <v>22</v>
      </c>
      <c r="B2960" s="1">
        <v>45781</v>
      </c>
      <c r="C2960">
        <v>8</v>
      </c>
      <c r="D2960">
        <v>0.80800000000000005</v>
      </c>
      <c r="E2960" t="s">
        <v>6</v>
      </c>
      <c r="F2960">
        <v>0.10396999999999999</v>
      </c>
    </row>
    <row r="2961" spans="1:6" x14ac:dyDescent="0.3">
      <c r="A2961" t="s">
        <v>22</v>
      </c>
      <c r="B2961" s="1">
        <v>45781</v>
      </c>
      <c r="C2961">
        <v>9</v>
      </c>
      <c r="D2961">
        <v>1.6419999999999999</v>
      </c>
      <c r="E2961" t="s">
        <v>6</v>
      </c>
      <c r="F2961">
        <v>0.10009</v>
      </c>
    </row>
    <row r="2962" spans="1:6" x14ac:dyDescent="0.3">
      <c r="A2962" t="s">
        <v>22</v>
      </c>
      <c r="B2962" s="1">
        <v>45781</v>
      </c>
      <c r="C2962">
        <v>10</v>
      </c>
      <c r="D2962">
        <v>2.8149999999999999</v>
      </c>
      <c r="E2962" t="s">
        <v>6</v>
      </c>
      <c r="F2962">
        <v>9.0219999999999995E-2</v>
      </c>
    </row>
    <row r="2963" spans="1:6" x14ac:dyDescent="0.3">
      <c r="A2963" t="s">
        <v>22</v>
      </c>
      <c r="B2963" s="1">
        <v>45781</v>
      </c>
      <c r="C2963">
        <v>11</v>
      </c>
      <c r="D2963">
        <v>2.0019999999999998</v>
      </c>
      <c r="E2963" t="s">
        <v>6</v>
      </c>
      <c r="F2963">
        <v>8.0870000000000011E-2</v>
      </c>
    </row>
    <row r="2964" spans="1:6" x14ac:dyDescent="0.3">
      <c r="A2964" t="s">
        <v>22</v>
      </c>
      <c r="B2964" s="1">
        <v>45781</v>
      </c>
      <c r="C2964">
        <v>12</v>
      </c>
      <c r="D2964">
        <v>1.716</v>
      </c>
      <c r="E2964" t="s">
        <v>6</v>
      </c>
      <c r="F2964">
        <v>7.7349999999999988E-2</v>
      </c>
    </row>
    <row r="2965" spans="1:6" x14ac:dyDescent="0.3">
      <c r="A2965" t="s">
        <v>22</v>
      </c>
      <c r="B2965" s="1">
        <v>45781</v>
      </c>
      <c r="C2965">
        <v>13</v>
      </c>
      <c r="D2965">
        <v>3.8879999999999999</v>
      </c>
      <c r="E2965" t="s">
        <v>6</v>
      </c>
      <c r="F2965">
        <v>7.6840000000000006E-2</v>
      </c>
    </row>
    <row r="2966" spans="1:6" x14ac:dyDescent="0.3">
      <c r="A2966" t="s">
        <v>22</v>
      </c>
      <c r="B2966" s="1">
        <v>45781</v>
      </c>
      <c r="C2966">
        <v>14</v>
      </c>
      <c r="D2966">
        <v>3.823</v>
      </c>
      <c r="E2966" t="s">
        <v>6</v>
      </c>
      <c r="F2966">
        <v>7.526999999999999E-2</v>
      </c>
    </row>
    <row r="2967" spans="1:6" x14ac:dyDescent="0.3">
      <c r="A2967" t="s">
        <v>22</v>
      </c>
      <c r="B2967" s="1">
        <v>45781</v>
      </c>
      <c r="C2967">
        <v>15</v>
      </c>
      <c r="D2967">
        <v>1.34</v>
      </c>
      <c r="E2967" t="s">
        <v>6</v>
      </c>
      <c r="F2967">
        <v>7.2849999999999998E-2</v>
      </c>
    </row>
    <row r="2968" spans="1:6" x14ac:dyDescent="0.3">
      <c r="A2968" t="s">
        <v>22</v>
      </c>
      <c r="B2968" s="1">
        <v>45781</v>
      </c>
      <c r="C2968">
        <v>16</v>
      </c>
      <c r="D2968">
        <v>0.67</v>
      </c>
      <c r="E2968" t="s">
        <v>6</v>
      </c>
      <c r="F2968">
        <v>7.5549999999999992E-2</v>
      </c>
    </row>
    <row r="2969" spans="1:6" x14ac:dyDescent="0.3">
      <c r="A2969" t="s">
        <v>22</v>
      </c>
      <c r="B2969" s="1">
        <v>45781</v>
      </c>
      <c r="C2969">
        <v>17</v>
      </c>
      <c r="D2969">
        <v>0.58499999999999996</v>
      </c>
      <c r="E2969" t="s">
        <v>6</v>
      </c>
      <c r="F2969">
        <v>7.6960000000000001E-2</v>
      </c>
    </row>
    <row r="2970" spans="1:6" x14ac:dyDescent="0.3">
      <c r="A2970" t="s">
        <v>22</v>
      </c>
      <c r="B2970" s="1">
        <v>45781</v>
      </c>
      <c r="C2970">
        <v>18</v>
      </c>
      <c r="D2970">
        <v>0.69599999999999995</v>
      </c>
      <c r="E2970" t="s">
        <v>6</v>
      </c>
      <c r="F2970">
        <v>7.8310000000000005E-2</v>
      </c>
    </row>
    <row r="2971" spans="1:6" x14ac:dyDescent="0.3">
      <c r="A2971" t="s">
        <v>22</v>
      </c>
      <c r="B2971" s="1">
        <v>45781</v>
      </c>
      <c r="C2971">
        <v>19</v>
      </c>
      <c r="D2971">
        <v>1.5780000000000001</v>
      </c>
      <c r="E2971" t="s">
        <v>6</v>
      </c>
      <c r="F2971">
        <v>7.8810000000000005E-2</v>
      </c>
    </row>
    <row r="2972" spans="1:6" x14ac:dyDescent="0.3">
      <c r="A2972" t="s">
        <v>22</v>
      </c>
      <c r="B2972" s="1">
        <v>45781</v>
      </c>
      <c r="C2972">
        <v>20</v>
      </c>
      <c r="D2972">
        <v>0.68200000000000005</v>
      </c>
      <c r="E2972" t="s">
        <v>6</v>
      </c>
      <c r="F2972">
        <v>8.405E-2</v>
      </c>
    </row>
    <row r="2973" spans="1:6" x14ac:dyDescent="0.3">
      <c r="A2973" t="s">
        <v>22</v>
      </c>
      <c r="B2973" s="1">
        <v>45781</v>
      </c>
      <c r="C2973">
        <v>21</v>
      </c>
      <c r="D2973">
        <v>0.79200000000000004</v>
      </c>
      <c r="E2973" t="s">
        <v>6</v>
      </c>
      <c r="F2973">
        <v>9.5989999999999992E-2</v>
      </c>
    </row>
    <row r="2974" spans="1:6" x14ac:dyDescent="0.3">
      <c r="A2974" t="s">
        <v>22</v>
      </c>
      <c r="B2974" s="1">
        <v>45781</v>
      </c>
      <c r="C2974">
        <v>22</v>
      </c>
      <c r="D2974">
        <v>1.7130000000000001</v>
      </c>
      <c r="E2974" t="s">
        <v>6</v>
      </c>
      <c r="F2974">
        <v>0.10929000000000001</v>
      </c>
    </row>
    <row r="2975" spans="1:6" x14ac:dyDescent="0.3">
      <c r="A2975" t="s">
        <v>22</v>
      </c>
      <c r="B2975" s="1">
        <v>45781</v>
      </c>
      <c r="C2975">
        <v>23</v>
      </c>
      <c r="D2975">
        <v>0.89900000000000002</v>
      </c>
      <c r="E2975" t="s">
        <v>6</v>
      </c>
      <c r="F2975">
        <v>0.10782</v>
      </c>
    </row>
    <row r="2976" spans="1:6" x14ac:dyDescent="0.3">
      <c r="A2976" t="s">
        <v>22</v>
      </c>
      <c r="B2976" s="1">
        <v>45781</v>
      </c>
      <c r="C2976">
        <v>24</v>
      </c>
      <c r="D2976">
        <v>0.872</v>
      </c>
      <c r="E2976" t="s">
        <v>6</v>
      </c>
      <c r="F2976">
        <v>9.8830000000000001E-2</v>
      </c>
    </row>
    <row r="2977" spans="1:6" x14ac:dyDescent="0.3">
      <c r="A2977" t="s">
        <v>22</v>
      </c>
      <c r="B2977" s="1">
        <v>45782</v>
      </c>
      <c r="C2977">
        <v>1</v>
      </c>
      <c r="D2977">
        <v>0.79600000000000004</v>
      </c>
      <c r="E2977" t="s">
        <v>6</v>
      </c>
      <c r="F2977">
        <v>0.11892</v>
      </c>
    </row>
    <row r="2978" spans="1:6" x14ac:dyDescent="0.3">
      <c r="A2978" t="s">
        <v>22</v>
      </c>
      <c r="B2978" s="1">
        <v>45782</v>
      </c>
      <c r="C2978">
        <v>2</v>
      </c>
      <c r="D2978">
        <v>0.99299999999999999</v>
      </c>
      <c r="E2978" t="s">
        <v>6</v>
      </c>
      <c r="F2978">
        <v>0.11524</v>
      </c>
    </row>
    <row r="2979" spans="1:6" x14ac:dyDescent="0.3">
      <c r="A2979" t="s">
        <v>22</v>
      </c>
      <c r="B2979" s="1">
        <v>45782</v>
      </c>
      <c r="C2979">
        <v>3</v>
      </c>
      <c r="D2979">
        <v>0.73199999999999998</v>
      </c>
      <c r="E2979" t="s">
        <v>6</v>
      </c>
      <c r="F2979">
        <v>0.11384</v>
      </c>
    </row>
    <row r="2980" spans="1:6" x14ac:dyDescent="0.3">
      <c r="A2980" t="s">
        <v>22</v>
      </c>
      <c r="B2980" s="1">
        <v>45782</v>
      </c>
      <c r="C2980">
        <v>4</v>
      </c>
      <c r="D2980">
        <v>1.139</v>
      </c>
      <c r="E2980" t="s">
        <v>6</v>
      </c>
      <c r="F2980">
        <v>0.11153</v>
      </c>
    </row>
    <row r="2981" spans="1:6" x14ac:dyDescent="0.3">
      <c r="A2981" t="s">
        <v>22</v>
      </c>
      <c r="B2981" s="1">
        <v>45782</v>
      </c>
      <c r="C2981">
        <v>5</v>
      </c>
      <c r="D2981">
        <v>0.89100000000000001</v>
      </c>
      <c r="E2981" t="s">
        <v>6</v>
      </c>
      <c r="F2981">
        <v>0.10915000000000001</v>
      </c>
    </row>
    <row r="2982" spans="1:6" x14ac:dyDescent="0.3">
      <c r="A2982" t="s">
        <v>22</v>
      </c>
      <c r="B2982" s="1">
        <v>45782</v>
      </c>
      <c r="C2982">
        <v>6</v>
      </c>
      <c r="D2982">
        <v>0.82599999999999996</v>
      </c>
      <c r="E2982" t="s">
        <v>6</v>
      </c>
      <c r="F2982">
        <v>0.11145000000000001</v>
      </c>
    </row>
    <row r="2983" spans="1:6" x14ac:dyDescent="0.3">
      <c r="A2983" t="s">
        <v>22</v>
      </c>
      <c r="B2983" s="1">
        <v>45782</v>
      </c>
      <c r="C2983">
        <v>7</v>
      </c>
      <c r="D2983">
        <v>1.0960000000000001</v>
      </c>
      <c r="E2983" t="s">
        <v>6</v>
      </c>
      <c r="F2983">
        <v>0.11554</v>
      </c>
    </row>
    <row r="2984" spans="1:6" x14ac:dyDescent="0.3">
      <c r="A2984" t="s">
        <v>22</v>
      </c>
      <c r="B2984" s="1">
        <v>45782</v>
      </c>
      <c r="C2984">
        <v>8</v>
      </c>
      <c r="D2984">
        <v>1.823</v>
      </c>
      <c r="E2984" t="s">
        <v>6</v>
      </c>
      <c r="F2984">
        <v>0.11641</v>
      </c>
    </row>
    <row r="2985" spans="1:6" x14ac:dyDescent="0.3">
      <c r="A2985" t="s">
        <v>22</v>
      </c>
      <c r="B2985" s="1">
        <v>45782</v>
      </c>
      <c r="C2985">
        <v>9</v>
      </c>
      <c r="D2985">
        <v>1.173</v>
      </c>
      <c r="E2985" t="s">
        <v>6</v>
      </c>
      <c r="F2985">
        <v>0.13438999999999998</v>
      </c>
    </row>
    <row r="2986" spans="1:6" x14ac:dyDescent="0.3">
      <c r="A2986" t="s">
        <v>22</v>
      </c>
      <c r="B2986" s="1">
        <v>45782</v>
      </c>
      <c r="C2986">
        <v>10</v>
      </c>
      <c r="D2986">
        <v>1.61</v>
      </c>
      <c r="E2986" t="s">
        <v>6</v>
      </c>
      <c r="F2986">
        <v>0.11194</v>
      </c>
    </row>
    <row r="2987" spans="1:6" x14ac:dyDescent="0.3">
      <c r="A2987" t="s">
        <v>22</v>
      </c>
      <c r="B2987" s="1">
        <v>45782</v>
      </c>
      <c r="C2987">
        <v>11</v>
      </c>
      <c r="D2987">
        <v>3.3090000000000002</v>
      </c>
      <c r="E2987" t="s">
        <v>6</v>
      </c>
      <c r="F2987">
        <v>0.15928</v>
      </c>
    </row>
    <row r="2988" spans="1:6" x14ac:dyDescent="0.3">
      <c r="A2988" t="s">
        <v>22</v>
      </c>
      <c r="B2988" s="1">
        <v>45782</v>
      </c>
      <c r="C2988">
        <v>12</v>
      </c>
      <c r="D2988">
        <v>4.5629999999999997</v>
      </c>
      <c r="E2988" t="s">
        <v>6</v>
      </c>
      <c r="F2988">
        <v>0.15802000000000002</v>
      </c>
    </row>
    <row r="2989" spans="1:6" x14ac:dyDescent="0.3">
      <c r="A2989" t="s">
        <v>22</v>
      </c>
      <c r="B2989" s="1">
        <v>45782</v>
      </c>
      <c r="C2989">
        <v>13</v>
      </c>
      <c r="D2989">
        <v>4.91</v>
      </c>
      <c r="E2989" t="s">
        <v>6</v>
      </c>
      <c r="F2989">
        <v>0.15709000000000001</v>
      </c>
    </row>
    <row r="2990" spans="1:6" x14ac:dyDescent="0.3">
      <c r="A2990" t="s">
        <v>22</v>
      </c>
      <c r="B2990" s="1">
        <v>45782</v>
      </c>
      <c r="C2990">
        <v>14</v>
      </c>
      <c r="D2990">
        <v>6.1879999999999997</v>
      </c>
      <c r="E2990" t="s">
        <v>6</v>
      </c>
      <c r="F2990">
        <v>0.15374000000000002</v>
      </c>
    </row>
    <row r="2991" spans="1:6" x14ac:dyDescent="0.3">
      <c r="A2991" t="s">
        <v>22</v>
      </c>
      <c r="B2991" s="1">
        <v>45782</v>
      </c>
      <c r="C2991">
        <v>15</v>
      </c>
      <c r="D2991">
        <v>1.736</v>
      </c>
      <c r="E2991" t="s">
        <v>6</v>
      </c>
      <c r="F2991">
        <v>8.8669999999999999E-2</v>
      </c>
    </row>
    <row r="2992" spans="1:6" x14ac:dyDescent="0.3">
      <c r="A2992" t="s">
        <v>22</v>
      </c>
      <c r="B2992" s="1">
        <v>45782</v>
      </c>
      <c r="C2992">
        <v>16</v>
      </c>
      <c r="D2992">
        <v>0.84099999999999997</v>
      </c>
      <c r="E2992" t="s">
        <v>6</v>
      </c>
      <c r="F2992">
        <v>9.0569999999999998E-2</v>
      </c>
    </row>
    <row r="2993" spans="1:6" x14ac:dyDescent="0.3">
      <c r="A2993" t="s">
        <v>22</v>
      </c>
      <c r="B2993" s="1">
        <v>45782</v>
      </c>
      <c r="C2993">
        <v>17</v>
      </c>
      <c r="D2993">
        <v>0.97099999999999997</v>
      </c>
      <c r="E2993" t="s">
        <v>6</v>
      </c>
      <c r="F2993">
        <v>9.1420000000000001E-2</v>
      </c>
    </row>
    <row r="2994" spans="1:6" x14ac:dyDescent="0.3">
      <c r="A2994" t="s">
        <v>22</v>
      </c>
      <c r="B2994" s="1">
        <v>45782</v>
      </c>
      <c r="C2994">
        <v>18</v>
      </c>
      <c r="D2994">
        <v>1.534</v>
      </c>
      <c r="E2994" t="s">
        <v>6</v>
      </c>
      <c r="F2994">
        <v>9.1499999999999998E-2</v>
      </c>
    </row>
    <row r="2995" spans="1:6" x14ac:dyDescent="0.3">
      <c r="A2995" t="s">
        <v>22</v>
      </c>
      <c r="B2995" s="1">
        <v>45782</v>
      </c>
      <c r="C2995">
        <v>19</v>
      </c>
      <c r="D2995">
        <v>0.85599999999999998</v>
      </c>
      <c r="E2995" t="s">
        <v>6</v>
      </c>
      <c r="F2995">
        <v>0.16152</v>
      </c>
    </row>
    <row r="2996" spans="1:6" x14ac:dyDescent="0.3">
      <c r="A2996" t="s">
        <v>22</v>
      </c>
      <c r="B2996" s="1">
        <v>45782</v>
      </c>
      <c r="C2996">
        <v>20</v>
      </c>
      <c r="D2996">
        <v>1.04</v>
      </c>
      <c r="E2996" t="s">
        <v>6</v>
      </c>
      <c r="F2996">
        <v>0.16290000000000002</v>
      </c>
    </row>
    <row r="2997" spans="1:6" x14ac:dyDescent="0.3">
      <c r="A2997" t="s">
        <v>22</v>
      </c>
      <c r="B2997" s="1">
        <v>45782</v>
      </c>
      <c r="C2997">
        <v>21</v>
      </c>
      <c r="D2997">
        <v>1.347</v>
      </c>
      <c r="E2997" t="s">
        <v>6</v>
      </c>
      <c r="F2997">
        <v>0.16946</v>
      </c>
    </row>
    <row r="2998" spans="1:6" x14ac:dyDescent="0.3">
      <c r="A2998" t="s">
        <v>22</v>
      </c>
      <c r="B2998" s="1">
        <v>45782</v>
      </c>
      <c r="C2998">
        <v>22</v>
      </c>
      <c r="D2998">
        <v>1.863</v>
      </c>
      <c r="E2998" t="s">
        <v>6</v>
      </c>
      <c r="F2998">
        <v>0.18630000000000002</v>
      </c>
    </row>
    <row r="2999" spans="1:6" x14ac:dyDescent="0.3">
      <c r="A2999" t="s">
        <v>22</v>
      </c>
      <c r="B2999" s="1">
        <v>45782</v>
      </c>
      <c r="C2999">
        <v>23</v>
      </c>
      <c r="D2999">
        <v>0.96699999999999997</v>
      </c>
      <c r="E2999" t="s">
        <v>6</v>
      </c>
      <c r="F2999">
        <v>0.11528000000000001</v>
      </c>
    </row>
    <row r="3000" spans="1:6" x14ac:dyDescent="0.3">
      <c r="A3000" t="s">
        <v>22</v>
      </c>
      <c r="B3000" s="1">
        <v>45782</v>
      </c>
      <c r="C3000">
        <v>24</v>
      </c>
      <c r="D3000">
        <v>1.1339999999999999</v>
      </c>
      <c r="E3000" t="s">
        <v>6</v>
      </c>
      <c r="F3000">
        <v>0.11151000000000001</v>
      </c>
    </row>
    <row r="3001" spans="1:6" x14ac:dyDescent="0.3">
      <c r="A3001" t="s">
        <v>22</v>
      </c>
      <c r="B3001" s="1">
        <v>45783</v>
      </c>
      <c r="C3001">
        <v>1</v>
      </c>
      <c r="D3001">
        <v>1.4139999999999999</v>
      </c>
      <c r="E3001" t="s">
        <v>6</v>
      </c>
      <c r="F3001">
        <v>8.5129999999999997E-2</v>
      </c>
    </row>
    <row r="3002" spans="1:6" x14ac:dyDescent="0.3">
      <c r="A3002" t="s">
        <v>22</v>
      </c>
      <c r="B3002" s="1">
        <v>45783</v>
      </c>
      <c r="C3002">
        <v>2</v>
      </c>
      <c r="D3002">
        <v>1.7030000000000001</v>
      </c>
      <c r="E3002" t="s">
        <v>6</v>
      </c>
      <c r="F3002">
        <v>8.2780000000000006E-2</v>
      </c>
    </row>
    <row r="3003" spans="1:6" x14ac:dyDescent="0.3">
      <c r="A3003" t="s">
        <v>22</v>
      </c>
      <c r="B3003" s="1">
        <v>45783</v>
      </c>
      <c r="C3003">
        <v>3</v>
      </c>
      <c r="D3003">
        <v>1.022</v>
      </c>
      <c r="E3003" t="s">
        <v>6</v>
      </c>
      <c r="F3003">
        <v>8.4129999999999996E-2</v>
      </c>
    </row>
    <row r="3004" spans="1:6" x14ac:dyDescent="0.3">
      <c r="A3004" t="s">
        <v>22</v>
      </c>
      <c r="B3004" s="1">
        <v>45783</v>
      </c>
      <c r="C3004">
        <v>4</v>
      </c>
      <c r="D3004">
        <v>1.2869999999999999</v>
      </c>
      <c r="E3004" t="s">
        <v>6</v>
      </c>
      <c r="F3004">
        <v>8.097E-2</v>
      </c>
    </row>
    <row r="3005" spans="1:6" x14ac:dyDescent="0.3">
      <c r="A3005" t="s">
        <v>22</v>
      </c>
      <c r="B3005" s="1">
        <v>45783</v>
      </c>
      <c r="C3005">
        <v>5</v>
      </c>
      <c r="D3005">
        <v>1.0349999999999999</v>
      </c>
      <c r="E3005" t="s">
        <v>6</v>
      </c>
      <c r="F3005">
        <v>8.1619999999999998E-2</v>
      </c>
    </row>
    <row r="3006" spans="1:6" x14ac:dyDescent="0.3">
      <c r="A3006" t="s">
        <v>22</v>
      </c>
      <c r="B3006" s="1">
        <v>45783</v>
      </c>
      <c r="C3006">
        <v>6</v>
      </c>
      <c r="D3006">
        <v>1.4630000000000001</v>
      </c>
      <c r="E3006" t="s">
        <v>6</v>
      </c>
      <c r="F3006">
        <v>8.1310000000000007E-2</v>
      </c>
    </row>
    <row r="3007" spans="1:6" x14ac:dyDescent="0.3">
      <c r="A3007" t="s">
        <v>22</v>
      </c>
      <c r="B3007" s="1">
        <v>45783</v>
      </c>
      <c r="C3007">
        <v>7</v>
      </c>
      <c r="D3007">
        <v>0.95699999999999996</v>
      </c>
      <c r="E3007" t="s">
        <v>6</v>
      </c>
      <c r="F3007">
        <v>9.4159999999999994E-2</v>
      </c>
    </row>
    <row r="3008" spans="1:6" x14ac:dyDescent="0.3">
      <c r="A3008" t="s">
        <v>22</v>
      </c>
      <c r="B3008" s="1">
        <v>45783</v>
      </c>
      <c r="C3008">
        <v>8</v>
      </c>
      <c r="D3008">
        <v>1.431</v>
      </c>
      <c r="E3008" t="s">
        <v>6</v>
      </c>
      <c r="F3008">
        <v>0.10120999999999999</v>
      </c>
    </row>
    <row r="3009" spans="1:6" x14ac:dyDescent="0.3">
      <c r="A3009" t="s">
        <v>22</v>
      </c>
      <c r="B3009" s="1">
        <v>45783</v>
      </c>
      <c r="C3009">
        <v>9</v>
      </c>
      <c r="D3009">
        <v>1.276</v>
      </c>
      <c r="E3009" t="s">
        <v>6</v>
      </c>
      <c r="F3009">
        <v>0.11128</v>
      </c>
    </row>
    <row r="3010" spans="1:6" x14ac:dyDescent="0.3">
      <c r="A3010" t="s">
        <v>22</v>
      </c>
      <c r="B3010" s="1">
        <v>45783</v>
      </c>
      <c r="C3010">
        <v>10</v>
      </c>
      <c r="D3010">
        <v>1.756</v>
      </c>
      <c r="E3010" t="s">
        <v>6</v>
      </c>
      <c r="F3010">
        <v>9.0620000000000006E-2</v>
      </c>
    </row>
    <row r="3011" spans="1:6" x14ac:dyDescent="0.3">
      <c r="A3011" t="s">
        <v>22</v>
      </c>
      <c r="B3011" s="1">
        <v>45783</v>
      </c>
      <c r="C3011">
        <v>11</v>
      </c>
      <c r="D3011">
        <v>1.8029999999999999</v>
      </c>
      <c r="E3011" t="s">
        <v>6</v>
      </c>
      <c r="F3011">
        <v>0.15212999999999999</v>
      </c>
    </row>
    <row r="3012" spans="1:6" x14ac:dyDescent="0.3">
      <c r="A3012" t="s">
        <v>22</v>
      </c>
      <c r="B3012" s="1">
        <v>45783</v>
      </c>
      <c r="C3012">
        <v>12</v>
      </c>
      <c r="D3012">
        <v>1.595</v>
      </c>
      <c r="E3012" t="s">
        <v>6</v>
      </c>
      <c r="F3012">
        <v>0.14834</v>
      </c>
    </row>
    <row r="3013" spans="1:6" x14ac:dyDescent="0.3">
      <c r="A3013" t="s">
        <v>22</v>
      </c>
      <c r="B3013" s="1">
        <v>45783</v>
      </c>
      <c r="C3013">
        <v>13</v>
      </c>
      <c r="D3013">
        <v>1.056</v>
      </c>
      <c r="E3013" t="s">
        <v>6</v>
      </c>
      <c r="F3013">
        <v>0.14861000000000002</v>
      </c>
    </row>
    <row r="3014" spans="1:6" x14ac:dyDescent="0.3">
      <c r="A3014" t="s">
        <v>22</v>
      </c>
      <c r="B3014" s="1">
        <v>45783</v>
      </c>
      <c r="C3014">
        <v>14</v>
      </c>
      <c r="D3014">
        <v>2.0169999999999999</v>
      </c>
      <c r="E3014" t="s">
        <v>6</v>
      </c>
      <c r="F3014">
        <v>0.14474000000000001</v>
      </c>
    </row>
    <row r="3015" spans="1:6" x14ac:dyDescent="0.3">
      <c r="A3015" t="s">
        <v>22</v>
      </c>
      <c r="B3015" s="1">
        <v>45783</v>
      </c>
      <c r="C3015">
        <v>15</v>
      </c>
      <c r="D3015">
        <v>1.8540000000000001</v>
      </c>
      <c r="E3015" t="s">
        <v>6</v>
      </c>
      <c r="F3015">
        <v>8.2629999999999995E-2</v>
      </c>
    </row>
    <row r="3016" spans="1:6" x14ac:dyDescent="0.3">
      <c r="A3016" t="s">
        <v>22</v>
      </c>
      <c r="B3016" s="1">
        <v>45783</v>
      </c>
      <c r="C3016">
        <v>16</v>
      </c>
      <c r="D3016">
        <v>0.91800000000000004</v>
      </c>
      <c r="E3016" t="s">
        <v>6</v>
      </c>
      <c r="F3016">
        <v>8.3839999999999998E-2</v>
      </c>
    </row>
    <row r="3017" spans="1:6" x14ac:dyDescent="0.3">
      <c r="A3017" t="s">
        <v>22</v>
      </c>
      <c r="B3017" s="1">
        <v>45783</v>
      </c>
      <c r="C3017">
        <v>17</v>
      </c>
      <c r="D3017">
        <v>2.0529999999999999</v>
      </c>
      <c r="E3017" t="s">
        <v>6</v>
      </c>
      <c r="F3017">
        <v>8.4940000000000002E-2</v>
      </c>
    </row>
    <row r="3018" spans="1:6" x14ac:dyDescent="0.3">
      <c r="A3018" t="s">
        <v>22</v>
      </c>
      <c r="B3018" s="1">
        <v>45783</v>
      </c>
      <c r="C3018">
        <v>18</v>
      </c>
      <c r="D3018">
        <v>1.2809999999999999</v>
      </c>
      <c r="E3018" t="s">
        <v>6</v>
      </c>
      <c r="F3018">
        <v>8.4959999999999994E-2</v>
      </c>
    </row>
    <row r="3019" spans="1:6" x14ac:dyDescent="0.3">
      <c r="A3019" t="s">
        <v>22</v>
      </c>
      <c r="B3019" s="1">
        <v>45783</v>
      </c>
      <c r="C3019">
        <v>19</v>
      </c>
      <c r="D3019">
        <v>1.204</v>
      </c>
      <c r="E3019" t="s">
        <v>6</v>
      </c>
      <c r="F3019">
        <v>0.15368000000000001</v>
      </c>
    </row>
    <row r="3020" spans="1:6" x14ac:dyDescent="0.3">
      <c r="A3020" t="s">
        <v>22</v>
      </c>
      <c r="B3020" s="1">
        <v>45783</v>
      </c>
      <c r="C3020">
        <v>20</v>
      </c>
      <c r="D3020">
        <v>1.411</v>
      </c>
      <c r="E3020" t="s">
        <v>6</v>
      </c>
      <c r="F3020">
        <v>0.15772999999999998</v>
      </c>
    </row>
    <row r="3021" spans="1:6" x14ac:dyDescent="0.3">
      <c r="A3021" t="s">
        <v>22</v>
      </c>
      <c r="B3021" s="1">
        <v>45783</v>
      </c>
      <c r="C3021">
        <v>21</v>
      </c>
      <c r="D3021">
        <v>1.2609999999999999</v>
      </c>
      <c r="E3021" t="s">
        <v>6</v>
      </c>
      <c r="F3021">
        <v>0.20069000000000001</v>
      </c>
    </row>
    <row r="3022" spans="1:6" x14ac:dyDescent="0.3">
      <c r="A3022" t="s">
        <v>22</v>
      </c>
      <c r="B3022" s="1">
        <v>45783</v>
      </c>
      <c r="C3022">
        <v>22</v>
      </c>
      <c r="D3022">
        <v>0.92600000000000005</v>
      </c>
      <c r="E3022" t="s">
        <v>6</v>
      </c>
      <c r="F3022">
        <v>0.22086</v>
      </c>
    </row>
    <row r="3023" spans="1:6" x14ac:dyDescent="0.3">
      <c r="A3023" t="s">
        <v>22</v>
      </c>
      <c r="B3023" s="1">
        <v>45783</v>
      </c>
      <c r="C3023">
        <v>23</v>
      </c>
      <c r="D3023">
        <v>2.597</v>
      </c>
      <c r="E3023" t="s">
        <v>6</v>
      </c>
      <c r="F3023">
        <v>0.14357</v>
      </c>
    </row>
    <row r="3024" spans="1:6" x14ac:dyDescent="0.3">
      <c r="A3024" t="s">
        <v>22</v>
      </c>
      <c r="B3024" s="1">
        <v>45783</v>
      </c>
      <c r="C3024">
        <v>24</v>
      </c>
      <c r="D3024">
        <v>1.403</v>
      </c>
      <c r="E3024" t="s">
        <v>6</v>
      </c>
      <c r="F3024">
        <v>0.12866999999999998</v>
      </c>
    </row>
    <row r="3025" spans="1:6" x14ac:dyDescent="0.3">
      <c r="A3025" t="s">
        <v>22</v>
      </c>
      <c r="B3025" s="1">
        <v>45784</v>
      </c>
      <c r="C3025">
        <v>1</v>
      </c>
      <c r="D3025">
        <v>1.554</v>
      </c>
      <c r="E3025" t="s">
        <v>6</v>
      </c>
      <c r="F3025">
        <v>7.8969999999999999E-2</v>
      </c>
    </row>
    <row r="3026" spans="1:6" x14ac:dyDescent="0.3">
      <c r="A3026" t="s">
        <v>22</v>
      </c>
      <c r="B3026" s="1">
        <v>45784</v>
      </c>
      <c r="C3026">
        <v>2</v>
      </c>
      <c r="D3026">
        <v>1.423</v>
      </c>
      <c r="E3026" t="s">
        <v>6</v>
      </c>
      <c r="F3026">
        <v>7.6620000000000008E-2</v>
      </c>
    </row>
    <row r="3027" spans="1:6" x14ac:dyDescent="0.3">
      <c r="A3027" t="s">
        <v>22</v>
      </c>
      <c r="B3027" s="1">
        <v>45784</v>
      </c>
      <c r="C3027">
        <v>3</v>
      </c>
      <c r="D3027">
        <v>1.0780000000000001</v>
      </c>
      <c r="E3027" t="s">
        <v>6</v>
      </c>
      <c r="F3027">
        <v>7.712999999999999E-2</v>
      </c>
    </row>
    <row r="3028" spans="1:6" x14ac:dyDescent="0.3">
      <c r="A3028" t="s">
        <v>22</v>
      </c>
      <c r="B3028" s="1">
        <v>45784</v>
      </c>
      <c r="C3028">
        <v>4</v>
      </c>
      <c r="D3028">
        <v>1.667</v>
      </c>
      <c r="E3028" t="s">
        <v>6</v>
      </c>
      <c r="F3028">
        <v>7.3329999999999992E-2</v>
      </c>
    </row>
    <row r="3029" spans="1:6" x14ac:dyDescent="0.3">
      <c r="A3029" t="s">
        <v>22</v>
      </c>
      <c r="B3029" s="1">
        <v>45784</v>
      </c>
      <c r="C3029">
        <v>5</v>
      </c>
      <c r="D3029">
        <v>2.427</v>
      </c>
      <c r="E3029" t="s">
        <v>6</v>
      </c>
      <c r="F3029">
        <v>7.8120000000000009E-2</v>
      </c>
    </row>
    <row r="3030" spans="1:6" x14ac:dyDescent="0.3">
      <c r="A3030" t="s">
        <v>22</v>
      </c>
      <c r="B3030" s="1">
        <v>45784</v>
      </c>
      <c r="C3030">
        <v>6</v>
      </c>
      <c r="D3030">
        <v>1.7170000000000001</v>
      </c>
      <c r="E3030" t="s">
        <v>6</v>
      </c>
      <c r="F3030">
        <v>8.3720000000000003E-2</v>
      </c>
    </row>
    <row r="3031" spans="1:6" x14ac:dyDescent="0.3">
      <c r="A3031" t="s">
        <v>22</v>
      </c>
      <c r="B3031" s="1">
        <v>45784</v>
      </c>
      <c r="C3031">
        <v>7</v>
      </c>
      <c r="D3031">
        <v>1.7250000000000001</v>
      </c>
      <c r="E3031" t="s">
        <v>6</v>
      </c>
      <c r="F3031">
        <v>0.1016</v>
      </c>
    </row>
    <row r="3032" spans="1:6" x14ac:dyDescent="0.3">
      <c r="A3032" t="s">
        <v>22</v>
      </c>
      <c r="B3032" s="1">
        <v>45784</v>
      </c>
      <c r="C3032">
        <v>8</v>
      </c>
      <c r="D3032">
        <v>1.929</v>
      </c>
      <c r="E3032" t="s">
        <v>6</v>
      </c>
      <c r="F3032">
        <v>0.11287</v>
      </c>
    </row>
    <row r="3033" spans="1:6" x14ac:dyDescent="0.3">
      <c r="A3033" t="s">
        <v>22</v>
      </c>
      <c r="B3033" s="1">
        <v>45784</v>
      </c>
      <c r="C3033">
        <v>9</v>
      </c>
      <c r="D3033">
        <v>1.593</v>
      </c>
      <c r="E3033" t="s">
        <v>6</v>
      </c>
      <c r="F3033">
        <v>0.12946000000000002</v>
      </c>
    </row>
    <row r="3034" spans="1:6" x14ac:dyDescent="0.3">
      <c r="A3034" t="s">
        <v>22</v>
      </c>
      <c r="B3034" s="1">
        <v>45784</v>
      </c>
      <c r="C3034">
        <v>10</v>
      </c>
      <c r="D3034">
        <v>0.89</v>
      </c>
      <c r="E3034" t="s">
        <v>6</v>
      </c>
      <c r="F3034">
        <v>9.4640000000000002E-2</v>
      </c>
    </row>
    <row r="3035" spans="1:6" x14ac:dyDescent="0.3">
      <c r="A3035" t="s">
        <v>22</v>
      </c>
      <c r="B3035" s="1">
        <v>45784</v>
      </c>
      <c r="C3035">
        <v>11</v>
      </c>
      <c r="D3035">
        <v>0</v>
      </c>
      <c r="E3035" t="s">
        <v>6</v>
      </c>
      <c r="F3035">
        <v>0.14536000000000002</v>
      </c>
    </row>
    <row r="3036" spans="1:6" x14ac:dyDescent="0.3">
      <c r="A3036" t="s">
        <v>22</v>
      </c>
      <c r="B3036" s="1">
        <v>45784</v>
      </c>
      <c r="C3036">
        <v>12</v>
      </c>
      <c r="D3036">
        <v>0</v>
      </c>
      <c r="E3036" t="s">
        <v>6</v>
      </c>
      <c r="F3036">
        <v>0.14552999999999999</v>
      </c>
    </row>
    <row r="3037" spans="1:6" x14ac:dyDescent="0.3">
      <c r="A3037" t="s">
        <v>22</v>
      </c>
      <c r="B3037" s="1">
        <v>45784</v>
      </c>
      <c r="C3037">
        <v>13</v>
      </c>
      <c r="D3037">
        <v>0</v>
      </c>
      <c r="E3037" t="s">
        <v>6</v>
      </c>
      <c r="F3037">
        <v>0.14563999999999999</v>
      </c>
    </row>
    <row r="3038" spans="1:6" x14ac:dyDescent="0.3">
      <c r="A3038" t="s">
        <v>22</v>
      </c>
      <c r="B3038" s="1">
        <v>45784</v>
      </c>
      <c r="C3038">
        <v>14</v>
      </c>
      <c r="D3038">
        <v>0</v>
      </c>
      <c r="E3038" t="s">
        <v>6</v>
      </c>
      <c r="F3038">
        <v>0.14274999999999999</v>
      </c>
    </row>
    <row r="3039" spans="1:6" x14ac:dyDescent="0.3">
      <c r="A3039" t="s">
        <v>22</v>
      </c>
      <c r="B3039" s="1">
        <v>45784</v>
      </c>
      <c r="C3039">
        <v>15</v>
      </c>
      <c r="D3039">
        <v>0</v>
      </c>
      <c r="E3039" t="s">
        <v>6</v>
      </c>
      <c r="F3039">
        <v>7.8739999999999991E-2</v>
      </c>
    </row>
    <row r="3040" spans="1:6" x14ac:dyDescent="0.3">
      <c r="A3040" t="s">
        <v>22</v>
      </c>
      <c r="B3040" s="1">
        <v>45784</v>
      </c>
      <c r="C3040">
        <v>16</v>
      </c>
      <c r="D3040">
        <v>0</v>
      </c>
      <c r="E3040" t="s">
        <v>6</v>
      </c>
      <c r="F3040">
        <v>7.909999999999999E-2</v>
      </c>
    </row>
    <row r="3041" spans="1:6" x14ac:dyDescent="0.3">
      <c r="A3041" t="s">
        <v>22</v>
      </c>
      <c r="B3041" s="1">
        <v>45784</v>
      </c>
      <c r="C3041">
        <v>17</v>
      </c>
      <c r="D3041">
        <v>0</v>
      </c>
      <c r="E3041" t="s">
        <v>6</v>
      </c>
      <c r="F3041">
        <v>7.9890000000000003E-2</v>
      </c>
    </row>
    <row r="3042" spans="1:6" x14ac:dyDescent="0.3">
      <c r="A3042" t="s">
        <v>22</v>
      </c>
      <c r="B3042" s="1">
        <v>45784</v>
      </c>
      <c r="C3042">
        <v>18</v>
      </c>
      <c r="D3042">
        <v>0</v>
      </c>
      <c r="E3042" t="s">
        <v>6</v>
      </c>
      <c r="F3042">
        <v>8.0489999999999992E-2</v>
      </c>
    </row>
    <row r="3043" spans="1:6" x14ac:dyDescent="0.3">
      <c r="A3043" t="s">
        <v>22</v>
      </c>
      <c r="B3043" s="1">
        <v>45784</v>
      </c>
      <c r="C3043">
        <v>19</v>
      </c>
      <c r="D3043">
        <v>0.16400000000000001</v>
      </c>
      <c r="E3043" t="s">
        <v>6</v>
      </c>
      <c r="F3043">
        <v>0.15284</v>
      </c>
    </row>
    <row r="3044" spans="1:6" x14ac:dyDescent="0.3">
      <c r="A3044" t="s">
        <v>22</v>
      </c>
      <c r="B3044" s="1">
        <v>45784</v>
      </c>
      <c r="C3044">
        <v>20</v>
      </c>
      <c r="D3044">
        <v>0.626</v>
      </c>
      <c r="E3044" t="s">
        <v>6</v>
      </c>
      <c r="F3044">
        <v>0.19228000000000001</v>
      </c>
    </row>
    <row r="3045" spans="1:6" x14ac:dyDescent="0.3">
      <c r="A3045" t="s">
        <v>22</v>
      </c>
      <c r="B3045" s="1">
        <v>45784</v>
      </c>
      <c r="C3045">
        <v>21</v>
      </c>
      <c r="D3045">
        <v>1.4419999999999999</v>
      </c>
      <c r="E3045" t="s">
        <v>6</v>
      </c>
      <c r="F3045">
        <v>0.20536000000000001</v>
      </c>
    </row>
    <row r="3046" spans="1:6" x14ac:dyDescent="0.3">
      <c r="A3046" t="s">
        <v>22</v>
      </c>
      <c r="B3046" s="1">
        <v>45784</v>
      </c>
      <c r="C3046">
        <v>22</v>
      </c>
      <c r="D3046">
        <v>2.4249999999999998</v>
      </c>
      <c r="E3046" t="s">
        <v>6</v>
      </c>
      <c r="F3046">
        <v>0.23349</v>
      </c>
    </row>
    <row r="3047" spans="1:6" x14ac:dyDescent="0.3">
      <c r="A3047" t="s">
        <v>22</v>
      </c>
      <c r="B3047" s="1">
        <v>45784</v>
      </c>
      <c r="C3047">
        <v>23</v>
      </c>
      <c r="D3047">
        <v>2.09</v>
      </c>
      <c r="E3047" t="s">
        <v>6</v>
      </c>
      <c r="F3047">
        <v>0.14773</v>
      </c>
    </row>
    <row r="3048" spans="1:6" x14ac:dyDescent="0.3">
      <c r="A3048" t="s">
        <v>22</v>
      </c>
      <c r="B3048" s="1">
        <v>45784</v>
      </c>
      <c r="C3048">
        <v>24</v>
      </c>
      <c r="D3048">
        <v>1.0449999999999999</v>
      </c>
      <c r="E3048" t="s">
        <v>6</v>
      </c>
      <c r="F3048">
        <v>0.1275</v>
      </c>
    </row>
    <row r="3049" spans="1:6" x14ac:dyDescent="0.3">
      <c r="A3049" t="s">
        <v>22</v>
      </c>
      <c r="B3049" s="1">
        <v>45785</v>
      </c>
      <c r="C3049">
        <v>1</v>
      </c>
      <c r="D3049">
        <v>0.82099999999999995</v>
      </c>
      <c r="E3049" t="s">
        <v>6</v>
      </c>
      <c r="F3049">
        <v>8.4919999999999995E-2</v>
      </c>
    </row>
    <row r="3050" spans="1:6" x14ac:dyDescent="0.3">
      <c r="A3050" t="s">
        <v>22</v>
      </c>
      <c r="B3050" s="1">
        <v>45785</v>
      </c>
      <c r="C3050">
        <v>2</v>
      </c>
      <c r="D3050">
        <v>1.0669999999999999</v>
      </c>
      <c r="E3050" t="s">
        <v>6</v>
      </c>
      <c r="F3050">
        <v>8.6050000000000001E-2</v>
      </c>
    </row>
    <row r="3051" spans="1:6" x14ac:dyDescent="0.3">
      <c r="A3051" t="s">
        <v>22</v>
      </c>
      <c r="B3051" s="1">
        <v>45785</v>
      </c>
      <c r="C3051">
        <v>3</v>
      </c>
      <c r="D3051">
        <v>1.1950000000000001</v>
      </c>
      <c r="E3051" t="s">
        <v>6</v>
      </c>
      <c r="F3051">
        <v>8.7059999999999998E-2</v>
      </c>
    </row>
    <row r="3052" spans="1:6" x14ac:dyDescent="0.3">
      <c r="A3052" t="s">
        <v>22</v>
      </c>
      <c r="B3052" s="1">
        <v>45785</v>
      </c>
      <c r="C3052">
        <v>4</v>
      </c>
      <c r="D3052">
        <v>1.085</v>
      </c>
      <c r="E3052" t="s">
        <v>6</v>
      </c>
      <c r="F3052">
        <v>7.0870000000000002E-2</v>
      </c>
    </row>
    <row r="3053" spans="1:6" x14ac:dyDescent="0.3">
      <c r="A3053" t="s">
        <v>22</v>
      </c>
      <c r="B3053" s="1">
        <v>45785</v>
      </c>
      <c r="C3053">
        <v>5</v>
      </c>
      <c r="D3053">
        <v>1.121</v>
      </c>
      <c r="E3053" t="s">
        <v>6</v>
      </c>
      <c r="F3053">
        <v>7.4340000000000003E-2</v>
      </c>
    </row>
    <row r="3054" spans="1:6" x14ac:dyDescent="0.3">
      <c r="A3054" t="s">
        <v>22</v>
      </c>
      <c r="B3054" s="1">
        <v>45785</v>
      </c>
      <c r="C3054">
        <v>6</v>
      </c>
      <c r="D3054">
        <v>2.2669999999999999</v>
      </c>
      <c r="E3054" t="s">
        <v>6</v>
      </c>
      <c r="F3054">
        <v>8.1950000000000009E-2</v>
      </c>
    </row>
    <row r="3055" spans="1:6" x14ac:dyDescent="0.3">
      <c r="A3055" t="s">
        <v>22</v>
      </c>
      <c r="B3055" s="1">
        <v>45785</v>
      </c>
      <c r="C3055">
        <v>7</v>
      </c>
      <c r="D3055">
        <v>1.944</v>
      </c>
      <c r="E3055" t="s">
        <v>6</v>
      </c>
      <c r="F3055">
        <v>9.6769999999999995E-2</v>
      </c>
    </row>
    <row r="3056" spans="1:6" x14ac:dyDescent="0.3">
      <c r="A3056" t="s">
        <v>22</v>
      </c>
      <c r="B3056" s="1">
        <v>45785</v>
      </c>
      <c r="C3056">
        <v>8</v>
      </c>
      <c r="D3056">
        <v>1.601</v>
      </c>
      <c r="E3056" t="s">
        <v>6</v>
      </c>
      <c r="F3056">
        <v>0.10539</v>
      </c>
    </row>
    <row r="3057" spans="1:6" x14ac:dyDescent="0.3">
      <c r="A3057" t="s">
        <v>22</v>
      </c>
      <c r="B3057" s="1">
        <v>45785</v>
      </c>
      <c r="C3057">
        <v>9</v>
      </c>
      <c r="D3057">
        <v>0.16</v>
      </c>
      <c r="E3057" t="s">
        <v>6</v>
      </c>
      <c r="F3057">
        <v>0.12373000000000001</v>
      </c>
    </row>
    <row r="3058" spans="1:6" x14ac:dyDescent="0.3">
      <c r="A3058" t="s">
        <v>22</v>
      </c>
      <c r="B3058" s="1">
        <v>45785</v>
      </c>
      <c r="C3058">
        <v>10</v>
      </c>
      <c r="D3058">
        <v>0</v>
      </c>
      <c r="E3058" t="s">
        <v>6</v>
      </c>
      <c r="F3058">
        <v>8.7209999999999996E-2</v>
      </c>
    </row>
    <row r="3059" spans="1:6" x14ac:dyDescent="0.3">
      <c r="A3059" t="s">
        <v>22</v>
      </c>
      <c r="B3059" s="1">
        <v>45785</v>
      </c>
      <c r="C3059">
        <v>11</v>
      </c>
      <c r="D3059">
        <v>0</v>
      </c>
      <c r="E3059" t="s">
        <v>6</v>
      </c>
      <c r="F3059">
        <v>0.14477999999999999</v>
      </c>
    </row>
    <row r="3060" spans="1:6" x14ac:dyDescent="0.3">
      <c r="A3060" t="s">
        <v>22</v>
      </c>
      <c r="B3060" s="1">
        <v>45785</v>
      </c>
      <c r="C3060">
        <v>12</v>
      </c>
      <c r="D3060">
        <v>0</v>
      </c>
      <c r="E3060" t="s">
        <v>6</v>
      </c>
      <c r="F3060">
        <v>0.14427000000000001</v>
      </c>
    </row>
    <row r="3061" spans="1:6" x14ac:dyDescent="0.3">
      <c r="A3061" t="s">
        <v>22</v>
      </c>
      <c r="B3061" s="1">
        <v>45785</v>
      </c>
      <c r="C3061">
        <v>13</v>
      </c>
      <c r="D3061">
        <v>0</v>
      </c>
      <c r="E3061" t="s">
        <v>6</v>
      </c>
      <c r="F3061">
        <v>0.14411000000000002</v>
      </c>
    </row>
    <row r="3062" spans="1:6" x14ac:dyDescent="0.3">
      <c r="A3062" t="s">
        <v>22</v>
      </c>
      <c r="B3062" s="1">
        <v>45785</v>
      </c>
      <c r="C3062">
        <v>14</v>
      </c>
      <c r="D3062">
        <v>0</v>
      </c>
      <c r="E3062" t="s">
        <v>6</v>
      </c>
      <c r="F3062">
        <v>0.14177999999999999</v>
      </c>
    </row>
    <row r="3063" spans="1:6" x14ac:dyDescent="0.3">
      <c r="A3063" t="s">
        <v>22</v>
      </c>
      <c r="B3063" s="1">
        <v>45785</v>
      </c>
      <c r="C3063">
        <v>15</v>
      </c>
      <c r="D3063">
        <v>0.52</v>
      </c>
      <c r="E3063" t="s">
        <v>6</v>
      </c>
      <c r="F3063">
        <v>7.7189999999999995E-2</v>
      </c>
    </row>
    <row r="3064" spans="1:6" x14ac:dyDescent="0.3">
      <c r="A3064" t="s">
        <v>22</v>
      </c>
      <c r="B3064" s="1">
        <v>45785</v>
      </c>
      <c r="C3064">
        <v>16</v>
      </c>
      <c r="D3064">
        <v>2.819</v>
      </c>
      <c r="E3064" t="s">
        <v>6</v>
      </c>
      <c r="F3064">
        <v>7.8159999999999993E-2</v>
      </c>
    </row>
    <row r="3065" spans="1:6" x14ac:dyDescent="0.3">
      <c r="A3065" t="s">
        <v>22</v>
      </c>
      <c r="B3065" s="1">
        <v>45785</v>
      </c>
      <c r="C3065">
        <v>17</v>
      </c>
      <c r="D3065">
        <v>0.376</v>
      </c>
      <c r="E3065" t="s">
        <v>6</v>
      </c>
      <c r="F3065">
        <v>7.9040000000000013E-2</v>
      </c>
    </row>
    <row r="3066" spans="1:6" x14ac:dyDescent="0.3">
      <c r="A3066" t="s">
        <v>22</v>
      </c>
      <c r="B3066" s="1">
        <v>45785</v>
      </c>
      <c r="C3066">
        <v>18</v>
      </c>
      <c r="D3066">
        <v>0.22500000000000001</v>
      </c>
      <c r="E3066" t="s">
        <v>6</v>
      </c>
      <c r="F3066">
        <v>7.9530000000000003E-2</v>
      </c>
    </row>
    <row r="3067" spans="1:6" x14ac:dyDescent="0.3">
      <c r="A3067" t="s">
        <v>22</v>
      </c>
      <c r="B3067" s="1">
        <v>45785</v>
      </c>
      <c r="C3067">
        <v>19</v>
      </c>
      <c r="D3067">
        <v>0.51700000000000002</v>
      </c>
      <c r="E3067" t="s">
        <v>6</v>
      </c>
      <c r="F3067">
        <v>0.14776</v>
      </c>
    </row>
    <row r="3068" spans="1:6" x14ac:dyDescent="0.3">
      <c r="A3068" t="s">
        <v>22</v>
      </c>
      <c r="B3068" s="1">
        <v>45785</v>
      </c>
      <c r="C3068">
        <v>20</v>
      </c>
      <c r="D3068">
        <v>1.1160000000000001</v>
      </c>
      <c r="E3068" t="s">
        <v>6</v>
      </c>
      <c r="F3068">
        <v>0.16808000000000001</v>
      </c>
    </row>
    <row r="3069" spans="1:6" x14ac:dyDescent="0.3">
      <c r="A3069" t="s">
        <v>22</v>
      </c>
      <c r="B3069" s="1">
        <v>45785</v>
      </c>
      <c r="C3069">
        <v>21</v>
      </c>
      <c r="D3069">
        <v>1.748</v>
      </c>
      <c r="E3069" t="s">
        <v>6</v>
      </c>
      <c r="F3069">
        <v>0.18603</v>
      </c>
    </row>
    <row r="3070" spans="1:6" x14ac:dyDescent="0.3">
      <c r="A3070" t="s">
        <v>22</v>
      </c>
      <c r="B3070" s="1">
        <v>45785</v>
      </c>
      <c r="C3070">
        <v>22</v>
      </c>
      <c r="D3070">
        <v>1.3580000000000001</v>
      </c>
      <c r="E3070" t="s">
        <v>6</v>
      </c>
      <c r="F3070">
        <v>0.23341000000000001</v>
      </c>
    </row>
    <row r="3071" spans="1:6" x14ac:dyDescent="0.3">
      <c r="A3071" t="s">
        <v>22</v>
      </c>
      <c r="B3071" s="1">
        <v>45785</v>
      </c>
      <c r="C3071">
        <v>23</v>
      </c>
      <c r="D3071">
        <v>1.97</v>
      </c>
      <c r="E3071" t="s">
        <v>6</v>
      </c>
      <c r="F3071">
        <v>0.13955999999999999</v>
      </c>
    </row>
    <row r="3072" spans="1:6" x14ac:dyDescent="0.3">
      <c r="A3072" t="s">
        <v>22</v>
      </c>
      <c r="B3072" s="1">
        <v>45785</v>
      </c>
      <c r="C3072">
        <v>24</v>
      </c>
      <c r="D3072">
        <v>0.98699999999999999</v>
      </c>
      <c r="E3072" t="s">
        <v>6</v>
      </c>
      <c r="F3072">
        <v>0.11864</v>
      </c>
    </row>
    <row r="3073" spans="1:6" x14ac:dyDescent="0.3">
      <c r="A3073" t="s">
        <v>22</v>
      </c>
      <c r="B3073" s="1">
        <v>45786</v>
      </c>
      <c r="C3073">
        <v>1</v>
      </c>
      <c r="D3073">
        <v>0.90100000000000002</v>
      </c>
      <c r="E3073" t="s">
        <v>6</v>
      </c>
      <c r="F3073">
        <v>9.3219999999999997E-2</v>
      </c>
    </row>
    <row r="3074" spans="1:6" x14ac:dyDescent="0.3">
      <c r="A3074" t="s">
        <v>22</v>
      </c>
      <c r="B3074" s="1">
        <v>45786</v>
      </c>
      <c r="C3074">
        <v>2</v>
      </c>
      <c r="D3074">
        <v>0.86899999999999999</v>
      </c>
      <c r="E3074" t="s">
        <v>6</v>
      </c>
      <c r="F3074">
        <v>8.6260000000000003E-2</v>
      </c>
    </row>
    <row r="3075" spans="1:6" x14ac:dyDescent="0.3">
      <c r="A3075" t="s">
        <v>22</v>
      </c>
      <c r="B3075" s="1">
        <v>45786</v>
      </c>
      <c r="C3075">
        <v>3</v>
      </c>
      <c r="D3075">
        <v>0.80700000000000005</v>
      </c>
      <c r="E3075" t="s">
        <v>6</v>
      </c>
      <c r="F3075">
        <v>8.9130000000000001E-2</v>
      </c>
    </row>
    <row r="3076" spans="1:6" x14ac:dyDescent="0.3">
      <c r="A3076" t="s">
        <v>22</v>
      </c>
      <c r="B3076" s="1">
        <v>45786</v>
      </c>
      <c r="C3076">
        <v>4</v>
      </c>
      <c r="D3076">
        <v>0.96299999999999997</v>
      </c>
      <c r="E3076" t="s">
        <v>6</v>
      </c>
      <c r="F3076">
        <v>8.3060000000000009E-2</v>
      </c>
    </row>
    <row r="3077" spans="1:6" x14ac:dyDescent="0.3">
      <c r="A3077" t="s">
        <v>22</v>
      </c>
      <c r="B3077" s="1">
        <v>45786</v>
      </c>
      <c r="C3077">
        <v>5</v>
      </c>
      <c r="D3077">
        <v>0.70499999999999996</v>
      </c>
      <c r="E3077" t="s">
        <v>6</v>
      </c>
      <c r="F3077">
        <v>8.1040000000000001E-2</v>
      </c>
    </row>
    <row r="3078" spans="1:6" x14ac:dyDescent="0.3">
      <c r="A3078" t="s">
        <v>22</v>
      </c>
      <c r="B3078" s="1">
        <v>45786</v>
      </c>
      <c r="C3078">
        <v>6</v>
      </c>
      <c r="D3078">
        <v>0.88600000000000001</v>
      </c>
      <c r="E3078" t="s">
        <v>6</v>
      </c>
      <c r="F3078">
        <v>8.2720000000000002E-2</v>
      </c>
    </row>
    <row r="3079" spans="1:6" x14ac:dyDescent="0.3">
      <c r="A3079" t="s">
        <v>22</v>
      </c>
      <c r="B3079" s="1">
        <v>45786</v>
      </c>
      <c r="C3079">
        <v>7</v>
      </c>
      <c r="D3079">
        <v>0.88100000000000001</v>
      </c>
      <c r="E3079" t="s">
        <v>6</v>
      </c>
      <c r="F3079">
        <v>9.9610000000000004E-2</v>
      </c>
    </row>
    <row r="3080" spans="1:6" x14ac:dyDescent="0.3">
      <c r="A3080" t="s">
        <v>22</v>
      </c>
      <c r="B3080" s="1">
        <v>45786</v>
      </c>
      <c r="C3080">
        <v>8</v>
      </c>
      <c r="D3080">
        <v>1.74</v>
      </c>
      <c r="E3080" t="s">
        <v>6</v>
      </c>
      <c r="F3080">
        <v>0.10194</v>
      </c>
    </row>
    <row r="3081" spans="1:6" x14ac:dyDescent="0.3">
      <c r="A3081" t="s">
        <v>22</v>
      </c>
      <c r="B3081" s="1">
        <v>45786</v>
      </c>
      <c r="C3081">
        <v>9</v>
      </c>
      <c r="D3081">
        <v>1.5449999999999999</v>
      </c>
      <c r="E3081" t="s">
        <v>6</v>
      </c>
      <c r="F3081">
        <v>0.11672</v>
      </c>
    </row>
    <row r="3082" spans="1:6" x14ac:dyDescent="0.3">
      <c r="A3082" t="s">
        <v>22</v>
      </c>
      <c r="B3082" s="1">
        <v>45786</v>
      </c>
      <c r="C3082">
        <v>10</v>
      </c>
      <c r="D3082">
        <v>1.06</v>
      </c>
      <c r="E3082" t="s">
        <v>6</v>
      </c>
      <c r="F3082">
        <v>9.3920000000000003E-2</v>
      </c>
    </row>
    <row r="3083" spans="1:6" x14ac:dyDescent="0.3">
      <c r="A3083" t="s">
        <v>22</v>
      </c>
      <c r="B3083" s="1">
        <v>45786</v>
      </c>
      <c r="C3083">
        <v>11</v>
      </c>
      <c r="D3083">
        <v>0</v>
      </c>
      <c r="E3083" t="s">
        <v>6</v>
      </c>
      <c r="F3083">
        <v>0.15225999999999998</v>
      </c>
    </row>
    <row r="3084" spans="1:6" x14ac:dyDescent="0.3">
      <c r="A3084" t="s">
        <v>22</v>
      </c>
      <c r="B3084" s="1">
        <v>45786</v>
      </c>
      <c r="C3084">
        <v>12</v>
      </c>
      <c r="D3084">
        <v>0</v>
      </c>
      <c r="E3084" t="s">
        <v>6</v>
      </c>
      <c r="F3084">
        <v>0.14409</v>
      </c>
    </row>
    <row r="3085" spans="1:6" x14ac:dyDescent="0.3">
      <c r="A3085" t="s">
        <v>22</v>
      </c>
      <c r="B3085" s="1">
        <v>45786</v>
      </c>
      <c r="C3085">
        <v>13</v>
      </c>
      <c r="D3085">
        <v>0</v>
      </c>
      <c r="E3085" t="s">
        <v>6</v>
      </c>
      <c r="F3085">
        <v>0.14379</v>
      </c>
    </row>
    <row r="3086" spans="1:6" x14ac:dyDescent="0.3">
      <c r="A3086" t="s">
        <v>22</v>
      </c>
      <c r="B3086" s="1">
        <v>45786</v>
      </c>
      <c r="C3086">
        <v>14</v>
      </c>
      <c r="D3086">
        <v>0</v>
      </c>
      <c r="E3086" t="s">
        <v>6</v>
      </c>
      <c r="F3086">
        <v>0.14080000000000001</v>
      </c>
    </row>
    <row r="3087" spans="1:6" x14ac:dyDescent="0.3">
      <c r="A3087" t="s">
        <v>22</v>
      </c>
      <c r="B3087" s="1">
        <v>45786</v>
      </c>
      <c r="C3087">
        <v>15</v>
      </c>
      <c r="D3087">
        <v>1.6240000000000001</v>
      </c>
      <c r="E3087" t="s">
        <v>6</v>
      </c>
      <c r="F3087">
        <v>7.7189999999999995E-2</v>
      </c>
    </row>
    <row r="3088" spans="1:6" x14ac:dyDescent="0.3">
      <c r="A3088" t="s">
        <v>22</v>
      </c>
      <c r="B3088" s="1">
        <v>45786</v>
      </c>
      <c r="C3088">
        <v>16</v>
      </c>
      <c r="D3088">
        <v>3.0110000000000001</v>
      </c>
      <c r="E3088" t="s">
        <v>6</v>
      </c>
      <c r="F3088">
        <v>7.801000000000001E-2</v>
      </c>
    </row>
    <row r="3089" spans="1:6" x14ac:dyDescent="0.3">
      <c r="A3089" t="s">
        <v>22</v>
      </c>
      <c r="B3089" s="1">
        <v>45786</v>
      </c>
      <c r="C3089">
        <v>17</v>
      </c>
      <c r="D3089">
        <v>0.32600000000000001</v>
      </c>
      <c r="E3089" t="s">
        <v>6</v>
      </c>
      <c r="F3089">
        <v>7.8879999999999992E-2</v>
      </c>
    </row>
    <row r="3090" spans="1:6" x14ac:dyDescent="0.3">
      <c r="A3090" t="s">
        <v>22</v>
      </c>
      <c r="B3090" s="1">
        <v>45786</v>
      </c>
      <c r="C3090">
        <v>18</v>
      </c>
      <c r="D3090">
        <v>0</v>
      </c>
      <c r="E3090" t="s">
        <v>6</v>
      </c>
      <c r="F3090">
        <v>7.8790000000000013E-2</v>
      </c>
    </row>
    <row r="3091" spans="1:6" x14ac:dyDescent="0.3">
      <c r="A3091" t="s">
        <v>22</v>
      </c>
      <c r="B3091" s="1">
        <v>45786</v>
      </c>
      <c r="C3091">
        <v>19</v>
      </c>
      <c r="D3091">
        <v>0.63600000000000001</v>
      </c>
      <c r="E3091" t="s">
        <v>6</v>
      </c>
      <c r="F3091">
        <v>0.15477000000000002</v>
      </c>
    </row>
    <row r="3092" spans="1:6" x14ac:dyDescent="0.3">
      <c r="A3092" t="s">
        <v>22</v>
      </c>
      <c r="B3092" s="1">
        <v>45786</v>
      </c>
      <c r="C3092">
        <v>20</v>
      </c>
      <c r="D3092">
        <v>0.54100000000000004</v>
      </c>
      <c r="E3092" t="s">
        <v>6</v>
      </c>
      <c r="F3092">
        <v>0.16565000000000002</v>
      </c>
    </row>
    <row r="3093" spans="1:6" x14ac:dyDescent="0.3">
      <c r="A3093" t="s">
        <v>22</v>
      </c>
      <c r="B3093" s="1">
        <v>45786</v>
      </c>
      <c r="C3093">
        <v>21</v>
      </c>
      <c r="D3093">
        <v>0.56399999999999995</v>
      </c>
      <c r="E3093" t="s">
        <v>6</v>
      </c>
      <c r="F3093">
        <v>0.19475999999999999</v>
      </c>
    </row>
    <row r="3094" spans="1:6" x14ac:dyDescent="0.3">
      <c r="A3094" t="s">
        <v>22</v>
      </c>
      <c r="B3094" s="1">
        <v>45786</v>
      </c>
      <c r="C3094">
        <v>22</v>
      </c>
      <c r="D3094">
        <v>0.92100000000000004</v>
      </c>
      <c r="E3094" t="s">
        <v>6</v>
      </c>
      <c r="F3094">
        <v>0.2344</v>
      </c>
    </row>
    <row r="3095" spans="1:6" x14ac:dyDescent="0.3">
      <c r="A3095" t="s">
        <v>22</v>
      </c>
      <c r="B3095" s="1">
        <v>45786</v>
      </c>
      <c r="C3095">
        <v>23</v>
      </c>
      <c r="D3095">
        <v>1.167</v>
      </c>
      <c r="E3095" t="s">
        <v>6</v>
      </c>
      <c r="F3095">
        <v>0.14877000000000001</v>
      </c>
    </row>
    <row r="3096" spans="1:6" x14ac:dyDescent="0.3">
      <c r="A3096" t="s">
        <v>22</v>
      </c>
      <c r="B3096" s="1">
        <v>45786</v>
      </c>
      <c r="C3096">
        <v>24</v>
      </c>
      <c r="D3096">
        <v>0.86799999999999999</v>
      </c>
      <c r="E3096" t="s">
        <v>6</v>
      </c>
      <c r="F3096">
        <v>0.13153000000000001</v>
      </c>
    </row>
    <row r="3097" spans="1:6" x14ac:dyDescent="0.3">
      <c r="A3097" t="s">
        <v>22</v>
      </c>
      <c r="B3097" s="1">
        <v>45787</v>
      </c>
      <c r="C3097">
        <v>1</v>
      </c>
      <c r="D3097">
        <v>1.111</v>
      </c>
      <c r="E3097" t="s">
        <v>6</v>
      </c>
      <c r="F3097">
        <v>0.10493999999999999</v>
      </c>
    </row>
    <row r="3098" spans="1:6" x14ac:dyDescent="0.3">
      <c r="A3098" t="s">
        <v>22</v>
      </c>
      <c r="B3098" s="1">
        <v>45787</v>
      </c>
      <c r="C3098">
        <v>2</v>
      </c>
      <c r="D3098">
        <v>0.91</v>
      </c>
      <c r="E3098" t="s">
        <v>6</v>
      </c>
      <c r="F3098">
        <v>9.4060000000000005E-2</v>
      </c>
    </row>
    <row r="3099" spans="1:6" x14ac:dyDescent="0.3">
      <c r="A3099" t="s">
        <v>22</v>
      </c>
      <c r="B3099" s="1">
        <v>45787</v>
      </c>
      <c r="C3099">
        <v>3</v>
      </c>
      <c r="D3099">
        <v>1.018</v>
      </c>
      <c r="E3099" t="s">
        <v>6</v>
      </c>
      <c r="F3099">
        <v>9.4329999999999997E-2</v>
      </c>
    </row>
    <row r="3100" spans="1:6" x14ac:dyDescent="0.3">
      <c r="A3100" t="s">
        <v>22</v>
      </c>
      <c r="B3100" s="1">
        <v>45787</v>
      </c>
      <c r="C3100">
        <v>4</v>
      </c>
      <c r="D3100">
        <v>0.69599999999999995</v>
      </c>
      <c r="E3100" t="s">
        <v>6</v>
      </c>
      <c r="F3100">
        <v>9.3049999999999994E-2</v>
      </c>
    </row>
    <row r="3101" spans="1:6" x14ac:dyDescent="0.3">
      <c r="A3101" t="s">
        <v>22</v>
      </c>
      <c r="B3101" s="1">
        <v>45787</v>
      </c>
      <c r="C3101">
        <v>5</v>
      </c>
      <c r="D3101">
        <v>0.95899999999999996</v>
      </c>
      <c r="E3101" t="s">
        <v>6</v>
      </c>
      <c r="F3101">
        <v>9.0120000000000006E-2</v>
      </c>
    </row>
    <row r="3102" spans="1:6" x14ac:dyDescent="0.3">
      <c r="A3102" t="s">
        <v>22</v>
      </c>
      <c r="B3102" s="1">
        <v>45787</v>
      </c>
      <c r="C3102">
        <v>6</v>
      </c>
      <c r="D3102">
        <v>0.90300000000000002</v>
      </c>
      <c r="E3102" t="s">
        <v>6</v>
      </c>
      <c r="F3102">
        <v>9.2840000000000006E-2</v>
      </c>
    </row>
    <row r="3103" spans="1:6" x14ac:dyDescent="0.3">
      <c r="A3103" t="s">
        <v>22</v>
      </c>
      <c r="B3103" s="1">
        <v>45787</v>
      </c>
      <c r="C3103">
        <v>7</v>
      </c>
      <c r="D3103">
        <v>0.70699999999999996</v>
      </c>
      <c r="E3103" t="s">
        <v>6</v>
      </c>
      <c r="F3103">
        <v>9.3659999999999993E-2</v>
      </c>
    </row>
    <row r="3104" spans="1:6" x14ac:dyDescent="0.3">
      <c r="A3104" t="s">
        <v>22</v>
      </c>
      <c r="B3104" s="1">
        <v>45787</v>
      </c>
      <c r="C3104">
        <v>8</v>
      </c>
      <c r="D3104">
        <v>0.84299999999999997</v>
      </c>
      <c r="E3104" t="s">
        <v>6</v>
      </c>
      <c r="F3104">
        <v>9.2540000000000011E-2</v>
      </c>
    </row>
    <row r="3105" spans="1:6" x14ac:dyDescent="0.3">
      <c r="A3105" t="s">
        <v>22</v>
      </c>
      <c r="B3105" s="1">
        <v>45787</v>
      </c>
      <c r="C3105">
        <v>9</v>
      </c>
      <c r="D3105">
        <v>0.48099999999999998</v>
      </c>
      <c r="E3105" t="s">
        <v>6</v>
      </c>
      <c r="F3105">
        <v>8.2709999999999992E-2</v>
      </c>
    </row>
    <row r="3106" spans="1:6" x14ac:dyDescent="0.3">
      <c r="A3106" t="s">
        <v>22</v>
      </c>
      <c r="B3106" s="1">
        <v>45787</v>
      </c>
      <c r="C3106">
        <v>10</v>
      </c>
      <c r="D3106">
        <v>1.1839999999999999</v>
      </c>
      <c r="E3106" t="s">
        <v>6</v>
      </c>
      <c r="F3106">
        <v>6.9379999999999997E-2</v>
      </c>
    </row>
    <row r="3107" spans="1:6" x14ac:dyDescent="0.3">
      <c r="A3107" t="s">
        <v>22</v>
      </c>
      <c r="B3107" s="1">
        <v>45787</v>
      </c>
      <c r="C3107">
        <v>11</v>
      </c>
      <c r="D3107">
        <v>0</v>
      </c>
      <c r="E3107" t="s">
        <v>6</v>
      </c>
      <c r="F3107">
        <v>6.4659999999999995E-2</v>
      </c>
    </row>
    <row r="3108" spans="1:6" x14ac:dyDescent="0.3">
      <c r="A3108" t="s">
        <v>22</v>
      </c>
      <c r="B3108" s="1">
        <v>45787</v>
      </c>
      <c r="C3108">
        <v>12</v>
      </c>
      <c r="D3108">
        <v>0</v>
      </c>
      <c r="E3108" t="s">
        <v>6</v>
      </c>
      <c r="F3108">
        <v>6.1030000000000001E-2</v>
      </c>
    </row>
    <row r="3109" spans="1:6" x14ac:dyDescent="0.3">
      <c r="A3109" t="s">
        <v>22</v>
      </c>
      <c r="B3109" s="1">
        <v>45787</v>
      </c>
      <c r="C3109">
        <v>13</v>
      </c>
      <c r="D3109">
        <v>0</v>
      </c>
      <c r="E3109" t="s">
        <v>6</v>
      </c>
      <c r="F3109">
        <v>5.9709999999999999E-2</v>
      </c>
    </row>
    <row r="3110" spans="1:6" x14ac:dyDescent="0.3">
      <c r="A3110" t="s">
        <v>22</v>
      </c>
      <c r="B3110" s="1">
        <v>45787</v>
      </c>
      <c r="C3110">
        <v>14</v>
      </c>
      <c r="D3110">
        <v>0</v>
      </c>
      <c r="E3110" t="s">
        <v>6</v>
      </c>
      <c r="F3110">
        <v>5.8479999999999997E-2</v>
      </c>
    </row>
    <row r="3111" spans="1:6" x14ac:dyDescent="0.3">
      <c r="A3111" t="s">
        <v>22</v>
      </c>
      <c r="B3111" s="1">
        <v>45787</v>
      </c>
      <c r="C3111">
        <v>15</v>
      </c>
      <c r="D3111">
        <v>1.2030000000000001</v>
      </c>
      <c r="E3111" t="s">
        <v>6</v>
      </c>
      <c r="F3111">
        <v>5.7630000000000001E-2</v>
      </c>
    </row>
    <row r="3112" spans="1:6" x14ac:dyDescent="0.3">
      <c r="A3112" t="s">
        <v>22</v>
      </c>
      <c r="B3112" s="1">
        <v>45787</v>
      </c>
      <c r="C3112">
        <v>16</v>
      </c>
      <c r="D3112">
        <v>1.4590000000000001</v>
      </c>
      <c r="E3112" t="s">
        <v>6</v>
      </c>
      <c r="F3112">
        <v>5.6840000000000002E-2</v>
      </c>
    </row>
    <row r="3113" spans="1:6" x14ac:dyDescent="0.3">
      <c r="A3113" t="s">
        <v>22</v>
      </c>
      <c r="B3113" s="1">
        <v>45787</v>
      </c>
      <c r="C3113">
        <v>17</v>
      </c>
      <c r="D3113">
        <v>0</v>
      </c>
      <c r="E3113" t="s">
        <v>6</v>
      </c>
      <c r="F3113">
        <v>6.2600000000000003E-2</v>
      </c>
    </row>
    <row r="3114" spans="1:6" x14ac:dyDescent="0.3">
      <c r="A3114" t="s">
        <v>22</v>
      </c>
      <c r="B3114" s="1">
        <v>45787</v>
      </c>
      <c r="C3114">
        <v>18</v>
      </c>
      <c r="D3114">
        <v>0</v>
      </c>
      <c r="E3114" t="s">
        <v>6</v>
      </c>
      <c r="F3114">
        <v>6.7569999999999991E-2</v>
      </c>
    </row>
    <row r="3115" spans="1:6" x14ac:dyDescent="0.3">
      <c r="A3115" t="s">
        <v>22</v>
      </c>
      <c r="B3115" s="1">
        <v>45787</v>
      </c>
      <c r="C3115">
        <v>19</v>
      </c>
      <c r="D3115">
        <v>2.3E-2</v>
      </c>
      <c r="E3115" t="s">
        <v>6</v>
      </c>
      <c r="F3115">
        <v>6.9500000000000006E-2</v>
      </c>
    </row>
    <row r="3116" spans="1:6" x14ac:dyDescent="0.3">
      <c r="A3116" t="s">
        <v>22</v>
      </c>
      <c r="B3116" s="1">
        <v>45787</v>
      </c>
      <c r="C3116">
        <v>20</v>
      </c>
      <c r="D3116">
        <v>0.251</v>
      </c>
      <c r="E3116" t="s">
        <v>6</v>
      </c>
      <c r="F3116">
        <v>6.7339999999999997E-2</v>
      </c>
    </row>
    <row r="3117" spans="1:6" x14ac:dyDescent="0.3">
      <c r="A3117" t="s">
        <v>22</v>
      </c>
      <c r="B3117" s="1">
        <v>45787</v>
      </c>
      <c r="C3117">
        <v>21</v>
      </c>
      <c r="D3117">
        <v>0.73599999999999999</v>
      </c>
      <c r="E3117" t="s">
        <v>6</v>
      </c>
      <c r="F3117">
        <v>9.1209999999999999E-2</v>
      </c>
    </row>
    <row r="3118" spans="1:6" x14ac:dyDescent="0.3">
      <c r="A3118" t="s">
        <v>22</v>
      </c>
      <c r="B3118" s="1">
        <v>45787</v>
      </c>
      <c r="C3118">
        <v>22</v>
      </c>
      <c r="D3118">
        <v>1.107</v>
      </c>
      <c r="E3118" t="s">
        <v>6</v>
      </c>
      <c r="F3118">
        <v>0.10518000000000001</v>
      </c>
    </row>
    <row r="3119" spans="1:6" x14ac:dyDescent="0.3">
      <c r="A3119" t="s">
        <v>22</v>
      </c>
      <c r="B3119" s="1">
        <v>45787</v>
      </c>
      <c r="C3119">
        <v>23</v>
      </c>
      <c r="D3119">
        <v>1.2390000000000001</v>
      </c>
      <c r="E3119" t="s">
        <v>6</v>
      </c>
      <c r="F3119">
        <v>0.10064000000000001</v>
      </c>
    </row>
    <row r="3120" spans="1:6" x14ac:dyDescent="0.3">
      <c r="A3120" t="s">
        <v>22</v>
      </c>
      <c r="B3120" s="1">
        <v>45787</v>
      </c>
      <c r="C3120">
        <v>24</v>
      </c>
      <c r="D3120">
        <v>0.82</v>
      </c>
      <c r="E3120" t="s">
        <v>6</v>
      </c>
      <c r="F3120">
        <v>9.4379999999999992E-2</v>
      </c>
    </row>
    <row r="3121" spans="1:6" x14ac:dyDescent="0.3">
      <c r="A3121" t="s">
        <v>22</v>
      </c>
      <c r="B3121" s="1">
        <v>45788</v>
      </c>
      <c r="C3121">
        <v>1</v>
      </c>
      <c r="D3121">
        <v>0.81799999999999995</v>
      </c>
      <c r="E3121" t="s">
        <v>6</v>
      </c>
      <c r="F3121">
        <v>9.2200000000000004E-2</v>
      </c>
    </row>
    <row r="3122" spans="1:6" x14ac:dyDescent="0.3">
      <c r="A3122" t="s">
        <v>22</v>
      </c>
      <c r="B3122" s="1">
        <v>45788</v>
      </c>
      <c r="C3122">
        <v>2</v>
      </c>
      <c r="D3122">
        <v>0.77</v>
      </c>
      <c r="E3122" t="s">
        <v>6</v>
      </c>
      <c r="F3122">
        <v>9.3099999999999988E-2</v>
      </c>
    </row>
    <row r="3123" spans="1:6" x14ac:dyDescent="0.3">
      <c r="A3123" t="s">
        <v>22</v>
      </c>
      <c r="B3123" s="1">
        <v>45788</v>
      </c>
      <c r="C3123">
        <v>3</v>
      </c>
      <c r="D3123">
        <v>0.68799999999999994</v>
      </c>
      <c r="E3123" t="s">
        <v>6</v>
      </c>
      <c r="F3123">
        <v>9.6909999999999996E-2</v>
      </c>
    </row>
    <row r="3124" spans="1:6" x14ac:dyDescent="0.3">
      <c r="A3124" t="s">
        <v>22</v>
      </c>
      <c r="B3124" s="1">
        <v>45788</v>
      </c>
      <c r="C3124">
        <v>4</v>
      </c>
      <c r="D3124">
        <v>0.65700000000000003</v>
      </c>
      <c r="E3124" t="s">
        <v>6</v>
      </c>
      <c r="F3124">
        <v>9.5000000000000001E-2</v>
      </c>
    </row>
    <row r="3125" spans="1:6" x14ac:dyDescent="0.3">
      <c r="A3125" t="s">
        <v>22</v>
      </c>
      <c r="B3125" s="1">
        <v>45788</v>
      </c>
      <c r="C3125">
        <v>5</v>
      </c>
      <c r="D3125">
        <v>0.77200000000000002</v>
      </c>
      <c r="E3125" t="s">
        <v>6</v>
      </c>
      <c r="F3125">
        <v>9.5560000000000006E-2</v>
      </c>
    </row>
    <row r="3126" spans="1:6" x14ac:dyDescent="0.3">
      <c r="A3126" t="s">
        <v>22</v>
      </c>
      <c r="B3126" s="1">
        <v>45788</v>
      </c>
      <c r="C3126">
        <v>6</v>
      </c>
      <c r="D3126">
        <v>0.97699999999999998</v>
      </c>
      <c r="E3126" t="s">
        <v>6</v>
      </c>
      <c r="F3126">
        <v>9.6099999999999991E-2</v>
      </c>
    </row>
    <row r="3127" spans="1:6" x14ac:dyDescent="0.3">
      <c r="A3127" t="s">
        <v>22</v>
      </c>
      <c r="B3127" s="1">
        <v>45788</v>
      </c>
      <c r="C3127">
        <v>7</v>
      </c>
      <c r="D3127">
        <v>0.70699999999999996</v>
      </c>
      <c r="E3127" t="s">
        <v>6</v>
      </c>
      <c r="F3127">
        <v>9.708E-2</v>
      </c>
    </row>
    <row r="3128" spans="1:6" x14ac:dyDescent="0.3">
      <c r="A3128" t="s">
        <v>22</v>
      </c>
      <c r="B3128" s="1">
        <v>45788</v>
      </c>
      <c r="C3128">
        <v>8</v>
      </c>
      <c r="D3128">
        <v>0.69499999999999995</v>
      </c>
      <c r="E3128" t="s">
        <v>6</v>
      </c>
      <c r="F3128">
        <v>0.10187</v>
      </c>
    </row>
    <row r="3129" spans="1:6" x14ac:dyDescent="0.3">
      <c r="A3129" t="s">
        <v>22</v>
      </c>
      <c r="B3129" s="1">
        <v>45788</v>
      </c>
      <c r="C3129">
        <v>9</v>
      </c>
      <c r="D3129">
        <v>0</v>
      </c>
      <c r="E3129" t="s">
        <v>6</v>
      </c>
      <c r="F3129">
        <v>9.1079999999999994E-2</v>
      </c>
    </row>
    <row r="3130" spans="1:6" x14ac:dyDescent="0.3">
      <c r="A3130" t="s">
        <v>22</v>
      </c>
      <c r="B3130" s="1">
        <v>45788</v>
      </c>
      <c r="C3130">
        <v>10</v>
      </c>
      <c r="D3130">
        <v>0.17100000000000001</v>
      </c>
      <c r="E3130" t="s">
        <v>6</v>
      </c>
      <c r="F3130">
        <v>7.7519999999999992E-2</v>
      </c>
    </row>
    <row r="3131" spans="1:6" x14ac:dyDescent="0.3">
      <c r="A3131" t="s">
        <v>22</v>
      </c>
      <c r="B3131" s="1">
        <v>45788</v>
      </c>
      <c r="C3131">
        <v>11</v>
      </c>
      <c r="D3131">
        <v>0</v>
      </c>
      <c r="E3131" t="s">
        <v>6</v>
      </c>
      <c r="F3131">
        <v>6.6009999999999999E-2</v>
      </c>
    </row>
    <row r="3132" spans="1:6" x14ac:dyDescent="0.3">
      <c r="A3132" t="s">
        <v>22</v>
      </c>
      <c r="B3132" s="1">
        <v>45788</v>
      </c>
      <c r="C3132">
        <v>12</v>
      </c>
      <c r="D3132">
        <v>0</v>
      </c>
      <c r="E3132" t="s">
        <v>6</v>
      </c>
      <c r="F3132">
        <v>6.4399999999999999E-2</v>
      </c>
    </row>
    <row r="3133" spans="1:6" x14ac:dyDescent="0.3">
      <c r="A3133" t="s">
        <v>22</v>
      </c>
      <c r="B3133" s="1">
        <v>45788</v>
      </c>
      <c r="C3133">
        <v>13</v>
      </c>
      <c r="D3133">
        <v>0.32500000000000001</v>
      </c>
      <c r="E3133" t="s">
        <v>6</v>
      </c>
      <c r="F3133">
        <v>6.5810000000000007E-2</v>
      </c>
    </row>
    <row r="3134" spans="1:6" x14ac:dyDescent="0.3">
      <c r="A3134" t="s">
        <v>22</v>
      </c>
      <c r="B3134" s="1">
        <v>45788</v>
      </c>
      <c r="C3134">
        <v>14</v>
      </c>
      <c r="D3134">
        <v>1.7050000000000001</v>
      </c>
      <c r="E3134" t="s">
        <v>6</v>
      </c>
      <c r="F3134">
        <v>6.3109999999999999E-2</v>
      </c>
    </row>
    <row r="3135" spans="1:6" x14ac:dyDescent="0.3">
      <c r="A3135" t="s">
        <v>22</v>
      </c>
      <c r="B3135" s="1">
        <v>45788</v>
      </c>
      <c r="C3135">
        <v>15</v>
      </c>
      <c r="D3135">
        <v>0</v>
      </c>
      <c r="E3135" t="s">
        <v>6</v>
      </c>
      <c r="F3135">
        <v>6.3369999999999996E-2</v>
      </c>
    </row>
    <row r="3136" spans="1:6" x14ac:dyDescent="0.3">
      <c r="A3136" t="s">
        <v>22</v>
      </c>
      <c r="B3136" s="1">
        <v>45788</v>
      </c>
      <c r="C3136">
        <v>16</v>
      </c>
      <c r="D3136">
        <v>0</v>
      </c>
      <c r="E3136" t="s">
        <v>6</v>
      </c>
      <c r="F3136">
        <v>6.4189999999999997E-2</v>
      </c>
    </row>
    <row r="3137" spans="1:6" x14ac:dyDescent="0.3">
      <c r="A3137" t="s">
        <v>22</v>
      </c>
      <c r="B3137" s="1">
        <v>45788</v>
      </c>
      <c r="C3137">
        <v>17</v>
      </c>
      <c r="D3137">
        <v>0</v>
      </c>
      <c r="E3137" t="s">
        <v>6</v>
      </c>
      <c r="F3137">
        <v>6.6729999999999998E-2</v>
      </c>
    </row>
    <row r="3138" spans="1:6" x14ac:dyDescent="0.3">
      <c r="A3138" t="s">
        <v>22</v>
      </c>
      <c r="B3138" s="1">
        <v>45788</v>
      </c>
      <c r="C3138">
        <v>18</v>
      </c>
      <c r="D3138">
        <v>0</v>
      </c>
      <c r="E3138" t="s">
        <v>6</v>
      </c>
      <c r="F3138">
        <v>7.8790000000000013E-2</v>
      </c>
    </row>
    <row r="3139" spans="1:6" x14ac:dyDescent="0.3">
      <c r="A3139" t="s">
        <v>22</v>
      </c>
      <c r="B3139" s="1">
        <v>45788</v>
      </c>
      <c r="C3139">
        <v>19</v>
      </c>
      <c r="D3139">
        <v>0</v>
      </c>
      <c r="E3139" t="s">
        <v>6</v>
      </c>
      <c r="F3139">
        <v>8.2489999999999994E-2</v>
      </c>
    </row>
    <row r="3140" spans="1:6" x14ac:dyDescent="0.3">
      <c r="A3140" t="s">
        <v>22</v>
      </c>
      <c r="B3140" s="1">
        <v>45788</v>
      </c>
      <c r="C3140">
        <v>20</v>
      </c>
      <c r="D3140">
        <v>0.375</v>
      </c>
      <c r="E3140" t="s">
        <v>6</v>
      </c>
      <c r="F3140">
        <v>8.3809999999999996E-2</v>
      </c>
    </row>
    <row r="3141" spans="1:6" x14ac:dyDescent="0.3">
      <c r="A3141" t="s">
        <v>22</v>
      </c>
      <c r="B3141" s="1">
        <v>45788</v>
      </c>
      <c r="C3141">
        <v>21</v>
      </c>
      <c r="D3141">
        <v>0.78500000000000003</v>
      </c>
      <c r="E3141" t="s">
        <v>6</v>
      </c>
      <c r="F3141">
        <v>8.6050000000000001E-2</v>
      </c>
    </row>
    <row r="3142" spans="1:6" x14ac:dyDescent="0.3">
      <c r="A3142" t="s">
        <v>22</v>
      </c>
      <c r="B3142" s="1">
        <v>45788</v>
      </c>
      <c r="C3142">
        <v>22</v>
      </c>
      <c r="D3142">
        <v>1.996</v>
      </c>
      <c r="E3142" t="s">
        <v>6</v>
      </c>
      <c r="F3142">
        <v>0.10729999999999999</v>
      </c>
    </row>
    <row r="3143" spans="1:6" x14ac:dyDescent="0.3">
      <c r="A3143" t="s">
        <v>22</v>
      </c>
      <c r="B3143" s="1">
        <v>45788</v>
      </c>
      <c r="C3143">
        <v>23</v>
      </c>
      <c r="D3143">
        <v>2.8839999999999999</v>
      </c>
      <c r="E3143" t="s">
        <v>6</v>
      </c>
      <c r="F3143">
        <v>0.10589</v>
      </c>
    </row>
    <row r="3144" spans="1:6" x14ac:dyDescent="0.3">
      <c r="A3144" t="s">
        <v>22</v>
      </c>
      <c r="B3144" s="1">
        <v>45788</v>
      </c>
      <c r="C3144">
        <v>24</v>
      </c>
      <c r="D3144">
        <v>0.82899999999999996</v>
      </c>
      <c r="E3144" t="s">
        <v>6</v>
      </c>
      <c r="F3144">
        <v>0.10353</v>
      </c>
    </row>
    <row r="3145" spans="1:6" x14ac:dyDescent="0.3">
      <c r="A3145" t="s">
        <v>22</v>
      </c>
      <c r="B3145" s="1">
        <v>45789</v>
      </c>
      <c r="C3145">
        <v>1</v>
      </c>
      <c r="D3145">
        <v>1.2390000000000001</v>
      </c>
      <c r="E3145" t="s">
        <v>6</v>
      </c>
      <c r="F3145">
        <v>9.06E-2</v>
      </c>
    </row>
    <row r="3146" spans="1:6" x14ac:dyDescent="0.3">
      <c r="A3146" t="s">
        <v>22</v>
      </c>
      <c r="B3146" s="1">
        <v>45789</v>
      </c>
      <c r="C3146">
        <v>2</v>
      </c>
      <c r="D3146">
        <v>0.92200000000000004</v>
      </c>
      <c r="E3146" t="s">
        <v>6</v>
      </c>
      <c r="F3146">
        <v>9.257E-2</v>
      </c>
    </row>
    <row r="3147" spans="1:6" x14ac:dyDescent="0.3">
      <c r="A3147" t="s">
        <v>22</v>
      </c>
      <c r="B3147" s="1">
        <v>45789</v>
      </c>
      <c r="C3147">
        <v>3</v>
      </c>
      <c r="D3147">
        <v>1.127</v>
      </c>
      <c r="E3147" t="s">
        <v>6</v>
      </c>
      <c r="F3147">
        <v>9.7450000000000009E-2</v>
      </c>
    </row>
    <row r="3148" spans="1:6" x14ac:dyDescent="0.3">
      <c r="A3148" t="s">
        <v>22</v>
      </c>
      <c r="B3148" s="1">
        <v>45789</v>
      </c>
      <c r="C3148">
        <v>4</v>
      </c>
      <c r="D3148">
        <v>1.1739999999999999</v>
      </c>
      <c r="E3148" t="s">
        <v>6</v>
      </c>
      <c r="F3148">
        <v>9.570999999999999E-2</v>
      </c>
    </row>
    <row r="3149" spans="1:6" x14ac:dyDescent="0.3">
      <c r="A3149" t="s">
        <v>22</v>
      </c>
      <c r="B3149" s="1">
        <v>45789</v>
      </c>
      <c r="C3149">
        <v>5</v>
      </c>
      <c r="D3149">
        <v>1.071</v>
      </c>
      <c r="E3149" t="s">
        <v>6</v>
      </c>
      <c r="F3149">
        <v>9.3930000000000013E-2</v>
      </c>
    </row>
    <row r="3150" spans="1:6" x14ac:dyDescent="0.3">
      <c r="A3150" t="s">
        <v>22</v>
      </c>
      <c r="B3150" s="1">
        <v>45789</v>
      </c>
      <c r="C3150">
        <v>6</v>
      </c>
      <c r="D3150">
        <v>0.84499999999999997</v>
      </c>
      <c r="E3150" t="s">
        <v>6</v>
      </c>
      <c r="F3150">
        <v>9.373999999999999E-2</v>
      </c>
    </row>
    <row r="3151" spans="1:6" x14ac:dyDescent="0.3">
      <c r="A3151" t="s">
        <v>22</v>
      </c>
      <c r="B3151" s="1">
        <v>45789</v>
      </c>
      <c r="C3151">
        <v>7</v>
      </c>
      <c r="D3151">
        <v>1.27</v>
      </c>
      <c r="E3151" t="s">
        <v>6</v>
      </c>
      <c r="F3151">
        <v>9.7299999999999998E-2</v>
      </c>
    </row>
    <row r="3152" spans="1:6" x14ac:dyDescent="0.3">
      <c r="A3152" t="s">
        <v>22</v>
      </c>
      <c r="B3152" s="1">
        <v>45789</v>
      </c>
      <c r="C3152">
        <v>8</v>
      </c>
      <c r="D3152">
        <v>1.0329999999999999</v>
      </c>
      <c r="E3152" t="s">
        <v>6</v>
      </c>
      <c r="F3152">
        <v>0.10340000000000001</v>
      </c>
    </row>
    <row r="3153" spans="1:6" x14ac:dyDescent="0.3">
      <c r="A3153" t="s">
        <v>22</v>
      </c>
      <c r="B3153" s="1">
        <v>45789</v>
      </c>
      <c r="C3153">
        <v>9</v>
      </c>
      <c r="D3153">
        <v>0</v>
      </c>
      <c r="E3153" t="s">
        <v>6</v>
      </c>
      <c r="F3153">
        <v>0.11064</v>
      </c>
    </row>
    <row r="3154" spans="1:6" x14ac:dyDescent="0.3">
      <c r="A3154" t="s">
        <v>22</v>
      </c>
      <c r="B3154" s="1">
        <v>45789</v>
      </c>
      <c r="C3154">
        <v>10</v>
      </c>
      <c r="D3154">
        <v>0</v>
      </c>
      <c r="E3154" t="s">
        <v>6</v>
      </c>
      <c r="F3154">
        <v>8.9439999999999992E-2</v>
      </c>
    </row>
    <row r="3155" spans="1:6" x14ac:dyDescent="0.3">
      <c r="A3155" t="s">
        <v>22</v>
      </c>
      <c r="B3155" s="1">
        <v>45789</v>
      </c>
      <c r="C3155">
        <v>11</v>
      </c>
      <c r="D3155">
        <v>0</v>
      </c>
      <c r="E3155" t="s">
        <v>6</v>
      </c>
      <c r="F3155">
        <v>0.14704</v>
      </c>
    </row>
    <row r="3156" spans="1:6" x14ac:dyDescent="0.3">
      <c r="A3156" t="s">
        <v>22</v>
      </c>
      <c r="B3156" s="1">
        <v>45789</v>
      </c>
      <c r="C3156">
        <v>12</v>
      </c>
      <c r="D3156">
        <v>1.319</v>
      </c>
      <c r="E3156" t="s">
        <v>6</v>
      </c>
      <c r="F3156">
        <v>0.14527000000000001</v>
      </c>
    </row>
    <row r="3157" spans="1:6" x14ac:dyDescent="0.3">
      <c r="A3157" t="s">
        <v>22</v>
      </c>
      <c r="B3157" s="1">
        <v>45789</v>
      </c>
      <c r="C3157">
        <v>13</v>
      </c>
      <c r="D3157">
        <v>0</v>
      </c>
      <c r="E3157" t="s">
        <v>6</v>
      </c>
      <c r="F3157">
        <v>0.1444</v>
      </c>
    </row>
    <row r="3158" spans="1:6" x14ac:dyDescent="0.3">
      <c r="A3158" t="s">
        <v>22</v>
      </c>
      <c r="B3158" s="1">
        <v>45789</v>
      </c>
      <c r="C3158">
        <v>14</v>
      </c>
      <c r="D3158">
        <v>1.405</v>
      </c>
      <c r="E3158" t="s">
        <v>6</v>
      </c>
      <c r="F3158">
        <v>0.14151</v>
      </c>
    </row>
    <row r="3159" spans="1:6" x14ac:dyDescent="0.3">
      <c r="A3159" t="s">
        <v>22</v>
      </c>
      <c r="B3159" s="1">
        <v>45789</v>
      </c>
      <c r="C3159">
        <v>15</v>
      </c>
      <c r="D3159">
        <v>0.39200000000000002</v>
      </c>
      <c r="E3159" t="s">
        <v>6</v>
      </c>
      <c r="F3159">
        <v>7.7420000000000003E-2</v>
      </c>
    </row>
    <row r="3160" spans="1:6" x14ac:dyDescent="0.3">
      <c r="A3160" t="s">
        <v>22</v>
      </c>
      <c r="B3160" s="1">
        <v>45789</v>
      </c>
      <c r="C3160">
        <v>16</v>
      </c>
      <c r="D3160">
        <v>0</v>
      </c>
      <c r="E3160" t="s">
        <v>6</v>
      </c>
      <c r="F3160">
        <v>7.8400000000000011E-2</v>
      </c>
    </row>
    <row r="3161" spans="1:6" x14ac:dyDescent="0.3">
      <c r="A3161" t="s">
        <v>22</v>
      </c>
      <c r="B3161" s="1">
        <v>45789</v>
      </c>
      <c r="C3161">
        <v>17</v>
      </c>
      <c r="D3161">
        <v>0</v>
      </c>
      <c r="E3161" t="s">
        <v>6</v>
      </c>
      <c r="F3161">
        <v>7.9239999999999991E-2</v>
      </c>
    </row>
    <row r="3162" spans="1:6" x14ac:dyDescent="0.3">
      <c r="A3162" t="s">
        <v>22</v>
      </c>
      <c r="B3162" s="1">
        <v>45789</v>
      </c>
      <c r="C3162">
        <v>18</v>
      </c>
      <c r="D3162">
        <v>0</v>
      </c>
      <c r="E3162" t="s">
        <v>6</v>
      </c>
      <c r="F3162">
        <v>8.133E-2</v>
      </c>
    </row>
    <row r="3163" spans="1:6" x14ac:dyDescent="0.3">
      <c r="A3163" t="s">
        <v>22</v>
      </c>
      <c r="B3163" s="1">
        <v>45789</v>
      </c>
      <c r="C3163">
        <v>19</v>
      </c>
      <c r="D3163">
        <v>0</v>
      </c>
      <c r="E3163" t="s">
        <v>6</v>
      </c>
      <c r="F3163">
        <v>0.14898</v>
      </c>
    </row>
    <row r="3164" spans="1:6" x14ac:dyDescent="0.3">
      <c r="A3164" t="s">
        <v>22</v>
      </c>
      <c r="B3164" s="1">
        <v>45789</v>
      </c>
      <c r="C3164">
        <v>20</v>
      </c>
      <c r="D3164">
        <v>1.32</v>
      </c>
      <c r="E3164" t="s">
        <v>6</v>
      </c>
      <c r="F3164">
        <v>0.16096000000000002</v>
      </c>
    </row>
    <row r="3165" spans="1:6" x14ac:dyDescent="0.3">
      <c r="A3165" t="s">
        <v>22</v>
      </c>
      <c r="B3165" s="1">
        <v>45789</v>
      </c>
      <c r="C3165">
        <v>21</v>
      </c>
      <c r="D3165">
        <v>1.135</v>
      </c>
      <c r="E3165" t="s">
        <v>6</v>
      </c>
      <c r="F3165">
        <v>0.21409999999999998</v>
      </c>
    </row>
    <row r="3166" spans="1:6" x14ac:dyDescent="0.3">
      <c r="A3166" t="s">
        <v>22</v>
      </c>
      <c r="B3166" s="1">
        <v>45789</v>
      </c>
      <c r="C3166">
        <v>22</v>
      </c>
      <c r="D3166">
        <v>1.069</v>
      </c>
      <c r="E3166" t="s">
        <v>6</v>
      </c>
      <c r="F3166">
        <v>0.27682999999999996</v>
      </c>
    </row>
    <row r="3167" spans="1:6" x14ac:dyDescent="0.3">
      <c r="A3167" t="s">
        <v>22</v>
      </c>
      <c r="B3167" s="1">
        <v>45789</v>
      </c>
      <c r="C3167">
        <v>23</v>
      </c>
      <c r="D3167">
        <v>0.94399999999999995</v>
      </c>
      <c r="E3167" t="s">
        <v>6</v>
      </c>
      <c r="F3167">
        <v>0.19635</v>
      </c>
    </row>
    <row r="3168" spans="1:6" x14ac:dyDescent="0.3">
      <c r="A3168" t="s">
        <v>22</v>
      </c>
      <c r="B3168" s="1">
        <v>45789</v>
      </c>
      <c r="C3168">
        <v>24</v>
      </c>
      <c r="D3168">
        <v>0.8</v>
      </c>
      <c r="E3168" t="s">
        <v>6</v>
      </c>
      <c r="F3168">
        <v>0.16197</v>
      </c>
    </row>
    <row r="3169" spans="1:6" x14ac:dyDescent="0.3">
      <c r="A3169" t="s">
        <v>22</v>
      </c>
      <c r="B3169" s="1">
        <v>45790</v>
      </c>
      <c r="C3169">
        <v>1</v>
      </c>
      <c r="D3169">
        <v>1.0680000000000001</v>
      </c>
      <c r="E3169" t="s">
        <v>6</v>
      </c>
      <c r="F3169">
        <v>0.13083</v>
      </c>
    </row>
    <row r="3170" spans="1:6" x14ac:dyDescent="0.3">
      <c r="A3170" t="s">
        <v>22</v>
      </c>
      <c r="B3170" s="1">
        <v>45790</v>
      </c>
      <c r="C3170">
        <v>2</v>
      </c>
      <c r="D3170">
        <v>0.91500000000000004</v>
      </c>
      <c r="E3170" t="s">
        <v>6</v>
      </c>
      <c r="F3170">
        <v>0.11148000000000001</v>
      </c>
    </row>
    <row r="3171" spans="1:6" x14ac:dyDescent="0.3">
      <c r="A3171" t="s">
        <v>22</v>
      </c>
      <c r="B3171" s="1">
        <v>45790</v>
      </c>
      <c r="C3171">
        <v>3</v>
      </c>
      <c r="D3171">
        <v>1.5880000000000001</v>
      </c>
      <c r="E3171" t="s">
        <v>6</v>
      </c>
      <c r="F3171">
        <v>0.10642</v>
      </c>
    </row>
    <row r="3172" spans="1:6" x14ac:dyDescent="0.3">
      <c r="A3172" t="s">
        <v>22</v>
      </c>
      <c r="B3172" s="1">
        <v>45790</v>
      </c>
      <c r="C3172">
        <v>4</v>
      </c>
      <c r="D3172">
        <v>1.671</v>
      </c>
      <c r="E3172" t="s">
        <v>6</v>
      </c>
      <c r="F3172">
        <v>0.10118000000000001</v>
      </c>
    </row>
    <row r="3173" spans="1:6" x14ac:dyDescent="0.3">
      <c r="A3173" t="s">
        <v>22</v>
      </c>
      <c r="B3173" s="1">
        <v>45790</v>
      </c>
      <c r="C3173">
        <v>5</v>
      </c>
      <c r="D3173">
        <v>1.5109999999999999</v>
      </c>
      <c r="E3173" t="s">
        <v>6</v>
      </c>
      <c r="F3173">
        <v>0.1022</v>
      </c>
    </row>
    <row r="3174" spans="1:6" x14ac:dyDescent="0.3">
      <c r="A3174" t="s">
        <v>22</v>
      </c>
      <c r="B3174" s="1">
        <v>45790</v>
      </c>
      <c r="C3174">
        <v>6</v>
      </c>
      <c r="D3174">
        <v>1.581</v>
      </c>
      <c r="E3174" t="s">
        <v>6</v>
      </c>
      <c r="F3174">
        <v>0.10401000000000001</v>
      </c>
    </row>
    <row r="3175" spans="1:6" x14ac:dyDescent="0.3">
      <c r="A3175" t="s">
        <v>22</v>
      </c>
      <c r="B3175" s="1">
        <v>45790</v>
      </c>
      <c r="C3175">
        <v>7</v>
      </c>
      <c r="D3175">
        <v>1.427</v>
      </c>
      <c r="E3175" t="s">
        <v>6</v>
      </c>
      <c r="F3175">
        <v>0.13187000000000001</v>
      </c>
    </row>
    <row r="3176" spans="1:6" x14ac:dyDescent="0.3">
      <c r="A3176" t="s">
        <v>22</v>
      </c>
      <c r="B3176" s="1">
        <v>45790</v>
      </c>
      <c r="C3176">
        <v>8</v>
      </c>
      <c r="D3176">
        <v>1.891</v>
      </c>
      <c r="E3176" t="s">
        <v>6</v>
      </c>
      <c r="F3176">
        <v>0.16155</v>
      </c>
    </row>
    <row r="3177" spans="1:6" x14ac:dyDescent="0.3">
      <c r="A3177" t="s">
        <v>22</v>
      </c>
      <c r="B3177" s="1">
        <v>45790</v>
      </c>
      <c r="C3177">
        <v>9</v>
      </c>
      <c r="D3177">
        <v>0.379</v>
      </c>
      <c r="E3177" t="s">
        <v>6</v>
      </c>
      <c r="F3177">
        <v>0.14599999999999999</v>
      </c>
    </row>
    <row r="3178" spans="1:6" x14ac:dyDescent="0.3">
      <c r="A3178" t="s">
        <v>22</v>
      </c>
      <c r="B3178" s="1">
        <v>45790</v>
      </c>
      <c r="C3178">
        <v>10</v>
      </c>
      <c r="D3178">
        <v>0</v>
      </c>
      <c r="E3178" t="s">
        <v>6</v>
      </c>
      <c r="F3178">
        <v>9.734000000000001E-2</v>
      </c>
    </row>
    <row r="3179" spans="1:6" x14ac:dyDescent="0.3">
      <c r="A3179" t="s">
        <v>22</v>
      </c>
      <c r="B3179" s="1">
        <v>45790</v>
      </c>
      <c r="C3179">
        <v>11</v>
      </c>
      <c r="D3179">
        <v>0</v>
      </c>
      <c r="E3179" t="s">
        <v>6</v>
      </c>
      <c r="F3179">
        <v>0.13675000000000001</v>
      </c>
    </row>
    <row r="3180" spans="1:6" x14ac:dyDescent="0.3">
      <c r="A3180" t="s">
        <v>22</v>
      </c>
      <c r="B3180" s="1">
        <v>45790</v>
      </c>
      <c r="C3180">
        <v>12</v>
      </c>
      <c r="D3180">
        <v>0</v>
      </c>
      <c r="E3180" t="s">
        <v>6</v>
      </c>
      <c r="F3180">
        <v>0.13522999999999999</v>
      </c>
    </row>
    <row r="3181" spans="1:6" x14ac:dyDescent="0.3">
      <c r="A3181" t="s">
        <v>22</v>
      </c>
      <c r="B3181" s="1">
        <v>45790</v>
      </c>
      <c r="C3181">
        <v>13</v>
      </c>
      <c r="D3181">
        <v>0</v>
      </c>
      <c r="E3181" t="s">
        <v>6</v>
      </c>
      <c r="F3181">
        <v>0.13521</v>
      </c>
    </row>
    <row r="3182" spans="1:6" x14ac:dyDescent="0.3">
      <c r="A3182" t="s">
        <v>22</v>
      </c>
      <c r="B3182" s="1">
        <v>45790</v>
      </c>
      <c r="C3182">
        <v>14</v>
      </c>
      <c r="D3182">
        <v>0</v>
      </c>
      <c r="E3182" t="s">
        <v>6</v>
      </c>
      <c r="F3182">
        <v>0.13038999999999998</v>
      </c>
    </row>
    <row r="3183" spans="1:6" x14ac:dyDescent="0.3">
      <c r="A3183" t="s">
        <v>22</v>
      </c>
      <c r="B3183" s="1">
        <v>45790</v>
      </c>
      <c r="C3183">
        <v>15</v>
      </c>
      <c r="D3183">
        <v>0.76500000000000001</v>
      </c>
      <c r="E3183" t="s">
        <v>6</v>
      </c>
      <c r="F3183">
        <v>6.6659999999999997E-2</v>
      </c>
    </row>
    <row r="3184" spans="1:6" x14ac:dyDescent="0.3">
      <c r="A3184" t="s">
        <v>22</v>
      </c>
      <c r="B3184" s="1">
        <v>45790</v>
      </c>
      <c r="C3184">
        <v>16</v>
      </c>
      <c r="D3184">
        <v>7.1999999999999995E-2</v>
      </c>
      <c r="E3184" t="s">
        <v>6</v>
      </c>
      <c r="F3184">
        <v>6.9489999999999996E-2</v>
      </c>
    </row>
    <row r="3185" spans="1:6" x14ac:dyDescent="0.3">
      <c r="A3185" t="s">
        <v>22</v>
      </c>
      <c r="B3185" s="1">
        <v>45790</v>
      </c>
      <c r="C3185">
        <v>17</v>
      </c>
      <c r="D3185">
        <v>1.2589999999999999</v>
      </c>
      <c r="E3185" t="s">
        <v>6</v>
      </c>
      <c r="F3185">
        <v>6.9709999999999994E-2</v>
      </c>
    </row>
    <row r="3186" spans="1:6" x14ac:dyDescent="0.3">
      <c r="A3186" t="s">
        <v>22</v>
      </c>
      <c r="B3186" s="1">
        <v>45790</v>
      </c>
      <c r="C3186">
        <v>18</v>
      </c>
      <c r="D3186">
        <v>0.78700000000000003</v>
      </c>
      <c r="E3186" t="s">
        <v>6</v>
      </c>
      <c r="F3186">
        <v>7.077E-2</v>
      </c>
    </row>
    <row r="3187" spans="1:6" x14ac:dyDescent="0.3">
      <c r="A3187" t="s">
        <v>22</v>
      </c>
      <c r="B3187" s="1">
        <v>45790</v>
      </c>
      <c r="C3187">
        <v>19</v>
      </c>
      <c r="D3187">
        <v>1.4999999999999999E-2</v>
      </c>
      <c r="E3187" t="s">
        <v>6</v>
      </c>
      <c r="F3187">
        <v>0.16524</v>
      </c>
    </row>
    <row r="3188" spans="1:6" x14ac:dyDescent="0.3">
      <c r="A3188" t="s">
        <v>22</v>
      </c>
      <c r="B3188" s="1">
        <v>45790</v>
      </c>
      <c r="C3188">
        <v>20</v>
      </c>
      <c r="D3188">
        <v>0.56699999999999995</v>
      </c>
      <c r="E3188" t="s">
        <v>6</v>
      </c>
      <c r="F3188">
        <v>0.17480999999999999</v>
      </c>
    </row>
    <row r="3189" spans="1:6" x14ac:dyDescent="0.3">
      <c r="A3189" t="s">
        <v>22</v>
      </c>
      <c r="B3189" s="1">
        <v>45790</v>
      </c>
      <c r="C3189">
        <v>21</v>
      </c>
      <c r="D3189">
        <v>1.4990000000000001</v>
      </c>
      <c r="E3189" t="s">
        <v>6</v>
      </c>
      <c r="F3189">
        <v>0.23813999999999999</v>
      </c>
    </row>
    <row r="3190" spans="1:6" x14ac:dyDescent="0.3">
      <c r="A3190" t="s">
        <v>22</v>
      </c>
      <c r="B3190" s="1">
        <v>45790</v>
      </c>
      <c r="C3190">
        <v>22</v>
      </c>
      <c r="D3190">
        <v>1.5760000000000001</v>
      </c>
      <c r="E3190" t="s">
        <v>6</v>
      </c>
      <c r="F3190">
        <v>0.27338999999999997</v>
      </c>
    </row>
    <row r="3191" spans="1:6" x14ac:dyDescent="0.3">
      <c r="A3191" t="s">
        <v>22</v>
      </c>
      <c r="B3191" s="1">
        <v>45790</v>
      </c>
      <c r="C3191">
        <v>23</v>
      </c>
      <c r="D3191">
        <v>1.407</v>
      </c>
      <c r="E3191" t="s">
        <v>6</v>
      </c>
      <c r="F3191">
        <v>0.19424</v>
      </c>
    </row>
    <row r="3192" spans="1:6" x14ac:dyDescent="0.3">
      <c r="A3192" t="s">
        <v>22</v>
      </c>
      <c r="B3192" s="1">
        <v>45790</v>
      </c>
      <c r="C3192">
        <v>24</v>
      </c>
      <c r="D3192">
        <v>1.0469999999999999</v>
      </c>
      <c r="E3192" t="s">
        <v>6</v>
      </c>
      <c r="F3192">
        <v>0.1565</v>
      </c>
    </row>
    <row r="3193" spans="1:6" x14ac:dyDescent="0.3">
      <c r="A3193" t="s">
        <v>22</v>
      </c>
      <c r="B3193" s="1">
        <v>45791</v>
      </c>
      <c r="C3193">
        <v>1</v>
      </c>
      <c r="D3193">
        <v>1.27</v>
      </c>
      <c r="E3193" t="s">
        <v>6</v>
      </c>
      <c r="F3193">
        <v>0.13233</v>
      </c>
    </row>
    <row r="3194" spans="1:6" x14ac:dyDescent="0.3">
      <c r="A3194" t="s">
        <v>22</v>
      </c>
      <c r="B3194" s="1">
        <v>45791</v>
      </c>
      <c r="C3194">
        <v>2</v>
      </c>
      <c r="D3194">
        <v>1.1200000000000001</v>
      </c>
      <c r="E3194" t="s">
        <v>6</v>
      </c>
      <c r="F3194">
        <v>0.11602</v>
      </c>
    </row>
    <row r="3195" spans="1:6" x14ac:dyDescent="0.3">
      <c r="A3195" t="s">
        <v>22</v>
      </c>
      <c r="B3195" s="1">
        <v>45791</v>
      </c>
      <c r="C3195">
        <v>3</v>
      </c>
      <c r="D3195">
        <v>1.121</v>
      </c>
      <c r="E3195" t="s">
        <v>6</v>
      </c>
      <c r="F3195">
        <v>0.11394</v>
      </c>
    </row>
    <row r="3196" spans="1:6" x14ac:dyDescent="0.3">
      <c r="A3196" t="s">
        <v>22</v>
      </c>
      <c r="B3196" s="1">
        <v>45791</v>
      </c>
      <c r="C3196">
        <v>4</v>
      </c>
      <c r="D3196">
        <v>1.679</v>
      </c>
      <c r="E3196" t="s">
        <v>6</v>
      </c>
      <c r="F3196">
        <v>0.10773999999999999</v>
      </c>
    </row>
    <row r="3197" spans="1:6" x14ac:dyDescent="0.3">
      <c r="A3197" t="s">
        <v>22</v>
      </c>
      <c r="B3197" s="1">
        <v>45791</v>
      </c>
      <c r="C3197">
        <v>5</v>
      </c>
      <c r="D3197">
        <v>2.0920000000000001</v>
      </c>
      <c r="E3197" t="s">
        <v>6</v>
      </c>
      <c r="F3197">
        <v>0.10636</v>
      </c>
    </row>
    <row r="3198" spans="1:6" x14ac:dyDescent="0.3">
      <c r="A3198" t="s">
        <v>22</v>
      </c>
      <c r="B3198" s="1">
        <v>45791</v>
      </c>
      <c r="C3198">
        <v>6</v>
      </c>
      <c r="D3198">
        <v>1.708</v>
      </c>
      <c r="E3198" t="s">
        <v>6</v>
      </c>
      <c r="F3198">
        <v>0.10912000000000001</v>
      </c>
    </row>
    <row r="3199" spans="1:6" x14ac:dyDescent="0.3">
      <c r="A3199" t="s">
        <v>22</v>
      </c>
      <c r="B3199" s="1">
        <v>45791</v>
      </c>
      <c r="C3199">
        <v>7</v>
      </c>
      <c r="D3199">
        <v>1.671</v>
      </c>
      <c r="E3199" t="s">
        <v>6</v>
      </c>
      <c r="F3199">
        <v>0.11939</v>
      </c>
    </row>
    <row r="3200" spans="1:6" x14ac:dyDescent="0.3">
      <c r="A3200" t="s">
        <v>22</v>
      </c>
      <c r="B3200" s="1">
        <v>45791</v>
      </c>
      <c r="C3200">
        <v>8</v>
      </c>
      <c r="D3200">
        <v>1.6759999999999999</v>
      </c>
      <c r="E3200" t="s">
        <v>6</v>
      </c>
      <c r="F3200">
        <v>0.14948</v>
      </c>
    </row>
    <row r="3201" spans="1:6" x14ac:dyDescent="0.3">
      <c r="A3201" t="s">
        <v>22</v>
      </c>
      <c r="B3201" s="1">
        <v>45791</v>
      </c>
      <c r="C3201">
        <v>9</v>
      </c>
      <c r="D3201">
        <v>0.79600000000000004</v>
      </c>
      <c r="E3201" t="s">
        <v>6</v>
      </c>
      <c r="F3201">
        <v>0.14013</v>
      </c>
    </row>
    <row r="3202" spans="1:6" x14ac:dyDescent="0.3">
      <c r="A3202" t="s">
        <v>22</v>
      </c>
      <c r="B3202" s="1">
        <v>45791</v>
      </c>
      <c r="C3202">
        <v>10</v>
      </c>
      <c r="D3202">
        <v>0</v>
      </c>
      <c r="E3202" t="s">
        <v>6</v>
      </c>
      <c r="F3202">
        <v>0.11638</v>
      </c>
    </row>
    <row r="3203" spans="1:6" x14ac:dyDescent="0.3">
      <c r="A3203" t="s">
        <v>22</v>
      </c>
      <c r="B3203" s="1">
        <v>45791</v>
      </c>
      <c r="C3203">
        <v>11</v>
      </c>
      <c r="D3203">
        <v>0</v>
      </c>
      <c r="E3203" t="s">
        <v>6</v>
      </c>
      <c r="F3203">
        <v>0.13938</v>
      </c>
    </row>
    <row r="3204" spans="1:6" x14ac:dyDescent="0.3">
      <c r="A3204" t="s">
        <v>22</v>
      </c>
      <c r="B3204" s="1">
        <v>45791</v>
      </c>
      <c r="C3204">
        <v>12</v>
      </c>
      <c r="D3204">
        <v>0</v>
      </c>
      <c r="E3204" t="s">
        <v>6</v>
      </c>
      <c r="F3204">
        <v>0.13930000000000001</v>
      </c>
    </row>
    <row r="3205" spans="1:6" x14ac:dyDescent="0.3">
      <c r="A3205" t="s">
        <v>22</v>
      </c>
      <c r="B3205" s="1">
        <v>45791</v>
      </c>
      <c r="C3205">
        <v>13</v>
      </c>
      <c r="D3205">
        <v>0</v>
      </c>
      <c r="E3205" t="s">
        <v>6</v>
      </c>
      <c r="F3205">
        <v>0.13858000000000001</v>
      </c>
    </row>
    <row r="3206" spans="1:6" x14ac:dyDescent="0.3">
      <c r="A3206" t="s">
        <v>22</v>
      </c>
      <c r="B3206" s="1">
        <v>45791</v>
      </c>
      <c r="C3206">
        <v>14</v>
      </c>
      <c r="D3206">
        <v>0.77400000000000002</v>
      </c>
      <c r="E3206" t="s">
        <v>6</v>
      </c>
      <c r="F3206">
        <v>0.13288999999999998</v>
      </c>
    </row>
    <row r="3207" spans="1:6" x14ac:dyDescent="0.3">
      <c r="A3207" t="s">
        <v>22</v>
      </c>
      <c r="B3207" s="1">
        <v>45791</v>
      </c>
      <c r="C3207">
        <v>15</v>
      </c>
      <c r="D3207">
        <v>1.8560000000000001</v>
      </c>
      <c r="E3207" t="s">
        <v>6</v>
      </c>
      <c r="F3207">
        <v>6.9870000000000002E-2</v>
      </c>
    </row>
    <row r="3208" spans="1:6" x14ac:dyDescent="0.3">
      <c r="A3208" t="s">
        <v>22</v>
      </c>
      <c r="B3208" s="1">
        <v>45791</v>
      </c>
      <c r="C3208">
        <v>16</v>
      </c>
      <c r="D3208">
        <v>1.5329999999999999</v>
      </c>
      <c r="E3208" t="s">
        <v>6</v>
      </c>
      <c r="F3208">
        <v>7.2459999999999997E-2</v>
      </c>
    </row>
    <row r="3209" spans="1:6" x14ac:dyDescent="0.3">
      <c r="A3209" t="s">
        <v>22</v>
      </c>
      <c r="B3209" s="1">
        <v>45791</v>
      </c>
      <c r="C3209">
        <v>17</v>
      </c>
      <c r="D3209">
        <v>1.546</v>
      </c>
      <c r="E3209" t="s">
        <v>6</v>
      </c>
      <c r="F3209">
        <v>7.2930000000000009E-2</v>
      </c>
    </row>
    <row r="3210" spans="1:6" x14ac:dyDescent="0.3">
      <c r="A3210" t="s">
        <v>22</v>
      </c>
      <c r="B3210" s="1">
        <v>45791</v>
      </c>
      <c r="C3210">
        <v>18</v>
      </c>
      <c r="D3210">
        <v>0</v>
      </c>
      <c r="E3210" t="s">
        <v>6</v>
      </c>
      <c r="F3210">
        <v>7.4329999999999993E-2</v>
      </c>
    </row>
    <row r="3211" spans="1:6" x14ac:dyDescent="0.3">
      <c r="A3211" t="s">
        <v>22</v>
      </c>
      <c r="B3211" s="1">
        <v>45791</v>
      </c>
      <c r="C3211">
        <v>19</v>
      </c>
      <c r="D3211">
        <v>0</v>
      </c>
      <c r="E3211" t="s">
        <v>6</v>
      </c>
      <c r="F3211">
        <v>0.14388999999999999</v>
      </c>
    </row>
    <row r="3212" spans="1:6" x14ac:dyDescent="0.3">
      <c r="A3212" t="s">
        <v>22</v>
      </c>
      <c r="B3212" s="1">
        <v>45791</v>
      </c>
      <c r="C3212">
        <v>20</v>
      </c>
      <c r="D3212">
        <v>0.316</v>
      </c>
      <c r="E3212" t="s">
        <v>6</v>
      </c>
      <c r="F3212">
        <v>0.17487</v>
      </c>
    </row>
    <row r="3213" spans="1:6" x14ac:dyDescent="0.3">
      <c r="A3213" t="s">
        <v>22</v>
      </c>
      <c r="B3213" s="1">
        <v>45791</v>
      </c>
      <c r="C3213">
        <v>21</v>
      </c>
      <c r="D3213">
        <v>1.18</v>
      </c>
      <c r="E3213" t="s">
        <v>6</v>
      </c>
      <c r="F3213">
        <v>0.19525999999999999</v>
      </c>
    </row>
    <row r="3214" spans="1:6" x14ac:dyDescent="0.3">
      <c r="A3214" t="s">
        <v>22</v>
      </c>
      <c r="B3214" s="1">
        <v>45791</v>
      </c>
      <c r="C3214">
        <v>22</v>
      </c>
      <c r="D3214">
        <v>1.1519999999999999</v>
      </c>
      <c r="E3214" t="s">
        <v>6</v>
      </c>
      <c r="F3214">
        <v>0.21001</v>
      </c>
    </row>
    <row r="3215" spans="1:6" x14ac:dyDescent="0.3">
      <c r="A3215" t="s">
        <v>22</v>
      </c>
      <c r="B3215" s="1">
        <v>45791</v>
      </c>
      <c r="C3215">
        <v>23</v>
      </c>
      <c r="D3215">
        <v>0.998</v>
      </c>
      <c r="E3215" t="s">
        <v>6</v>
      </c>
      <c r="F3215">
        <v>0.14510000000000001</v>
      </c>
    </row>
    <row r="3216" spans="1:6" x14ac:dyDescent="0.3">
      <c r="A3216" t="s">
        <v>22</v>
      </c>
      <c r="B3216" s="1">
        <v>45791</v>
      </c>
      <c r="C3216">
        <v>24</v>
      </c>
      <c r="D3216">
        <v>0.98299999999999998</v>
      </c>
      <c r="E3216" t="s">
        <v>6</v>
      </c>
      <c r="F3216">
        <v>0.12543000000000001</v>
      </c>
    </row>
    <row r="3217" spans="1:6" x14ac:dyDescent="0.3">
      <c r="A3217" t="s">
        <v>22</v>
      </c>
      <c r="B3217" s="1">
        <v>45792</v>
      </c>
      <c r="C3217">
        <v>1</v>
      </c>
      <c r="D3217">
        <v>0.96599999999999997</v>
      </c>
      <c r="E3217" t="s">
        <v>6</v>
      </c>
      <c r="F3217">
        <v>0.11289</v>
      </c>
    </row>
    <row r="3218" spans="1:6" x14ac:dyDescent="0.3">
      <c r="A3218" t="s">
        <v>22</v>
      </c>
      <c r="B3218" s="1">
        <v>45792</v>
      </c>
      <c r="C3218">
        <v>2</v>
      </c>
      <c r="D3218">
        <v>0.84599999999999997</v>
      </c>
      <c r="E3218" t="s">
        <v>6</v>
      </c>
      <c r="F3218">
        <v>0.1018</v>
      </c>
    </row>
    <row r="3219" spans="1:6" x14ac:dyDescent="0.3">
      <c r="A3219" t="s">
        <v>22</v>
      </c>
      <c r="B3219" s="1">
        <v>45792</v>
      </c>
      <c r="C3219">
        <v>3</v>
      </c>
      <c r="D3219">
        <v>1.169</v>
      </c>
      <c r="E3219" t="s">
        <v>6</v>
      </c>
      <c r="F3219">
        <v>0.10269</v>
      </c>
    </row>
    <row r="3220" spans="1:6" x14ac:dyDescent="0.3">
      <c r="A3220" t="s">
        <v>22</v>
      </c>
      <c r="B3220" s="1">
        <v>45792</v>
      </c>
      <c r="C3220">
        <v>4</v>
      </c>
      <c r="D3220">
        <v>0.83799999999999997</v>
      </c>
      <c r="E3220" t="s">
        <v>6</v>
      </c>
      <c r="F3220">
        <v>9.264E-2</v>
      </c>
    </row>
    <row r="3221" spans="1:6" x14ac:dyDescent="0.3">
      <c r="A3221" t="s">
        <v>22</v>
      </c>
      <c r="B3221" s="1">
        <v>45792</v>
      </c>
      <c r="C3221">
        <v>5</v>
      </c>
      <c r="D3221">
        <v>1.141</v>
      </c>
      <c r="E3221" t="s">
        <v>6</v>
      </c>
      <c r="F3221">
        <v>9.2269999999999991E-2</v>
      </c>
    </row>
    <row r="3222" spans="1:6" x14ac:dyDescent="0.3">
      <c r="A3222" t="s">
        <v>22</v>
      </c>
      <c r="B3222" s="1">
        <v>45792</v>
      </c>
      <c r="C3222">
        <v>6</v>
      </c>
      <c r="D3222">
        <v>1.1259999999999999</v>
      </c>
      <c r="E3222" t="s">
        <v>6</v>
      </c>
      <c r="F3222">
        <v>9.6620000000000011E-2</v>
      </c>
    </row>
    <row r="3223" spans="1:6" x14ac:dyDescent="0.3">
      <c r="A3223" t="s">
        <v>22</v>
      </c>
      <c r="B3223" s="1">
        <v>45792</v>
      </c>
      <c r="C3223">
        <v>7</v>
      </c>
      <c r="D3223">
        <v>1.0589999999999999</v>
      </c>
      <c r="E3223" t="s">
        <v>6</v>
      </c>
      <c r="F3223">
        <v>9.9459999999999993E-2</v>
      </c>
    </row>
    <row r="3224" spans="1:6" x14ac:dyDescent="0.3">
      <c r="A3224" t="s">
        <v>22</v>
      </c>
      <c r="B3224" s="1">
        <v>45792</v>
      </c>
      <c r="C3224">
        <v>8</v>
      </c>
      <c r="D3224">
        <v>1.3149999999999999</v>
      </c>
      <c r="E3224" t="s">
        <v>6</v>
      </c>
      <c r="F3224">
        <v>0.10434</v>
      </c>
    </row>
    <row r="3225" spans="1:6" x14ac:dyDescent="0.3">
      <c r="A3225" t="s">
        <v>22</v>
      </c>
      <c r="B3225" s="1">
        <v>45792</v>
      </c>
      <c r="C3225">
        <v>9</v>
      </c>
      <c r="D3225">
        <v>1.8919999999999999</v>
      </c>
      <c r="E3225" t="s">
        <v>6</v>
      </c>
      <c r="F3225">
        <v>0.12795000000000001</v>
      </c>
    </row>
    <row r="3226" spans="1:6" x14ac:dyDescent="0.3">
      <c r="A3226" t="s">
        <v>22</v>
      </c>
      <c r="B3226" s="1">
        <v>45792</v>
      </c>
      <c r="C3226">
        <v>10</v>
      </c>
      <c r="D3226">
        <v>0</v>
      </c>
      <c r="E3226" t="s">
        <v>6</v>
      </c>
      <c r="F3226">
        <v>9.0950000000000003E-2</v>
      </c>
    </row>
    <row r="3227" spans="1:6" x14ac:dyDescent="0.3">
      <c r="A3227" t="s">
        <v>22</v>
      </c>
      <c r="B3227" s="1">
        <v>45792</v>
      </c>
      <c r="C3227">
        <v>11</v>
      </c>
      <c r="D3227">
        <v>0</v>
      </c>
      <c r="E3227" t="s">
        <v>6</v>
      </c>
      <c r="F3227">
        <v>0.15112999999999999</v>
      </c>
    </row>
    <row r="3228" spans="1:6" x14ac:dyDescent="0.3">
      <c r="A3228" t="s">
        <v>22</v>
      </c>
      <c r="B3228" s="1">
        <v>45792</v>
      </c>
      <c r="C3228">
        <v>12</v>
      </c>
      <c r="D3228">
        <v>0</v>
      </c>
      <c r="E3228" t="s">
        <v>6</v>
      </c>
      <c r="F3228">
        <v>0.15049999999999999</v>
      </c>
    </row>
    <row r="3229" spans="1:6" x14ac:dyDescent="0.3">
      <c r="A3229" t="s">
        <v>22</v>
      </c>
      <c r="B3229" s="1">
        <v>45792</v>
      </c>
      <c r="C3229">
        <v>13</v>
      </c>
      <c r="D3229">
        <v>0</v>
      </c>
      <c r="E3229" t="s">
        <v>6</v>
      </c>
      <c r="F3229">
        <v>0.14909</v>
      </c>
    </row>
    <row r="3230" spans="1:6" x14ac:dyDescent="0.3">
      <c r="A3230" t="s">
        <v>22</v>
      </c>
      <c r="B3230" s="1">
        <v>45792</v>
      </c>
      <c r="C3230">
        <v>14</v>
      </c>
      <c r="D3230">
        <v>0</v>
      </c>
      <c r="E3230" t="s">
        <v>6</v>
      </c>
      <c r="F3230">
        <v>0.14612</v>
      </c>
    </row>
    <row r="3231" spans="1:6" x14ac:dyDescent="0.3">
      <c r="A3231" t="s">
        <v>22</v>
      </c>
      <c r="B3231" s="1">
        <v>45792</v>
      </c>
      <c r="C3231">
        <v>15</v>
      </c>
      <c r="D3231">
        <v>0</v>
      </c>
      <c r="E3231" t="s">
        <v>6</v>
      </c>
      <c r="F3231">
        <v>8.1069999999999989E-2</v>
      </c>
    </row>
    <row r="3232" spans="1:6" x14ac:dyDescent="0.3">
      <c r="A3232" t="s">
        <v>22</v>
      </c>
      <c r="B3232" s="1">
        <v>45792</v>
      </c>
      <c r="C3232">
        <v>16</v>
      </c>
      <c r="D3232">
        <v>0</v>
      </c>
      <c r="E3232" t="s">
        <v>6</v>
      </c>
      <c r="F3232">
        <v>8.098000000000001E-2</v>
      </c>
    </row>
    <row r="3233" spans="1:6" x14ac:dyDescent="0.3">
      <c r="A3233" t="s">
        <v>22</v>
      </c>
      <c r="B3233" s="1">
        <v>45792</v>
      </c>
      <c r="C3233">
        <v>17</v>
      </c>
      <c r="D3233">
        <v>0.95199999999999996</v>
      </c>
      <c r="E3233" t="s">
        <v>6</v>
      </c>
      <c r="F3233">
        <v>8.1599999999999992E-2</v>
      </c>
    </row>
    <row r="3234" spans="1:6" x14ac:dyDescent="0.3">
      <c r="A3234" t="s">
        <v>22</v>
      </c>
      <c r="B3234" s="1">
        <v>45792</v>
      </c>
      <c r="C3234">
        <v>18</v>
      </c>
      <c r="D3234">
        <v>1.0169999999999999</v>
      </c>
      <c r="E3234" t="s">
        <v>6</v>
      </c>
      <c r="F3234">
        <v>8.3470000000000003E-2</v>
      </c>
    </row>
    <row r="3235" spans="1:6" x14ac:dyDescent="0.3">
      <c r="A3235" t="s">
        <v>22</v>
      </c>
      <c r="B3235" s="1">
        <v>45792</v>
      </c>
      <c r="C3235">
        <v>19</v>
      </c>
      <c r="D3235">
        <v>0</v>
      </c>
      <c r="E3235" t="s">
        <v>6</v>
      </c>
      <c r="F3235">
        <v>0.15555000000000002</v>
      </c>
    </row>
    <row r="3236" spans="1:6" x14ac:dyDescent="0.3">
      <c r="A3236" t="s">
        <v>22</v>
      </c>
      <c r="B3236" s="1">
        <v>45792</v>
      </c>
      <c r="C3236">
        <v>20</v>
      </c>
      <c r="D3236">
        <v>0.439</v>
      </c>
      <c r="E3236" t="s">
        <v>6</v>
      </c>
      <c r="F3236">
        <v>0.15671000000000002</v>
      </c>
    </row>
    <row r="3237" spans="1:6" x14ac:dyDescent="0.3">
      <c r="A3237" t="s">
        <v>22</v>
      </c>
      <c r="B3237" s="1">
        <v>45792</v>
      </c>
      <c r="C3237">
        <v>21</v>
      </c>
      <c r="D3237">
        <v>0.58599999999999997</v>
      </c>
      <c r="E3237" t="s">
        <v>6</v>
      </c>
      <c r="F3237">
        <v>0.17727000000000001</v>
      </c>
    </row>
    <row r="3238" spans="1:6" x14ac:dyDescent="0.3">
      <c r="A3238" t="s">
        <v>22</v>
      </c>
      <c r="B3238" s="1">
        <v>45792</v>
      </c>
      <c r="C3238">
        <v>22</v>
      </c>
      <c r="D3238">
        <v>2.254</v>
      </c>
      <c r="E3238" t="s">
        <v>6</v>
      </c>
      <c r="F3238">
        <v>0.18803</v>
      </c>
    </row>
    <row r="3239" spans="1:6" x14ac:dyDescent="0.3">
      <c r="A3239" t="s">
        <v>22</v>
      </c>
      <c r="B3239" s="1">
        <v>45792</v>
      </c>
      <c r="C3239">
        <v>23</v>
      </c>
      <c r="D3239">
        <v>1.631</v>
      </c>
      <c r="E3239" t="s">
        <v>6</v>
      </c>
      <c r="F3239">
        <v>0.12181</v>
      </c>
    </row>
    <row r="3240" spans="1:6" x14ac:dyDescent="0.3">
      <c r="A3240" t="s">
        <v>22</v>
      </c>
      <c r="B3240" s="1">
        <v>45792</v>
      </c>
      <c r="C3240">
        <v>24</v>
      </c>
      <c r="D3240">
        <v>1.992</v>
      </c>
      <c r="E3240" t="s">
        <v>6</v>
      </c>
      <c r="F3240">
        <v>0.11373999999999999</v>
      </c>
    </row>
    <row r="3241" spans="1:6" x14ac:dyDescent="0.3">
      <c r="A3241" t="s">
        <v>22</v>
      </c>
      <c r="B3241" s="1">
        <v>45793</v>
      </c>
      <c r="C3241">
        <v>1</v>
      </c>
      <c r="D3241">
        <v>1.131</v>
      </c>
      <c r="E3241" t="s">
        <v>6</v>
      </c>
      <c r="F3241">
        <v>8.7300000000000003E-2</v>
      </c>
    </row>
    <row r="3242" spans="1:6" x14ac:dyDescent="0.3">
      <c r="A3242" t="s">
        <v>22</v>
      </c>
      <c r="B3242" s="1">
        <v>45793</v>
      </c>
      <c r="C3242">
        <v>2</v>
      </c>
      <c r="D3242">
        <v>0.78200000000000003</v>
      </c>
      <c r="E3242" t="s">
        <v>6</v>
      </c>
      <c r="F3242">
        <v>8.9549999999999991E-2</v>
      </c>
    </row>
    <row r="3243" spans="1:6" x14ac:dyDescent="0.3">
      <c r="A3243" t="s">
        <v>22</v>
      </c>
      <c r="B3243" s="1">
        <v>45793</v>
      </c>
      <c r="C3243">
        <v>3</v>
      </c>
      <c r="D3243">
        <v>1.08</v>
      </c>
      <c r="E3243" t="s">
        <v>6</v>
      </c>
      <c r="F3243">
        <v>9.2030000000000001E-2</v>
      </c>
    </row>
    <row r="3244" spans="1:6" x14ac:dyDescent="0.3">
      <c r="A3244" t="s">
        <v>22</v>
      </c>
      <c r="B3244" s="1">
        <v>45793</v>
      </c>
      <c r="C3244">
        <v>4</v>
      </c>
      <c r="D3244">
        <v>0.88300000000000001</v>
      </c>
      <c r="E3244" t="s">
        <v>6</v>
      </c>
      <c r="F3244">
        <v>8.7469999999999992E-2</v>
      </c>
    </row>
    <row r="3245" spans="1:6" x14ac:dyDescent="0.3">
      <c r="A3245" t="s">
        <v>22</v>
      </c>
      <c r="B3245" s="1">
        <v>45793</v>
      </c>
      <c r="C3245">
        <v>5</v>
      </c>
      <c r="D3245">
        <v>0.91700000000000004</v>
      </c>
      <c r="E3245" t="s">
        <v>6</v>
      </c>
      <c r="F3245">
        <v>8.7639999999999996E-2</v>
      </c>
    </row>
    <row r="3246" spans="1:6" x14ac:dyDescent="0.3">
      <c r="A3246" t="s">
        <v>22</v>
      </c>
      <c r="B3246" s="1">
        <v>45793</v>
      </c>
      <c r="C3246">
        <v>6</v>
      </c>
      <c r="D3246">
        <v>1.091</v>
      </c>
      <c r="E3246" t="s">
        <v>6</v>
      </c>
      <c r="F3246">
        <v>8.7359999999999993E-2</v>
      </c>
    </row>
    <row r="3247" spans="1:6" x14ac:dyDescent="0.3">
      <c r="A3247" t="s">
        <v>22</v>
      </c>
      <c r="B3247" s="1">
        <v>45793</v>
      </c>
      <c r="C3247">
        <v>7</v>
      </c>
      <c r="D3247">
        <v>0.85599999999999998</v>
      </c>
      <c r="E3247" t="s">
        <v>6</v>
      </c>
      <c r="F3247">
        <v>8.7300000000000003E-2</v>
      </c>
    </row>
    <row r="3248" spans="1:6" x14ac:dyDescent="0.3">
      <c r="A3248" t="s">
        <v>22</v>
      </c>
      <c r="B3248" s="1">
        <v>45793</v>
      </c>
      <c r="C3248">
        <v>8</v>
      </c>
      <c r="D3248">
        <v>1.3149999999999999</v>
      </c>
      <c r="E3248" t="s">
        <v>6</v>
      </c>
      <c r="F3248">
        <v>8.2099999999999992E-2</v>
      </c>
    </row>
    <row r="3249" spans="1:6" x14ac:dyDescent="0.3">
      <c r="A3249" t="s">
        <v>22</v>
      </c>
      <c r="B3249" s="1">
        <v>45793</v>
      </c>
      <c r="C3249">
        <v>9</v>
      </c>
      <c r="D3249">
        <v>0</v>
      </c>
      <c r="E3249" t="s">
        <v>6</v>
      </c>
      <c r="F3249">
        <v>9.5890000000000003E-2</v>
      </c>
    </row>
    <row r="3250" spans="1:6" x14ac:dyDescent="0.3">
      <c r="A3250" t="s">
        <v>22</v>
      </c>
      <c r="B3250" s="1">
        <v>45793</v>
      </c>
      <c r="C3250">
        <v>10</v>
      </c>
      <c r="D3250">
        <v>0</v>
      </c>
      <c r="E3250" t="s">
        <v>6</v>
      </c>
      <c r="F3250">
        <v>9.1499999999999998E-2</v>
      </c>
    </row>
    <row r="3251" spans="1:6" x14ac:dyDescent="0.3">
      <c r="A3251" t="s">
        <v>22</v>
      </c>
      <c r="B3251" s="1">
        <v>45793</v>
      </c>
      <c r="C3251">
        <v>11</v>
      </c>
      <c r="D3251">
        <v>0</v>
      </c>
      <c r="E3251" t="s">
        <v>6</v>
      </c>
      <c r="F3251">
        <v>0.15221000000000001</v>
      </c>
    </row>
    <row r="3252" spans="1:6" x14ac:dyDescent="0.3">
      <c r="A3252" t="s">
        <v>22</v>
      </c>
      <c r="B3252" s="1">
        <v>45793</v>
      </c>
      <c r="C3252">
        <v>12</v>
      </c>
      <c r="D3252">
        <v>0</v>
      </c>
      <c r="E3252" t="s">
        <v>6</v>
      </c>
      <c r="F3252">
        <v>0.1517</v>
      </c>
    </row>
    <row r="3253" spans="1:6" x14ac:dyDescent="0.3">
      <c r="A3253" t="s">
        <v>22</v>
      </c>
      <c r="B3253" s="1">
        <v>45793</v>
      </c>
      <c r="C3253">
        <v>13</v>
      </c>
      <c r="D3253">
        <v>0.1</v>
      </c>
      <c r="E3253" t="s">
        <v>6</v>
      </c>
      <c r="F3253">
        <v>0.14946999999999999</v>
      </c>
    </row>
    <row r="3254" spans="1:6" x14ac:dyDescent="0.3">
      <c r="A3254" t="s">
        <v>22</v>
      </c>
      <c r="B3254" s="1">
        <v>45793</v>
      </c>
      <c r="C3254">
        <v>14</v>
      </c>
      <c r="D3254">
        <v>0.49099999999999999</v>
      </c>
      <c r="E3254" t="s">
        <v>6</v>
      </c>
      <c r="F3254">
        <v>0.14658000000000002</v>
      </c>
    </row>
    <row r="3255" spans="1:6" x14ac:dyDescent="0.3">
      <c r="A3255" t="s">
        <v>22</v>
      </c>
      <c r="B3255" s="1">
        <v>45793</v>
      </c>
      <c r="C3255">
        <v>15</v>
      </c>
      <c r="D3255">
        <v>2.2229999999999999</v>
      </c>
      <c r="E3255" t="s">
        <v>6</v>
      </c>
      <c r="F3255">
        <v>8.1720000000000001E-2</v>
      </c>
    </row>
    <row r="3256" spans="1:6" x14ac:dyDescent="0.3">
      <c r="A3256" t="s">
        <v>22</v>
      </c>
      <c r="B3256" s="1">
        <v>45793</v>
      </c>
      <c r="C3256">
        <v>16</v>
      </c>
      <c r="D3256">
        <v>2.99</v>
      </c>
      <c r="E3256" t="s">
        <v>6</v>
      </c>
      <c r="F3256">
        <v>8.181999999999999E-2</v>
      </c>
    </row>
    <row r="3257" spans="1:6" x14ac:dyDescent="0.3">
      <c r="A3257" t="s">
        <v>22</v>
      </c>
      <c r="B3257" s="1">
        <v>45793</v>
      </c>
      <c r="C3257">
        <v>17</v>
      </c>
      <c r="D3257">
        <v>0</v>
      </c>
      <c r="E3257" t="s">
        <v>6</v>
      </c>
      <c r="F3257">
        <v>8.2860000000000003E-2</v>
      </c>
    </row>
    <row r="3258" spans="1:6" x14ac:dyDescent="0.3">
      <c r="A3258" t="s">
        <v>22</v>
      </c>
      <c r="B3258" s="1">
        <v>45793</v>
      </c>
      <c r="C3258">
        <v>18</v>
      </c>
      <c r="D3258">
        <v>1.4179999999999999</v>
      </c>
      <c r="E3258" t="s">
        <v>6</v>
      </c>
      <c r="F3258">
        <v>8.7910000000000002E-2</v>
      </c>
    </row>
    <row r="3259" spans="1:6" x14ac:dyDescent="0.3">
      <c r="A3259" t="s">
        <v>22</v>
      </c>
      <c r="B3259" s="1">
        <v>45793</v>
      </c>
      <c r="C3259">
        <v>19</v>
      </c>
      <c r="D3259">
        <v>1.099</v>
      </c>
      <c r="E3259" t="s">
        <v>6</v>
      </c>
      <c r="F3259">
        <v>0.15872999999999998</v>
      </c>
    </row>
    <row r="3260" spans="1:6" x14ac:dyDescent="0.3">
      <c r="A3260" t="s">
        <v>22</v>
      </c>
      <c r="B3260" s="1">
        <v>45793</v>
      </c>
      <c r="C3260">
        <v>20</v>
      </c>
      <c r="D3260">
        <v>1.198</v>
      </c>
      <c r="E3260" t="s">
        <v>6</v>
      </c>
      <c r="F3260">
        <v>0.16247</v>
      </c>
    </row>
    <row r="3261" spans="1:6" x14ac:dyDescent="0.3">
      <c r="A3261" t="s">
        <v>22</v>
      </c>
      <c r="B3261" s="1">
        <v>45793</v>
      </c>
      <c r="C3261">
        <v>21</v>
      </c>
      <c r="D3261">
        <v>0.76</v>
      </c>
      <c r="E3261" t="s">
        <v>6</v>
      </c>
      <c r="F3261">
        <v>0.18572</v>
      </c>
    </row>
    <row r="3262" spans="1:6" x14ac:dyDescent="0.3">
      <c r="A3262" t="s">
        <v>22</v>
      </c>
      <c r="B3262" s="1">
        <v>45793</v>
      </c>
      <c r="C3262">
        <v>22</v>
      </c>
      <c r="D3262">
        <v>0.78100000000000003</v>
      </c>
      <c r="E3262" t="s">
        <v>6</v>
      </c>
      <c r="F3262">
        <v>0.19603999999999999</v>
      </c>
    </row>
    <row r="3263" spans="1:6" x14ac:dyDescent="0.3">
      <c r="A3263" t="s">
        <v>22</v>
      </c>
      <c r="B3263" s="1">
        <v>45793</v>
      </c>
      <c r="C3263">
        <v>23</v>
      </c>
      <c r="D3263">
        <v>1.028</v>
      </c>
      <c r="E3263" t="s">
        <v>6</v>
      </c>
      <c r="F3263">
        <v>0.14119000000000001</v>
      </c>
    </row>
    <row r="3264" spans="1:6" x14ac:dyDescent="0.3">
      <c r="A3264" t="s">
        <v>22</v>
      </c>
      <c r="B3264" s="1">
        <v>45793</v>
      </c>
      <c r="C3264">
        <v>24</v>
      </c>
      <c r="D3264">
        <v>1.1839999999999999</v>
      </c>
      <c r="E3264" t="s">
        <v>6</v>
      </c>
      <c r="F3264">
        <v>0.13729</v>
      </c>
    </row>
    <row r="3265" spans="1:6" x14ac:dyDescent="0.3">
      <c r="A3265" t="s">
        <v>22</v>
      </c>
      <c r="B3265" s="1">
        <v>45794</v>
      </c>
      <c r="C3265">
        <v>1</v>
      </c>
      <c r="D3265">
        <v>0.82</v>
      </c>
      <c r="E3265" t="s">
        <v>6</v>
      </c>
      <c r="F3265">
        <v>0.10052999999999999</v>
      </c>
    </row>
    <row r="3266" spans="1:6" x14ac:dyDescent="0.3">
      <c r="A3266" t="s">
        <v>22</v>
      </c>
      <c r="B3266" s="1">
        <v>45794</v>
      </c>
      <c r="C3266">
        <v>2</v>
      </c>
      <c r="D3266">
        <v>0.879</v>
      </c>
      <c r="E3266" t="s">
        <v>6</v>
      </c>
      <c r="F3266">
        <v>9.579E-2</v>
      </c>
    </row>
    <row r="3267" spans="1:6" x14ac:dyDescent="0.3">
      <c r="A3267" t="s">
        <v>22</v>
      </c>
      <c r="B3267" s="1">
        <v>45794</v>
      </c>
      <c r="C3267">
        <v>3</v>
      </c>
      <c r="D3267">
        <v>0.67900000000000005</v>
      </c>
      <c r="E3267" t="s">
        <v>6</v>
      </c>
      <c r="F3267">
        <v>9.7310000000000008E-2</v>
      </c>
    </row>
    <row r="3268" spans="1:6" x14ac:dyDescent="0.3">
      <c r="A3268" t="s">
        <v>22</v>
      </c>
      <c r="B3268" s="1">
        <v>45794</v>
      </c>
      <c r="C3268">
        <v>4</v>
      </c>
      <c r="D3268">
        <v>0.72899999999999998</v>
      </c>
      <c r="E3268" t="s">
        <v>6</v>
      </c>
      <c r="F3268">
        <v>9.6849999999999992E-2</v>
      </c>
    </row>
    <row r="3269" spans="1:6" x14ac:dyDescent="0.3">
      <c r="A3269" t="s">
        <v>22</v>
      </c>
      <c r="B3269" s="1">
        <v>45794</v>
      </c>
      <c r="C3269">
        <v>5</v>
      </c>
      <c r="D3269">
        <v>1.05</v>
      </c>
      <c r="E3269" t="s">
        <v>6</v>
      </c>
      <c r="F3269">
        <v>9.6680000000000002E-2</v>
      </c>
    </row>
    <row r="3270" spans="1:6" x14ac:dyDescent="0.3">
      <c r="A3270" t="s">
        <v>22</v>
      </c>
      <c r="B3270" s="1">
        <v>45794</v>
      </c>
      <c r="C3270">
        <v>6</v>
      </c>
      <c r="D3270">
        <v>0.89500000000000002</v>
      </c>
      <c r="E3270" t="s">
        <v>6</v>
      </c>
      <c r="F3270">
        <v>0.105</v>
      </c>
    </row>
    <row r="3271" spans="1:6" x14ac:dyDescent="0.3">
      <c r="A3271" t="s">
        <v>22</v>
      </c>
      <c r="B3271" s="1">
        <v>45794</v>
      </c>
      <c r="C3271">
        <v>7</v>
      </c>
      <c r="D3271">
        <v>1.0760000000000001</v>
      </c>
      <c r="E3271" t="s">
        <v>6</v>
      </c>
      <c r="F3271">
        <v>0.10843999999999999</v>
      </c>
    </row>
    <row r="3272" spans="1:6" x14ac:dyDescent="0.3">
      <c r="A3272" t="s">
        <v>22</v>
      </c>
      <c r="B3272" s="1">
        <v>45794</v>
      </c>
      <c r="C3272">
        <v>8</v>
      </c>
      <c r="D3272">
        <v>0.35</v>
      </c>
      <c r="E3272" t="s">
        <v>6</v>
      </c>
      <c r="F3272">
        <v>0.10357999999999999</v>
      </c>
    </row>
    <row r="3273" spans="1:6" x14ac:dyDescent="0.3">
      <c r="A3273" t="s">
        <v>22</v>
      </c>
      <c r="B3273" s="1">
        <v>45794</v>
      </c>
      <c r="C3273">
        <v>9</v>
      </c>
      <c r="D3273">
        <v>0</v>
      </c>
      <c r="E3273" t="s">
        <v>6</v>
      </c>
      <c r="F3273">
        <v>8.1860000000000002E-2</v>
      </c>
    </row>
    <row r="3274" spans="1:6" x14ac:dyDescent="0.3">
      <c r="A3274" t="s">
        <v>22</v>
      </c>
      <c r="B3274" s="1">
        <v>45794</v>
      </c>
      <c r="C3274">
        <v>10</v>
      </c>
      <c r="D3274">
        <v>0</v>
      </c>
      <c r="E3274" t="s">
        <v>6</v>
      </c>
      <c r="F3274">
        <v>7.0470000000000005E-2</v>
      </c>
    </row>
    <row r="3275" spans="1:6" x14ac:dyDescent="0.3">
      <c r="A3275" t="s">
        <v>22</v>
      </c>
      <c r="B3275" s="1">
        <v>45794</v>
      </c>
      <c r="C3275">
        <v>11</v>
      </c>
      <c r="D3275">
        <v>0</v>
      </c>
      <c r="E3275" t="s">
        <v>6</v>
      </c>
      <c r="F3275">
        <v>6.6810000000000008E-2</v>
      </c>
    </row>
    <row r="3276" spans="1:6" x14ac:dyDescent="0.3">
      <c r="A3276" t="s">
        <v>22</v>
      </c>
      <c r="B3276" s="1">
        <v>45794</v>
      </c>
      <c r="C3276">
        <v>12</v>
      </c>
      <c r="D3276">
        <v>1.2999999999999999E-2</v>
      </c>
      <c r="E3276" t="s">
        <v>6</v>
      </c>
      <c r="F3276">
        <v>6.4180000000000001E-2</v>
      </c>
    </row>
    <row r="3277" spans="1:6" x14ac:dyDescent="0.3">
      <c r="A3277" t="s">
        <v>22</v>
      </c>
      <c r="B3277" s="1">
        <v>45794</v>
      </c>
      <c r="C3277">
        <v>13</v>
      </c>
      <c r="D3277">
        <v>0.64100000000000001</v>
      </c>
      <c r="E3277" t="s">
        <v>6</v>
      </c>
      <c r="F3277">
        <v>6.0810000000000003E-2</v>
      </c>
    </row>
    <row r="3278" spans="1:6" x14ac:dyDescent="0.3">
      <c r="A3278" t="s">
        <v>22</v>
      </c>
      <c r="B3278" s="1">
        <v>45794</v>
      </c>
      <c r="C3278">
        <v>14</v>
      </c>
      <c r="D3278">
        <v>0</v>
      </c>
      <c r="E3278" t="s">
        <v>6</v>
      </c>
      <c r="F3278">
        <v>5.9580000000000001E-2</v>
      </c>
    </row>
    <row r="3279" spans="1:6" x14ac:dyDescent="0.3">
      <c r="A3279" t="s">
        <v>22</v>
      </c>
      <c r="B3279" s="1">
        <v>45794</v>
      </c>
      <c r="C3279">
        <v>15</v>
      </c>
      <c r="D3279">
        <v>0</v>
      </c>
      <c r="E3279" t="s">
        <v>6</v>
      </c>
      <c r="F3279">
        <v>5.9130000000000002E-2</v>
      </c>
    </row>
    <row r="3280" spans="1:6" x14ac:dyDescent="0.3">
      <c r="A3280" t="s">
        <v>22</v>
      </c>
      <c r="B3280" s="1">
        <v>45794</v>
      </c>
      <c r="C3280">
        <v>16</v>
      </c>
      <c r="D3280">
        <v>0</v>
      </c>
      <c r="E3280" t="s">
        <v>6</v>
      </c>
      <c r="F3280">
        <v>6.232E-2</v>
      </c>
    </row>
    <row r="3281" spans="1:6" x14ac:dyDescent="0.3">
      <c r="A3281" t="s">
        <v>22</v>
      </c>
      <c r="B3281" s="1">
        <v>45794</v>
      </c>
      <c r="C3281">
        <v>17</v>
      </c>
      <c r="D3281">
        <v>0</v>
      </c>
      <c r="E3281" t="s">
        <v>6</v>
      </c>
      <c r="F3281">
        <v>6.447E-2</v>
      </c>
    </row>
    <row r="3282" spans="1:6" x14ac:dyDescent="0.3">
      <c r="A3282" t="s">
        <v>22</v>
      </c>
      <c r="B3282" s="1">
        <v>45794</v>
      </c>
      <c r="C3282">
        <v>18</v>
      </c>
      <c r="D3282">
        <v>0</v>
      </c>
      <c r="E3282" t="s">
        <v>6</v>
      </c>
      <c r="F3282">
        <v>6.9199999999999998E-2</v>
      </c>
    </row>
    <row r="3283" spans="1:6" x14ac:dyDescent="0.3">
      <c r="A3283" t="s">
        <v>22</v>
      </c>
      <c r="B3283" s="1">
        <v>45794</v>
      </c>
      <c r="C3283">
        <v>19</v>
      </c>
      <c r="D3283">
        <v>0</v>
      </c>
      <c r="E3283" t="s">
        <v>6</v>
      </c>
      <c r="F3283">
        <v>7.306E-2</v>
      </c>
    </row>
    <row r="3284" spans="1:6" x14ac:dyDescent="0.3">
      <c r="A3284" t="s">
        <v>22</v>
      </c>
      <c r="B3284" s="1">
        <v>45794</v>
      </c>
      <c r="C3284">
        <v>20</v>
      </c>
      <c r="D3284">
        <v>0.38900000000000001</v>
      </c>
      <c r="E3284" t="s">
        <v>6</v>
      </c>
      <c r="F3284">
        <v>7.9310000000000005E-2</v>
      </c>
    </row>
    <row r="3285" spans="1:6" x14ac:dyDescent="0.3">
      <c r="A3285" t="s">
        <v>22</v>
      </c>
      <c r="B3285" s="1">
        <v>45794</v>
      </c>
      <c r="C3285">
        <v>21</v>
      </c>
      <c r="D3285">
        <v>1.8779999999999999</v>
      </c>
      <c r="E3285" t="s">
        <v>6</v>
      </c>
      <c r="F3285">
        <v>0.10626999999999999</v>
      </c>
    </row>
    <row r="3286" spans="1:6" x14ac:dyDescent="0.3">
      <c r="A3286" t="s">
        <v>22</v>
      </c>
      <c r="B3286" s="1">
        <v>45794</v>
      </c>
      <c r="C3286">
        <v>22</v>
      </c>
      <c r="D3286">
        <v>0.127</v>
      </c>
      <c r="E3286" t="s">
        <v>6</v>
      </c>
      <c r="F3286">
        <v>0.12515000000000001</v>
      </c>
    </row>
    <row r="3287" spans="1:6" x14ac:dyDescent="0.3">
      <c r="A3287" t="s">
        <v>22</v>
      </c>
      <c r="B3287" s="1">
        <v>45794</v>
      </c>
      <c r="C3287">
        <v>23</v>
      </c>
      <c r="D3287">
        <v>0.48599999999999999</v>
      </c>
      <c r="E3287" t="s">
        <v>6</v>
      </c>
      <c r="F3287">
        <v>0.13083</v>
      </c>
    </row>
    <row r="3288" spans="1:6" x14ac:dyDescent="0.3">
      <c r="A3288" t="s">
        <v>22</v>
      </c>
      <c r="B3288" s="1">
        <v>45794</v>
      </c>
      <c r="C3288">
        <v>24</v>
      </c>
      <c r="D3288">
        <v>0.16800000000000001</v>
      </c>
      <c r="E3288" t="s">
        <v>6</v>
      </c>
      <c r="F3288">
        <v>0.1133</v>
      </c>
    </row>
    <row r="3289" spans="1:6" x14ac:dyDescent="0.3">
      <c r="A3289" t="s">
        <v>22</v>
      </c>
      <c r="B3289" s="1">
        <v>45795</v>
      </c>
      <c r="C3289">
        <v>1</v>
      </c>
      <c r="D3289">
        <v>0.16400000000000001</v>
      </c>
      <c r="E3289" t="s">
        <v>6</v>
      </c>
      <c r="F3289">
        <v>0.1211</v>
      </c>
    </row>
    <row r="3290" spans="1:6" x14ac:dyDescent="0.3">
      <c r="A3290" t="s">
        <v>22</v>
      </c>
      <c r="B3290" s="1">
        <v>45795</v>
      </c>
      <c r="C3290">
        <v>2</v>
      </c>
      <c r="D3290">
        <v>0.15</v>
      </c>
      <c r="E3290" t="s">
        <v>6</v>
      </c>
      <c r="F3290">
        <v>0.11155</v>
      </c>
    </row>
    <row r="3291" spans="1:6" x14ac:dyDescent="0.3">
      <c r="A3291" t="s">
        <v>22</v>
      </c>
      <c r="B3291" s="1">
        <v>45795</v>
      </c>
      <c r="C3291">
        <v>3</v>
      </c>
      <c r="D3291">
        <v>0.55900000000000005</v>
      </c>
      <c r="E3291" t="s">
        <v>6</v>
      </c>
      <c r="F3291">
        <v>0.10740000000000001</v>
      </c>
    </row>
    <row r="3292" spans="1:6" x14ac:dyDescent="0.3">
      <c r="A3292" t="s">
        <v>22</v>
      </c>
      <c r="B3292" s="1">
        <v>45795</v>
      </c>
      <c r="C3292">
        <v>4</v>
      </c>
      <c r="D3292">
        <v>1.0940000000000001</v>
      </c>
      <c r="E3292" t="s">
        <v>6</v>
      </c>
      <c r="F3292">
        <v>0.10978</v>
      </c>
    </row>
    <row r="3293" spans="1:6" x14ac:dyDescent="0.3">
      <c r="A3293" t="s">
        <v>22</v>
      </c>
      <c r="B3293" s="1">
        <v>45795</v>
      </c>
      <c r="C3293">
        <v>5</v>
      </c>
      <c r="D3293">
        <v>1.0669999999999999</v>
      </c>
      <c r="E3293" t="s">
        <v>6</v>
      </c>
      <c r="F3293">
        <v>0.10883</v>
      </c>
    </row>
    <row r="3294" spans="1:6" x14ac:dyDescent="0.3">
      <c r="A3294" t="s">
        <v>22</v>
      </c>
      <c r="B3294" s="1">
        <v>45795</v>
      </c>
      <c r="C3294">
        <v>6</v>
      </c>
      <c r="D3294">
        <v>0.73</v>
      </c>
      <c r="E3294" t="s">
        <v>6</v>
      </c>
      <c r="F3294">
        <v>0.11015000000000001</v>
      </c>
    </row>
    <row r="3295" spans="1:6" x14ac:dyDescent="0.3">
      <c r="A3295" t="s">
        <v>22</v>
      </c>
      <c r="B3295" s="1">
        <v>45795</v>
      </c>
      <c r="C3295">
        <v>7</v>
      </c>
      <c r="D3295">
        <v>1.1080000000000001</v>
      </c>
      <c r="E3295" t="s">
        <v>6</v>
      </c>
      <c r="F3295">
        <v>0.10475</v>
      </c>
    </row>
    <row r="3296" spans="1:6" x14ac:dyDescent="0.3">
      <c r="A3296" t="s">
        <v>22</v>
      </c>
      <c r="B3296" s="1">
        <v>45795</v>
      </c>
      <c r="C3296">
        <v>8</v>
      </c>
      <c r="D3296">
        <v>0.16800000000000001</v>
      </c>
      <c r="E3296" t="s">
        <v>6</v>
      </c>
      <c r="F3296">
        <v>0.10100000000000001</v>
      </c>
    </row>
    <row r="3297" spans="1:6" x14ac:dyDescent="0.3">
      <c r="A3297" t="s">
        <v>22</v>
      </c>
      <c r="B3297" s="1">
        <v>45795</v>
      </c>
      <c r="C3297">
        <v>9</v>
      </c>
      <c r="D3297">
        <v>0</v>
      </c>
      <c r="E3297" t="s">
        <v>6</v>
      </c>
      <c r="F3297">
        <v>8.3280000000000007E-2</v>
      </c>
    </row>
    <row r="3298" spans="1:6" x14ac:dyDescent="0.3">
      <c r="A3298" t="s">
        <v>22</v>
      </c>
      <c r="B3298" s="1">
        <v>45795</v>
      </c>
      <c r="C3298">
        <v>10</v>
      </c>
      <c r="D3298">
        <v>0</v>
      </c>
      <c r="E3298" t="s">
        <v>6</v>
      </c>
      <c r="F3298">
        <v>7.6200000000000004E-2</v>
      </c>
    </row>
    <row r="3299" spans="1:6" x14ac:dyDescent="0.3">
      <c r="A3299" t="s">
        <v>22</v>
      </c>
      <c r="B3299" s="1">
        <v>45795</v>
      </c>
      <c r="C3299">
        <v>11</v>
      </c>
      <c r="D3299">
        <v>0</v>
      </c>
      <c r="E3299" t="s">
        <v>6</v>
      </c>
      <c r="F3299">
        <v>7.1340000000000001E-2</v>
      </c>
    </row>
    <row r="3300" spans="1:6" x14ac:dyDescent="0.3">
      <c r="A3300" t="s">
        <v>22</v>
      </c>
      <c r="B3300" s="1">
        <v>45795</v>
      </c>
      <c r="C3300">
        <v>12</v>
      </c>
      <c r="D3300">
        <v>0</v>
      </c>
      <c r="E3300" t="s">
        <v>6</v>
      </c>
      <c r="F3300">
        <v>6.9860000000000005E-2</v>
      </c>
    </row>
    <row r="3301" spans="1:6" x14ac:dyDescent="0.3">
      <c r="A3301" t="s">
        <v>22</v>
      </c>
      <c r="B3301" s="1">
        <v>45795</v>
      </c>
      <c r="C3301">
        <v>13</v>
      </c>
      <c r="D3301">
        <v>0</v>
      </c>
      <c r="E3301" t="s">
        <v>6</v>
      </c>
      <c r="F3301">
        <v>6.7549999999999999E-2</v>
      </c>
    </row>
    <row r="3302" spans="1:6" x14ac:dyDescent="0.3">
      <c r="A3302" t="s">
        <v>22</v>
      </c>
      <c r="B3302" s="1">
        <v>45795</v>
      </c>
      <c r="C3302">
        <v>14</v>
      </c>
      <c r="D3302">
        <v>0</v>
      </c>
      <c r="E3302" t="s">
        <v>6</v>
      </c>
      <c r="F3302">
        <v>6.7629999999999996E-2</v>
      </c>
    </row>
    <row r="3303" spans="1:6" x14ac:dyDescent="0.3">
      <c r="A3303" t="s">
        <v>22</v>
      </c>
      <c r="B3303" s="1">
        <v>45795</v>
      </c>
      <c r="C3303">
        <v>15</v>
      </c>
      <c r="D3303">
        <v>0</v>
      </c>
      <c r="E3303" t="s">
        <v>6</v>
      </c>
      <c r="F3303">
        <v>6.3960000000000003E-2</v>
      </c>
    </row>
    <row r="3304" spans="1:6" x14ac:dyDescent="0.3">
      <c r="A3304" t="s">
        <v>22</v>
      </c>
      <c r="B3304" s="1">
        <v>45795</v>
      </c>
      <c r="C3304">
        <v>16</v>
      </c>
      <c r="D3304">
        <v>0</v>
      </c>
      <c r="E3304" t="s">
        <v>6</v>
      </c>
      <c r="F3304">
        <v>6.7290000000000003E-2</v>
      </c>
    </row>
    <row r="3305" spans="1:6" x14ac:dyDescent="0.3">
      <c r="A3305" t="s">
        <v>22</v>
      </c>
      <c r="B3305" s="1">
        <v>45795</v>
      </c>
      <c r="C3305">
        <v>17</v>
      </c>
      <c r="D3305">
        <v>0</v>
      </c>
      <c r="E3305" t="s">
        <v>6</v>
      </c>
      <c r="F3305">
        <v>7.0470000000000005E-2</v>
      </c>
    </row>
    <row r="3306" spans="1:6" x14ac:dyDescent="0.3">
      <c r="A3306" t="s">
        <v>22</v>
      </c>
      <c r="B3306" s="1">
        <v>45795</v>
      </c>
      <c r="C3306">
        <v>18</v>
      </c>
      <c r="D3306">
        <v>0</v>
      </c>
      <c r="E3306" t="s">
        <v>6</v>
      </c>
      <c r="F3306">
        <v>7.4109999999999995E-2</v>
      </c>
    </row>
    <row r="3307" spans="1:6" x14ac:dyDescent="0.3">
      <c r="A3307" t="s">
        <v>22</v>
      </c>
      <c r="B3307" s="1">
        <v>45795</v>
      </c>
      <c r="C3307">
        <v>19</v>
      </c>
      <c r="D3307">
        <v>0</v>
      </c>
      <c r="E3307" t="s">
        <v>6</v>
      </c>
      <c r="F3307">
        <v>8.1019999999999995E-2</v>
      </c>
    </row>
    <row r="3308" spans="1:6" x14ac:dyDescent="0.3">
      <c r="A3308" t="s">
        <v>22</v>
      </c>
      <c r="B3308" s="1">
        <v>45795</v>
      </c>
      <c r="C3308">
        <v>20</v>
      </c>
      <c r="D3308">
        <v>1.1970000000000001</v>
      </c>
      <c r="E3308" t="s">
        <v>6</v>
      </c>
      <c r="F3308">
        <v>8.2869999999999999E-2</v>
      </c>
    </row>
    <row r="3309" spans="1:6" x14ac:dyDescent="0.3">
      <c r="A3309" t="s">
        <v>22</v>
      </c>
      <c r="B3309" s="1">
        <v>45795</v>
      </c>
      <c r="C3309">
        <v>21</v>
      </c>
      <c r="D3309">
        <v>0.21299999999999999</v>
      </c>
      <c r="E3309" t="s">
        <v>6</v>
      </c>
      <c r="F3309">
        <v>8.9189999999999992E-2</v>
      </c>
    </row>
    <row r="3310" spans="1:6" x14ac:dyDescent="0.3">
      <c r="A3310" t="s">
        <v>22</v>
      </c>
      <c r="B3310" s="1">
        <v>45795</v>
      </c>
      <c r="C3310">
        <v>22</v>
      </c>
      <c r="D3310">
        <v>0.36599999999999999</v>
      </c>
      <c r="E3310" t="s">
        <v>6</v>
      </c>
      <c r="F3310">
        <v>0.11067</v>
      </c>
    </row>
    <row r="3311" spans="1:6" x14ac:dyDescent="0.3">
      <c r="A3311" t="s">
        <v>22</v>
      </c>
      <c r="B3311" s="1">
        <v>45795</v>
      </c>
      <c r="C3311">
        <v>23</v>
      </c>
      <c r="D3311">
        <v>0.47799999999999998</v>
      </c>
      <c r="E3311" t="s">
        <v>6</v>
      </c>
      <c r="F3311">
        <v>0.11126000000000001</v>
      </c>
    </row>
    <row r="3312" spans="1:6" x14ac:dyDescent="0.3">
      <c r="A3312" t="s">
        <v>22</v>
      </c>
      <c r="B3312" s="1">
        <v>45795</v>
      </c>
      <c r="C3312">
        <v>24</v>
      </c>
      <c r="D3312">
        <v>0.219</v>
      </c>
      <c r="E3312" t="s">
        <v>6</v>
      </c>
      <c r="F3312">
        <v>0.10682999999999999</v>
      </c>
    </row>
    <row r="3313" spans="1:6" x14ac:dyDescent="0.3">
      <c r="A3313" t="s">
        <v>22</v>
      </c>
      <c r="B3313" s="1">
        <v>45796</v>
      </c>
      <c r="C3313">
        <v>1</v>
      </c>
      <c r="D3313">
        <v>0.183</v>
      </c>
      <c r="E3313" t="s">
        <v>6</v>
      </c>
      <c r="F3313">
        <v>0.10435999999999999</v>
      </c>
    </row>
    <row r="3314" spans="1:6" x14ac:dyDescent="0.3">
      <c r="A3314" t="s">
        <v>22</v>
      </c>
      <c r="B3314" s="1">
        <v>45796</v>
      </c>
      <c r="C3314">
        <v>2</v>
      </c>
      <c r="D3314">
        <v>0.10299999999999999</v>
      </c>
      <c r="E3314" t="s">
        <v>6</v>
      </c>
      <c r="F3314">
        <v>0.10438</v>
      </c>
    </row>
    <row r="3315" spans="1:6" x14ac:dyDescent="0.3">
      <c r="A3315" t="s">
        <v>22</v>
      </c>
      <c r="B3315" s="1">
        <v>45796</v>
      </c>
      <c r="C3315">
        <v>3</v>
      </c>
      <c r="D3315">
        <v>0.20499999999999999</v>
      </c>
      <c r="E3315" t="s">
        <v>6</v>
      </c>
      <c r="F3315">
        <v>0.10027</v>
      </c>
    </row>
    <row r="3316" spans="1:6" x14ac:dyDescent="0.3">
      <c r="A3316" t="s">
        <v>22</v>
      </c>
      <c r="B3316" s="1">
        <v>45796</v>
      </c>
      <c r="C3316">
        <v>4</v>
      </c>
      <c r="D3316">
        <v>0.13200000000000001</v>
      </c>
      <c r="E3316" t="s">
        <v>6</v>
      </c>
      <c r="F3316">
        <v>0.10192</v>
      </c>
    </row>
    <row r="3317" spans="1:6" x14ac:dyDescent="0.3">
      <c r="A3317" t="s">
        <v>22</v>
      </c>
      <c r="B3317" s="1">
        <v>45796</v>
      </c>
      <c r="C3317">
        <v>5</v>
      </c>
      <c r="D3317">
        <v>0.128</v>
      </c>
      <c r="E3317" t="s">
        <v>6</v>
      </c>
      <c r="F3317">
        <v>9.8560000000000009E-2</v>
      </c>
    </row>
    <row r="3318" spans="1:6" x14ac:dyDescent="0.3">
      <c r="A3318" t="s">
        <v>22</v>
      </c>
      <c r="B3318" s="1">
        <v>45796</v>
      </c>
      <c r="C3318">
        <v>6</v>
      </c>
      <c r="D3318">
        <v>1.1990000000000001</v>
      </c>
      <c r="E3318" t="s">
        <v>6</v>
      </c>
      <c r="F3318">
        <v>0.10578</v>
      </c>
    </row>
    <row r="3319" spans="1:6" x14ac:dyDescent="0.3">
      <c r="A3319" t="s">
        <v>22</v>
      </c>
      <c r="B3319" s="1">
        <v>45796</v>
      </c>
      <c r="C3319">
        <v>7</v>
      </c>
      <c r="D3319">
        <v>1.1000000000000001</v>
      </c>
      <c r="E3319" t="s">
        <v>6</v>
      </c>
      <c r="F3319">
        <v>0.10729000000000001</v>
      </c>
    </row>
    <row r="3320" spans="1:6" x14ac:dyDescent="0.3">
      <c r="A3320" t="s">
        <v>22</v>
      </c>
      <c r="B3320" s="1">
        <v>45796</v>
      </c>
      <c r="C3320">
        <v>8</v>
      </c>
      <c r="D3320">
        <v>0.72099999999999997</v>
      </c>
      <c r="E3320" t="s">
        <v>6</v>
      </c>
      <c r="F3320">
        <v>0.11695999999999999</v>
      </c>
    </row>
    <row r="3321" spans="1:6" x14ac:dyDescent="0.3">
      <c r="A3321" t="s">
        <v>22</v>
      </c>
      <c r="B3321" s="1">
        <v>45796</v>
      </c>
      <c r="C3321">
        <v>9</v>
      </c>
      <c r="D3321">
        <v>0.71199999999999997</v>
      </c>
      <c r="E3321" t="s">
        <v>6</v>
      </c>
      <c r="F3321">
        <v>0.12067</v>
      </c>
    </row>
    <row r="3322" spans="1:6" x14ac:dyDescent="0.3">
      <c r="A3322" t="s">
        <v>22</v>
      </c>
      <c r="B3322" s="1">
        <v>45796</v>
      </c>
      <c r="C3322">
        <v>10</v>
      </c>
      <c r="D3322">
        <v>0</v>
      </c>
      <c r="E3322" t="s">
        <v>6</v>
      </c>
      <c r="F3322">
        <v>9.7629999999999995E-2</v>
      </c>
    </row>
    <row r="3323" spans="1:6" x14ac:dyDescent="0.3">
      <c r="A3323" t="s">
        <v>22</v>
      </c>
      <c r="B3323" s="1">
        <v>45796</v>
      </c>
      <c r="C3323">
        <v>11</v>
      </c>
      <c r="D3323">
        <v>1.21</v>
      </c>
      <c r="E3323" t="s">
        <v>6</v>
      </c>
      <c r="F3323">
        <v>0.15822</v>
      </c>
    </row>
    <row r="3324" spans="1:6" x14ac:dyDescent="0.3">
      <c r="A3324" t="s">
        <v>22</v>
      </c>
      <c r="B3324" s="1">
        <v>45796</v>
      </c>
      <c r="C3324">
        <v>12</v>
      </c>
      <c r="D3324">
        <v>0.60799999999999998</v>
      </c>
      <c r="E3324" t="s">
        <v>6</v>
      </c>
      <c r="F3324">
        <v>0.15800999999999998</v>
      </c>
    </row>
    <row r="3325" spans="1:6" x14ac:dyDescent="0.3">
      <c r="A3325" t="s">
        <v>22</v>
      </c>
      <c r="B3325" s="1">
        <v>45796</v>
      </c>
      <c r="C3325">
        <v>13</v>
      </c>
      <c r="D3325">
        <v>2.371</v>
      </c>
      <c r="E3325" t="s">
        <v>6</v>
      </c>
      <c r="F3325">
        <v>0.15746000000000002</v>
      </c>
    </row>
    <row r="3326" spans="1:6" x14ac:dyDescent="0.3">
      <c r="A3326" t="s">
        <v>22</v>
      </c>
      <c r="B3326" s="1">
        <v>45796</v>
      </c>
      <c r="C3326">
        <v>14</v>
      </c>
      <c r="D3326">
        <v>0</v>
      </c>
      <c r="E3326" t="s">
        <v>6</v>
      </c>
      <c r="F3326">
        <v>0.15415999999999999</v>
      </c>
    </row>
    <row r="3327" spans="1:6" x14ac:dyDescent="0.3">
      <c r="A3327" t="s">
        <v>22</v>
      </c>
      <c r="B3327" s="1">
        <v>45796</v>
      </c>
      <c r="C3327">
        <v>15</v>
      </c>
      <c r="D3327">
        <v>0</v>
      </c>
      <c r="E3327" t="s">
        <v>6</v>
      </c>
      <c r="F3327">
        <v>9.0279999999999999E-2</v>
      </c>
    </row>
    <row r="3328" spans="1:6" x14ac:dyDescent="0.3">
      <c r="A3328" t="s">
        <v>22</v>
      </c>
      <c r="B3328" s="1">
        <v>45796</v>
      </c>
      <c r="C3328">
        <v>16</v>
      </c>
      <c r="D3328">
        <v>0</v>
      </c>
      <c r="E3328" t="s">
        <v>6</v>
      </c>
      <c r="F3328">
        <v>9.0999999999999998E-2</v>
      </c>
    </row>
    <row r="3329" spans="1:6" x14ac:dyDescent="0.3">
      <c r="A3329" t="s">
        <v>22</v>
      </c>
      <c r="B3329" s="1">
        <v>45796</v>
      </c>
      <c r="C3329">
        <v>17</v>
      </c>
      <c r="D3329">
        <v>0</v>
      </c>
      <c r="E3329" t="s">
        <v>6</v>
      </c>
      <c r="F3329">
        <v>9.1219999999999996E-2</v>
      </c>
    </row>
    <row r="3330" spans="1:6" x14ac:dyDescent="0.3">
      <c r="A3330" t="s">
        <v>22</v>
      </c>
      <c r="B3330" s="1">
        <v>45796</v>
      </c>
      <c r="C3330">
        <v>18</v>
      </c>
      <c r="D3330">
        <v>0</v>
      </c>
      <c r="E3330" t="s">
        <v>6</v>
      </c>
      <c r="F3330">
        <v>9.2120000000000007E-2</v>
      </c>
    </row>
    <row r="3331" spans="1:6" x14ac:dyDescent="0.3">
      <c r="A3331" t="s">
        <v>22</v>
      </c>
      <c r="B3331" s="1">
        <v>45796</v>
      </c>
      <c r="C3331">
        <v>19</v>
      </c>
      <c r="D3331">
        <v>0</v>
      </c>
      <c r="E3331" t="s">
        <v>6</v>
      </c>
      <c r="F3331">
        <v>0.16027000000000002</v>
      </c>
    </row>
    <row r="3332" spans="1:6" x14ac:dyDescent="0.3">
      <c r="A3332" t="s">
        <v>22</v>
      </c>
      <c r="B3332" s="1">
        <v>45796</v>
      </c>
      <c r="C3332">
        <v>20</v>
      </c>
      <c r="D3332">
        <v>0</v>
      </c>
      <c r="E3332" t="s">
        <v>6</v>
      </c>
      <c r="F3332">
        <v>0.16072999999999998</v>
      </c>
    </row>
    <row r="3333" spans="1:6" x14ac:dyDescent="0.3">
      <c r="A3333" t="s">
        <v>22</v>
      </c>
      <c r="B3333" s="1">
        <v>45796</v>
      </c>
      <c r="C3333">
        <v>21</v>
      </c>
      <c r="D3333">
        <v>0.84599999999999997</v>
      </c>
      <c r="E3333" t="s">
        <v>6</v>
      </c>
      <c r="F3333">
        <v>0.18381999999999998</v>
      </c>
    </row>
    <row r="3334" spans="1:6" x14ac:dyDescent="0.3">
      <c r="A3334" t="s">
        <v>22</v>
      </c>
      <c r="B3334" s="1">
        <v>45796</v>
      </c>
      <c r="C3334">
        <v>22</v>
      </c>
      <c r="D3334">
        <v>0.78400000000000003</v>
      </c>
      <c r="E3334" t="s">
        <v>6</v>
      </c>
      <c r="F3334">
        <v>0.19308</v>
      </c>
    </row>
    <row r="3335" spans="1:6" x14ac:dyDescent="0.3">
      <c r="A3335" t="s">
        <v>22</v>
      </c>
      <c r="B3335" s="1">
        <v>45796</v>
      </c>
      <c r="C3335">
        <v>23</v>
      </c>
      <c r="D3335">
        <v>0.29299999999999998</v>
      </c>
      <c r="E3335" t="s">
        <v>6</v>
      </c>
      <c r="F3335">
        <v>0.13083</v>
      </c>
    </row>
    <row r="3336" spans="1:6" x14ac:dyDescent="0.3">
      <c r="A3336" t="s">
        <v>22</v>
      </c>
      <c r="B3336" s="1">
        <v>45796</v>
      </c>
      <c r="C3336">
        <v>24</v>
      </c>
      <c r="D3336">
        <v>0.217</v>
      </c>
      <c r="E3336" t="s">
        <v>6</v>
      </c>
      <c r="F3336">
        <v>0.12684999999999999</v>
      </c>
    </row>
    <row r="3337" spans="1:6" x14ac:dyDescent="0.3">
      <c r="A3337" t="s">
        <v>22</v>
      </c>
      <c r="B3337" s="1">
        <v>45797</v>
      </c>
      <c r="C3337">
        <v>1</v>
      </c>
      <c r="D3337">
        <v>0.91300000000000003</v>
      </c>
      <c r="E3337" t="s">
        <v>6</v>
      </c>
      <c r="F3337">
        <v>0.10086000000000001</v>
      </c>
    </row>
    <row r="3338" spans="1:6" x14ac:dyDescent="0.3">
      <c r="A3338" t="s">
        <v>22</v>
      </c>
      <c r="B3338" s="1">
        <v>45797</v>
      </c>
      <c r="C3338">
        <v>2</v>
      </c>
      <c r="D3338">
        <v>0.95699999999999996</v>
      </c>
      <c r="E3338" t="s">
        <v>6</v>
      </c>
      <c r="F3338">
        <v>9.9959999999999993E-2</v>
      </c>
    </row>
    <row r="3339" spans="1:6" x14ac:dyDescent="0.3">
      <c r="A3339" t="s">
        <v>22</v>
      </c>
      <c r="B3339" s="1">
        <v>45797</v>
      </c>
      <c r="C3339">
        <v>3</v>
      </c>
      <c r="D3339">
        <v>0.11</v>
      </c>
      <c r="E3339" t="s">
        <v>6</v>
      </c>
      <c r="F3339">
        <v>9.844E-2</v>
      </c>
    </row>
    <row r="3340" spans="1:6" x14ac:dyDescent="0.3">
      <c r="A3340" t="s">
        <v>22</v>
      </c>
      <c r="B3340" s="1">
        <v>45797</v>
      </c>
      <c r="C3340">
        <v>4</v>
      </c>
      <c r="D3340">
        <v>0.14699999999999999</v>
      </c>
      <c r="E3340" t="s">
        <v>6</v>
      </c>
      <c r="F3340">
        <v>8.8290000000000007E-2</v>
      </c>
    </row>
    <row r="3341" spans="1:6" x14ac:dyDescent="0.3">
      <c r="A3341" t="s">
        <v>22</v>
      </c>
      <c r="B3341" s="1">
        <v>45797</v>
      </c>
      <c r="C3341">
        <v>5</v>
      </c>
      <c r="D3341">
        <v>0.125</v>
      </c>
      <c r="E3341" t="s">
        <v>6</v>
      </c>
      <c r="F3341">
        <v>8.7829999999999991E-2</v>
      </c>
    </row>
    <row r="3342" spans="1:6" x14ac:dyDescent="0.3">
      <c r="A3342" t="s">
        <v>22</v>
      </c>
      <c r="B3342" s="1">
        <v>45797</v>
      </c>
      <c r="C3342">
        <v>6</v>
      </c>
      <c r="D3342">
        <v>0.106</v>
      </c>
      <c r="E3342" t="s">
        <v>6</v>
      </c>
      <c r="F3342">
        <v>9.8790000000000003E-2</v>
      </c>
    </row>
    <row r="3343" spans="1:6" x14ac:dyDescent="0.3">
      <c r="A3343" t="s">
        <v>22</v>
      </c>
      <c r="B3343" s="1">
        <v>45797</v>
      </c>
      <c r="C3343">
        <v>7</v>
      </c>
      <c r="D3343">
        <v>0.19500000000000001</v>
      </c>
      <c r="E3343" t="s">
        <v>6</v>
      </c>
      <c r="F3343">
        <v>0.1041</v>
      </c>
    </row>
    <row r="3344" spans="1:6" x14ac:dyDescent="0.3">
      <c r="A3344" t="s">
        <v>22</v>
      </c>
      <c r="B3344" s="1">
        <v>45797</v>
      </c>
      <c r="C3344">
        <v>8</v>
      </c>
      <c r="D3344">
        <v>1.488</v>
      </c>
      <c r="E3344" t="s">
        <v>6</v>
      </c>
      <c r="F3344">
        <v>0.10754000000000001</v>
      </c>
    </row>
    <row r="3345" spans="1:6" x14ac:dyDescent="0.3">
      <c r="A3345" t="s">
        <v>22</v>
      </c>
      <c r="B3345" s="1">
        <v>45797</v>
      </c>
      <c r="C3345">
        <v>9</v>
      </c>
      <c r="D3345">
        <v>0.28499999999999998</v>
      </c>
      <c r="E3345" t="s">
        <v>6</v>
      </c>
      <c r="F3345">
        <v>0.11819</v>
      </c>
    </row>
    <row r="3346" spans="1:6" x14ac:dyDescent="0.3">
      <c r="A3346" t="s">
        <v>22</v>
      </c>
      <c r="B3346" s="1">
        <v>45797</v>
      </c>
      <c r="C3346">
        <v>10</v>
      </c>
      <c r="D3346">
        <v>0.05</v>
      </c>
      <c r="E3346" t="s">
        <v>6</v>
      </c>
      <c r="F3346">
        <v>9.1689999999999994E-2</v>
      </c>
    </row>
    <row r="3347" spans="1:6" x14ac:dyDescent="0.3">
      <c r="A3347" t="s">
        <v>22</v>
      </c>
      <c r="B3347" s="1">
        <v>45797</v>
      </c>
      <c r="C3347">
        <v>11</v>
      </c>
      <c r="D3347">
        <v>0</v>
      </c>
      <c r="E3347" t="s">
        <v>6</v>
      </c>
      <c r="F3347">
        <v>0.15730000000000002</v>
      </c>
    </row>
    <row r="3348" spans="1:6" x14ac:dyDescent="0.3">
      <c r="A3348" t="s">
        <v>22</v>
      </c>
      <c r="B3348" s="1">
        <v>45797</v>
      </c>
      <c r="C3348">
        <v>12</v>
      </c>
      <c r="D3348">
        <v>0</v>
      </c>
      <c r="E3348" t="s">
        <v>6</v>
      </c>
      <c r="F3348">
        <v>0.15640999999999999</v>
      </c>
    </row>
    <row r="3349" spans="1:6" x14ac:dyDescent="0.3">
      <c r="A3349" t="s">
        <v>22</v>
      </c>
      <c r="B3349" s="1">
        <v>45797</v>
      </c>
      <c r="C3349">
        <v>13</v>
      </c>
      <c r="D3349">
        <v>0</v>
      </c>
      <c r="E3349" t="s">
        <v>6</v>
      </c>
      <c r="F3349">
        <v>0.15586000000000003</v>
      </c>
    </row>
    <row r="3350" spans="1:6" x14ac:dyDescent="0.3">
      <c r="A3350" t="s">
        <v>22</v>
      </c>
      <c r="B3350" s="1">
        <v>45797</v>
      </c>
      <c r="C3350">
        <v>14</v>
      </c>
      <c r="D3350">
        <v>0</v>
      </c>
      <c r="E3350" t="s">
        <v>6</v>
      </c>
      <c r="F3350">
        <v>0.15268999999999999</v>
      </c>
    </row>
    <row r="3351" spans="1:6" x14ac:dyDescent="0.3">
      <c r="A3351" t="s">
        <v>22</v>
      </c>
      <c r="B3351" s="1">
        <v>45797</v>
      </c>
      <c r="C3351">
        <v>15</v>
      </c>
      <c r="D3351">
        <v>0</v>
      </c>
      <c r="E3351" t="s">
        <v>6</v>
      </c>
      <c r="F3351">
        <v>8.8650000000000007E-2</v>
      </c>
    </row>
    <row r="3352" spans="1:6" x14ac:dyDescent="0.3">
      <c r="A3352" t="s">
        <v>22</v>
      </c>
      <c r="B3352" s="1">
        <v>45797</v>
      </c>
      <c r="C3352">
        <v>16</v>
      </c>
      <c r="D3352">
        <v>1.1259999999999999</v>
      </c>
      <c r="E3352" t="s">
        <v>6</v>
      </c>
      <c r="F3352">
        <v>8.8239999999999999E-2</v>
      </c>
    </row>
    <row r="3353" spans="1:6" x14ac:dyDescent="0.3">
      <c r="A3353" t="s">
        <v>22</v>
      </c>
      <c r="B3353" s="1">
        <v>45797</v>
      </c>
      <c r="C3353">
        <v>17</v>
      </c>
      <c r="D3353">
        <v>1.9670000000000001</v>
      </c>
      <c r="E3353" t="s">
        <v>6</v>
      </c>
      <c r="F3353">
        <v>8.9249999999999996E-2</v>
      </c>
    </row>
    <row r="3354" spans="1:6" x14ac:dyDescent="0.3">
      <c r="A3354" t="s">
        <v>22</v>
      </c>
      <c r="B3354" s="1">
        <v>45797</v>
      </c>
      <c r="C3354">
        <v>18</v>
      </c>
      <c r="D3354">
        <v>0.10100000000000001</v>
      </c>
      <c r="E3354" t="s">
        <v>6</v>
      </c>
      <c r="F3354">
        <v>9.1139999999999999E-2</v>
      </c>
    </row>
    <row r="3355" spans="1:6" x14ac:dyDescent="0.3">
      <c r="A3355" t="s">
        <v>22</v>
      </c>
      <c r="B3355" s="1">
        <v>45797</v>
      </c>
      <c r="C3355">
        <v>19</v>
      </c>
      <c r="D3355">
        <v>0</v>
      </c>
      <c r="E3355" t="s">
        <v>6</v>
      </c>
      <c r="F3355">
        <v>0.15797999999999998</v>
      </c>
    </row>
    <row r="3356" spans="1:6" x14ac:dyDescent="0.3">
      <c r="A3356" t="s">
        <v>22</v>
      </c>
      <c r="B3356" s="1">
        <v>45797</v>
      </c>
      <c r="C3356">
        <v>20</v>
      </c>
      <c r="D3356">
        <v>0</v>
      </c>
      <c r="E3356" t="s">
        <v>6</v>
      </c>
      <c r="F3356">
        <v>0.16191999999999998</v>
      </c>
    </row>
    <row r="3357" spans="1:6" x14ac:dyDescent="0.3">
      <c r="A3357" t="s">
        <v>22</v>
      </c>
      <c r="B3357" s="1">
        <v>45797</v>
      </c>
      <c r="C3357">
        <v>21</v>
      </c>
      <c r="D3357">
        <v>9.9000000000000005E-2</v>
      </c>
      <c r="E3357" t="s">
        <v>6</v>
      </c>
      <c r="F3357">
        <v>0.19428999999999999</v>
      </c>
    </row>
    <row r="3358" spans="1:6" x14ac:dyDescent="0.3">
      <c r="A3358" t="s">
        <v>22</v>
      </c>
      <c r="B3358" s="1">
        <v>45797</v>
      </c>
      <c r="C3358">
        <v>22</v>
      </c>
      <c r="D3358">
        <v>0.70499999999999996</v>
      </c>
      <c r="E3358" t="s">
        <v>6</v>
      </c>
      <c r="F3358">
        <v>0.21102000000000001</v>
      </c>
    </row>
    <row r="3359" spans="1:6" x14ac:dyDescent="0.3">
      <c r="A3359" t="s">
        <v>22</v>
      </c>
      <c r="B3359" s="1">
        <v>45797</v>
      </c>
      <c r="C3359">
        <v>23</v>
      </c>
      <c r="D3359">
        <v>0.34</v>
      </c>
      <c r="E3359" t="s">
        <v>6</v>
      </c>
      <c r="F3359">
        <v>0.14940999999999999</v>
      </c>
    </row>
    <row r="3360" spans="1:6" x14ac:dyDescent="0.3">
      <c r="A3360" t="s">
        <v>22</v>
      </c>
      <c r="B3360" s="1">
        <v>45797</v>
      </c>
      <c r="C3360">
        <v>24</v>
      </c>
      <c r="D3360">
        <v>0.251</v>
      </c>
      <c r="E3360" t="s">
        <v>6</v>
      </c>
      <c r="F3360">
        <v>0.13272</v>
      </c>
    </row>
    <row r="3361" spans="1:6" x14ac:dyDescent="0.3">
      <c r="A3361" t="s">
        <v>22</v>
      </c>
      <c r="B3361" s="1">
        <v>45798</v>
      </c>
      <c r="C3361">
        <v>1</v>
      </c>
      <c r="D3361">
        <v>0.187</v>
      </c>
      <c r="E3361" t="s">
        <v>6</v>
      </c>
      <c r="F3361">
        <v>0.10778</v>
      </c>
    </row>
    <row r="3362" spans="1:6" x14ac:dyDescent="0.3">
      <c r="A3362" t="s">
        <v>22</v>
      </c>
      <c r="B3362" s="1">
        <v>45798</v>
      </c>
      <c r="C3362">
        <v>2</v>
      </c>
      <c r="D3362">
        <v>0.14699999999999999</v>
      </c>
      <c r="E3362" t="s">
        <v>6</v>
      </c>
      <c r="F3362">
        <v>0.10504000000000001</v>
      </c>
    </row>
    <row r="3363" spans="1:6" x14ac:dyDescent="0.3">
      <c r="A3363" t="s">
        <v>22</v>
      </c>
      <c r="B3363" s="1">
        <v>45798</v>
      </c>
      <c r="C3363">
        <v>3</v>
      </c>
      <c r="D3363">
        <v>0.17499999999999999</v>
      </c>
      <c r="E3363" t="s">
        <v>6</v>
      </c>
      <c r="F3363">
        <v>0.10525</v>
      </c>
    </row>
    <row r="3364" spans="1:6" x14ac:dyDescent="0.3">
      <c r="A3364" t="s">
        <v>22</v>
      </c>
      <c r="B3364" s="1">
        <v>45798</v>
      </c>
      <c r="C3364">
        <v>4</v>
      </c>
      <c r="D3364">
        <v>1.613</v>
      </c>
      <c r="E3364" t="s">
        <v>6</v>
      </c>
      <c r="F3364">
        <v>9.6860000000000002E-2</v>
      </c>
    </row>
    <row r="3365" spans="1:6" x14ac:dyDescent="0.3">
      <c r="A3365" t="s">
        <v>22</v>
      </c>
      <c r="B3365" s="1">
        <v>45798</v>
      </c>
      <c r="C3365">
        <v>5</v>
      </c>
      <c r="D3365">
        <v>1.3240000000000001</v>
      </c>
      <c r="E3365" t="s">
        <v>6</v>
      </c>
      <c r="F3365">
        <v>0.10088</v>
      </c>
    </row>
    <row r="3366" spans="1:6" x14ac:dyDescent="0.3">
      <c r="A3366" t="s">
        <v>22</v>
      </c>
      <c r="B3366" s="1">
        <v>45798</v>
      </c>
      <c r="C3366">
        <v>6</v>
      </c>
      <c r="D3366">
        <v>1.175</v>
      </c>
      <c r="E3366" t="s">
        <v>6</v>
      </c>
      <c r="F3366">
        <v>0.10333000000000001</v>
      </c>
    </row>
    <row r="3367" spans="1:6" x14ac:dyDescent="0.3">
      <c r="A3367" t="s">
        <v>22</v>
      </c>
      <c r="B3367" s="1">
        <v>45798</v>
      </c>
      <c r="C3367">
        <v>7</v>
      </c>
      <c r="D3367">
        <v>0.66</v>
      </c>
      <c r="E3367" t="s">
        <v>6</v>
      </c>
      <c r="F3367">
        <v>0.10674</v>
      </c>
    </row>
    <row r="3368" spans="1:6" x14ac:dyDescent="0.3">
      <c r="A3368" t="s">
        <v>22</v>
      </c>
      <c r="B3368" s="1">
        <v>45798</v>
      </c>
      <c r="C3368">
        <v>8</v>
      </c>
      <c r="D3368">
        <v>2.0299999999999998</v>
      </c>
      <c r="E3368" t="s">
        <v>6</v>
      </c>
      <c r="F3368">
        <v>0.12565999999999999</v>
      </c>
    </row>
    <row r="3369" spans="1:6" x14ac:dyDescent="0.3">
      <c r="A3369" t="s">
        <v>22</v>
      </c>
      <c r="B3369" s="1">
        <v>45798</v>
      </c>
      <c r="C3369">
        <v>9</v>
      </c>
      <c r="D3369">
        <v>0</v>
      </c>
      <c r="E3369" t="s">
        <v>6</v>
      </c>
      <c r="F3369">
        <v>0.12551999999999999</v>
      </c>
    </row>
    <row r="3370" spans="1:6" x14ac:dyDescent="0.3">
      <c r="A3370" t="s">
        <v>22</v>
      </c>
      <c r="B3370" s="1">
        <v>45798</v>
      </c>
      <c r="C3370">
        <v>10</v>
      </c>
      <c r="D3370">
        <v>0</v>
      </c>
      <c r="E3370" t="s">
        <v>6</v>
      </c>
      <c r="F3370">
        <v>9.9659999999999999E-2</v>
      </c>
    </row>
    <row r="3371" spans="1:6" x14ac:dyDescent="0.3">
      <c r="A3371" t="s">
        <v>22</v>
      </c>
      <c r="B3371" s="1">
        <v>45798</v>
      </c>
      <c r="C3371">
        <v>11</v>
      </c>
      <c r="D3371">
        <v>0</v>
      </c>
      <c r="E3371" t="s">
        <v>6</v>
      </c>
      <c r="F3371">
        <v>0.15471000000000001</v>
      </c>
    </row>
    <row r="3372" spans="1:6" x14ac:dyDescent="0.3">
      <c r="A3372" t="s">
        <v>22</v>
      </c>
      <c r="B3372" s="1">
        <v>45798</v>
      </c>
      <c r="C3372">
        <v>12</v>
      </c>
      <c r="D3372">
        <v>0</v>
      </c>
      <c r="E3372" t="s">
        <v>6</v>
      </c>
      <c r="F3372">
        <v>0.15446000000000001</v>
      </c>
    </row>
    <row r="3373" spans="1:6" x14ac:dyDescent="0.3">
      <c r="A3373" t="s">
        <v>22</v>
      </c>
      <c r="B3373" s="1">
        <v>45798</v>
      </c>
      <c r="C3373">
        <v>13</v>
      </c>
      <c r="D3373">
        <v>6.6000000000000003E-2</v>
      </c>
      <c r="E3373" t="s">
        <v>6</v>
      </c>
      <c r="F3373">
        <v>0.15430000000000002</v>
      </c>
    </row>
    <row r="3374" spans="1:6" x14ac:dyDescent="0.3">
      <c r="A3374" t="s">
        <v>22</v>
      </c>
      <c r="B3374" s="1">
        <v>45798</v>
      </c>
      <c r="C3374">
        <v>14</v>
      </c>
      <c r="D3374">
        <v>0.54</v>
      </c>
      <c r="E3374" t="s">
        <v>6</v>
      </c>
      <c r="F3374">
        <v>0.15117</v>
      </c>
    </row>
    <row r="3375" spans="1:6" x14ac:dyDescent="0.3">
      <c r="A3375" t="s">
        <v>22</v>
      </c>
      <c r="B3375" s="1">
        <v>45798</v>
      </c>
      <c r="C3375">
        <v>15</v>
      </c>
      <c r="D3375">
        <v>0</v>
      </c>
      <c r="E3375" t="s">
        <v>6</v>
      </c>
      <c r="F3375">
        <v>8.7169999999999997E-2</v>
      </c>
    </row>
    <row r="3376" spans="1:6" x14ac:dyDescent="0.3">
      <c r="A3376" t="s">
        <v>22</v>
      </c>
      <c r="B3376" s="1">
        <v>45798</v>
      </c>
      <c r="C3376">
        <v>16</v>
      </c>
      <c r="D3376">
        <v>0</v>
      </c>
      <c r="E3376" t="s">
        <v>6</v>
      </c>
      <c r="F3376">
        <v>8.831E-2</v>
      </c>
    </row>
    <row r="3377" spans="1:6" x14ac:dyDescent="0.3">
      <c r="A3377" t="s">
        <v>22</v>
      </c>
      <c r="B3377" s="1">
        <v>45798</v>
      </c>
      <c r="C3377">
        <v>17</v>
      </c>
      <c r="D3377">
        <v>0</v>
      </c>
      <c r="E3377" t="s">
        <v>6</v>
      </c>
      <c r="F3377">
        <v>8.856E-2</v>
      </c>
    </row>
    <row r="3378" spans="1:6" x14ac:dyDescent="0.3">
      <c r="A3378" t="s">
        <v>22</v>
      </c>
      <c r="B3378" s="1">
        <v>45798</v>
      </c>
      <c r="C3378">
        <v>18</v>
      </c>
      <c r="D3378">
        <v>0</v>
      </c>
      <c r="E3378" t="s">
        <v>6</v>
      </c>
      <c r="F3378">
        <v>8.9560000000000001E-2</v>
      </c>
    </row>
    <row r="3379" spans="1:6" x14ac:dyDescent="0.3">
      <c r="A3379" t="s">
        <v>22</v>
      </c>
      <c r="B3379" s="1">
        <v>45798</v>
      </c>
      <c r="C3379">
        <v>19</v>
      </c>
      <c r="D3379">
        <v>0</v>
      </c>
      <c r="E3379" t="s">
        <v>6</v>
      </c>
      <c r="F3379">
        <v>0.15684000000000001</v>
      </c>
    </row>
    <row r="3380" spans="1:6" x14ac:dyDescent="0.3">
      <c r="A3380" t="s">
        <v>22</v>
      </c>
      <c r="B3380" s="1">
        <v>45798</v>
      </c>
      <c r="C3380">
        <v>20</v>
      </c>
      <c r="D3380">
        <v>0</v>
      </c>
      <c r="E3380" t="s">
        <v>6</v>
      </c>
      <c r="F3380">
        <v>0.16233</v>
      </c>
    </row>
    <row r="3381" spans="1:6" x14ac:dyDescent="0.3">
      <c r="A3381" t="s">
        <v>22</v>
      </c>
      <c r="B3381" s="1">
        <v>45798</v>
      </c>
      <c r="C3381">
        <v>21</v>
      </c>
      <c r="D3381">
        <v>8.1000000000000003E-2</v>
      </c>
      <c r="E3381" t="s">
        <v>6</v>
      </c>
      <c r="F3381">
        <v>0.19240000000000002</v>
      </c>
    </row>
    <row r="3382" spans="1:6" x14ac:dyDescent="0.3">
      <c r="A3382" t="s">
        <v>22</v>
      </c>
      <c r="B3382" s="1">
        <v>45798</v>
      </c>
      <c r="C3382">
        <v>22</v>
      </c>
      <c r="D3382">
        <v>0.65100000000000002</v>
      </c>
      <c r="E3382" t="s">
        <v>6</v>
      </c>
      <c r="F3382">
        <v>0.22196000000000002</v>
      </c>
    </row>
    <row r="3383" spans="1:6" x14ac:dyDescent="0.3">
      <c r="A3383" t="s">
        <v>22</v>
      </c>
      <c r="B3383" s="1">
        <v>45798</v>
      </c>
      <c r="C3383">
        <v>23</v>
      </c>
      <c r="D3383">
        <v>0.28499999999999998</v>
      </c>
      <c r="E3383" t="s">
        <v>6</v>
      </c>
      <c r="F3383">
        <v>0.13131000000000001</v>
      </c>
    </row>
    <row r="3384" spans="1:6" x14ac:dyDescent="0.3">
      <c r="A3384" t="s">
        <v>22</v>
      </c>
      <c r="B3384" s="1">
        <v>45798</v>
      </c>
      <c r="C3384">
        <v>24</v>
      </c>
      <c r="D3384">
        <v>2.1749999999999998</v>
      </c>
      <c r="E3384" t="s">
        <v>6</v>
      </c>
      <c r="F3384">
        <v>0.11896</v>
      </c>
    </row>
    <row r="3385" spans="1:6" x14ac:dyDescent="0.3">
      <c r="A3385" t="s">
        <v>22</v>
      </c>
      <c r="B3385" s="1">
        <v>45799</v>
      </c>
      <c r="C3385">
        <v>1</v>
      </c>
      <c r="D3385">
        <v>0.20399999999999999</v>
      </c>
      <c r="E3385" t="s">
        <v>6</v>
      </c>
      <c r="F3385">
        <v>9.4439999999999996E-2</v>
      </c>
    </row>
    <row r="3386" spans="1:6" x14ac:dyDescent="0.3">
      <c r="A3386" t="s">
        <v>22</v>
      </c>
      <c r="B3386" s="1">
        <v>45799</v>
      </c>
      <c r="C3386">
        <v>2</v>
      </c>
      <c r="D3386">
        <v>0.193</v>
      </c>
      <c r="E3386" t="s">
        <v>6</v>
      </c>
      <c r="F3386">
        <v>9.5620000000000011E-2</v>
      </c>
    </row>
    <row r="3387" spans="1:6" x14ac:dyDescent="0.3">
      <c r="A3387" t="s">
        <v>22</v>
      </c>
      <c r="B3387" s="1">
        <v>45799</v>
      </c>
      <c r="C3387">
        <v>3</v>
      </c>
      <c r="D3387">
        <v>0.108</v>
      </c>
      <c r="E3387" t="s">
        <v>6</v>
      </c>
      <c r="F3387">
        <v>9.2909999999999993E-2</v>
      </c>
    </row>
    <row r="3388" spans="1:6" x14ac:dyDescent="0.3">
      <c r="A3388" t="s">
        <v>22</v>
      </c>
      <c r="B3388" s="1">
        <v>45799</v>
      </c>
      <c r="C3388">
        <v>4</v>
      </c>
      <c r="D3388">
        <v>0.125</v>
      </c>
      <c r="E3388" t="s">
        <v>6</v>
      </c>
      <c r="F3388">
        <v>8.7999999999999995E-2</v>
      </c>
    </row>
    <row r="3389" spans="1:6" x14ac:dyDescent="0.3">
      <c r="A3389" t="s">
        <v>22</v>
      </c>
      <c r="B3389" s="1">
        <v>45799</v>
      </c>
      <c r="C3389">
        <v>5</v>
      </c>
      <c r="D3389">
        <v>0.155</v>
      </c>
      <c r="E3389" t="s">
        <v>6</v>
      </c>
      <c r="F3389">
        <v>8.8090000000000002E-2</v>
      </c>
    </row>
    <row r="3390" spans="1:6" x14ac:dyDescent="0.3">
      <c r="A3390" t="s">
        <v>22</v>
      </c>
      <c r="B3390" s="1">
        <v>45799</v>
      </c>
      <c r="C3390">
        <v>6</v>
      </c>
      <c r="D3390">
        <v>0.112</v>
      </c>
      <c r="E3390" t="s">
        <v>6</v>
      </c>
      <c r="F3390">
        <v>8.6540000000000006E-2</v>
      </c>
    </row>
    <row r="3391" spans="1:6" x14ac:dyDescent="0.3">
      <c r="A3391" t="s">
        <v>22</v>
      </c>
      <c r="B3391" s="1">
        <v>45799</v>
      </c>
      <c r="C3391">
        <v>7</v>
      </c>
      <c r="D3391">
        <v>0.182</v>
      </c>
      <c r="E3391" t="s">
        <v>6</v>
      </c>
      <c r="F3391">
        <v>8.5669999999999996E-2</v>
      </c>
    </row>
    <row r="3392" spans="1:6" x14ac:dyDescent="0.3">
      <c r="A3392" t="s">
        <v>22</v>
      </c>
      <c r="B3392" s="1">
        <v>45799</v>
      </c>
      <c r="C3392">
        <v>8</v>
      </c>
      <c r="D3392">
        <v>1.4710000000000001</v>
      </c>
      <c r="E3392" t="s">
        <v>6</v>
      </c>
      <c r="F3392">
        <v>8.8459999999999997E-2</v>
      </c>
    </row>
    <row r="3393" spans="1:6" x14ac:dyDescent="0.3">
      <c r="A3393" t="s">
        <v>22</v>
      </c>
      <c r="B3393" s="1">
        <v>45799</v>
      </c>
      <c r="C3393">
        <v>9</v>
      </c>
      <c r="D3393">
        <v>1.153</v>
      </c>
      <c r="E3393" t="s">
        <v>6</v>
      </c>
      <c r="F3393">
        <v>0.10256</v>
      </c>
    </row>
    <row r="3394" spans="1:6" x14ac:dyDescent="0.3">
      <c r="A3394" t="s">
        <v>22</v>
      </c>
      <c r="B3394" s="1">
        <v>45799</v>
      </c>
      <c r="C3394">
        <v>10</v>
      </c>
      <c r="D3394">
        <v>0</v>
      </c>
      <c r="E3394" t="s">
        <v>6</v>
      </c>
      <c r="F3394">
        <v>9.887E-2</v>
      </c>
    </row>
    <row r="3395" spans="1:6" x14ac:dyDescent="0.3">
      <c r="A3395" t="s">
        <v>22</v>
      </c>
      <c r="B3395" s="1">
        <v>45799</v>
      </c>
      <c r="C3395">
        <v>11</v>
      </c>
      <c r="D3395">
        <v>0</v>
      </c>
      <c r="E3395" t="s">
        <v>6</v>
      </c>
      <c r="F3395">
        <v>0.16372999999999999</v>
      </c>
    </row>
    <row r="3396" spans="1:6" x14ac:dyDescent="0.3">
      <c r="A3396" t="s">
        <v>22</v>
      </c>
      <c r="B3396" s="1">
        <v>45799</v>
      </c>
      <c r="C3396">
        <v>12</v>
      </c>
      <c r="D3396">
        <v>0</v>
      </c>
      <c r="E3396" t="s">
        <v>6</v>
      </c>
      <c r="F3396">
        <v>0.1608</v>
      </c>
    </row>
    <row r="3397" spans="1:6" x14ac:dyDescent="0.3">
      <c r="A3397" t="s">
        <v>22</v>
      </c>
      <c r="B3397" s="1">
        <v>45799</v>
      </c>
      <c r="C3397">
        <v>13</v>
      </c>
      <c r="D3397">
        <v>0</v>
      </c>
      <c r="E3397" t="s">
        <v>6</v>
      </c>
      <c r="F3397">
        <v>0.15987999999999999</v>
      </c>
    </row>
    <row r="3398" spans="1:6" x14ac:dyDescent="0.3">
      <c r="A3398" t="s">
        <v>22</v>
      </c>
      <c r="B3398" s="1">
        <v>45799</v>
      </c>
      <c r="C3398">
        <v>14</v>
      </c>
      <c r="D3398">
        <v>0.41799999999999998</v>
      </c>
      <c r="E3398" t="s">
        <v>6</v>
      </c>
      <c r="F3398">
        <v>0.15681999999999999</v>
      </c>
    </row>
    <row r="3399" spans="1:6" x14ac:dyDescent="0.3">
      <c r="A3399" t="s">
        <v>22</v>
      </c>
      <c r="B3399" s="1">
        <v>45799</v>
      </c>
      <c r="C3399">
        <v>15</v>
      </c>
      <c r="D3399">
        <v>0.66</v>
      </c>
      <c r="E3399" t="s">
        <v>6</v>
      </c>
      <c r="F3399">
        <v>9.3060000000000004E-2</v>
      </c>
    </row>
    <row r="3400" spans="1:6" x14ac:dyDescent="0.3">
      <c r="A3400" t="s">
        <v>22</v>
      </c>
      <c r="B3400" s="1">
        <v>45799</v>
      </c>
      <c r="C3400">
        <v>16</v>
      </c>
      <c r="D3400">
        <v>0</v>
      </c>
      <c r="E3400" t="s">
        <v>6</v>
      </c>
      <c r="F3400">
        <v>9.4040000000000012E-2</v>
      </c>
    </row>
    <row r="3401" spans="1:6" x14ac:dyDescent="0.3">
      <c r="A3401" t="s">
        <v>22</v>
      </c>
      <c r="B3401" s="1">
        <v>45799</v>
      </c>
      <c r="C3401">
        <v>17</v>
      </c>
      <c r="D3401">
        <v>0</v>
      </c>
      <c r="E3401" t="s">
        <v>6</v>
      </c>
      <c r="F3401">
        <v>9.4900000000000012E-2</v>
      </c>
    </row>
    <row r="3402" spans="1:6" x14ac:dyDescent="0.3">
      <c r="A3402" t="s">
        <v>22</v>
      </c>
      <c r="B3402" s="1">
        <v>45799</v>
      </c>
      <c r="C3402">
        <v>18</v>
      </c>
      <c r="D3402">
        <v>0</v>
      </c>
      <c r="E3402" t="s">
        <v>6</v>
      </c>
      <c r="F3402">
        <v>9.5069999999999988E-2</v>
      </c>
    </row>
    <row r="3403" spans="1:6" x14ac:dyDescent="0.3">
      <c r="A3403" t="s">
        <v>22</v>
      </c>
      <c r="B3403" s="1">
        <v>45799</v>
      </c>
      <c r="C3403">
        <v>19</v>
      </c>
      <c r="D3403">
        <v>0</v>
      </c>
      <c r="E3403" t="s">
        <v>6</v>
      </c>
      <c r="F3403">
        <v>0.16381000000000001</v>
      </c>
    </row>
    <row r="3404" spans="1:6" x14ac:dyDescent="0.3">
      <c r="A3404" t="s">
        <v>22</v>
      </c>
      <c r="B3404" s="1">
        <v>45799</v>
      </c>
      <c r="C3404">
        <v>20</v>
      </c>
      <c r="D3404">
        <v>0</v>
      </c>
      <c r="E3404" t="s">
        <v>6</v>
      </c>
      <c r="F3404">
        <v>0.16652</v>
      </c>
    </row>
    <row r="3405" spans="1:6" x14ac:dyDescent="0.3">
      <c r="A3405" t="s">
        <v>22</v>
      </c>
      <c r="B3405" s="1">
        <v>45799</v>
      </c>
      <c r="C3405">
        <v>21</v>
      </c>
      <c r="D3405">
        <v>8.2000000000000003E-2</v>
      </c>
      <c r="E3405" t="s">
        <v>6</v>
      </c>
      <c r="F3405">
        <v>0.16894999999999999</v>
      </c>
    </row>
    <row r="3406" spans="1:6" x14ac:dyDescent="0.3">
      <c r="A3406" t="s">
        <v>22</v>
      </c>
      <c r="B3406" s="1">
        <v>45799</v>
      </c>
      <c r="C3406">
        <v>22</v>
      </c>
      <c r="D3406">
        <v>0.16500000000000001</v>
      </c>
      <c r="E3406" t="s">
        <v>6</v>
      </c>
      <c r="F3406">
        <v>0.18643999999999999</v>
      </c>
    </row>
    <row r="3407" spans="1:6" x14ac:dyDescent="0.3">
      <c r="A3407" t="s">
        <v>22</v>
      </c>
      <c r="B3407" s="1">
        <v>45799</v>
      </c>
      <c r="C3407">
        <v>23</v>
      </c>
      <c r="D3407">
        <v>0.38200000000000001</v>
      </c>
      <c r="E3407" t="s">
        <v>6</v>
      </c>
      <c r="F3407">
        <v>0.11233</v>
      </c>
    </row>
    <row r="3408" spans="1:6" x14ac:dyDescent="0.3">
      <c r="A3408" t="s">
        <v>22</v>
      </c>
      <c r="B3408" s="1">
        <v>45799</v>
      </c>
      <c r="C3408">
        <v>24</v>
      </c>
      <c r="D3408">
        <v>0.218</v>
      </c>
      <c r="E3408" t="s">
        <v>6</v>
      </c>
      <c r="F3408">
        <v>0.10685</v>
      </c>
    </row>
    <row r="3409" spans="1:6" x14ac:dyDescent="0.3">
      <c r="A3409" t="s">
        <v>22</v>
      </c>
      <c r="B3409" s="1">
        <v>45800</v>
      </c>
      <c r="C3409">
        <v>1</v>
      </c>
      <c r="D3409">
        <v>1.0269999999999999</v>
      </c>
      <c r="E3409" t="s">
        <v>6</v>
      </c>
      <c r="F3409">
        <v>8.7440000000000004E-2</v>
      </c>
    </row>
    <row r="3410" spans="1:6" x14ac:dyDescent="0.3">
      <c r="A3410" t="s">
        <v>22</v>
      </c>
      <c r="B3410" s="1">
        <v>45800</v>
      </c>
      <c r="C3410">
        <v>2</v>
      </c>
      <c r="D3410">
        <v>1.278</v>
      </c>
      <c r="E3410" t="s">
        <v>6</v>
      </c>
      <c r="F3410">
        <v>8.8430000000000009E-2</v>
      </c>
    </row>
    <row r="3411" spans="1:6" x14ac:dyDescent="0.3">
      <c r="A3411" t="s">
        <v>22</v>
      </c>
      <c r="B3411" s="1">
        <v>45800</v>
      </c>
      <c r="C3411">
        <v>3</v>
      </c>
      <c r="D3411">
        <v>1.151</v>
      </c>
      <c r="E3411" t="s">
        <v>6</v>
      </c>
      <c r="F3411">
        <v>9.1739999999999988E-2</v>
      </c>
    </row>
    <row r="3412" spans="1:6" x14ac:dyDescent="0.3">
      <c r="A3412" t="s">
        <v>22</v>
      </c>
      <c r="B3412" s="1">
        <v>45800</v>
      </c>
      <c r="C3412">
        <v>4</v>
      </c>
      <c r="D3412">
        <v>0.79500000000000004</v>
      </c>
      <c r="E3412" t="s">
        <v>6</v>
      </c>
      <c r="F3412">
        <v>8.5419999999999996E-2</v>
      </c>
    </row>
    <row r="3413" spans="1:6" x14ac:dyDescent="0.3">
      <c r="A3413" t="s">
        <v>22</v>
      </c>
      <c r="B3413" s="1">
        <v>45800</v>
      </c>
      <c r="C3413">
        <v>5</v>
      </c>
      <c r="D3413">
        <v>0.80100000000000005</v>
      </c>
      <c r="E3413" t="s">
        <v>6</v>
      </c>
      <c r="F3413">
        <v>8.6110000000000006E-2</v>
      </c>
    </row>
    <row r="3414" spans="1:6" x14ac:dyDescent="0.3">
      <c r="A3414" t="s">
        <v>22</v>
      </c>
      <c r="B3414" s="1">
        <v>45800</v>
      </c>
      <c r="C3414">
        <v>6</v>
      </c>
      <c r="D3414">
        <v>0.94199999999999995</v>
      </c>
      <c r="E3414" t="s">
        <v>6</v>
      </c>
      <c r="F3414">
        <v>8.4680000000000005E-2</v>
      </c>
    </row>
    <row r="3415" spans="1:6" x14ac:dyDescent="0.3">
      <c r="A3415" t="s">
        <v>22</v>
      </c>
      <c r="B3415" s="1">
        <v>45800</v>
      </c>
      <c r="C3415">
        <v>7</v>
      </c>
      <c r="D3415">
        <v>0.88500000000000001</v>
      </c>
      <c r="E3415" t="s">
        <v>6</v>
      </c>
      <c r="F3415">
        <v>8.5300000000000001E-2</v>
      </c>
    </row>
    <row r="3416" spans="1:6" x14ac:dyDescent="0.3">
      <c r="A3416" t="s">
        <v>22</v>
      </c>
      <c r="B3416" s="1">
        <v>45800</v>
      </c>
      <c r="C3416">
        <v>8</v>
      </c>
      <c r="D3416">
        <v>0.80600000000000005</v>
      </c>
      <c r="E3416" t="s">
        <v>6</v>
      </c>
      <c r="F3416">
        <v>8.7779999999999997E-2</v>
      </c>
    </row>
    <row r="3417" spans="1:6" x14ac:dyDescent="0.3">
      <c r="A3417" t="s">
        <v>22</v>
      </c>
      <c r="B3417" s="1">
        <v>45800</v>
      </c>
      <c r="C3417">
        <v>9</v>
      </c>
      <c r="D3417">
        <v>0.20300000000000001</v>
      </c>
      <c r="E3417" t="s">
        <v>6</v>
      </c>
      <c r="F3417">
        <v>0.10399</v>
      </c>
    </row>
    <row r="3418" spans="1:6" x14ac:dyDescent="0.3">
      <c r="A3418" t="s">
        <v>22</v>
      </c>
      <c r="B3418" s="1">
        <v>45800</v>
      </c>
      <c r="C3418">
        <v>10</v>
      </c>
      <c r="D3418">
        <v>0</v>
      </c>
      <c r="E3418" t="s">
        <v>6</v>
      </c>
      <c r="F3418">
        <v>9.8909999999999998E-2</v>
      </c>
    </row>
    <row r="3419" spans="1:6" x14ac:dyDescent="0.3">
      <c r="A3419" t="s">
        <v>22</v>
      </c>
      <c r="B3419" s="1">
        <v>45800</v>
      </c>
      <c r="C3419">
        <v>11</v>
      </c>
      <c r="D3419">
        <v>0</v>
      </c>
      <c r="E3419" t="s">
        <v>6</v>
      </c>
      <c r="F3419">
        <v>0.16263999999999998</v>
      </c>
    </row>
    <row r="3420" spans="1:6" x14ac:dyDescent="0.3">
      <c r="A3420" t="s">
        <v>22</v>
      </c>
      <c r="B3420" s="1">
        <v>45800</v>
      </c>
      <c r="C3420">
        <v>12</v>
      </c>
      <c r="D3420">
        <v>0</v>
      </c>
      <c r="E3420" t="s">
        <v>6</v>
      </c>
      <c r="F3420">
        <v>0.16215000000000002</v>
      </c>
    </row>
    <row r="3421" spans="1:6" x14ac:dyDescent="0.3">
      <c r="A3421" t="s">
        <v>22</v>
      </c>
      <c r="B3421" s="1">
        <v>45800</v>
      </c>
      <c r="C3421">
        <v>13</v>
      </c>
      <c r="D3421">
        <v>0</v>
      </c>
      <c r="E3421" t="s">
        <v>6</v>
      </c>
      <c r="F3421">
        <v>0.16183</v>
      </c>
    </row>
    <row r="3422" spans="1:6" x14ac:dyDescent="0.3">
      <c r="A3422" t="s">
        <v>22</v>
      </c>
      <c r="B3422" s="1">
        <v>45800</v>
      </c>
      <c r="C3422">
        <v>14</v>
      </c>
      <c r="D3422">
        <v>1.55</v>
      </c>
      <c r="E3422" t="s">
        <v>6</v>
      </c>
      <c r="F3422">
        <v>0.15930000000000002</v>
      </c>
    </row>
    <row r="3423" spans="1:6" x14ac:dyDescent="0.3">
      <c r="A3423" t="s">
        <v>22</v>
      </c>
      <c r="B3423" s="1">
        <v>45800</v>
      </c>
      <c r="C3423">
        <v>15</v>
      </c>
      <c r="D3423">
        <v>1.8979999999999999</v>
      </c>
      <c r="E3423" t="s">
        <v>6</v>
      </c>
      <c r="F3423">
        <v>9.5209999999999989E-2</v>
      </c>
    </row>
    <row r="3424" spans="1:6" x14ac:dyDescent="0.3">
      <c r="A3424" t="s">
        <v>22</v>
      </c>
      <c r="B3424" s="1">
        <v>45800</v>
      </c>
      <c r="C3424">
        <v>16</v>
      </c>
      <c r="D3424">
        <v>1.5429999999999999</v>
      </c>
      <c r="E3424" t="s">
        <v>6</v>
      </c>
      <c r="F3424">
        <v>9.4829999999999998E-2</v>
      </c>
    </row>
    <row r="3425" spans="1:6" x14ac:dyDescent="0.3">
      <c r="A3425" t="s">
        <v>22</v>
      </c>
      <c r="B3425" s="1">
        <v>45800</v>
      </c>
      <c r="C3425">
        <v>17</v>
      </c>
      <c r="D3425">
        <v>0</v>
      </c>
      <c r="E3425" t="s">
        <v>6</v>
      </c>
      <c r="F3425">
        <v>9.623000000000001E-2</v>
      </c>
    </row>
    <row r="3426" spans="1:6" x14ac:dyDescent="0.3">
      <c r="A3426" t="s">
        <v>22</v>
      </c>
      <c r="B3426" s="1">
        <v>45800</v>
      </c>
      <c r="C3426">
        <v>18</v>
      </c>
      <c r="D3426">
        <v>0</v>
      </c>
      <c r="E3426" t="s">
        <v>6</v>
      </c>
      <c r="F3426">
        <v>9.6549999999999997E-2</v>
      </c>
    </row>
    <row r="3427" spans="1:6" x14ac:dyDescent="0.3">
      <c r="A3427" t="s">
        <v>22</v>
      </c>
      <c r="B3427" s="1">
        <v>45800</v>
      </c>
      <c r="C3427">
        <v>19</v>
      </c>
      <c r="D3427">
        <v>0</v>
      </c>
      <c r="E3427" t="s">
        <v>6</v>
      </c>
      <c r="F3427">
        <v>0.16372</v>
      </c>
    </row>
    <row r="3428" spans="1:6" x14ac:dyDescent="0.3">
      <c r="A3428" t="s">
        <v>22</v>
      </c>
      <c r="B3428" s="1">
        <v>45800</v>
      </c>
      <c r="C3428">
        <v>20</v>
      </c>
      <c r="D3428">
        <v>1.163</v>
      </c>
      <c r="E3428" t="s">
        <v>6</v>
      </c>
      <c r="F3428">
        <v>0.16469999999999999</v>
      </c>
    </row>
    <row r="3429" spans="1:6" x14ac:dyDescent="0.3">
      <c r="A3429" t="s">
        <v>22</v>
      </c>
      <c r="B3429" s="1">
        <v>45800</v>
      </c>
      <c r="C3429">
        <v>21</v>
      </c>
      <c r="D3429">
        <v>2.2309999999999999</v>
      </c>
      <c r="E3429" t="s">
        <v>6</v>
      </c>
      <c r="F3429">
        <v>0.17104</v>
      </c>
    </row>
    <row r="3430" spans="1:6" x14ac:dyDescent="0.3">
      <c r="A3430" t="s">
        <v>22</v>
      </c>
      <c r="B3430" s="1">
        <v>45800</v>
      </c>
      <c r="C3430">
        <v>22</v>
      </c>
      <c r="D3430">
        <v>0.98699999999999999</v>
      </c>
      <c r="E3430" t="s">
        <v>6</v>
      </c>
      <c r="F3430">
        <v>0.19306000000000001</v>
      </c>
    </row>
    <row r="3431" spans="1:6" x14ac:dyDescent="0.3">
      <c r="A3431" t="s">
        <v>22</v>
      </c>
      <c r="B3431" s="1">
        <v>45800</v>
      </c>
      <c r="C3431">
        <v>23</v>
      </c>
      <c r="D3431">
        <v>0.89800000000000002</v>
      </c>
      <c r="E3431" t="s">
        <v>6</v>
      </c>
      <c r="F3431">
        <v>0.11685</v>
      </c>
    </row>
    <row r="3432" spans="1:6" x14ac:dyDescent="0.3">
      <c r="A3432" t="s">
        <v>22</v>
      </c>
      <c r="B3432" s="1">
        <v>45800</v>
      </c>
      <c r="C3432">
        <v>24</v>
      </c>
      <c r="D3432">
        <v>1.048</v>
      </c>
      <c r="E3432" t="s">
        <v>6</v>
      </c>
      <c r="F3432">
        <v>0.11359999999999999</v>
      </c>
    </row>
    <row r="3433" spans="1:6" x14ac:dyDescent="0.3">
      <c r="A3433" t="s">
        <v>22</v>
      </c>
      <c r="B3433" s="1">
        <v>45801</v>
      </c>
      <c r="C3433">
        <v>1</v>
      </c>
      <c r="D3433">
        <v>0.74199999999999999</v>
      </c>
      <c r="E3433" t="s">
        <v>6</v>
      </c>
      <c r="F3433">
        <v>9.1189999999999993E-2</v>
      </c>
    </row>
    <row r="3434" spans="1:6" x14ac:dyDescent="0.3">
      <c r="A3434" t="s">
        <v>22</v>
      </c>
      <c r="B3434" s="1">
        <v>45801</v>
      </c>
      <c r="C3434">
        <v>2</v>
      </c>
      <c r="D3434">
        <v>0.83399999999999996</v>
      </c>
      <c r="E3434" t="s">
        <v>6</v>
      </c>
      <c r="F3434">
        <v>9.1689999999999994E-2</v>
      </c>
    </row>
    <row r="3435" spans="1:6" x14ac:dyDescent="0.3">
      <c r="A3435" t="s">
        <v>22</v>
      </c>
      <c r="B3435" s="1">
        <v>45801</v>
      </c>
      <c r="C3435">
        <v>3</v>
      </c>
      <c r="D3435">
        <v>0.76100000000000001</v>
      </c>
      <c r="E3435" t="s">
        <v>6</v>
      </c>
      <c r="F3435">
        <v>9.2719999999999997E-2</v>
      </c>
    </row>
    <row r="3436" spans="1:6" x14ac:dyDescent="0.3">
      <c r="A3436" t="s">
        <v>22</v>
      </c>
      <c r="B3436" s="1">
        <v>45801</v>
      </c>
      <c r="C3436">
        <v>4</v>
      </c>
      <c r="D3436">
        <v>0.92100000000000004</v>
      </c>
      <c r="E3436" t="s">
        <v>6</v>
      </c>
      <c r="F3436">
        <v>8.9540000000000008E-2</v>
      </c>
    </row>
    <row r="3437" spans="1:6" x14ac:dyDescent="0.3">
      <c r="A3437" t="s">
        <v>22</v>
      </c>
      <c r="B3437" s="1">
        <v>45801</v>
      </c>
      <c r="C3437">
        <v>5</v>
      </c>
      <c r="D3437">
        <v>0.90300000000000002</v>
      </c>
      <c r="E3437" t="s">
        <v>6</v>
      </c>
      <c r="F3437">
        <v>8.931E-2</v>
      </c>
    </row>
    <row r="3438" spans="1:6" x14ac:dyDescent="0.3">
      <c r="A3438" t="s">
        <v>22</v>
      </c>
      <c r="B3438" s="1">
        <v>45801</v>
      </c>
      <c r="C3438">
        <v>6</v>
      </c>
      <c r="D3438">
        <v>0.91</v>
      </c>
      <c r="E3438" t="s">
        <v>6</v>
      </c>
      <c r="F3438">
        <v>9.017E-2</v>
      </c>
    </row>
    <row r="3439" spans="1:6" x14ac:dyDescent="0.3">
      <c r="A3439" t="s">
        <v>22</v>
      </c>
      <c r="B3439" s="1">
        <v>45801</v>
      </c>
      <c r="C3439">
        <v>7</v>
      </c>
      <c r="D3439">
        <v>0.878</v>
      </c>
      <c r="E3439" t="s">
        <v>6</v>
      </c>
      <c r="F3439">
        <v>9.289E-2</v>
      </c>
    </row>
    <row r="3440" spans="1:6" x14ac:dyDescent="0.3">
      <c r="A3440" t="s">
        <v>22</v>
      </c>
      <c r="B3440" s="1">
        <v>45801</v>
      </c>
      <c r="C3440">
        <v>8</v>
      </c>
      <c r="D3440">
        <v>0.28199999999999997</v>
      </c>
      <c r="E3440" t="s">
        <v>6</v>
      </c>
      <c r="F3440">
        <v>8.5550000000000001E-2</v>
      </c>
    </row>
    <row r="3441" spans="1:6" x14ac:dyDescent="0.3">
      <c r="A3441" t="s">
        <v>22</v>
      </c>
      <c r="B3441" s="1">
        <v>45801</v>
      </c>
      <c r="C3441">
        <v>9</v>
      </c>
      <c r="D3441">
        <v>0</v>
      </c>
      <c r="E3441" t="s">
        <v>6</v>
      </c>
      <c r="F3441">
        <v>7.8810000000000005E-2</v>
      </c>
    </row>
    <row r="3442" spans="1:6" x14ac:dyDescent="0.3">
      <c r="A3442" t="s">
        <v>22</v>
      </c>
      <c r="B3442" s="1">
        <v>45801</v>
      </c>
      <c r="C3442">
        <v>10</v>
      </c>
      <c r="D3442">
        <v>0</v>
      </c>
      <c r="E3442" t="s">
        <v>6</v>
      </c>
      <c r="F3442">
        <v>7.2410000000000002E-2</v>
      </c>
    </row>
    <row r="3443" spans="1:6" x14ac:dyDescent="0.3">
      <c r="A3443" t="s">
        <v>22</v>
      </c>
      <c r="B3443" s="1">
        <v>45801</v>
      </c>
      <c r="C3443">
        <v>11</v>
      </c>
      <c r="D3443">
        <v>0</v>
      </c>
      <c r="E3443" t="s">
        <v>6</v>
      </c>
      <c r="F3443">
        <v>6.726E-2</v>
      </c>
    </row>
    <row r="3444" spans="1:6" x14ac:dyDescent="0.3">
      <c r="A3444" t="s">
        <v>22</v>
      </c>
      <c r="B3444" s="1">
        <v>45801</v>
      </c>
      <c r="C3444">
        <v>12</v>
      </c>
      <c r="D3444">
        <v>0</v>
      </c>
      <c r="E3444" t="s">
        <v>6</v>
      </c>
      <c r="F3444">
        <v>6.5930000000000002E-2</v>
      </c>
    </row>
    <row r="3445" spans="1:6" x14ac:dyDescent="0.3">
      <c r="A3445" t="s">
        <v>22</v>
      </c>
      <c r="B3445" s="1">
        <v>45801</v>
      </c>
      <c r="C3445">
        <v>13</v>
      </c>
      <c r="D3445">
        <v>0</v>
      </c>
      <c r="E3445" t="s">
        <v>6</v>
      </c>
      <c r="F3445">
        <v>6.6709999999999992E-2</v>
      </c>
    </row>
    <row r="3446" spans="1:6" x14ac:dyDescent="0.3">
      <c r="A3446" t="s">
        <v>22</v>
      </c>
      <c r="B3446" s="1">
        <v>45801</v>
      </c>
      <c r="C3446">
        <v>14</v>
      </c>
      <c r="D3446">
        <v>0</v>
      </c>
      <c r="E3446" t="s">
        <v>6</v>
      </c>
      <c r="F3446">
        <v>6.615E-2</v>
      </c>
    </row>
    <row r="3447" spans="1:6" x14ac:dyDescent="0.3">
      <c r="A3447" t="s">
        <v>22</v>
      </c>
      <c r="B3447" s="1">
        <v>45801</v>
      </c>
      <c r="C3447">
        <v>15</v>
      </c>
      <c r="D3447">
        <v>0</v>
      </c>
      <c r="E3447" t="s">
        <v>6</v>
      </c>
      <c r="F3447">
        <v>6.6849999999999993E-2</v>
      </c>
    </row>
    <row r="3448" spans="1:6" x14ac:dyDescent="0.3">
      <c r="A3448" t="s">
        <v>22</v>
      </c>
      <c r="B3448" s="1">
        <v>45801</v>
      </c>
      <c r="C3448">
        <v>16</v>
      </c>
      <c r="D3448">
        <v>0</v>
      </c>
      <c r="E3448" t="s">
        <v>6</v>
      </c>
      <c r="F3448">
        <v>6.7099999999999993E-2</v>
      </c>
    </row>
    <row r="3449" spans="1:6" x14ac:dyDescent="0.3">
      <c r="A3449" t="s">
        <v>22</v>
      </c>
      <c r="B3449" s="1">
        <v>45801</v>
      </c>
      <c r="C3449">
        <v>17</v>
      </c>
      <c r="D3449">
        <v>0</v>
      </c>
      <c r="E3449" t="s">
        <v>6</v>
      </c>
      <c r="F3449">
        <v>6.7379999999999995E-2</v>
      </c>
    </row>
    <row r="3450" spans="1:6" x14ac:dyDescent="0.3">
      <c r="A3450" t="s">
        <v>22</v>
      </c>
      <c r="B3450" s="1">
        <v>45801</v>
      </c>
      <c r="C3450">
        <v>18</v>
      </c>
      <c r="D3450">
        <v>0</v>
      </c>
      <c r="E3450" t="s">
        <v>6</v>
      </c>
      <c r="F3450">
        <v>7.0709999999999995E-2</v>
      </c>
    </row>
    <row r="3451" spans="1:6" x14ac:dyDescent="0.3">
      <c r="A3451" t="s">
        <v>22</v>
      </c>
      <c r="B3451" s="1">
        <v>45801</v>
      </c>
      <c r="C3451">
        <v>19</v>
      </c>
      <c r="D3451">
        <v>0</v>
      </c>
      <c r="E3451" t="s">
        <v>6</v>
      </c>
      <c r="F3451">
        <v>7.109E-2</v>
      </c>
    </row>
    <row r="3452" spans="1:6" x14ac:dyDescent="0.3">
      <c r="A3452" t="s">
        <v>22</v>
      </c>
      <c r="B3452" s="1">
        <v>45801</v>
      </c>
      <c r="C3452">
        <v>20</v>
      </c>
      <c r="D3452">
        <v>0.69799999999999995</v>
      </c>
      <c r="E3452" t="s">
        <v>6</v>
      </c>
      <c r="F3452">
        <v>7.3859999999999995E-2</v>
      </c>
    </row>
    <row r="3453" spans="1:6" x14ac:dyDescent="0.3">
      <c r="A3453" t="s">
        <v>22</v>
      </c>
      <c r="B3453" s="1">
        <v>45801</v>
      </c>
      <c r="C3453">
        <v>21</v>
      </c>
      <c r="D3453">
        <v>0.66</v>
      </c>
      <c r="E3453" t="s">
        <v>6</v>
      </c>
      <c r="F3453">
        <v>9.3189999999999995E-2</v>
      </c>
    </row>
    <row r="3454" spans="1:6" x14ac:dyDescent="0.3">
      <c r="A3454" t="s">
        <v>22</v>
      </c>
      <c r="B3454" s="1">
        <v>45801</v>
      </c>
      <c r="C3454">
        <v>22</v>
      </c>
      <c r="D3454">
        <v>1.508</v>
      </c>
      <c r="E3454" t="s">
        <v>6</v>
      </c>
      <c r="F3454">
        <v>0.10759000000000001</v>
      </c>
    </row>
    <row r="3455" spans="1:6" x14ac:dyDescent="0.3">
      <c r="A3455" t="s">
        <v>22</v>
      </c>
      <c r="B3455" s="1">
        <v>45801</v>
      </c>
      <c r="C3455">
        <v>23</v>
      </c>
      <c r="D3455">
        <v>2.4279999999999999</v>
      </c>
      <c r="E3455" t="s">
        <v>6</v>
      </c>
      <c r="F3455">
        <v>0.12528</v>
      </c>
    </row>
    <row r="3456" spans="1:6" x14ac:dyDescent="0.3">
      <c r="A3456" t="s">
        <v>22</v>
      </c>
      <c r="B3456" s="1">
        <v>45801</v>
      </c>
      <c r="C3456">
        <v>24</v>
      </c>
      <c r="D3456">
        <v>0.82899999999999996</v>
      </c>
      <c r="E3456" t="s">
        <v>6</v>
      </c>
      <c r="F3456">
        <v>0.10814</v>
      </c>
    </row>
    <row r="3457" spans="1:6" x14ac:dyDescent="0.3">
      <c r="A3457" t="s">
        <v>22</v>
      </c>
      <c r="B3457" s="1">
        <v>45802</v>
      </c>
      <c r="C3457">
        <v>1</v>
      </c>
      <c r="D3457">
        <v>0.64900000000000002</v>
      </c>
      <c r="E3457" t="s">
        <v>6</v>
      </c>
      <c r="F3457">
        <v>0.11059999999999999</v>
      </c>
    </row>
    <row r="3458" spans="1:6" x14ac:dyDescent="0.3">
      <c r="A3458" t="s">
        <v>22</v>
      </c>
      <c r="B3458" s="1">
        <v>45802</v>
      </c>
      <c r="C3458">
        <v>2</v>
      </c>
      <c r="D3458">
        <v>0.54100000000000004</v>
      </c>
      <c r="E3458" t="s">
        <v>6</v>
      </c>
      <c r="F3458">
        <v>0.10584</v>
      </c>
    </row>
    <row r="3459" spans="1:6" x14ac:dyDescent="0.3">
      <c r="A3459" t="s">
        <v>22</v>
      </c>
      <c r="B3459" s="1">
        <v>45802</v>
      </c>
      <c r="C3459">
        <v>3</v>
      </c>
      <c r="D3459">
        <v>0.54</v>
      </c>
      <c r="E3459" t="s">
        <v>6</v>
      </c>
      <c r="F3459">
        <v>0.10729999999999999</v>
      </c>
    </row>
    <row r="3460" spans="1:6" x14ac:dyDescent="0.3">
      <c r="A3460" t="s">
        <v>22</v>
      </c>
      <c r="B3460" s="1">
        <v>45802</v>
      </c>
      <c r="C3460">
        <v>4</v>
      </c>
      <c r="D3460">
        <v>0.73</v>
      </c>
      <c r="E3460" t="s">
        <v>6</v>
      </c>
      <c r="F3460">
        <v>0.10753</v>
      </c>
    </row>
    <row r="3461" spans="1:6" x14ac:dyDescent="0.3">
      <c r="A3461" t="s">
        <v>22</v>
      </c>
      <c r="B3461" s="1">
        <v>45802</v>
      </c>
      <c r="C3461">
        <v>5</v>
      </c>
      <c r="D3461">
        <v>0.86299999999999999</v>
      </c>
      <c r="E3461" t="s">
        <v>6</v>
      </c>
      <c r="F3461">
        <v>0.10790000000000001</v>
      </c>
    </row>
    <row r="3462" spans="1:6" x14ac:dyDescent="0.3">
      <c r="A3462" t="s">
        <v>22</v>
      </c>
      <c r="B3462" s="1">
        <v>45802</v>
      </c>
      <c r="C3462">
        <v>6</v>
      </c>
      <c r="D3462">
        <v>0.70899999999999996</v>
      </c>
      <c r="E3462" t="s">
        <v>6</v>
      </c>
      <c r="F3462">
        <v>0.10889</v>
      </c>
    </row>
    <row r="3463" spans="1:6" x14ac:dyDescent="0.3">
      <c r="A3463" t="s">
        <v>22</v>
      </c>
      <c r="B3463" s="1">
        <v>45802</v>
      </c>
      <c r="C3463">
        <v>7</v>
      </c>
      <c r="D3463">
        <v>0.61899999999999999</v>
      </c>
      <c r="E3463" t="s">
        <v>6</v>
      </c>
      <c r="F3463">
        <v>0.10548</v>
      </c>
    </row>
    <row r="3464" spans="1:6" x14ac:dyDescent="0.3">
      <c r="A3464" t="s">
        <v>22</v>
      </c>
      <c r="B3464" s="1">
        <v>45802</v>
      </c>
      <c r="C3464">
        <v>8</v>
      </c>
      <c r="D3464">
        <v>0.52800000000000002</v>
      </c>
      <c r="E3464" t="s">
        <v>6</v>
      </c>
      <c r="F3464">
        <v>0.10165</v>
      </c>
    </row>
    <row r="3465" spans="1:6" x14ac:dyDescent="0.3">
      <c r="A3465" t="s">
        <v>22</v>
      </c>
      <c r="B3465" s="1">
        <v>45802</v>
      </c>
      <c r="C3465">
        <v>9</v>
      </c>
      <c r="D3465">
        <v>0</v>
      </c>
      <c r="E3465" t="s">
        <v>6</v>
      </c>
      <c r="F3465">
        <v>8.4750000000000006E-2</v>
      </c>
    </row>
    <row r="3466" spans="1:6" x14ac:dyDescent="0.3">
      <c r="A3466" t="s">
        <v>22</v>
      </c>
      <c r="B3466" s="1">
        <v>45802</v>
      </c>
      <c r="C3466">
        <v>10</v>
      </c>
      <c r="D3466">
        <v>0.02</v>
      </c>
      <c r="E3466" t="s">
        <v>6</v>
      </c>
      <c r="F3466">
        <v>7.6939999999999995E-2</v>
      </c>
    </row>
    <row r="3467" spans="1:6" x14ac:dyDescent="0.3">
      <c r="A3467" t="s">
        <v>22</v>
      </c>
      <c r="B3467" s="1">
        <v>45802</v>
      </c>
      <c r="C3467">
        <v>11</v>
      </c>
      <c r="D3467">
        <v>0</v>
      </c>
      <c r="E3467" t="s">
        <v>6</v>
      </c>
      <c r="F3467">
        <v>7.5469999999999995E-2</v>
      </c>
    </row>
    <row r="3468" spans="1:6" x14ac:dyDescent="0.3">
      <c r="A3468" t="s">
        <v>22</v>
      </c>
      <c r="B3468" s="1">
        <v>45802</v>
      </c>
      <c r="C3468">
        <v>12</v>
      </c>
      <c r="D3468">
        <v>0.65600000000000003</v>
      </c>
      <c r="E3468" t="s">
        <v>6</v>
      </c>
      <c r="F3468">
        <v>7.3840000000000003E-2</v>
      </c>
    </row>
    <row r="3469" spans="1:6" x14ac:dyDescent="0.3">
      <c r="A3469" t="s">
        <v>22</v>
      </c>
      <c r="B3469" s="1">
        <v>45802</v>
      </c>
      <c r="C3469">
        <v>13</v>
      </c>
      <c r="D3469">
        <v>0.44500000000000001</v>
      </c>
      <c r="E3469" t="s">
        <v>6</v>
      </c>
      <c r="F3469">
        <v>7.2719999999999993E-2</v>
      </c>
    </row>
    <row r="3470" spans="1:6" x14ac:dyDescent="0.3">
      <c r="A3470" t="s">
        <v>22</v>
      </c>
      <c r="B3470" s="1">
        <v>45802</v>
      </c>
      <c r="C3470">
        <v>14</v>
      </c>
      <c r="D3470">
        <v>0</v>
      </c>
      <c r="E3470" t="s">
        <v>6</v>
      </c>
      <c r="F3470">
        <v>6.6030000000000005E-2</v>
      </c>
    </row>
    <row r="3471" spans="1:6" x14ac:dyDescent="0.3">
      <c r="A3471" t="s">
        <v>22</v>
      </c>
      <c r="B3471" s="1">
        <v>45802</v>
      </c>
      <c r="C3471">
        <v>15</v>
      </c>
      <c r="D3471">
        <v>0</v>
      </c>
      <c r="E3471" t="s">
        <v>6</v>
      </c>
      <c r="F3471">
        <v>6.608E-2</v>
      </c>
    </row>
    <row r="3472" spans="1:6" x14ac:dyDescent="0.3">
      <c r="A3472" t="s">
        <v>22</v>
      </c>
      <c r="B3472" s="1">
        <v>45802</v>
      </c>
      <c r="C3472">
        <v>16</v>
      </c>
      <c r="D3472">
        <v>0</v>
      </c>
      <c r="E3472" t="s">
        <v>6</v>
      </c>
      <c r="F3472">
        <v>6.9519999999999998E-2</v>
      </c>
    </row>
    <row r="3473" spans="1:6" x14ac:dyDescent="0.3">
      <c r="A3473" t="s">
        <v>22</v>
      </c>
      <c r="B3473" s="1">
        <v>45802</v>
      </c>
      <c r="C3473">
        <v>17</v>
      </c>
      <c r="D3473">
        <v>0</v>
      </c>
      <c r="E3473" t="s">
        <v>6</v>
      </c>
      <c r="F3473">
        <v>7.5760000000000008E-2</v>
      </c>
    </row>
    <row r="3474" spans="1:6" x14ac:dyDescent="0.3">
      <c r="A3474" t="s">
        <v>22</v>
      </c>
      <c r="B3474" s="1">
        <v>45802</v>
      </c>
      <c r="C3474">
        <v>18</v>
      </c>
      <c r="D3474">
        <v>0</v>
      </c>
      <c r="E3474" t="s">
        <v>6</v>
      </c>
      <c r="F3474">
        <v>7.8180000000000013E-2</v>
      </c>
    </row>
    <row r="3475" spans="1:6" x14ac:dyDescent="0.3">
      <c r="A3475" t="s">
        <v>22</v>
      </c>
      <c r="B3475" s="1">
        <v>45802</v>
      </c>
      <c r="C3475">
        <v>19</v>
      </c>
      <c r="D3475">
        <v>0</v>
      </c>
      <c r="E3475" t="s">
        <v>6</v>
      </c>
      <c r="F3475">
        <v>7.937000000000001E-2</v>
      </c>
    </row>
    <row r="3476" spans="1:6" x14ac:dyDescent="0.3">
      <c r="A3476" t="s">
        <v>22</v>
      </c>
      <c r="B3476" s="1">
        <v>45802</v>
      </c>
      <c r="C3476">
        <v>20</v>
      </c>
      <c r="D3476">
        <v>0</v>
      </c>
      <c r="E3476" t="s">
        <v>6</v>
      </c>
      <c r="F3476">
        <v>8.0099999999999991E-2</v>
      </c>
    </row>
    <row r="3477" spans="1:6" x14ac:dyDescent="0.3">
      <c r="A3477" t="s">
        <v>22</v>
      </c>
      <c r="B3477" s="1">
        <v>45802</v>
      </c>
      <c r="C3477">
        <v>21</v>
      </c>
      <c r="D3477">
        <v>5.8999999999999997E-2</v>
      </c>
      <c r="E3477" t="s">
        <v>6</v>
      </c>
      <c r="F3477">
        <v>9.622E-2</v>
      </c>
    </row>
    <row r="3478" spans="1:6" x14ac:dyDescent="0.3">
      <c r="A3478" t="s">
        <v>22</v>
      </c>
      <c r="B3478" s="1">
        <v>45802</v>
      </c>
      <c r="C3478">
        <v>22</v>
      </c>
      <c r="D3478">
        <v>1.3959999999999999</v>
      </c>
      <c r="E3478" t="s">
        <v>6</v>
      </c>
      <c r="F3478">
        <v>0.10042</v>
      </c>
    </row>
    <row r="3479" spans="1:6" x14ac:dyDescent="0.3">
      <c r="A3479" t="s">
        <v>22</v>
      </c>
      <c r="B3479" s="1">
        <v>45802</v>
      </c>
      <c r="C3479">
        <v>23</v>
      </c>
      <c r="D3479">
        <v>1.2649999999999999</v>
      </c>
      <c r="E3479" t="s">
        <v>6</v>
      </c>
      <c r="F3479">
        <v>0.1055</v>
      </c>
    </row>
    <row r="3480" spans="1:6" x14ac:dyDescent="0.3">
      <c r="A3480" t="s">
        <v>22</v>
      </c>
      <c r="B3480" s="1">
        <v>45802</v>
      </c>
      <c r="C3480">
        <v>24</v>
      </c>
      <c r="D3480">
        <v>0.314</v>
      </c>
      <c r="E3480" t="s">
        <v>6</v>
      </c>
      <c r="F3480">
        <v>9.2180000000000012E-2</v>
      </c>
    </row>
    <row r="3481" spans="1:6" x14ac:dyDescent="0.3">
      <c r="A3481" t="s">
        <v>22</v>
      </c>
      <c r="B3481" s="1">
        <v>45803</v>
      </c>
      <c r="C3481">
        <v>1</v>
      </c>
      <c r="D3481">
        <v>0.158</v>
      </c>
      <c r="E3481" t="s">
        <v>6</v>
      </c>
      <c r="F3481">
        <v>0.10403</v>
      </c>
    </row>
    <row r="3482" spans="1:6" x14ac:dyDescent="0.3">
      <c r="A3482" t="s">
        <v>22</v>
      </c>
      <c r="B3482" s="1">
        <v>45803</v>
      </c>
      <c r="C3482">
        <v>2</v>
      </c>
      <c r="D3482">
        <v>0.17</v>
      </c>
      <c r="E3482" t="s">
        <v>6</v>
      </c>
      <c r="F3482">
        <v>9.8129999999999995E-2</v>
      </c>
    </row>
    <row r="3483" spans="1:6" x14ac:dyDescent="0.3">
      <c r="A3483" t="s">
        <v>22</v>
      </c>
      <c r="B3483" s="1">
        <v>45803</v>
      </c>
      <c r="C3483">
        <v>3</v>
      </c>
      <c r="D3483">
        <v>0.10199999999999999</v>
      </c>
      <c r="E3483" t="s">
        <v>6</v>
      </c>
      <c r="F3483">
        <v>9.8209999999999992E-2</v>
      </c>
    </row>
    <row r="3484" spans="1:6" x14ac:dyDescent="0.3">
      <c r="A3484" t="s">
        <v>22</v>
      </c>
      <c r="B3484" s="1">
        <v>45803</v>
      </c>
      <c r="C3484">
        <v>4</v>
      </c>
      <c r="D3484">
        <v>0.155</v>
      </c>
      <c r="E3484" t="s">
        <v>6</v>
      </c>
      <c r="F3484">
        <v>9.7060000000000007E-2</v>
      </c>
    </row>
    <row r="3485" spans="1:6" x14ac:dyDescent="0.3">
      <c r="A3485" t="s">
        <v>22</v>
      </c>
      <c r="B3485" s="1">
        <v>45803</v>
      </c>
      <c r="C3485">
        <v>5</v>
      </c>
      <c r="D3485">
        <v>0.114</v>
      </c>
      <c r="E3485" t="s">
        <v>6</v>
      </c>
      <c r="F3485">
        <v>9.8959999999999992E-2</v>
      </c>
    </row>
    <row r="3486" spans="1:6" x14ac:dyDescent="0.3">
      <c r="A3486" t="s">
        <v>22</v>
      </c>
      <c r="B3486" s="1">
        <v>45803</v>
      </c>
      <c r="C3486">
        <v>6</v>
      </c>
      <c r="D3486">
        <v>0.127</v>
      </c>
      <c r="E3486" t="s">
        <v>6</v>
      </c>
      <c r="F3486">
        <v>0.10095999999999999</v>
      </c>
    </row>
    <row r="3487" spans="1:6" x14ac:dyDescent="0.3">
      <c r="A3487" t="s">
        <v>22</v>
      </c>
      <c r="B3487" s="1">
        <v>45803</v>
      </c>
      <c r="C3487">
        <v>7</v>
      </c>
      <c r="D3487">
        <v>0.158</v>
      </c>
      <c r="E3487" t="s">
        <v>6</v>
      </c>
      <c r="F3487">
        <v>0.10437</v>
      </c>
    </row>
    <row r="3488" spans="1:6" x14ac:dyDescent="0.3">
      <c r="A3488" t="s">
        <v>22</v>
      </c>
      <c r="B3488" s="1">
        <v>45803</v>
      </c>
      <c r="C3488">
        <v>8</v>
      </c>
      <c r="D3488">
        <v>0</v>
      </c>
      <c r="E3488" t="s">
        <v>6</v>
      </c>
      <c r="F3488">
        <v>0.10693000000000001</v>
      </c>
    </row>
    <row r="3489" spans="1:6" x14ac:dyDescent="0.3">
      <c r="A3489" t="s">
        <v>22</v>
      </c>
      <c r="B3489" s="1">
        <v>45803</v>
      </c>
      <c r="C3489">
        <v>9</v>
      </c>
      <c r="D3489">
        <v>0.86199999999999999</v>
      </c>
      <c r="E3489" t="s">
        <v>6</v>
      </c>
      <c r="F3489">
        <v>0.11912</v>
      </c>
    </row>
    <row r="3490" spans="1:6" x14ac:dyDescent="0.3">
      <c r="A3490" t="s">
        <v>22</v>
      </c>
      <c r="B3490" s="1">
        <v>45803</v>
      </c>
      <c r="C3490">
        <v>10</v>
      </c>
      <c r="D3490">
        <v>3.052</v>
      </c>
      <c r="E3490" t="s">
        <v>6</v>
      </c>
      <c r="F3490">
        <v>8.965999999999999E-2</v>
      </c>
    </row>
    <row r="3491" spans="1:6" x14ac:dyDescent="0.3">
      <c r="A3491" t="s">
        <v>22</v>
      </c>
      <c r="B3491" s="1">
        <v>45803</v>
      </c>
      <c r="C3491">
        <v>11</v>
      </c>
      <c r="D3491">
        <v>1.95</v>
      </c>
      <c r="E3491" t="s">
        <v>6</v>
      </c>
      <c r="F3491">
        <v>0.15428</v>
      </c>
    </row>
    <row r="3492" spans="1:6" x14ac:dyDescent="0.3">
      <c r="A3492" t="s">
        <v>22</v>
      </c>
      <c r="B3492" s="1">
        <v>45803</v>
      </c>
      <c r="C3492">
        <v>12</v>
      </c>
      <c r="D3492">
        <v>0.11899999999999999</v>
      </c>
      <c r="E3492" t="s">
        <v>6</v>
      </c>
      <c r="F3492">
        <v>0.15455000000000002</v>
      </c>
    </row>
    <row r="3493" spans="1:6" x14ac:dyDescent="0.3">
      <c r="A3493" t="s">
        <v>22</v>
      </c>
      <c r="B3493" s="1">
        <v>45803</v>
      </c>
      <c r="C3493">
        <v>13</v>
      </c>
      <c r="D3493">
        <v>0</v>
      </c>
      <c r="E3493" t="s">
        <v>6</v>
      </c>
      <c r="F3493">
        <v>0.15437000000000001</v>
      </c>
    </row>
    <row r="3494" spans="1:6" x14ac:dyDescent="0.3">
      <c r="A3494" t="s">
        <v>22</v>
      </c>
      <c r="B3494" s="1">
        <v>45803</v>
      </c>
      <c r="C3494">
        <v>14</v>
      </c>
      <c r="D3494">
        <v>0</v>
      </c>
      <c r="E3494" t="s">
        <v>6</v>
      </c>
      <c r="F3494">
        <v>0.15139</v>
      </c>
    </row>
    <row r="3495" spans="1:6" x14ac:dyDescent="0.3">
      <c r="A3495" t="s">
        <v>22</v>
      </c>
      <c r="B3495" s="1">
        <v>45803</v>
      </c>
      <c r="C3495">
        <v>15</v>
      </c>
      <c r="D3495">
        <v>0</v>
      </c>
      <c r="E3495" t="s">
        <v>6</v>
      </c>
      <c r="F3495">
        <v>8.8059999999999999E-2</v>
      </c>
    </row>
    <row r="3496" spans="1:6" x14ac:dyDescent="0.3">
      <c r="A3496" t="s">
        <v>22</v>
      </c>
      <c r="B3496" s="1">
        <v>45803</v>
      </c>
      <c r="C3496">
        <v>16</v>
      </c>
      <c r="D3496">
        <v>0</v>
      </c>
      <c r="E3496" t="s">
        <v>6</v>
      </c>
      <c r="F3496">
        <v>8.8569999999999996E-2</v>
      </c>
    </row>
    <row r="3497" spans="1:6" x14ac:dyDescent="0.3">
      <c r="A3497" t="s">
        <v>22</v>
      </c>
      <c r="B3497" s="1">
        <v>45803</v>
      </c>
      <c r="C3497">
        <v>17</v>
      </c>
      <c r="D3497">
        <v>0</v>
      </c>
      <c r="E3497" t="s">
        <v>6</v>
      </c>
      <c r="F3497">
        <v>8.931E-2</v>
      </c>
    </row>
    <row r="3498" spans="1:6" x14ac:dyDescent="0.3">
      <c r="A3498" t="s">
        <v>22</v>
      </c>
      <c r="B3498" s="1">
        <v>45803</v>
      </c>
      <c r="C3498">
        <v>18</v>
      </c>
      <c r="D3498">
        <v>0</v>
      </c>
      <c r="E3498" t="s">
        <v>6</v>
      </c>
      <c r="F3498">
        <v>8.9439999999999992E-2</v>
      </c>
    </row>
    <row r="3499" spans="1:6" x14ac:dyDescent="0.3">
      <c r="A3499" t="s">
        <v>22</v>
      </c>
      <c r="B3499" s="1">
        <v>45803</v>
      </c>
      <c r="C3499">
        <v>19</v>
      </c>
      <c r="D3499">
        <v>0</v>
      </c>
      <c r="E3499" t="s">
        <v>6</v>
      </c>
      <c r="F3499">
        <v>0.16084999999999999</v>
      </c>
    </row>
    <row r="3500" spans="1:6" x14ac:dyDescent="0.3">
      <c r="A3500" t="s">
        <v>22</v>
      </c>
      <c r="B3500" s="1">
        <v>45803</v>
      </c>
      <c r="C3500">
        <v>20</v>
      </c>
      <c r="D3500">
        <v>0</v>
      </c>
      <c r="E3500" t="s">
        <v>6</v>
      </c>
      <c r="F3500">
        <v>0.16385</v>
      </c>
    </row>
    <row r="3501" spans="1:6" x14ac:dyDescent="0.3">
      <c r="A3501" t="s">
        <v>22</v>
      </c>
      <c r="B3501" s="1">
        <v>45803</v>
      </c>
      <c r="C3501">
        <v>21</v>
      </c>
      <c r="D3501">
        <v>0.40699999999999997</v>
      </c>
      <c r="E3501" t="s">
        <v>6</v>
      </c>
      <c r="F3501">
        <v>0.1925</v>
      </c>
    </row>
    <row r="3502" spans="1:6" x14ac:dyDescent="0.3">
      <c r="A3502" t="s">
        <v>22</v>
      </c>
      <c r="B3502" s="1">
        <v>45803</v>
      </c>
      <c r="C3502">
        <v>22</v>
      </c>
      <c r="D3502">
        <v>0.54900000000000004</v>
      </c>
      <c r="E3502" t="s">
        <v>6</v>
      </c>
      <c r="F3502">
        <v>0.23179</v>
      </c>
    </row>
    <row r="3503" spans="1:6" x14ac:dyDescent="0.3">
      <c r="A3503" t="s">
        <v>22</v>
      </c>
      <c r="B3503" s="1">
        <v>45803</v>
      </c>
      <c r="C3503">
        <v>23</v>
      </c>
      <c r="D3503">
        <v>0.43</v>
      </c>
      <c r="E3503" t="s">
        <v>6</v>
      </c>
      <c r="F3503">
        <v>0.15315999999999999</v>
      </c>
    </row>
    <row r="3504" spans="1:6" x14ac:dyDescent="0.3">
      <c r="A3504" t="s">
        <v>22</v>
      </c>
      <c r="B3504" s="1">
        <v>45803</v>
      </c>
      <c r="C3504">
        <v>24</v>
      </c>
      <c r="D3504">
        <v>0.24199999999999999</v>
      </c>
      <c r="E3504" t="s">
        <v>6</v>
      </c>
      <c r="F3504">
        <v>0.12831000000000001</v>
      </c>
    </row>
    <row r="3505" spans="1:6" x14ac:dyDescent="0.3">
      <c r="A3505" t="s">
        <v>22</v>
      </c>
      <c r="B3505" s="1">
        <v>45804</v>
      </c>
      <c r="C3505">
        <v>1</v>
      </c>
      <c r="D3505">
        <v>0.17</v>
      </c>
      <c r="E3505" t="s">
        <v>6</v>
      </c>
      <c r="F3505">
        <v>9.8420000000000007E-2</v>
      </c>
    </row>
    <row r="3506" spans="1:6" x14ac:dyDescent="0.3">
      <c r="A3506" t="s">
        <v>22</v>
      </c>
      <c r="B3506" s="1">
        <v>45804</v>
      </c>
      <c r="C3506">
        <v>2</v>
      </c>
      <c r="D3506">
        <v>9.1999999999999998E-2</v>
      </c>
      <c r="E3506" t="s">
        <v>6</v>
      </c>
      <c r="F3506">
        <v>9.665E-2</v>
      </c>
    </row>
    <row r="3507" spans="1:6" x14ac:dyDescent="0.3">
      <c r="A3507" t="s">
        <v>22</v>
      </c>
      <c r="B3507" s="1">
        <v>45804</v>
      </c>
      <c r="C3507">
        <v>3</v>
      </c>
      <c r="D3507">
        <v>0.17299999999999999</v>
      </c>
      <c r="E3507" t="s">
        <v>6</v>
      </c>
      <c r="F3507">
        <v>8.9779999999999999E-2</v>
      </c>
    </row>
    <row r="3508" spans="1:6" x14ac:dyDescent="0.3">
      <c r="A3508" t="s">
        <v>22</v>
      </c>
      <c r="B3508" s="1">
        <v>45804</v>
      </c>
      <c r="C3508">
        <v>4</v>
      </c>
      <c r="D3508">
        <v>0.11</v>
      </c>
      <c r="E3508" t="s">
        <v>6</v>
      </c>
      <c r="F3508">
        <v>8.3830000000000002E-2</v>
      </c>
    </row>
    <row r="3509" spans="1:6" x14ac:dyDescent="0.3">
      <c r="A3509" t="s">
        <v>22</v>
      </c>
      <c r="B3509" s="1">
        <v>45804</v>
      </c>
      <c r="C3509">
        <v>5</v>
      </c>
      <c r="D3509">
        <v>0.15</v>
      </c>
      <c r="E3509" t="s">
        <v>6</v>
      </c>
      <c r="F3509">
        <v>8.5440000000000002E-2</v>
      </c>
    </row>
    <row r="3510" spans="1:6" x14ac:dyDescent="0.3">
      <c r="A3510" t="s">
        <v>22</v>
      </c>
      <c r="B3510" s="1">
        <v>45804</v>
      </c>
      <c r="C3510">
        <v>6</v>
      </c>
      <c r="D3510">
        <v>0.13400000000000001</v>
      </c>
      <c r="E3510" t="s">
        <v>6</v>
      </c>
      <c r="F3510">
        <v>8.931E-2</v>
      </c>
    </row>
    <row r="3511" spans="1:6" x14ac:dyDescent="0.3">
      <c r="A3511" t="s">
        <v>22</v>
      </c>
      <c r="B3511" s="1">
        <v>45804</v>
      </c>
      <c r="C3511">
        <v>7</v>
      </c>
      <c r="D3511">
        <v>0.11799999999999999</v>
      </c>
      <c r="E3511" t="s">
        <v>6</v>
      </c>
      <c r="F3511">
        <v>9.7259999999999999E-2</v>
      </c>
    </row>
    <row r="3512" spans="1:6" x14ac:dyDescent="0.3">
      <c r="A3512" t="s">
        <v>22</v>
      </c>
      <c r="B3512" s="1">
        <v>45804</v>
      </c>
      <c r="C3512">
        <v>8</v>
      </c>
      <c r="D3512">
        <v>2.2879999999999998</v>
      </c>
      <c r="E3512" t="s">
        <v>6</v>
      </c>
      <c r="F3512">
        <v>9.6010000000000012E-2</v>
      </c>
    </row>
    <row r="3513" spans="1:6" x14ac:dyDescent="0.3">
      <c r="A3513" t="s">
        <v>22</v>
      </c>
      <c r="B3513" s="1">
        <v>45804</v>
      </c>
      <c r="C3513">
        <v>9</v>
      </c>
      <c r="D3513">
        <v>0</v>
      </c>
      <c r="E3513" t="s">
        <v>6</v>
      </c>
      <c r="F3513">
        <v>0.11874999999999999</v>
      </c>
    </row>
    <row r="3514" spans="1:6" x14ac:dyDescent="0.3">
      <c r="A3514" t="s">
        <v>22</v>
      </c>
      <c r="B3514" s="1">
        <v>45804</v>
      </c>
      <c r="C3514">
        <v>10</v>
      </c>
      <c r="D3514">
        <v>0</v>
      </c>
      <c r="E3514" t="s">
        <v>6</v>
      </c>
      <c r="F3514">
        <v>0.10104</v>
      </c>
    </row>
    <row r="3515" spans="1:6" x14ac:dyDescent="0.3">
      <c r="A3515" t="s">
        <v>22</v>
      </c>
      <c r="B3515" s="1">
        <v>45804</v>
      </c>
      <c r="C3515">
        <v>11</v>
      </c>
      <c r="D3515">
        <v>0</v>
      </c>
      <c r="E3515" t="s">
        <v>6</v>
      </c>
      <c r="F3515">
        <v>0.14734</v>
      </c>
    </row>
    <row r="3516" spans="1:6" x14ac:dyDescent="0.3">
      <c r="A3516" t="s">
        <v>22</v>
      </c>
      <c r="B3516" s="1">
        <v>45804</v>
      </c>
      <c r="C3516">
        <v>12</v>
      </c>
      <c r="D3516">
        <v>0</v>
      </c>
      <c r="E3516" t="s">
        <v>6</v>
      </c>
      <c r="F3516">
        <v>0.14743000000000001</v>
      </c>
    </row>
    <row r="3517" spans="1:6" x14ac:dyDescent="0.3">
      <c r="A3517" t="s">
        <v>22</v>
      </c>
      <c r="B3517" s="1">
        <v>45804</v>
      </c>
      <c r="C3517">
        <v>13</v>
      </c>
      <c r="D3517">
        <v>0</v>
      </c>
      <c r="E3517" t="s">
        <v>6</v>
      </c>
      <c r="F3517">
        <v>0.14734999999999998</v>
      </c>
    </row>
    <row r="3518" spans="1:6" x14ac:dyDescent="0.3">
      <c r="A3518" t="s">
        <v>22</v>
      </c>
      <c r="B3518" s="1">
        <v>45804</v>
      </c>
      <c r="C3518">
        <v>14</v>
      </c>
      <c r="D3518">
        <v>0</v>
      </c>
      <c r="E3518" t="s">
        <v>6</v>
      </c>
      <c r="F3518">
        <v>0.14418</v>
      </c>
    </row>
    <row r="3519" spans="1:6" x14ac:dyDescent="0.3">
      <c r="A3519" t="s">
        <v>22</v>
      </c>
      <c r="B3519" s="1">
        <v>45804</v>
      </c>
      <c r="C3519">
        <v>15</v>
      </c>
      <c r="D3519">
        <v>0</v>
      </c>
      <c r="E3519" t="s">
        <v>6</v>
      </c>
      <c r="F3519">
        <v>7.987000000000001E-2</v>
      </c>
    </row>
    <row r="3520" spans="1:6" x14ac:dyDescent="0.3">
      <c r="A3520" t="s">
        <v>22</v>
      </c>
      <c r="B3520" s="1">
        <v>45804</v>
      </c>
      <c r="C3520">
        <v>16</v>
      </c>
      <c r="D3520">
        <v>0</v>
      </c>
      <c r="E3520" t="s">
        <v>6</v>
      </c>
      <c r="F3520">
        <v>8.0439999999999998E-2</v>
      </c>
    </row>
    <row r="3521" spans="1:6" x14ac:dyDescent="0.3">
      <c r="A3521" t="s">
        <v>22</v>
      </c>
      <c r="B3521" s="1">
        <v>45804</v>
      </c>
      <c r="C3521">
        <v>17</v>
      </c>
      <c r="D3521">
        <v>0</v>
      </c>
      <c r="E3521" t="s">
        <v>6</v>
      </c>
      <c r="F3521">
        <v>8.1040000000000001E-2</v>
      </c>
    </row>
    <row r="3522" spans="1:6" x14ac:dyDescent="0.3">
      <c r="A3522" t="s">
        <v>22</v>
      </c>
      <c r="B3522" s="1">
        <v>45804</v>
      </c>
      <c r="C3522">
        <v>18</v>
      </c>
      <c r="D3522">
        <v>0</v>
      </c>
      <c r="E3522" t="s">
        <v>6</v>
      </c>
      <c r="F3522">
        <v>8.1670000000000006E-2</v>
      </c>
    </row>
    <row r="3523" spans="1:6" x14ac:dyDescent="0.3">
      <c r="A3523" t="s">
        <v>22</v>
      </c>
      <c r="B3523" s="1">
        <v>45804</v>
      </c>
      <c r="C3523">
        <v>19</v>
      </c>
      <c r="D3523">
        <v>0</v>
      </c>
      <c r="E3523" t="s">
        <v>6</v>
      </c>
      <c r="F3523">
        <v>0.14913999999999999</v>
      </c>
    </row>
    <row r="3524" spans="1:6" x14ac:dyDescent="0.3">
      <c r="A3524" t="s">
        <v>22</v>
      </c>
      <c r="B3524" s="1">
        <v>45804</v>
      </c>
      <c r="C3524">
        <v>20</v>
      </c>
      <c r="D3524">
        <v>0</v>
      </c>
      <c r="E3524" t="s">
        <v>6</v>
      </c>
      <c r="F3524">
        <v>0.18187999999999999</v>
      </c>
    </row>
    <row r="3525" spans="1:6" x14ac:dyDescent="0.3">
      <c r="A3525" t="s">
        <v>22</v>
      </c>
      <c r="B3525" s="1">
        <v>45804</v>
      </c>
      <c r="C3525">
        <v>21</v>
      </c>
      <c r="D3525">
        <v>0.42299999999999999</v>
      </c>
      <c r="E3525" t="s">
        <v>6</v>
      </c>
      <c r="F3525">
        <v>0.19934000000000002</v>
      </c>
    </row>
    <row r="3526" spans="1:6" x14ac:dyDescent="0.3">
      <c r="A3526" t="s">
        <v>22</v>
      </c>
      <c r="B3526" s="1">
        <v>45804</v>
      </c>
      <c r="C3526">
        <v>22</v>
      </c>
      <c r="D3526">
        <v>1.1739999999999999</v>
      </c>
      <c r="E3526" t="s">
        <v>6</v>
      </c>
      <c r="F3526">
        <v>0.26286999999999999</v>
      </c>
    </row>
    <row r="3527" spans="1:6" x14ac:dyDescent="0.3">
      <c r="A3527" t="s">
        <v>22</v>
      </c>
      <c r="B3527" s="1">
        <v>45804</v>
      </c>
      <c r="C3527">
        <v>23</v>
      </c>
      <c r="D3527">
        <v>1.425</v>
      </c>
      <c r="E3527" t="s">
        <v>6</v>
      </c>
      <c r="F3527">
        <v>0.18916999999999998</v>
      </c>
    </row>
    <row r="3528" spans="1:6" x14ac:dyDescent="0.3">
      <c r="A3528" t="s">
        <v>22</v>
      </c>
      <c r="B3528" s="1">
        <v>45804</v>
      </c>
      <c r="C3528">
        <v>24</v>
      </c>
      <c r="D3528">
        <v>0.50800000000000001</v>
      </c>
      <c r="E3528" t="s">
        <v>6</v>
      </c>
      <c r="F3528">
        <v>0.16538</v>
      </c>
    </row>
    <row r="3529" spans="1:6" x14ac:dyDescent="0.3">
      <c r="A3529" t="s">
        <v>22</v>
      </c>
      <c r="B3529" s="1">
        <v>45805</v>
      </c>
      <c r="C3529">
        <v>1</v>
      </c>
      <c r="D3529">
        <v>0.187</v>
      </c>
      <c r="E3529" t="s">
        <v>6</v>
      </c>
      <c r="F3529">
        <v>9.8680000000000004E-2</v>
      </c>
    </row>
    <row r="3530" spans="1:6" x14ac:dyDescent="0.3">
      <c r="A3530" t="s">
        <v>22</v>
      </c>
      <c r="B3530" s="1">
        <v>45805</v>
      </c>
      <c r="C3530">
        <v>2</v>
      </c>
      <c r="D3530">
        <v>0.14099999999999999</v>
      </c>
      <c r="E3530" t="s">
        <v>6</v>
      </c>
      <c r="F3530">
        <v>9.7259999999999999E-2</v>
      </c>
    </row>
    <row r="3531" spans="1:6" x14ac:dyDescent="0.3">
      <c r="A3531" t="s">
        <v>22</v>
      </c>
      <c r="B3531" s="1">
        <v>45805</v>
      </c>
      <c r="C3531">
        <v>3</v>
      </c>
      <c r="D3531">
        <v>0.105</v>
      </c>
      <c r="E3531" t="s">
        <v>6</v>
      </c>
      <c r="F3531">
        <v>0.10234</v>
      </c>
    </row>
    <row r="3532" spans="1:6" x14ac:dyDescent="0.3">
      <c r="A3532" t="s">
        <v>22</v>
      </c>
      <c r="B3532" s="1">
        <v>45805</v>
      </c>
      <c r="C3532">
        <v>4</v>
      </c>
      <c r="D3532">
        <v>0.17199999999999999</v>
      </c>
      <c r="E3532" t="s">
        <v>6</v>
      </c>
      <c r="F3532">
        <v>9.756999999999999E-2</v>
      </c>
    </row>
    <row r="3533" spans="1:6" x14ac:dyDescent="0.3">
      <c r="A3533" t="s">
        <v>22</v>
      </c>
      <c r="B3533" s="1">
        <v>45805</v>
      </c>
      <c r="C3533">
        <v>5</v>
      </c>
      <c r="D3533">
        <v>0.113</v>
      </c>
      <c r="E3533" t="s">
        <v>6</v>
      </c>
      <c r="F3533">
        <v>9.869E-2</v>
      </c>
    </row>
    <row r="3534" spans="1:6" x14ac:dyDescent="0.3">
      <c r="A3534" t="s">
        <v>22</v>
      </c>
      <c r="B3534" s="1">
        <v>45805</v>
      </c>
      <c r="C3534">
        <v>6</v>
      </c>
      <c r="D3534">
        <v>0.154</v>
      </c>
      <c r="E3534" t="s">
        <v>6</v>
      </c>
      <c r="F3534">
        <v>9.5170000000000005E-2</v>
      </c>
    </row>
    <row r="3535" spans="1:6" x14ac:dyDescent="0.3">
      <c r="A3535" t="s">
        <v>22</v>
      </c>
      <c r="B3535" s="1">
        <v>45805</v>
      </c>
      <c r="C3535">
        <v>7</v>
      </c>
      <c r="D3535">
        <v>0.12</v>
      </c>
      <c r="E3535" t="s">
        <v>6</v>
      </c>
      <c r="F3535">
        <v>9.9220000000000003E-2</v>
      </c>
    </row>
    <row r="3536" spans="1:6" x14ac:dyDescent="0.3">
      <c r="A3536" t="s">
        <v>22</v>
      </c>
      <c r="B3536" s="1">
        <v>45805</v>
      </c>
      <c r="C3536">
        <v>8</v>
      </c>
      <c r="D3536">
        <v>0.80600000000000005</v>
      </c>
      <c r="E3536" t="s">
        <v>6</v>
      </c>
      <c r="F3536">
        <v>0.11652999999999999</v>
      </c>
    </row>
    <row r="3537" spans="1:6" x14ac:dyDescent="0.3">
      <c r="A3537" t="s">
        <v>22</v>
      </c>
      <c r="B3537" s="1">
        <v>45805</v>
      </c>
      <c r="C3537">
        <v>9</v>
      </c>
      <c r="D3537">
        <v>0</v>
      </c>
      <c r="E3537" t="s">
        <v>6</v>
      </c>
      <c r="F3537">
        <v>0.12</v>
      </c>
    </row>
    <row r="3538" spans="1:6" x14ac:dyDescent="0.3">
      <c r="A3538" t="s">
        <v>22</v>
      </c>
      <c r="B3538" s="1">
        <v>45805</v>
      </c>
      <c r="C3538">
        <v>10</v>
      </c>
      <c r="D3538">
        <v>0</v>
      </c>
      <c r="E3538" t="s">
        <v>6</v>
      </c>
      <c r="F3538">
        <v>9.8180000000000003E-2</v>
      </c>
    </row>
    <row r="3539" spans="1:6" x14ac:dyDescent="0.3">
      <c r="A3539" t="s">
        <v>22</v>
      </c>
      <c r="B3539" s="1">
        <v>45805</v>
      </c>
      <c r="C3539">
        <v>11</v>
      </c>
      <c r="D3539">
        <v>0</v>
      </c>
      <c r="E3539" t="s">
        <v>6</v>
      </c>
      <c r="F3539">
        <v>0.14726</v>
      </c>
    </row>
    <row r="3540" spans="1:6" x14ac:dyDescent="0.3">
      <c r="A3540" t="s">
        <v>22</v>
      </c>
      <c r="B3540" s="1">
        <v>45805</v>
      </c>
      <c r="C3540">
        <v>12</v>
      </c>
      <c r="D3540">
        <v>0</v>
      </c>
      <c r="E3540" t="s">
        <v>6</v>
      </c>
      <c r="F3540">
        <v>0.14574999999999999</v>
      </c>
    </row>
    <row r="3541" spans="1:6" x14ac:dyDescent="0.3">
      <c r="A3541" t="s">
        <v>22</v>
      </c>
      <c r="B3541" s="1">
        <v>45805</v>
      </c>
      <c r="C3541">
        <v>13</v>
      </c>
      <c r="D3541">
        <v>0</v>
      </c>
      <c r="E3541" t="s">
        <v>6</v>
      </c>
      <c r="F3541">
        <v>0.14565999999999998</v>
      </c>
    </row>
    <row r="3542" spans="1:6" x14ac:dyDescent="0.3">
      <c r="A3542" t="s">
        <v>22</v>
      </c>
      <c r="B3542" s="1">
        <v>45805</v>
      </c>
      <c r="C3542">
        <v>14</v>
      </c>
      <c r="D3542">
        <v>0.53600000000000003</v>
      </c>
      <c r="E3542" t="s">
        <v>6</v>
      </c>
      <c r="F3542">
        <v>0.14243</v>
      </c>
    </row>
    <row r="3543" spans="1:6" x14ac:dyDescent="0.3">
      <c r="A3543" t="s">
        <v>22</v>
      </c>
      <c r="B3543" s="1">
        <v>45805</v>
      </c>
      <c r="C3543">
        <v>15</v>
      </c>
      <c r="D3543">
        <v>0.73099999999999998</v>
      </c>
      <c r="E3543" t="s">
        <v>6</v>
      </c>
      <c r="F3543">
        <v>7.8E-2</v>
      </c>
    </row>
    <row r="3544" spans="1:6" x14ac:dyDescent="0.3">
      <c r="A3544" t="s">
        <v>22</v>
      </c>
      <c r="B3544" s="1">
        <v>45805</v>
      </c>
      <c r="C3544">
        <v>16</v>
      </c>
      <c r="D3544">
        <v>0</v>
      </c>
      <c r="E3544" t="s">
        <v>6</v>
      </c>
      <c r="F3544">
        <v>7.8540000000000013E-2</v>
      </c>
    </row>
    <row r="3545" spans="1:6" x14ac:dyDescent="0.3">
      <c r="A3545" t="s">
        <v>22</v>
      </c>
      <c r="B3545" s="1">
        <v>45805</v>
      </c>
      <c r="C3545">
        <v>17</v>
      </c>
      <c r="D3545">
        <v>0</v>
      </c>
      <c r="E3545" t="s">
        <v>6</v>
      </c>
      <c r="F3545">
        <v>7.9230000000000009E-2</v>
      </c>
    </row>
    <row r="3546" spans="1:6" x14ac:dyDescent="0.3">
      <c r="A3546" t="s">
        <v>22</v>
      </c>
      <c r="B3546" s="1">
        <v>45805</v>
      </c>
      <c r="C3546">
        <v>18</v>
      </c>
      <c r="D3546">
        <v>0</v>
      </c>
      <c r="E3546" t="s">
        <v>6</v>
      </c>
      <c r="F3546">
        <v>7.9200000000000007E-2</v>
      </c>
    </row>
    <row r="3547" spans="1:6" x14ac:dyDescent="0.3">
      <c r="A3547" t="s">
        <v>22</v>
      </c>
      <c r="B3547" s="1">
        <v>45805</v>
      </c>
      <c r="C3547">
        <v>19</v>
      </c>
      <c r="D3547">
        <v>0</v>
      </c>
      <c r="E3547" t="s">
        <v>6</v>
      </c>
      <c r="F3547">
        <v>0.14912999999999998</v>
      </c>
    </row>
    <row r="3548" spans="1:6" x14ac:dyDescent="0.3">
      <c r="A3548" t="s">
        <v>22</v>
      </c>
      <c r="B3548" s="1">
        <v>45805</v>
      </c>
      <c r="C3548">
        <v>20</v>
      </c>
      <c r="D3548">
        <v>0.45900000000000002</v>
      </c>
      <c r="E3548" t="s">
        <v>6</v>
      </c>
      <c r="F3548">
        <v>0.17183999999999999</v>
      </c>
    </row>
    <row r="3549" spans="1:6" x14ac:dyDescent="0.3">
      <c r="A3549" t="s">
        <v>22</v>
      </c>
      <c r="B3549" s="1">
        <v>45805</v>
      </c>
      <c r="C3549">
        <v>21</v>
      </c>
      <c r="D3549">
        <v>0.84499999999999997</v>
      </c>
      <c r="E3549" t="s">
        <v>6</v>
      </c>
      <c r="F3549">
        <v>0.20599999999999999</v>
      </c>
    </row>
    <row r="3550" spans="1:6" x14ac:dyDescent="0.3">
      <c r="A3550" t="s">
        <v>22</v>
      </c>
      <c r="B3550" s="1">
        <v>45805</v>
      </c>
      <c r="C3550">
        <v>22</v>
      </c>
      <c r="D3550">
        <v>1.004</v>
      </c>
      <c r="E3550" t="s">
        <v>6</v>
      </c>
      <c r="F3550">
        <v>0.24614</v>
      </c>
    </row>
    <row r="3551" spans="1:6" x14ac:dyDescent="0.3">
      <c r="A3551" t="s">
        <v>22</v>
      </c>
      <c r="B3551" s="1">
        <v>45805</v>
      </c>
      <c r="C3551">
        <v>23</v>
      </c>
      <c r="D3551">
        <v>0.56599999999999995</v>
      </c>
      <c r="E3551" t="s">
        <v>6</v>
      </c>
      <c r="F3551">
        <v>0.19024000000000002</v>
      </c>
    </row>
    <row r="3552" spans="1:6" x14ac:dyDescent="0.3">
      <c r="A3552" t="s">
        <v>22</v>
      </c>
      <c r="B3552" s="1">
        <v>45805</v>
      </c>
      <c r="C3552">
        <v>24</v>
      </c>
      <c r="D3552">
        <v>0.376</v>
      </c>
      <c r="E3552" t="s">
        <v>6</v>
      </c>
      <c r="F3552">
        <v>0.1426</v>
      </c>
    </row>
    <row r="3553" spans="1:6" x14ac:dyDescent="0.3">
      <c r="A3553" t="s">
        <v>22</v>
      </c>
      <c r="B3553" s="1">
        <v>45806</v>
      </c>
      <c r="C3553">
        <v>1</v>
      </c>
      <c r="D3553">
        <v>0.17899999999999999</v>
      </c>
      <c r="E3553" t="s">
        <v>6</v>
      </c>
      <c r="F3553">
        <v>0.11094</v>
      </c>
    </row>
    <row r="3554" spans="1:6" x14ac:dyDescent="0.3">
      <c r="A3554" t="s">
        <v>22</v>
      </c>
      <c r="B3554" s="1">
        <v>45806</v>
      </c>
      <c r="C3554">
        <v>2</v>
      </c>
      <c r="D3554">
        <v>0.19400000000000001</v>
      </c>
      <c r="E3554" t="s">
        <v>6</v>
      </c>
      <c r="F3554">
        <v>0.10095</v>
      </c>
    </row>
    <row r="3555" spans="1:6" x14ac:dyDescent="0.3">
      <c r="A3555" t="s">
        <v>22</v>
      </c>
      <c r="B3555" s="1">
        <v>45806</v>
      </c>
      <c r="C3555">
        <v>3</v>
      </c>
      <c r="D3555">
        <v>0.115</v>
      </c>
      <c r="E3555" t="s">
        <v>6</v>
      </c>
      <c r="F3555">
        <v>0.10762000000000001</v>
      </c>
    </row>
    <row r="3556" spans="1:6" x14ac:dyDescent="0.3">
      <c r="A3556" t="s">
        <v>22</v>
      </c>
      <c r="B3556" s="1">
        <v>45806</v>
      </c>
      <c r="C3556">
        <v>4</v>
      </c>
      <c r="D3556">
        <v>0.2</v>
      </c>
      <c r="E3556" t="s">
        <v>6</v>
      </c>
      <c r="F3556">
        <v>0.10073</v>
      </c>
    </row>
    <row r="3557" spans="1:6" x14ac:dyDescent="0.3">
      <c r="A3557" t="s">
        <v>22</v>
      </c>
      <c r="B3557" s="1">
        <v>45806</v>
      </c>
      <c r="C3557">
        <v>5</v>
      </c>
      <c r="D3557">
        <v>0.14799999999999999</v>
      </c>
      <c r="E3557" t="s">
        <v>6</v>
      </c>
      <c r="F3557">
        <v>0.10009</v>
      </c>
    </row>
    <row r="3558" spans="1:6" x14ac:dyDescent="0.3">
      <c r="A3558" t="s">
        <v>22</v>
      </c>
      <c r="B3558" s="1">
        <v>45806</v>
      </c>
      <c r="C3558">
        <v>6</v>
      </c>
      <c r="D3558">
        <v>0.13100000000000001</v>
      </c>
      <c r="E3558" t="s">
        <v>6</v>
      </c>
      <c r="F3558">
        <v>0.10149</v>
      </c>
    </row>
    <row r="3559" spans="1:6" x14ac:dyDescent="0.3">
      <c r="A3559" t="s">
        <v>22</v>
      </c>
      <c r="B3559" s="1">
        <v>45806</v>
      </c>
      <c r="C3559">
        <v>7</v>
      </c>
      <c r="D3559">
        <v>0.16900000000000001</v>
      </c>
      <c r="E3559" t="s">
        <v>6</v>
      </c>
      <c r="F3559">
        <v>9.9760000000000001E-2</v>
      </c>
    </row>
    <row r="3560" spans="1:6" x14ac:dyDescent="0.3">
      <c r="A3560" t="s">
        <v>22</v>
      </c>
      <c r="B3560" s="1">
        <v>45806</v>
      </c>
      <c r="C3560">
        <v>8</v>
      </c>
      <c r="D3560">
        <v>1.643</v>
      </c>
      <c r="E3560" t="s">
        <v>6</v>
      </c>
      <c r="F3560">
        <v>0.10387</v>
      </c>
    </row>
    <row r="3561" spans="1:6" x14ac:dyDescent="0.3">
      <c r="A3561" t="s">
        <v>22</v>
      </c>
      <c r="B3561" s="1">
        <v>45806</v>
      </c>
      <c r="C3561">
        <v>9</v>
      </c>
      <c r="D3561">
        <v>0</v>
      </c>
      <c r="E3561" t="s">
        <v>6</v>
      </c>
      <c r="F3561">
        <v>0.11993999999999999</v>
      </c>
    </row>
    <row r="3562" spans="1:6" x14ac:dyDescent="0.3">
      <c r="A3562" t="s">
        <v>22</v>
      </c>
      <c r="B3562" s="1">
        <v>45806</v>
      </c>
      <c r="C3562">
        <v>10</v>
      </c>
      <c r="D3562">
        <v>0</v>
      </c>
      <c r="E3562" t="s">
        <v>6</v>
      </c>
      <c r="F3562">
        <v>9.290000000000001E-2</v>
      </c>
    </row>
    <row r="3563" spans="1:6" x14ac:dyDescent="0.3">
      <c r="A3563" t="s">
        <v>22</v>
      </c>
      <c r="B3563" s="1">
        <v>45806</v>
      </c>
      <c r="C3563">
        <v>11</v>
      </c>
      <c r="D3563">
        <v>0</v>
      </c>
      <c r="E3563" t="s">
        <v>6</v>
      </c>
      <c r="F3563">
        <v>0.14313999999999999</v>
      </c>
    </row>
    <row r="3564" spans="1:6" x14ac:dyDescent="0.3">
      <c r="A3564" t="s">
        <v>22</v>
      </c>
      <c r="B3564" s="1">
        <v>45806</v>
      </c>
      <c r="C3564">
        <v>12</v>
      </c>
      <c r="D3564">
        <v>0</v>
      </c>
      <c r="E3564" t="s">
        <v>6</v>
      </c>
      <c r="F3564">
        <v>0.13933000000000001</v>
      </c>
    </row>
    <row r="3565" spans="1:6" x14ac:dyDescent="0.3">
      <c r="A3565" t="s">
        <v>22</v>
      </c>
      <c r="B3565" s="1">
        <v>45806</v>
      </c>
      <c r="C3565">
        <v>13</v>
      </c>
      <c r="D3565">
        <v>0</v>
      </c>
      <c r="E3565" t="s">
        <v>6</v>
      </c>
      <c r="F3565">
        <v>0.13861999999999999</v>
      </c>
    </row>
    <row r="3566" spans="1:6" x14ac:dyDescent="0.3">
      <c r="A3566" t="s">
        <v>22</v>
      </c>
      <c r="B3566" s="1">
        <v>45806</v>
      </c>
      <c r="C3566">
        <v>14</v>
      </c>
      <c r="D3566">
        <v>0</v>
      </c>
      <c r="E3566" t="s">
        <v>6</v>
      </c>
      <c r="F3566">
        <v>0.13522000000000001</v>
      </c>
    </row>
    <row r="3567" spans="1:6" x14ac:dyDescent="0.3">
      <c r="A3567" t="s">
        <v>22</v>
      </c>
      <c r="B3567" s="1">
        <v>45806</v>
      </c>
      <c r="C3567">
        <v>15</v>
      </c>
      <c r="D3567">
        <v>0</v>
      </c>
      <c r="E3567" t="s">
        <v>6</v>
      </c>
      <c r="F3567">
        <v>7.0459999999999995E-2</v>
      </c>
    </row>
    <row r="3568" spans="1:6" x14ac:dyDescent="0.3">
      <c r="A3568" t="s">
        <v>22</v>
      </c>
      <c r="B3568" s="1">
        <v>45806</v>
      </c>
      <c r="C3568">
        <v>16</v>
      </c>
      <c r="D3568">
        <v>0</v>
      </c>
      <c r="E3568" t="s">
        <v>6</v>
      </c>
      <c r="F3568">
        <v>7.1819999999999995E-2</v>
      </c>
    </row>
    <row r="3569" spans="1:6" x14ac:dyDescent="0.3">
      <c r="A3569" t="s">
        <v>22</v>
      </c>
      <c r="B3569" s="1">
        <v>45806</v>
      </c>
      <c r="C3569">
        <v>17</v>
      </c>
      <c r="D3569">
        <v>0</v>
      </c>
      <c r="E3569" t="s">
        <v>6</v>
      </c>
      <c r="F3569">
        <v>7.2669999999999998E-2</v>
      </c>
    </row>
    <row r="3570" spans="1:6" x14ac:dyDescent="0.3">
      <c r="A3570" t="s">
        <v>22</v>
      </c>
      <c r="B3570" s="1">
        <v>45806</v>
      </c>
      <c r="C3570">
        <v>18</v>
      </c>
      <c r="D3570">
        <v>0</v>
      </c>
      <c r="E3570" t="s">
        <v>6</v>
      </c>
      <c r="F3570">
        <v>7.2469999999999993E-2</v>
      </c>
    </row>
    <row r="3571" spans="1:6" x14ac:dyDescent="0.3">
      <c r="A3571" t="s">
        <v>22</v>
      </c>
      <c r="B3571" s="1">
        <v>45806</v>
      </c>
      <c r="C3571">
        <v>19</v>
      </c>
      <c r="D3571">
        <v>0</v>
      </c>
      <c r="E3571" t="s">
        <v>6</v>
      </c>
      <c r="F3571">
        <v>0.16002000000000002</v>
      </c>
    </row>
    <row r="3572" spans="1:6" x14ac:dyDescent="0.3">
      <c r="A3572" t="s">
        <v>22</v>
      </c>
      <c r="B3572" s="1">
        <v>45806</v>
      </c>
      <c r="C3572">
        <v>20</v>
      </c>
      <c r="D3572">
        <v>0.187</v>
      </c>
      <c r="E3572" t="s">
        <v>6</v>
      </c>
      <c r="F3572">
        <v>0.18048</v>
      </c>
    </row>
    <row r="3573" spans="1:6" x14ac:dyDescent="0.3">
      <c r="A3573" t="s">
        <v>22</v>
      </c>
      <c r="B3573" s="1">
        <v>45806</v>
      </c>
      <c r="C3573">
        <v>21</v>
      </c>
      <c r="D3573">
        <v>0.55500000000000005</v>
      </c>
      <c r="E3573" t="s">
        <v>6</v>
      </c>
      <c r="F3573">
        <v>0.21938999999999997</v>
      </c>
    </row>
    <row r="3574" spans="1:6" x14ac:dyDescent="0.3">
      <c r="A3574" t="s">
        <v>22</v>
      </c>
      <c r="B3574" s="1">
        <v>45806</v>
      </c>
      <c r="C3574">
        <v>22</v>
      </c>
      <c r="D3574">
        <v>2.3250000000000002</v>
      </c>
      <c r="E3574" t="s">
        <v>6</v>
      </c>
      <c r="F3574">
        <v>0.28573000000000004</v>
      </c>
    </row>
    <row r="3575" spans="1:6" x14ac:dyDescent="0.3">
      <c r="A3575" t="s">
        <v>22</v>
      </c>
      <c r="B3575" s="1">
        <v>45806</v>
      </c>
      <c r="C3575">
        <v>23</v>
      </c>
      <c r="D3575">
        <v>0.35499999999999998</v>
      </c>
      <c r="E3575" t="s">
        <v>6</v>
      </c>
      <c r="F3575">
        <v>0.20579</v>
      </c>
    </row>
    <row r="3576" spans="1:6" x14ac:dyDescent="0.3">
      <c r="A3576" t="s">
        <v>22</v>
      </c>
      <c r="B3576" s="1">
        <v>45806</v>
      </c>
      <c r="C3576">
        <v>24</v>
      </c>
      <c r="D3576">
        <v>0.31900000000000001</v>
      </c>
      <c r="E3576" t="s">
        <v>6</v>
      </c>
      <c r="F3576">
        <v>0.15489</v>
      </c>
    </row>
    <row r="3577" spans="1:6" x14ac:dyDescent="0.3">
      <c r="A3577" t="s">
        <v>22</v>
      </c>
      <c r="B3577" s="1">
        <v>45807</v>
      </c>
      <c r="C3577">
        <v>1</v>
      </c>
      <c r="D3577">
        <v>0.157</v>
      </c>
      <c r="E3577" t="s">
        <v>6</v>
      </c>
      <c r="F3577">
        <v>0.10990999999999999</v>
      </c>
    </row>
    <row r="3578" spans="1:6" x14ac:dyDescent="0.3">
      <c r="A3578" t="s">
        <v>22</v>
      </c>
      <c r="B3578" s="1">
        <v>45807</v>
      </c>
      <c r="C3578">
        <v>2</v>
      </c>
      <c r="D3578">
        <v>0.17199999999999999</v>
      </c>
      <c r="E3578" t="s">
        <v>6</v>
      </c>
      <c r="F3578">
        <v>0.10934999999999999</v>
      </c>
    </row>
    <row r="3579" spans="1:6" x14ac:dyDescent="0.3">
      <c r="A3579" t="s">
        <v>22</v>
      </c>
      <c r="B3579" s="1">
        <v>45807</v>
      </c>
      <c r="C3579">
        <v>3</v>
      </c>
      <c r="D3579">
        <v>0.11600000000000001</v>
      </c>
      <c r="E3579" t="s">
        <v>6</v>
      </c>
      <c r="F3579">
        <v>0.10546999999999999</v>
      </c>
    </row>
    <row r="3580" spans="1:6" x14ac:dyDescent="0.3">
      <c r="A3580" t="s">
        <v>22</v>
      </c>
      <c r="B3580" s="1">
        <v>45807</v>
      </c>
      <c r="C3580">
        <v>4</v>
      </c>
      <c r="D3580">
        <v>0.14599999999999999</v>
      </c>
      <c r="E3580" t="s">
        <v>6</v>
      </c>
      <c r="F3580">
        <v>0.10116</v>
      </c>
    </row>
    <row r="3581" spans="1:6" x14ac:dyDescent="0.3">
      <c r="A3581" t="s">
        <v>22</v>
      </c>
      <c r="B3581" s="1">
        <v>45807</v>
      </c>
      <c r="C3581">
        <v>5</v>
      </c>
      <c r="D3581">
        <v>0.14899999999999999</v>
      </c>
      <c r="E3581" t="s">
        <v>6</v>
      </c>
      <c r="F3581">
        <v>0.10144</v>
      </c>
    </row>
    <row r="3582" spans="1:6" x14ac:dyDescent="0.3">
      <c r="A3582" t="s">
        <v>22</v>
      </c>
      <c r="B3582" s="1">
        <v>45807</v>
      </c>
      <c r="C3582">
        <v>6</v>
      </c>
      <c r="D3582">
        <v>0.109</v>
      </c>
      <c r="E3582" t="s">
        <v>6</v>
      </c>
      <c r="F3582">
        <v>0.10076</v>
      </c>
    </row>
    <row r="3583" spans="1:6" x14ac:dyDescent="0.3">
      <c r="A3583" t="s">
        <v>22</v>
      </c>
      <c r="B3583" s="1">
        <v>45807</v>
      </c>
      <c r="C3583">
        <v>7</v>
      </c>
      <c r="D3583">
        <v>0.18099999999999999</v>
      </c>
      <c r="E3583" t="s">
        <v>6</v>
      </c>
      <c r="F3583">
        <v>0.10490000000000001</v>
      </c>
    </row>
    <row r="3584" spans="1:6" x14ac:dyDescent="0.3">
      <c r="A3584" t="s">
        <v>22</v>
      </c>
      <c r="B3584" s="1">
        <v>45807</v>
      </c>
      <c r="C3584">
        <v>8</v>
      </c>
      <c r="D3584">
        <v>0.31</v>
      </c>
      <c r="E3584" t="s">
        <v>6</v>
      </c>
      <c r="F3584">
        <v>0.11968000000000001</v>
      </c>
    </row>
    <row r="3585" spans="1:6" x14ac:dyDescent="0.3">
      <c r="A3585" t="s">
        <v>22</v>
      </c>
      <c r="B3585" s="1">
        <v>45807</v>
      </c>
      <c r="C3585">
        <v>9</v>
      </c>
      <c r="D3585">
        <v>0</v>
      </c>
      <c r="E3585" t="s">
        <v>6</v>
      </c>
      <c r="F3585">
        <v>0.12742000000000001</v>
      </c>
    </row>
    <row r="3586" spans="1:6" x14ac:dyDescent="0.3">
      <c r="A3586" t="s">
        <v>22</v>
      </c>
      <c r="B3586" s="1">
        <v>45807</v>
      </c>
      <c r="C3586">
        <v>10</v>
      </c>
      <c r="D3586">
        <v>0</v>
      </c>
      <c r="E3586" t="s">
        <v>6</v>
      </c>
      <c r="F3586">
        <v>9.9349999999999994E-2</v>
      </c>
    </row>
    <row r="3587" spans="1:6" x14ac:dyDescent="0.3">
      <c r="A3587" t="s">
        <v>22</v>
      </c>
      <c r="B3587" s="1">
        <v>45807</v>
      </c>
      <c r="C3587">
        <v>11</v>
      </c>
      <c r="D3587">
        <v>0</v>
      </c>
      <c r="E3587" t="s">
        <v>6</v>
      </c>
      <c r="F3587">
        <v>0.13409000000000001</v>
      </c>
    </row>
    <row r="3588" spans="1:6" x14ac:dyDescent="0.3">
      <c r="A3588" t="s">
        <v>22</v>
      </c>
      <c r="B3588" s="1">
        <v>45807</v>
      </c>
      <c r="C3588">
        <v>12</v>
      </c>
      <c r="D3588">
        <v>0</v>
      </c>
      <c r="E3588" t="s">
        <v>6</v>
      </c>
      <c r="F3588">
        <v>0.13141999999999998</v>
      </c>
    </row>
    <row r="3589" spans="1:6" x14ac:dyDescent="0.3">
      <c r="A3589" t="s">
        <v>22</v>
      </c>
      <c r="B3589" s="1">
        <v>45807</v>
      </c>
      <c r="C3589">
        <v>13</v>
      </c>
      <c r="D3589">
        <v>0</v>
      </c>
      <c r="E3589" t="s">
        <v>6</v>
      </c>
      <c r="F3589">
        <v>0.13134999999999999</v>
      </c>
    </row>
    <row r="3590" spans="1:6" x14ac:dyDescent="0.3">
      <c r="A3590" t="s">
        <v>22</v>
      </c>
      <c r="B3590" s="1">
        <v>45807</v>
      </c>
      <c r="C3590">
        <v>14</v>
      </c>
      <c r="D3590">
        <v>0</v>
      </c>
      <c r="E3590" t="s">
        <v>6</v>
      </c>
      <c r="F3590">
        <v>0.12872</v>
      </c>
    </row>
    <row r="3591" spans="1:6" x14ac:dyDescent="0.3">
      <c r="A3591" t="s">
        <v>22</v>
      </c>
      <c r="B3591" s="1">
        <v>45807</v>
      </c>
      <c r="C3591">
        <v>15</v>
      </c>
      <c r="D3591">
        <v>1.22</v>
      </c>
      <c r="E3591" t="s">
        <v>6</v>
      </c>
      <c r="F3591">
        <v>6.4579999999999999E-2</v>
      </c>
    </row>
    <row r="3592" spans="1:6" x14ac:dyDescent="0.3">
      <c r="A3592" t="s">
        <v>22</v>
      </c>
      <c r="B3592" s="1">
        <v>45807</v>
      </c>
      <c r="C3592">
        <v>16</v>
      </c>
      <c r="D3592">
        <v>0.79800000000000004</v>
      </c>
      <c r="E3592" t="s">
        <v>6</v>
      </c>
      <c r="F3592">
        <v>6.5110000000000001E-2</v>
      </c>
    </row>
    <row r="3593" spans="1:6" x14ac:dyDescent="0.3">
      <c r="A3593" t="s">
        <v>22</v>
      </c>
      <c r="B3593" s="1">
        <v>45807</v>
      </c>
      <c r="C3593">
        <v>17</v>
      </c>
      <c r="D3593">
        <v>0</v>
      </c>
      <c r="E3593" t="s">
        <v>6</v>
      </c>
      <c r="F3593">
        <v>6.6439999999999999E-2</v>
      </c>
    </row>
    <row r="3594" spans="1:6" x14ac:dyDescent="0.3">
      <c r="A3594" t="s">
        <v>22</v>
      </c>
      <c r="B3594" s="1">
        <v>45807</v>
      </c>
      <c r="C3594">
        <v>18</v>
      </c>
      <c r="D3594">
        <v>0</v>
      </c>
      <c r="E3594" t="s">
        <v>6</v>
      </c>
      <c r="F3594">
        <v>7.3799999999999991E-2</v>
      </c>
    </row>
    <row r="3595" spans="1:6" x14ac:dyDescent="0.3">
      <c r="A3595" t="s">
        <v>22</v>
      </c>
      <c r="B3595" s="1">
        <v>45807</v>
      </c>
      <c r="C3595">
        <v>19</v>
      </c>
      <c r="D3595">
        <v>0.2</v>
      </c>
      <c r="E3595" t="s">
        <v>6</v>
      </c>
      <c r="F3595">
        <v>0.18511000000000002</v>
      </c>
    </row>
    <row r="3596" spans="1:6" x14ac:dyDescent="0.3">
      <c r="A3596" t="s">
        <v>22</v>
      </c>
      <c r="B3596" s="1">
        <v>45807</v>
      </c>
      <c r="C3596">
        <v>20</v>
      </c>
      <c r="D3596">
        <v>0</v>
      </c>
      <c r="E3596" t="s">
        <v>6</v>
      </c>
      <c r="F3596">
        <v>0.19686000000000001</v>
      </c>
    </row>
    <row r="3597" spans="1:6" x14ac:dyDescent="0.3">
      <c r="A3597" t="s">
        <v>22</v>
      </c>
      <c r="B3597" s="1">
        <v>45807</v>
      </c>
      <c r="C3597">
        <v>21</v>
      </c>
      <c r="D3597">
        <v>0.13700000000000001</v>
      </c>
      <c r="E3597" t="s">
        <v>6</v>
      </c>
      <c r="F3597">
        <v>0.24471000000000001</v>
      </c>
    </row>
    <row r="3598" spans="1:6" x14ac:dyDescent="0.3">
      <c r="A3598" t="s">
        <v>22</v>
      </c>
      <c r="B3598" s="1">
        <v>45807</v>
      </c>
      <c r="C3598">
        <v>22</v>
      </c>
      <c r="D3598">
        <v>0.127</v>
      </c>
      <c r="E3598" t="s">
        <v>6</v>
      </c>
      <c r="F3598">
        <v>0.26332</v>
      </c>
    </row>
    <row r="3599" spans="1:6" x14ac:dyDescent="0.3">
      <c r="A3599" t="s">
        <v>22</v>
      </c>
      <c r="B3599" s="1">
        <v>45807</v>
      </c>
      <c r="C3599">
        <v>23</v>
      </c>
      <c r="D3599">
        <v>0.16</v>
      </c>
      <c r="E3599" t="s">
        <v>6</v>
      </c>
      <c r="F3599">
        <v>0.21293000000000001</v>
      </c>
    </row>
    <row r="3600" spans="1:6" x14ac:dyDescent="0.3">
      <c r="A3600" t="s">
        <v>22</v>
      </c>
      <c r="B3600" s="1">
        <v>45807</v>
      </c>
      <c r="C3600">
        <v>24</v>
      </c>
      <c r="D3600">
        <v>0.245</v>
      </c>
      <c r="E3600" t="s">
        <v>6</v>
      </c>
      <c r="F3600">
        <v>0.18489</v>
      </c>
    </row>
    <row r="3601" spans="1:6" x14ac:dyDescent="0.3">
      <c r="A3601" t="s">
        <v>22</v>
      </c>
      <c r="B3601" s="1">
        <v>45808</v>
      </c>
      <c r="C3601">
        <v>1</v>
      </c>
      <c r="D3601">
        <v>0.32700000000000001</v>
      </c>
      <c r="E3601" t="s">
        <v>6</v>
      </c>
      <c r="F3601">
        <v>0.16309999999999999</v>
      </c>
    </row>
    <row r="3602" spans="1:6" x14ac:dyDescent="0.3">
      <c r="A3602" t="s">
        <v>22</v>
      </c>
      <c r="B3602" s="1">
        <v>45808</v>
      </c>
      <c r="C3602">
        <v>2</v>
      </c>
      <c r="D3602">
        <v>0.19800000000000001</v>
      </c>
      <c r="E3602" t="s">
        <v>6</v>
      </c>
      <c r="F3602">
        <v>0.14708000000000002</v>
      </c>
    </row>
    <row r="3603" spans="1:6" x14ac:dyDescent="0.3">
      <c r="A3603" t="s">
        <v>22</v>
      </c>
      <c r="B3603" s="1">
        <v>45808</v>
      </c>
      <c r="C3603">
        <v>3</v>
      </c>
      <c r="D3603">
        <v>0.123</v>
      </c>
      <c r="E3603" t="s">
        <v>6</v>
      </c>
      <c r="F3603">
        <v>0.12883</v>
      </c>
    </row>
    <row r="3604" spans="1:6" x14ac:dyDescent="0.3">
      <c r="A3604" t="s">
        <v>22</v>
      </c>
      <c r="B3604" s="1">
        <v>45808</v>
      </c>
      <c r="C3604">
        <v>4</v>
      </c>
      <c r="D3604">
        <v>0.17</v>
      </c>
      <c r="E3604" t="s">
        <v>6</v>
      </c>
      <c r="F3604">
        <v>0.12795000000000001</v>
      </c>
    </row>
    <row r="3605" spans="1:6" x14ac:dyDescent="0.3">
      <c r="A3605" t="s">
        <v>22</v>
      </c>
      <c r="B3605" s="1">
        <v>45808</v>
      </c>
      <c r="C3605">
        <v>5</v>
      </c>
      <c r="D3605">
        <v>0.13400000000000001</v>
      </c>
      <c r="E3605" t="s">
        <v>6</v>
      </c>
      <c r="F3605">
        <v>0.14083000000000001</v>
      </c>
    </row>
    <row r="3606" spans="1:6" x14ac:dyDescent="0.3">
      <c r="A3606" t="s">
        <v>22</v>
      </c>
      <c r="B3606" s="1">
        <v>45808</v>
      </c>
      <c r="C3606">
        <v>6</v>
      </c>
      <c r="D3606">
        <v>0.14699999999999999</v>
      </c>
      <c r="E3606" t="s">
        <v>6</v>
      </c>
      <c r="F3606">
        <v>0.13730000000000001</v>
      </c>
    </row>
    <row r="3607" spans="1:6" x14ac:dyDescent="0.3">
      <c r="A3607" t="s">
        <v>22</v>
      </c>
      <c r="B3607" s="1">
        <v>45808</v>
      </c>
      <c r="C3607">
        <v>7</v>
      </c>
      <c r="D3607">
        <v>0.16800000000000001</v>
      </c>
      <c r="E3607" t="s">
        <v>6</v>
      </c>
      <c r="F3607">
        <v>0.14047000000000001</v>
      </c>
    </row>
    <row r="3608" spans="1:6" x14ac:dyDescent="0.3">
      <c r="A3608" t="s">
        <v>22</v>
      </c>
      <c r="B3608" s="1">
        <v>45808</v>
      </c>
      <c r="C3608">
        <v>8</v>
      </c>
      <c r="D3608">
        <v>0</v>
      </c>
      <c r="E3608" t="s">
        <v>6</v>
      </c>
      <c r="F3608">
        <v>0.12562999999999999</v>
      </c>
    </row>
    <row r="3609" spans="1:6" x14ac:dyDescent="0.3">
      <c r="A3609" t="s">
        <v>22</v>
      </c>
      <c r="B3609" s="1">
        <v>45808</v>
      </c>
      <c r="C3609">
        <v>9</v>
      </c>
      <c r="D3609">
        <v>0</v>
      </c>
      <c r="E3609" t="s">
        <v>6</v>
      </c>
      <c r="F3609">
        <v>8.5650000000000004E-2</v>
      </c>
    </row>
    <row r="3610" spans="1:6" x14ac:dyDescent="0.3">
      <c r="A3610" t="s">
        <v>22</v>
      </c>
      <c r="B3610" s="1">
        <v>45808</v>
      </c>
      <c r="C3610">
        <v>10</v>
      </c>
      <c r="D3610">
        <v>0</v>
      </c>
      <c r="E3610" t="s">
        <v>6</v>
      </c>
      <c r="F3610">
        <v>4.376E-2</v>
      </c>
    </row>
    <row r="3611" spans="1:6" x14ac:dyDescent="0.3">
      <c r="A3611" t="s">
        <v>22</v>
      </c>
      <c r="B3611" s="1">
        <v>45808</v>
      </c>
      <c r="C3611">
        <v>11</v>
      </c>
      <c r="D3611">
        <v>0</v>
      </c>
      <c r="E3611" t="s">
        <v>6</v>
      </c>
      <c r="F3611">
        <v>4.4380000000000003E-2</v>
      </c>
    </row>
    <row r="3612" spans="1:6" x14ac:dyDescent="0.3">
      <c r="A3612" t="s">
        <v>22</v>
      </c>
      <c r="B3612" s="1">
        <v>45808</v>
      </c>
      <c r="C3612">
        <v>12</v>
      </c>
      <c r="D3612">
        <v>0</v>
      </c>
      <c r="E3612" t="s">
        <v>6</v>
      </c>
      <c r="F3612">
        <v>4.3159999999999997E-2</v>
      </c>
    </row>
    <row r="3613" spans="1:6" x14ac:dyDescent="0.3">
      <c r="A3613" t="s">
        <v>22</v>
      </c>
      <c r="B3613" s="1">
        <v>45808</v>
      </c>
      <c r="C3613">
        <v>13</v>
      </c>
      <c r="D3613">
        <v>0</v>
      </c>
      <c r="E3613" t="s">
        <v>6</v>
      </c>
      <c r="F3613">
        <v>4.0909999999999995E-2</v>
      </c>
    </row>
    <row r="3614" spans="1:6" x14ac:dyDescent="0.3">
      <c r="A3614" t="s">
        <v>22</v>
      </c>
      <c r="B3614" s="1">
        <v>45808</v>
      </c>
      <c r="C3614">
        <v>14</v>
      </c>
      <c r="D3614">
        <v>0.04</v>
      </c>
      <c r="E3614" t="s">
        <v>6</v>
      </c>
      <c r="F3614">
        <v>3.8310000000000004E-2</v>
      </c>
    </row>
    <row r="3615" spans="1:6" x14ac:dyDescent="0.3">
      <c r="A3615" t="s">
        <v>22</v>
      </c>
      <c r="B3615" s="1">
        <v>45808</v>
      </c>
      <c r="C3615">
        <v>15</v>
      </c>
      <c r="D3615">
        <v>0.54900000000000004</v>
      </c>
      <c r="E3615" t="s">
        <v>6</v>
      </c>
      <c r="F3615">
        <v>3.8310000000000004E-2</v>
      </c>
    </row>
    <row r="3616" spans="1:6" x14ac:dyDescent="0.3">
      <c r="A3616" t="s">
        <v>22</v>
      </c>
      <c r="B3616" s="1">
        <v>45808</v>
      </c>
      <c r="C3616">
        <v>16</v>
      </c>
      <c r="D3616">
        <v>1.7999999999999999E-2</v>
      </c>
      <c r="E3616" t="s">
        <v>6</v>
      </c>
      <c r="F3616">
        <v>4.2049999999999997E-2</v>
      </c>
    </row>
    <row r="3617" spans="1:6" x14ac:dyDescent="0.3">
      <c r="A3617" t="s">
        <v>22</v>
      </c>
      <c r="B3617" s="1">
        <v>45808</v>
      </c>
      <c r="C3617">
        <v>17</v>
      </c>
      <c r="D3617">
        <v>0.76500000000000001</v>
      </c>
      <c r="E3617" t="s">
        <v>6</v>
      </c>
      <c r="F3617">
        <v>4.5700000000000005E-2</v>
      </c>
    </row>
    <row r="3618" spans="1:6" x14ac:dyDescent="0.3">
      <c r="A3618" t="s">
        <v>22</v>
      </c>
      <c r="B3618" s="1">
        <v>45808</v>
      </c>
      <c r="C3618">
        <v>18</v>
      </c>
      <c r="D3618">
        <v>0.36499999999999999</v>
      </c>
      <c r="E3618" t="s">
        <v>6</v>
      </c>
      <c r="F3618">
        <v>4.5649999999999996E-2</v>
      </c>
    </row>
    <row r="3619" spans="1:6" x14ac:dyDescent="0.3">
      <c r="A3619" t="s">
        <v>22</v>
      </c>
      <c r="B3619" s="1">
        <v>45808</v>
      </c>
      <c r="C3619">
        <v>19</v>
      </c>
      <c r="D3619">
        <v>0.71399999999999997</v>
      </c>
      <c r="E3619" t="s">
        <v>6</v>
      </c>
      <c r="F3619">
        <v>4.897E-2</v>
      </c>
    </row>
    <row r="3620" spans="1:6" x14ac:dyDescent="0.3">
      <c r="A3620" t="s">
        <v>22</v>
      </c>
      <c r="B3620" s="1">
        <v>45808</v>
      </c>
      <c r="C3620">
        <v>20</v>
      </c>
      <c r="D3620">
        <v>1.194</v>
      </c>
      <c r="E3620" t="s">
        <v>6</v>
      </c>
      <c r="F3620">
        <v>8.4169999999999995E-2</v>
      </c>
    </row>
    <row r="3621" spans="1:6" x14ac:dyDescent="0.3">
      <c r="A3621" t="s">
        <v>22</v>
      </c>
      <c r="B3621" s="1">
        <v>45808</v>
      </c>
      <c r="C3621">
        <v>21</v>
      </c>
      <c r="D3621">
        <v>0.753</v>
      </c>
      <c r="E3621" t="s">
        <v>6</v>
      </c>
      <c r="F3621">
        <v>0.11981</v>
      </c>
    </row>
    <row r="3622" spans="1:6" x14ac:dyDescent="0.3">
      <c r="A3622" t="s">
        <v>22</v>
      </c>
      <c r="B3622" s="1">
        <v>45808</v>
      </c>
      <c r="C3622">
        <v>22</v>
      </c>
      <c r="D3622">
        <v>0.186</v>
      </c>
      <c r="E3622" t="s">
        <v>6</v>
      </c>
      <c r="F3622">
        <v>0.11915000000000001</v>
      </c>
    </row>
    <row r="3623" spans="1:6" x14ac:dyDescent="0.3">
      <c r="A3623" t="s">
        <v>22</v>
      </c>
      <c r="B3623" s="1">
        <v>45808</v>
      </c>
      <c r="C3623">
        <v>23</v>
      </c>
      <c r="D3623">
        <v>0.64600000000000002</v>
      </c>
      <c r="E3623" t="s">
        <v>6</v>
      </c>
      <c r="F3623">
        <v>0.12716</v>
      </c>
    </row>
    <row r="3624" spans="1:6" x14ac:dyDescent="0.3">
      <c r="A3624" t="s">
        <v>22</v>
      </c>
      <c r="B3624" s="1">
        <v>45808</v>
      </c>
      <c r="C3624">
        <v>24</v>
      </c>
      <c r="D3624">
        <v>0.316</v>
      </c>
      <c r="E3624" t="s">
        <v>6</v>
      </c>
      <c r="F3624">
        <v>0.11584</v>
      </c>
    </row>
    <row r="3625" spans="1:6" x14ac:dyDescent="0.3">
      <c r="A3625" t="s">
        <v>22</v>
      </c>
      <c r="B3625" s="1">
        <v>45809</v>
      </c>
      <c r="C3625">
        <v>1</v>
      </c>
      <c r="D3625">
        <v>0.24299999999999999</v>
      </c>
      <c r="E3625" t="s">
        <v>6</v>
      </c>
      <c r="F3625">
        <v>0.1245</v>
      </c>
    </row>
    <row r="3626" spans="1:6" x14ac:dyDescent="0.3">
      <c r="A3626" t="s">
        <v>22</v>
      </c>
      <c r="B3626" s="1">
        <v>45809</v>
      </c>
      <c r="C3626">
        <v>2</v>
      </c>
      <c r="D3626">
        <v>0.17399999999999999</v>
      </c>
      <c r="E3626" t="s">
        <v>6</v>
      </c>
      <c r="F3626">
        <v>0.10321</v>
      </c>
    </row>
    <row r="3627" spans="1:6" x14ac:dyDescent="0.3">
      <c r="A3627" t="s">
        <v>22</v>
      </c>
      <c r="B3627" s="1">
        <v>45809</v>
      </c>
      <c r="C3627">
        <v>3</v>
      </c>
      <c r="D3627">
        <v>0.155</v>
      </c>
      <c r="E3627" t="s">
        <v>6</v>
      </c>
      <c r="F3627">
        <v>0.10467</v>
      </c>
    </row>
    <row r="3628" spans="1:6" x14ac:dyDescent="0.3">
      <c r="A3628" t="s">
        <v>22</v>
      </c>
      <c r="B3628" s="1">
        <v>45809</v>
      </c>
      <c r="C3628">
        <v>4</v>
      </c>
      <c r="D3628">
        <v>0.14099999999999999</v>
      </c>
      <c r="E3628" t="s">
        <v>6</v>
      </c>
      <c r="F3628">
        <v>0.10564</v>
      </c>
    </row>
    <row r="3629" spans="1:6" x14ac:dyDescent="0.3">
      <c r="A3629" t="s">
        <v>22</v>
      </c>
      <c r="B3629" s="1">
        <v>45809</v>
      </c>
      <c r="C3629">
        <v>5</v>
      </c>
      <c r="D3629">
        <v>0.13400000000000001</v>
      </c>
      <c r="E3629" t="s">
        <v>6</v>
      </c>
      <c r="F3629">
        <v>0.10736</v>
      </c>
    </row>
    <row r="3630" spans="1:6" x14ac:dyDescent="0.3">
      <c r="A3630" t="s">
        <v>22</v>
      </c>
      <c r="B3630" s="1">
        <v>45809</v>
      </c>
      <c r="C3630">
        <v>6</v>
      </c>
      <c r="D3630">
        <v>0.16200000000000001</v>
      </c>
      <c r="E3630" t="s">
        <v>6</v>
      </c>
      <c r="F3630">
        <v>0.10929000000000001</v>
      </c>
    </row>
    <row r="3631" spans="1:6" x14ac:dyDescent="0.3">
      <c r="A3631" t="s">
        <v>22</v>
      </c>
      <c r="B3631" s="1">
        <v>45809</v>
      </c>
      <c r="C3631">
        <v>7</v>
      </c>
      <c r="D3631">
        <v>4.4999999999999998E-2</v>
      </c>
      <c r="E3631" t="s">
        <v>6</v>
      </c>
      <c r="F3631">
        <v>0.10919</v>
      </c>
    </row>
    <row r="3632" spans="1:6" x14ac:dyDescent="0.3">
      <c r="A3632" t="s">
        <v>22</v>
      </c>
      <c r="B3632" s="1">
        <v>45809</v>
      </c>
      <c r="C3632">
        <v>8</v>
      </c>
      <c r="D3632">
        <v>0</v>
      </c>
      <c r="E3632" t="s">
        <v>6</v>
      </c>
      <c r="F3632">
        <v>0.15683000000000002</v>
      </c>
    </row>
    <row r="3633" spans="1:6" x14ac:dyDescent="0.3">
      <c r="A3633" t="s">
        <v>22</v>
      </c>
      <c r="B3633" s="1">
        <v>45809</v>
      </c>
      <c r="C3633">
        <v>9</v>
      </c>
      <c r="D3633">
        <v>0</v>
      </c>
      <c r="E3633" t="s">
        <v>6</v>
      </c>
      <c r="F3633">
        <v>8.1599999999999992E-2</v>
      </c>
    </row>
    <row r="3634" spans="1:6" x14ac:dyDescent="0.3">
      <c r="A3634" t="s">
        <v>22</v>
      </c>
      <c r="B3634" s="1">
        <v>45809</v>
      </c>
      <c r="C3634">
        <v>10</v>
      </c>
      <c r="D3634">
        <v>0</v>
      </c>
      <c r="E3634" t="s">
        <v>6</v>
      </c>
      <c r="F3634">
        <v>6.3070000000000001E-2</v>
      </c>
    </row>
    <row r="3635" spans="1:6" x14ac:dyDescent="0.3">
      <c r="A3635" t="s">
        <v>22</v>
      </c>
      <c r="B3635" s="1">
        <v>45809</v>
      </c>
      <c r="C3635">
        <v>11</v>
      </c>
      <c r="D3635">
        <v>0</v>
      </c>
      <c r="E3635" t="s">
        <v>6</v>
      </c>
      <c r="F3635">
        <v>5.9760000000000001E-2</v>
      </c>
    </row>
    <row r="3636" spans="1:6" x14ac:dyDescent="0.3">
      <c r="A3636" t="s">
        <v>22</v>
      </c>
      <c r="B3636" s="1">
        <v>45809</v>
      </c>
      <c r="C3636">
        <v>12</v>
      </c>
      <c r="D3636">
        <v>0</v>
      </c>
      <c r="E3636" t="s">
        <v>6</v>
      </c>
      <c r="F3636">
        <v>6.3149999999999998E-2</v>
      </c>
    </row>
    <row r="3637" spans="1:6" x14ac:dyDescent="0.3">
      <c r="A3637" t="s">
        <v>22</v>
      </c>
      <c r="B3637" s="1">
        <v>45809</v>
      </c>
      <c r="C3637">
        <v>13</v>
      </c>
      <c r="D3637">
        <v>0</v>
      </c>
      <c r="E3637" t="s">
        <v>6</v>
      </c>
      <c r="F3637">
        <v>5.9979999999999999E-2</v>
      </c>
    </row>
    <row r="3638" spans="1:6" x14ac:dyDescent="0.3">
      <c r="A3638" t="s">
        <v>22</v>
      </c>
      <c r="B3638" s="1">
        <v>45809</v>
      </c>
      <c r="C3638">
        <v>14</v>
      </c>
      <c r="D3638">
        <v>0</v>
      </c>
      <c r="E3638" t="s">
        <v>6</v>
      </c>
      <c r="F3638">
        <v>5.8279999999999998E-2</v>
      </c>
    </row>
    <row r="3639" spans="1:6" x14ac:dyDescent="0.3">
      <c r="A3639" t="s">
        <v>22</v>
      </c>
      <c r="B3639" s="1">
        <v>45809</v>
      </c>
      <c r="C3639">
        <v>15</v>
      </c>
      <c r="D3639">
        <v>0</v>
      </c>
      <c r="E3639" t="s">
        <v>6</v>
      </c>
      <c r="F3639">
        <v>5.8020000000000002E-2</v>
      </c>
    </row>
    <row r="3640" spans="1:6" x14ac:dyDescent="0.3">
      <c r="A3640" t="s">
        <v>22</v>
      </c>
      <c r="B3640" s="1">
        <v>45809</v>
      </c>
      <c r="C3640">
        <v>16</v>
      </c>
      <c r="D3640">
        <v>0</v>
      </c>
      <c r="E3640" t="s">
        <v>6</v>
      </c>
      <c r="F3640">
        <v>6.0600000000000001E-2</v>
      </c>
    </row>
    <row r="3641" spans="1:6" x14ac:dyDescent="0.3">
      <c r="A3641" t="s">
        <v>22</v>
      </c>
      <c r="B3641" s="1">
        <v>45809</v>
      </c>
      <c r="C3641">
        <v>17</v>
      </c>
      <c r="D3641">
        <v>0</v>
      </c>
      <c r="E3641" t="s">
        <v>6</v>
      </c>
      <c r="F3641">
        <v>6.1340000000000006E-2</v>
      </c>
    </row>
    <row r="3642" spans="1:6" x14ac:dyDescent="0.3">
      <c r="A3642" t="s">
        <v>22</v>
      </c>
      <c r="B3642" s="1">
        <v>45809</v>
      </c>
      <c r="C3642">
        <v>18</v>
      </c>
      <c r="D3642">
        <v>0</v>
      </c>
      <c r="E3642" t="s">
        <v>6</v>
      </c>
      <c r="F3642">
        <v>6.5610000000000002E-2</v>
      </c>
    </row>
    <row r="3643" spans="1:6" x14ac:dyDescent="0.3">
      <c r="A3643" t="s">
        <v>22</v>
      </c>
      <c r="B3643" s="1">
        <v>45809</v>
      </c>
      <c r="C3643">
        <v>19</v>
      </c>
      <c r="D3643">
        <v>1.048</v>
      </c>
      <c r="E3643" t="s">
        <v>6</v>
      </c>
      <c r="F3643">
        <v>6.6420000000000007E-2</v>
      </c>
    </row>
    <row r="3644" spans="1:6" x14ac:dyDescent="0.3">
      <c r="A3644" t="s">
        <v>22</v>
      </c>
      <c r="B3644" s="1">
        <v>45809</v>
      </c>
      <c r="C3644">
        <v>20</v>
      </c>
      <c r="D3644">
        <v>0.46800000000000003</v>
      </c>
      <c r="E3644" t="s">
        <v>6</v>
      </c>
      <c r="F3644">
        <v>9.1900000000000009E-2</v>
      </c>
    </row>
    <row r="3645" spans="1:6" x14ac:dyDescent="0.3">
      <c r="A3645" t="s">
        <v>22</v>
      </c>
      <c r="B3645" s="1">
        <v>45809</v>
      </c>
      <c r="C3645">
        <v>21</v>
      </c>
      <c r="D3645">
        <v>0.95899999999999996</v>
      </c>
      <c r="E3645" t="s">
        <v>6</v>
      </c>
      <c r="F3645">
        <v>0.10368000000000001</v>
      </c>
    </row>
    <row r="3646" spans="1:6" x14ac:dyDescent="0.3">
      <c r="A3646" t="s">
        <v>22</v>
      </c>
      <c r="B3646" s="1">
        <v>45809</v>
      </c>
      <c r="C3646">
        <v>22</v>
      </c>
      <c r="D3646">
        <v>1.7410000000000001</v>
      </c>
      <c r="E3646" t="s">
        <v>6</v>
      </c>
      <c r="F3646">
        <v>9.7879999999999995E-2</v>
      </c>
    </row>
    <row r="3647" spans="1:6" x14ac:dyDescent="0.3">
      <c r="A3647" t="s">
        <v>22</v>
      </c>
      <c r="B3647" s="1">
        <v>45809</v>
      </c>
      <c r="C3647">
        <v>23</v>
      </c>
      <c r="D3647">
        <v>0.98099999999999998</v>
      </c>
      <c r="E3647" t="s">
        <v>6</v>
      </c>
      <c r="F3647">
        <v>0.11247</v>
      </c>
    </row>
    <row r="3648" spans="1:6" x14ac:dyDescent="0.3">
      <c r="A3648" t="s">
        <v>22</v>
      </c>
      <c r="B3648" s="1">
        <v>45809</v>
      </c>
      <c r="C3648">
        <v>24</v>
      </c>
      <c r="D3648">
        <v>0.34699999999999998</v>
      </c>
      <c r="E3648" t="s">
        <v>6</v>
      </c>
      <c r="F3648">
        <v>9.8680000000000004E-2</v>
      </c>
    </row>
    <row r="3649" spans="1:6" x14ac:dyDescent="0.3">
      <c r="A3649" t="s">
        <v>22</v>
      </c>
      <c r="B3649" s="1">
        <v>45810</v>
      </c>
      <c r="C3649">
        <v>1</v>
      </c>
      <c r="D3649">
        <v>0.21199999999999999</v>
      </c>
      <c r="E3649" t="s">
        <v>6</v>
      </c>
      <c r="F3649">
        <v>9.3540000000000012E-2</v>
      </c>
    </row>
    <row r="3650" spans="1:6" x14ac:dyDescent="0.3">
      <c r="A3650" t="s">
        <v>22</v>
      </c>
      <c r="B3650" s="1">
        <v>45810</v>
      </c>
      <c r="C3650">
        <v>2</v>
      </c>
      <c r="D3650">
        <v>0.17299999999999999</v>
      </c>
      <c r="E3650" t="s">
        <v>6</v>
      </c>
      <c r="F3650">
        <v>9.1900000000000009E-2</v>
      </c>
    </row>
    <row r="3651" spans="1:6" x14ac:dyDescent="0.3">
      <c r="A3651" t="s">
        <v>22</v>
      </c>
      <c r="B3651" s="1">
        <v>45810</v>
      </c>
      <c r="C3651">
        <v>3</v>
      </c>
      <c r="D3651">
        <v>0.222</v>
      </c>
      <c r="E3651" t="s">
        <v>6</v>
      </c>
      <c r="F3651">
        <v>9.3189999999999995E-2</v>
      </c>
    </row>
    <row r="3652" spans="1:6" x14ac:dyDescent="0.3">
      <c r="A3652" t="s">
        <v>22</v>
      </c>
      <c r="B3652" s="1">
        <v>45810</v>
      </c>
      <c r="C3652">
        <v>4</v>
      </c>
      <c r="D3652">
        <v>0.13400000000000001</v>
      </c>
      <c r="E3652" t="s">
        <v>6</v>
      </c>
      <c r="F3652">
        <v>8.6639999999999995E-2</v>
      </c>
    </row>
    <row r="3653" spans="1:6" x14ac:dyDescent="0.3">
      <c r="A3653" t="s">
        <v>22</v>
      </c>
      <c r="B3653" s="1">
        <v>45810</v>
      </c>
      <c r="C3653">
        <v>5</v>
      </c>
      <c r="D3653">
        <v>0.17599999999999999</v>
      </c>
      <c r="E3653" t="s">
        <v>6</v>
      </c>
      <c r="F3653">
        <v>8.7749999999999995E-2</v>
      </c>
    </row>
    <row r="3654" spans="1:6" x14ac:dyDescent="0.3">
      <c r="A3654" t="s">
        <v>22</v>
      </c>
      <c r="B3654" s="1">
        <v>45810</v>
      </c>
      <c r="C3654">
        <v>6</v>
      </c>
      <c r="D3654">
        <v>0.128</v>
      </c>
      <c r="E3654" t="s">
        <v>6</v>
      </c>
      <c r="F3654">
        <v>8.4669999999999995E-2</v>
      </c>
    </row>
    <row r="3655" spans="1:6" x14ac:dyDescent="0.3">
      <c r="A3655" t="s">
        <v>22</v>
      </c>
      <c r="B3655" s="1">
        <v>45810</v>
      </c>
      <c r="C3655">
        <v>7</v>
      </c>
      <c r="D3655">
        <v>0.187</v>
      </c>
      <c r="E3655" t="s">
        <v>6</v>
      </c>
      <c r="F3655">
        <v>9.9650000000000002E-2</v>
      </c>
    </row>
    <row r="3656" spans="1:6" x14ac:dyDescent="0.3">
      <c r="A3656" t="s">
        <v>22</v>
      </c>
      <c r="B3656" s="1">
        <v>45810</v>
      </c>
      <c r="C3656">
        <v>8</v>
      </c>
      <c r="D3656">
        <v>1.429</v>
      </c>
      <c r="E3656" t="s">
        <v>6</v>
      </c>
      <c r="F3656">
        <v>0.10440000000000001</v>
      </c>
    </row>
    <row r="3657" spans="1:6" x14ac:dyDescent="0.3">
      <c r="A3657" t="s">
        <v>22</v>
      </c>
      <c r="B3657" s="1">
        <v>45810</v>
      </c>
      <c r="C3657">
        <v>9</v>
      </c>
      <c r="D3657">
        <v>0</v>
      </c>
      <c r="E3657" t="s">
        <v>6</v>
      </c>
      <c r="F3657">
        <v>0.13434000000000001</v>
      </c>
    </row>
    <row r="3658" spans="1:6" x14ac:dyDescent="0.3">
      <c r="A3658" t="s">
        <v>22</v>
      </c>
      <c r="B3658" s="1">
        <v>45810</v>
      </c>
      <c r="C3658">
        <v>10</v>
      </c>
      <c r="D3658">
        <v>1.2999999999999999E-2</v>
      </c>
      <c r="E3658" t="s">
        <v>6</v>
      </c>
      <c r="F3658">
        <v>0.12081</v>
      </c>
    </row>
    <row r="3659" spans="1:6" x14ac:dyDescent="0.3">
      <c r="A3659" t="s">
        <v>22</v>
      </c>
      <c r="B3659" s="1">
        <v>45810</v>
      </c>
      <c r="C3659">
        <v>11</v>
      </c>
      <c r="D3659">
        <v>0</v>
      </c>
      <c r="E3659" t="s">
        <v>6</v>
      </c>
      <c r="F3659">
        <v>0.16219</v>
      </c>
    </row>
    <row r="3660" spans="1:6" x14ac:dyDescent="0.3">
      <c r="A3660" t="s">
        <v>22</v>
      </c>
      <c r="B3660" s="1">
        <v>45810</v>
      </c>
      <c r="C3660">
        <v>12</v>
      </c>
      <c r="D3660">
        <v>0</v>
      </c>
      <c r="E3660" t="s">
        <v>6</v>
      </c>
      <c r="F3660">
        <v>0.14632000000000001</v>
      </c>
    </row>
    <row r="3661" spans="1:6" x14ac:dyDescent="0.3">
      <c r="A3661" t="s">
        <v>22</v>
      </c>
      <c r="B3661" s="1">
        <v>45810</v>
      </c>
      <c r="C3661">
        <v>13</v>
      </c>
      <c r="D3661">
        <v>0</v>
      </c>
      <c r="E3661" t="s">
        <v>6</v>
      </c>
      <c r="F3661">
        <v>0.14388999999999999</v>
      </c>
    </row>
    <row r="3662" spans="1:6" x14ac:dyDescent="0.3">
      <c r="A3662" t="s">
        <v>22</v>
      </c>
      <c r="B3662" s="1">
        <v>45810</v>
      </c>
      <c r="C3662">
        <v>14</v>
      </c>
      <c r="D3662">
        <v>0</v>
      </c>
      <c r="E3662" t="s">
        <v>6</v>
      </c>
      <c r="F3662">
        <v>0.14050000000000001</v>
      </c>
    </row>
    <row r="3663" spans="1:6" x14ac:dyDescent="0.3">
      <c r="A3663" t="s">
        <v>22</v>
      </c>
      <c r="B3663" s="1">
        <v>45810</v>
      </c>
      <c r="C3663">
        <v>15</v>
      </c>
      <c r="D3663">
        <v>0.158</v>
      </c>
      <c r="E3663" t="s">
        <v>6</v>
      </c>
      <c r="F3663">
        <v>7.5019999999999989E-2</v>
      </c>
    </row>
    <row r="3664" spans="1:6" x14ac:dyDescent="0.3">
      <c r="A3664" t="s">
        <v>22</v>
      </c>
      <c r="B3664" s="1">
        <v>45810</v>
      </c>
      <c r="C3664">
        <v>16</v>
      </c>
      <c r="D3664">
        <v>0</v>
      </c>
      <c r="E3664" t="s">
        <v>6</v>
      </c>
      <c r="F3664">
        <v>7.5639999999999999E-2</v>
      </c>
    </row>
    <row r="3665" spans="1:6" x14ac:dyDescent="0.3">
      <c r="A3665" t="s">
        <v>22</v>
      </c>
      <c r="B3665" s="1">
        <v>45810</v>
      </c>
      <c r="C3665">
        <v>17</v>
      </c>
      <c r="D3665">
        <v>0</v>
      </c>
      <c r="E3665" t="s">
        <v>6</v>
      </c>
      <c r="F3665">
        <v>7.5900000000000009E-2</v>
      </c>
    </row>
    <row r="3666" spans="1:6" x14ac:dyDescent="0.3">
      <c r="A3666" t="s">
        <v>22</v>
      </c>
      <c r="B3666" s="1">
        <v>45810</v>
      </c>
      <c r="C3666">
        <v>18</v>
      </c>
      <c r="D3666">
        <v>0</v>
      </c>
      <c r="E3666" t="s">
        <v>6</v>
      </c>
      <c r="F3666">
        <v>7.7709999999999987E-2</v>
      </c>
    </row>
    <row r="3667" spans="1:6" x14ac:dyDescent="0.3">
      <c r="A3667" t="s">
        <v>22</v>
      </c>
      <c r="B3667" s="1">
        <v>45810</v>
      </c>
      <c r="C3667">
        <v>19</v>
      </c>
      <c r="D3667">
        <v>0</v>
      </c>
      <c r="E3667" t="s">
        <v>6</v>
      </c>
      <c r="F3667">
        <v>0.16072</v>
      </c>
    </row>
    <row r="3668" spans="1:6" x14ac:dyDescent="0.3">
      <c r="A3668" t="s">
        <v>22</v>
      </c>
      <c r="B3668" s="1">
        <v>45810</v>
      </c>
      <c r="C3668">
        <v>20</v>
      </c>
      <c r="D3668">
        <v>0</v>
      </c>
      <c r="E3668" t="s">
        <v>6</v>
      </c>
      <c r="F3668">
        <v>0.18647</v>
      </c>
    </row>
    <row r="3669" spans="1:6" x14ac:dyDescent="0.3">
      <c r="A3669" t="s">
        <v>22</v>
      </c>
      <c r="B3669" s="1">
        <v>45810</v>
      </c>
      <c r="C3669">
        <v>21</v>
      </c>
      <c r="D3669">
        <v>0.107</v>
      </c>
      <c r="E3669" t="s">
        <v>6</v>
      </c>
      <c r="F3669">
        <v>0.23583999999999999</v>
      </c>
    </row>
    <row r="3670" spans="1:6" x14ac:dyDescent="0.3">
      <c r="A3670" t="s">
        <v>22</v>
      </c>
      <c r="B3670" s="1">
        <v>45810</v>
      </c>
      <c r="C3670">
        <v>22</v>
      </c>
      <c r="D3670">
        <v>0.34899999999999998</v>
      </c>
      <c r="E3670" t="s">
        <v>6</v>
      </c>
      <c r="F3670">
        <v>0.24578999999999998</v>
      </c>
    </row>
    <row r="3671" spans="1:6" x14ac:dyDescent="0.3">
      <c r="A3671" t="s">
        <v>22</v>
      </c>
      <c r="B3671" s="1">
        <v>45810</v>
      </c>
      <c r="C3671">
        <v>23</v>
      </c>
      <c r="D3671">
        <v>0.60299999999999998</v>
      </c>
      <c r="E3671" t="s">
        <v>6</v>
      </c>
      <c r="F3671">
        <v>0.17934</v>
      </c>
    </row>
    <row r="3672" spans="1:6" x14ac:dyDescent="0.3">
      <c r="A3672" t="s">
        <v>22</v>
      </c>
      <c r="B3672" s="1">
        <v>45810</v>
      </c>
      <c r="C3672">
        <v>24</v>
      </c>
      <c r="D3672">
        <v>0.27</v>
      </c>
      <c r="E3672" t="s">
        <v>6</v>
      </c>
      <c r="F3672">
        <v>0.14792</v>
      </c>
    </row>
    <row r="3673" spans="1:6" x14ac:dyDescent="0.3">
      <c r="A3673" t="s">
        <v>22</v>
      </c>
      <c r="B3673" s="1">
        <v>45811</v>
      </c>
      <c r="C3673">
        <v>1</v>
      </c>
      <c r="D3673">
        <v>0.20799999999999999</v>
      </c>
      <c r="E3673" t="s">
        <v>6</v>
      </c>
      <c r="F3673">
        <v>0.12966999999999998</v>
      </c>
    </row>
    <row r="3674" spans="1:6" x14ac:dyDescent="0.3">
      <c r="A3674" t="s">
        <v>22</v>
      </c>
      <c r="B3674" s="1">
        <v>45811</v>
      </c>
      <c r="C3674">
        <v>2</v>
      </c>
      <c r="D3674">
        <v>0.19700000000000001</v>
      </c>
      <c r="E3674" t="s">
        <v>6</v>
      </c>
      <c r="F3674">
        <v>0.1211</v>
      </c>
    </row>
    <row r="3675" spans="1:6" x14ac:dyDescent="0.3">
      <c r="A3675" t="s">
        <v>22</v>
      </c>
      <c r="B3675" s="1">
        <v>45811</v>
      </c>
      <c r="C3675">
        <v>3</v>
      </c>
      <c r="D3675">
        <v>0.20899999999999999</v>
      </c>
      <c r="E3675" t="s">
        <v>6</v>
      </c>
      <c r="F3675">
        <v>0.12204999999999999</v>
      </c>
    </row>
    <row r="3676" spans="1:6" x14ac:dyDescent="0.3">
      <c r="A3676" t="s">
        <v>22</v>
      </c>
      <c r="B3676" s="1">
        <v>45811</v>
      </c>
      <c r="C3676">
        <v>4</v>
      </c>
      <c r="D3676">
        <v>0.19800000000000001</v>
      </c>
      <c r="E3676" t="s">
        <v>6</v>
      </c>
      <c r="F3676">
        <v>0.11906</v>
      </c>
    </row>
    <row r="3677" spans="1:6" x14ac:dyDescent="0.3">
      <c r="A3677" t="s">
        <v>22</v>
      </c>
      <c r="B3677" s="1">
        <v>45811</v>
      </c>
      <c r="C3677">
        <v>5</v>
      </c>
      <c r="D3677">
        <v>0.13600000000000001</v>
      </c>
      <c r="E3677" t="s">
        <v>6</v>
      </c>
      <c r="F3677">
        <v>0.1192</v>
      </c>
    </row>
    <row r="3678" spans="1:6" x14ac:dyDescent="0.3">
      <c r="A3678" t="s">
        <v>22</v>
      </c>
      <c r="B3678" s="1">
        <v>45811</v>
      </c>
      <c r="C3678">
        <v>6</v>
      </c>
      <c r="D3678">
        <v>1.409</v>
      </c>
      <c r="E3678" t="s">
        <v>6</v>
      </c>
      <c r="F3678">
        <v>0.12905</v>
      </c>
    </row>
    <row r="3679" spans="1:6" x14ac:dyDescent="0.3">
      <c r="A3679" t="s">
        <v>22</v>
      </c>
      <c r="B3679" s="1">
        <v>45811</v>
      </c>
      <c r="C3679">
        <v>7</v>
      </c>
      <c r="D3679">
        <v>0.11799999999999999</v>
      </c>
      <c r="E3679" t="s">
        <v>6</v>
      </c>
      <c r="F3679">
        <v>0.14530999999999999</v>
      </c>
    </row>
    <row r="3680" spans="1:6" x14ac:dyDescent="0.3">
      <c r="A3680" t="s">
        <v>22</v>
      </c>
      <c r="B3680" s="1">
        <v>45811</v>
      </c>
      <c r="C3680">
        <v>8</v>
      </c>
      <c r="D3680">
        <v>1.0999999999999999E-2</v>
      </c>
      <c r="E3680" t="s">
        <v>6</v>
      </c>
      <c r="F3680">
        <v>0.15562000000000001</v>
      </c>
    </row>
    <row r="3681" spans="1:6" x14ac:dyDescent="0.3">
      <c r="A3681" t="s">
        <v>22</v>
      </c>
      <c r="B3681" s="1">
        <v>45811</v>
      </c>
      <c r="C3681">
        <v>9</v>
      </c>
      <c r="D3681">
        <v>3.2090000000000001</v>
      </c>
      <c r="E3681" t="s">
        <v>6</v>
      </c>
      <c r="F3681">
        <v>0.15143999999999999</v>
      </c>
    </row>
    <row r="3682" spans="1:6" x14ac:dyDescent="0.3">
      <c r="A3682" t="s">
        <v>22</v>
      </c>
      <c r="B3682" s="1">
        <v>45811</v>
      </c>
      <c r="C3682">
        <v>10</v>
      </c>
      <c r="D3682">
        <v>4.57</v>
      </c>
      <c r="E3682" t="s">
        <v>6</v>
      </c>
      <c r="F3682">
        <v>0.12093000000000001</v>
      </c>
    </row>
    <row r="3683" spans="1:6" x14ac:dyDescent="0.3">
      <c r="A3683" t="s">
        <v>22</v>
      </c>
      <c r="B3683" s="1">
        <v>45811</v>
      </c>
      <c r="C3683">
        <v>11</v>
      </c>
      <c r="D3683">
        <v>0</v>
      </c>
      <c r="E3683" t="s">
        <v>6</v>
      </c>
      <c r="F3683">
        <v>0.16377</v>
      </c>
    </row>
    <row r="3684" spans="1:6" x14ac:dyDescent="0.3">
      <c r="A3684" t="s">
        <v>22</v>
      </c>
      <c r="B3684" s="1">
        <v>45811</v>
      </c>
      <c r="C3684">
        <v>12</v>
      </c>
      <c r="D3684">
        <v>0</v>
      </c>
      <c r="E3684" t="s">
        <v>6</v>
      </c>
      <c r="F3684">
        <v>0.13347000000000001</v>
      </c>
    </row>
    <row r="3685" spans="1:6" x14ac:dyDescent="0.3">
      <c r="A3685" t="s">
        <v>22</v>
      </c>
      <c r="B3685" s="1">
        <v>45811</v>
      </c>
      <c r="C3685">
        <v>13</v>
      </c>
      <c r="D3685">
        <v>0</v>
      </c>
      <c r="E3685" t="s">
        <v>6</v>
      </c>
      <c r="F3685">
        <v>0.12900999999999999</v>
      </c>
    </row>
    <row r="3686" spans="1:6" x14ac:dyDescent="0.3">
      <c r="A3686" t="s">
        <v>22</v>
      </c>
      <c r="B3686" s="1">
        <v>45811</v>
      </c>
      <c r="C3686">
        <v>14</v>
      </c>
      <c r="D3686">
        <v>0</v>
      </c>
      <c r="E3686" t="s">
        <v>6</v>
      </c>
      <c r="F3686">
        <v>0.12518000000000001</v>
      </c>
    </row>
    <row r="3687" spans="1:6" x14ac:dyDescent="0.3">
      <c r="A3687" t="s">
        <v>22</v>
      </c>
      <c r="B3687" s="1">
        <v>45811</v>
      </c>
      <c r="C3687">
        <v>15</v>
      </c>
      <c r="D3687">
        <v>0.80800000000000005</v>
      </c>
      <c r="E3687" t="s">
        <v>6</v>
      </c>
      <c r="F3687">
        <v>6.0159999999999998E-2</v>
      </c>
    </row>
    <row r="3688" spans="1:6" x14ac:dyDescent="0.3">
      <c r="A3688" t="s">
        <v>22</v>
      </c>
      <c r="B3688" s="1">
        <v>45811</v>
      </c>
      <c r="C3688">
        <v>16</v>
      </c>
      <c r="D3688">
        <v>0</v>
      </c>
      <c r="E3688" t="s">
        <v>6</v>
      </c>
      <c r="F3688">
        <v>6.0749999999999998E-2</v>
      </c>
    </row>
    <row r="3689" spans="1:6" x14ac:dyDescent="0.3">
      <c r="A3689" t="s">
        <v>22</v>
      </c>
      <c r="B3689" s="1">
        <v>45811</v>
      </c>
      <c r="C3689">
        <v>17</v>
      </c>
      <c r="D3689">
        <v>0</v>
      </c>
      <c r="E3689" t="s">
        <v>6</v>
      </c>
      <c r="F3689">
        <v>6.1069999999999999E-2</v>
      </c>
    </row>
    <row r="3690" spans="1:6" x14ac:dyDescent="0.3">
      <c r="A3690" t="s">
        <v>22</v>
      </c>
      <c r="B3690" s="1">
        <v>45811</v>
      </c>
      <c r="C3690">
        <v>18</v>
      </c>
      <c r="D3690">
        <v>0</v>
      </c>
      <c r="E3690" t="s">
        <v>6</v>
      </c>
      <c r="F3690">
        <v>6.4340000000000008E-2</v>
      </c>
    </row>
    <row r="3691" spans="1:6" x14ac:dyDescent="0.3">
      <c r="A3691" t="s">
        <v>22</v>
      </c>
      <c r="B3691" s="1">
        <v>45811</v>
      </c>
      <c r="C3691">
        <v>19</v>
      </c>
      <c r="D3691">
        <v>0</v>
      </c>
      <c r="E3691" t="s">
        <v>6</v>
      </c>
      <c r="F3691">
        <v>0.14928</v>
      </c>
    </row>
    <row r="3692" spans="1:6" x14ac:dyDescent="0.3">
      <c r="A3692" t="s">
        <v>22</v>
      </c>
      <c r="B3692" s="1">
        <v>45811</v>
      </c>
      <c r="C3692">
        <v>20</v>
      </c>
      <c r="D3692">
        <v>0</v>
      </c>
      <c r="E3692" t="s">
        <v>6</v>
      </c>
      <c r="F3692">
        <v>0.1731</v>
      </c>
    </row>
    <row r="3693" spans="1:6" x14ac:dyDescent="0.3">
      <c r="A3693" t="s">
        <v>22</v>
      </c>
      <c r="B3693" s="1">
        <v>45811</v>
      </c>
      <c r="C3693">
        <v>21</v>
      </c>
      <c r="D3693">
        <v>2.6419999999999999</v>
      </c>
      <c r="E3693" t="s">
        <v>6</v>
      </c>
      <c r="F3693">
        <v>0.18875</v>
      </c>
    </row>
    <row r="3694" spans="1:6" x14ac:dyDescent="0.3">
      <c r="A3694" t="s">
        <v>22</v>
      </c>
      <c r="B3694" s="1">
        <v>45811</v>
      </c>
      <c r="C3694">
        <v>22</v>
      </c>
      <c r="D3694">
        <v>0.76500000000000001</v>
      </c>
      <c r="E3694" t="s">
        <v>6</v>
      </c>
      <c r="F3694">
        <v>0.24418000000000001</v>
      </c>
    </row>
    <row r="3695" spans="1:6" x14ac:dyDescent="0.3">
      <c r="A3695" t="s">
        <v>22</v>
      </c>
      <c r="B3695" s="1">
        <v>45811</v>
      </c>
      <c r="C3695">
        <v>23</v>
      </c>
      <c r="D3695">
        <v>0.442</v>
      </c>
      <c r="E3695" t="s">
        <v>6</v>
      </c>
      <c r="F3695">
        <v>0.18037</v>
      </c>
    </row>
    <row r="3696" spans="1:6" x14ac:dyDescent="0.3">
      <c r="A3696" t="s">
        <v>22</v>
      </c>
      <c r="B3696" s="1">
        <v>45811</v>
      </c>
      <c r="C3696">
        <v>24</v>
      </c>
      <c r="D3696">
        <v>0.192</v>
      </c>
      <c r="E3696" t="s">
        <v>6</v>
      </c>
      <c r="F3696">
        <v>0.16831000000000002</v>
      </c>
    </row>
    <row r="3697" spans="1:6" x14ac:dyDescent="0.3">
      <c r="A3697" t="s">
        <v>22</v>
      </c>
      <c r="B3697" s="1">
        <v>45812</v>
      </c>
      <c r="C3697">
        <v>1</v>
      </c>
      <c r="D3697">
        <v>0.24199999999999999</v>
      </c>
      <c r="E3697" t="s">
        <v>6</v>
      </c>
      <c r="F3697">
        <v>0.13569999999999999</v>
      </c>
    </row>
    <row r="3698" spans="1:6" x14ac:dyDescent="0.3">
      <c r="A3698" t="s">
        <v>22</v>
      </c>
      <c r="B3698" s="1">
        <v>45812</v>
      </c>
      <c r="C3698">
        <v>2</v>
      </c>
      <c r="D3698">
        <v>0.11700000000000001</v>
      </c>
      <c r="E3698" t="s">
        <v>6</v>
      </c>
      <c r="F3698">
        <v>0.1295</v>
      </c>
    </row>
    <row r="3699" spans="1:6" x14ac:dyDescent="0.3">
      <c r="A3699" t="s">
        <v>22</v>
      </c>
      <c r="B3699" s="1">
        <v>45812</v>
      </c>
      <c r="C3699">
        <v>3</v>
      </c>
      <c r="D3699">
        <v>0.183</v>
      </c>
      <c r="E3699" t="s">
        <v>6</v>
      </c>
      <c r="F3699">
        <v>0.12525</v>
      </c>
    </row>
    <row r="3700" spans="1:6" x14ac:dyDescent="0.3">
      <c r="A3700" t="s">
        <v>22</v>
      </c>
      <c r="B3700" s="1">
        <v>45812</v>
      </c>
      <c r="C3700">
        <v>4</v>
      </c>
      <c r="D3700">
        <v>0.16400000000000001</v>
      </c>
      <c r="E3700" t="s">
        <v>6</v>
      </c>
      <c r="F3700">
        <v>0.12218999999999999</v>
      </c>
    </row>
    <row r="3701" spans="1:6" x14ac:dyDescent="0.3">
      <c r="A3701" t="s">
        <v>22</v>
      </c>
      <c r="B3701" s="1">
        <v>45812</v>
      </c>
      <c r="C3701">
        <v>5</v>
      </c>
      <c r="D3701">
        <v>0.13100000000000001</v>
      </c>
      <c r="E3701" t="s">
        <v>6</v>
      </c>
      <c r="F3701">
        <v>0.12145</v>
      </c>
    </row>
    <row r="3702" spans="1:6" x14ac:dyDescent="0.3">
      <c r="A3702" t="s">
        <v>22</v>
      </c>
      <c r="B3702" s="1">
        <v>45812</v>
      </c>
      <c r="C3702">
        <v>6</v>
      </c>
      <c r="D3702">
        <v>0.17299999999999999</v>
      </c>
      <c r="E3702" t="s">
        <v>6</v>
      </c>
      <c r="F3702">
        <v>0.12731000000000001</v>
      </c>
    </row>
    <row r="3703" spans="1:6" x14ac:dyDescent="0.3">
      <c r="A3703" t="s">
        <v>22</v>
      </c>
      <c r="B3703" s="1">
        <v>45812</v>
      </c>
      <c r="C3703">
        <v>7</v>
      </c>
      <c r="D3703">
        <v>0.154</v>
      </c>
      <c r="E3703" t="s">
        <v>6</v>
      </c>
      <c r="F3703">
        <v>0.14383000000000001</v>
      </c>
    </row>
    <row r="3704" spans="1:6" x14ac:dyDescent="0.3">
      <c r="A3704" t="s">
        <v>22</v>
      </c>
      <c r="B3704" s="1">
        <v>45812</v>
      </c>
      <c r="C3704">
        <v>8</v>
      </c>
      <c r="D3704">
        <v>1.113</v>
      </c>
      <c r="E3704" t="s">
        <v>6</v>
      </c>
      <c r="F3704">
        <v>0.15118999999999999</v>
      </c>
    </row>
    <row r="3705" spans="1:6" x14ac:dyDescent="0.3">
      <c r="A3705" t="s">
        <v>22</v>
      </c>
      <c r="B3705" s="1">
        <v>45812</v>
      </c>
      <c r="C3705">
        <v>9</v>
      </c>
      <c r="D3705">
        <v>0.52200000000000002</v>
      </c>
      <c r="E3705" t="s">
        <v>6</v>
      </c>
      <c r="F3705">
        <v>0.14574000000000001</v>
      </c>
    </row>
    <row r="3706" spans="1:6" x14ac:dyDescent="0.3">
      <c r="A3706" t="s">
        <v>22</v>
      </c>
      <c r="B3706" s="1">
        <v>45812</v>
      </c>
      <c r="C3706">
        <v>10</v>
      </c>
      <c r="D3706">
        <v>2.8540000000000001</v>
      </c>
      <c r="E3706" t="s">
        <v>6</v>
      </c>
      <c r="F3706">
        <v>0.11315</v>
      </c>
    </row>
    <row r="3707" spans="1:6" x14ac:dyDescent="0.3">
      <c r="A3707" t="s">
        <v>22</v>
      </c>
      <c r="B3707" s="1">
        <v>45812</v>
      </c>
      <c r="C3707">
        <v>11</v>
      </c>
      <c r="D3707">
        <v>1.75</v>
      </c>
      <c r="E3707" t="s">
        <v>6</v>
      </c>
      <c r="F3707">
        <v>0.16006000000000001</v>
      </c>
    </row>
    <row r="3708" spans="1:6" x14ac:dyDescent="0.3">
      <c r="A3708" t="s">
        <v>22</v>
      </c>
      <c r="B3708" s="1">
        <v>45812</v>
      </c>
      <c r="C3708">
        <v>12</v>
      </c>
      <c r="D3708">
        <v>0.64900000000000002</v>
      </c>
      <c r="E3708" t="s">
        <v>6</v>
      </c>
      <c r="F3708">
        <v>0.12988999999999998</v>
      </c>
    </row>
    <row r="3709" spans="1:6" x14ac:dyDescent="0.3">
      <c r="A3709" t="s">
        <v>22</v>
      </c>
      <c r="B3709" s="1">
        <v>45812</v>
      </c>
      <c r="C3709">
        <v>13</v>
      </c>
      <c r="D3709">
        <v>0.52200000000000002</v>
      </c>
      <c r="E3709" t="s">
        <v>6</v>
      </c>
      <c r="F3709">
        <v>0.12840000000000001</v>
      </c>
    </row>
    <row r="3710" spans="1:6" x14ac:dyDescent="0.3">
      <c r="A3710" t="s">
        <v>22</v>
      </c>
      <c r="B3710" s="1">
        <v>45812</v>
      </c>
      <c r="C3710">
        <v>14</v>
      </c>
      <c r="D3710">
        <v>1.159</v>
      </c>
      <c r="E3710" t="s">
        <v>6</v>
      </c>
      <c r="F3710">
        <v>0.12556</v>
      </c>
    </row>
    <row r="3711" spans="1:6" x14ac:dyDescent="0.3">
      <c r="A3711" t="s">
        <v>22</v>
      </c>
      <c r="B3711" s="1">
        <v>45812</v>
      </c>
      <c r="C3711">
        <v>15</v>
      </c>
      <c r="D3711">
        <v>1.956</v>
      </c>
      <c r="E3711" t="s">
        <v>6</v>
      </c>
      <c r="F3711">
        <v>5.8470000000000001E-2</v>
      </c>
    </row>
    <row r="3712" spans="1:6" x14ac:dyDescent="0.3">
      <c r="A3712" t="s">
        <v>22</v>
      </c>
      <c r="B3712" s="1">
        <v>45812</v>
      </c>
      <c r="C3712">
        <v>16</v>
      </c>
      <c r="D3712">
        <v>4.4909999999999997</v>
      </c>
      <c r="E3712" t="s">
        <v>6</v>
      </c>
      <c r="F3712">
        <v>5.7340000000000002E-2</v>
      </c>
    </row>
    <row r="3713" spans="1:6" x14ac:dyDescent="0.3">
      <c r="A3713" t="s">
        <v>22</v>
      </c>
      <c r="B3713" s="1">
        <v>45812</v>
      </c>
      <c r="C3713">
        <v>17</v>
      </c>
      <c r="D3713">
        <v>1.603</v>
      </c>
      <c r="E3713" t="s">
        <v>6</v>
      </c>
      <c r="F3713">
        <v>5.7299999999999997E-2</v>
      </c>
    </row>
    <row r="3714" spans="1:6" x14ac:dyDescent="0.3">
      <c r="A3714" t="s">
        <v>22</v>
      </c>
      <c r="B3714" s="1">
        <v>45812</v>
      </c>
      <c r="C3714">
        <v>18</v>
      </c>
      <c r="D3714">
        <v>0.14799999999999999</v>
      </c>
      <c r="E3714" t="s">
        <v>6</v>
      </c>
      <c r="F3714">
        <v>6.412000000000001E-2</v>
      </c>
    </row>
    <row r="3715" spans="1:6" x14ac:dyDescent="0.3">
      <c r="A3715" t="s">
        <v>22</v>
      </c>
      <c r="B3715" s="1">
        <v>45812</v>
      </c>
      <c r="C3715">
        <v>19</v>
      </c>
      <c r="D3715">
        <v>0.13300000000000001</v>
      </c>
      <c r="E3715" t="s">
        <v>6</v>
      </c>
      <c r="F3715">
        <v>0.15738999999999997</v>
      </c>
    </row>
    <row r="3716" spans="1:6" x14ac:dyDescent="0.3">
      <c r="A3716" t="s">
        <v>22</v>
      </c>
      <c r="B3716" s="1">
        <v>45812</v>
      </c>
      <c r="C3716">
        <v>20</v>
      </c>
      <c r="D3716">
        <v>0.42099999999999999</v>
      </c>
      <c r="E3716" t="s">
        <v>6</v>
      </c>
      <c r="F3716">
        <v>0.19468000000000002</v>
      </c>
    </row>
    <row r="3717" spans="1:6" x14ac:dyDescent="0.3">
      <c r="A3717" t="s">
        <v>22</v>
      </c>
      <c r="B3717" s="1">
        <v>45812</v>
      </c>
      <c r="C3717">
        <v>21</v>
      </c>
      <c r="D3717">
        <v>1.204</v>
      </c>
      <c r="E3717" t="s">
        <v>6</v>
      </c>
      <c r="F3717">
        <v>0.24180000000000001</v>
      </c>
    </row>
    <row r="3718" spans="1:6" x14ac:dyDescent="0.3">
      <c r="A3718" t="s">
        <v>22</v>
      </c>
      <c r="B3718" s="1">
        <v>45812</v>
      </c>
      <c r="C3718">
        <v>22</v>
      </c>
      <c r="D3718">
        <v>1.38</v>
      </c>
      <c r="E3718" t="s">
        <v>6</v>
      </c>
      <c r="F3718">
        <v>0.26003999999999999</v>
      </c>
    </row>
    <row r="3719" spans="1:6" x14ac:dyDescent="0.3">
      <c r="A3719" t="s">
        <v>22</v>
      </c>
      <c r="B3719" s="1">
        <v>45812</v>
      </c>
      <c r="C3719">
        <v>23</v>
      </c>
      <c r="D3719">
        <v>1.9019999999999999</v>
      </c>
      <c r="E3719" t="s">
        <v>6</v>
      </c>
      <c r="F3719">
        <v>0.19097</v>
      </c>
    </row>
    <row r="3720" spans="1:6" x14ac:dyDescent="0.3">
      <c r="A3720" t="s">
        <v>22</v>
      </c>
      <c r="B3720" s="1">
        <v>45812</v>
      </c>
      <c r="C3720">
        <v>24</v>
      </c>
      <c r="D3720">
        <v>1.0780000000000001</v>
      </c>
      <c r="E3720" t="s">
        <v>6</v>
      </c>
      <c r="F3720">
        <v>0.16783000000000001</v>
      </c>
    </row>
    <row r="3721" spans="1:6" x14ac:dyDescent="0.3">
      <c r="A3721" t="s">
        <v>22</v>
      </c>
      <c r="B3721" s="1">
        <v>45813</v>
      </c>
      <c r="C3721">
        <v>1</v>
      </c>
      <c r="D3721">
        <v>0.28100000000000003</v>
      </c>
      <c r="E3721" t="s">
        <v>6</v>
      </c>
      <c r="F3721">
        <v>0.15669999999999998</v>
      </c>
    </row>
    <row r="3722" spans="1:6" x14ac:dyDescent="0.3">
      <c r="A3722" t="s">
        <v>22</v>
      </c>
      <c r="B3722" s="1">
        <v>45813</v>
      </c>
      <c r="C3722">
        <v>2</v>
      </c>
      <c r="D3722">
        <v>0.126</v>
      </c>
      <c r="E3722" t="s">
        <v>6</v>
      </c>
      <c r="F3722">
        <v>0.14236000000000001</v>
      </c>
    </row>
    <row r="3723" spans="1:6" x14ac:dyDescent="0.3">
      <c r="A3723" t="s">
        <v>22</v>
      </c>
      <c r="B3723" s="1">
        <v>45813</v>
      </c>
      <c r="C3723">
        <v>3</v>
      </c>
      <c r="D3723">
        <v>0.22700000000000001</v>
      </c>
      <c r="E3723" t="s">
        <v>6</v>
      </c>
      <c r="F3723">
        <v>0.14177000000000001</v>
      </c>
    </row>
    <row r="3724" spans="1:6" x14ac:dyDescent="0.3">
      <c r="A3724" t="s">
        <v>22</v>
      </c>
      <c r="B3724" s="1">
        <v>45813</v>
      </c>
      <c r="C3724">
        <v>4</v>
      </c>
      <c r="D3724">
        <v>0.13200000000000001</v>
      </c>
      <c r="E3724" t="s">
        <v>6</v>
      </c>
      <c r="F3724">
        <v>0.13669999999999999</v>
      </c>
    </row>
    <row r="3725" spans="1:6" x14ac:dyDescent="0.3">
      <c r="A3725" t="s">
        <v>22</v>
      </c>
      <c r="B3725" s="1">
        <v>45813</v>
      </c>
      <c r="C3725">
        <v>5</v>
      </c>
      <c r="D3725">
        <v>0.27</v>
      </c>
      <c r="E3725" t="s">
        <v>6</v>
      </c>
      <c r="F3725">
        <v>0.13669999999999999</v>
      </c>
    </row>
    <row r="3726" spans="1:6" x14ac:dyDescent="0.3">
      <c r="A3726" t="s">
        <v>22</v>
      </c>
      <c r="B3726" s="1">
        <v>45813</v>
      </c>
      <c r="C3726">
        <v>6</v>
      </c>
      <c r="D3726">
        <v>1.421</v>
      </c>
      <c r="E3726" t="s">
        <v>6</v>
      </c>
      <c r="F3726">
        <v>0.13735</v>
      </c>
    </row>
    <row r="3727" spans="1:6" x14ac:dyDescent="0.3">
      <c r="A3727" t="s">
        <v>22</v>
      </c>
      <c r="B3727" s="1">
        <v>45813</v>
      </c>
      <c r="C3727">
        <v>7</v>
      </c>
      <c r="D3727">
        <v>0.13100000000000001</v>
      </c>
      <c r="E3727" t="s">
        <v>6</v>
      </c>
      <c r="F3727">
        <v>0.14607000000000001</v>
      </c>
    </row>
    <row r="3728" spans="1:6" x14ac:dyDescent="0.3">
      <c r="A3728" t="s">
        <v>22</v>
      </c>
      <c r="B3728" s="1">
        <v>45813</v>
      </c>
      <c r="C3728">
        <v>8</v>
      </c>
      <c r="D3728">
        <v>0.218</v>
      </c>
      <c r="E3728" t="s">
        <v>6</v>
      </c>
      <c r="F3728">
        <v>0.15347999999999998</v>
      </c>
    </row>
    <row r="3729" spans="1:6" x14ac:dyDescent="0.3">
      <c r="A3729" t="s">
        <v>22</v>
      </c>
      <c r="B3729" s="1">
        <v>45813</v>
      </c>
      <c r="C3729">
        <v>9</v>
      </c>
      <c r="D3729">
        <v>0.27200000000000002</v>
      </c>
      <c r="E3729" t="s">
        <v>6</v>
      </c>
      <c r="F3729">
        <v>0.14887</v>
      </c>
    </row>
    <row r="3730" spans="1:6" x14ac:dyDescent="0.3">
      <c r="A3730" t="s">
        <v>22</v>
      </c>
      <c r="B3730" s="1">
        <v>45813</v>
      </c>
      <c r="C3730">
        <v>10</v>
      </c>
      <c r="D3730">
        <v>0.2</v>
      </c>
      <c r="E3730" t="s">
        <v>6</v>
      </c>
      <c r="F3730">
        <v>7.9489999999999991E-2</v>
      </c>
    </row>
    <row r="3731" spans="1:6" x14ac:dyDescent="0.3">
      <c r="A3731" t="s">
        <v>22</v>
      </c>
      <c r="B3731" s="1">
        <v>45813</v>
      </c>
      <c r="C3731">
        <v>11</v>
      </c>
      <c r="D3731">
        <v>8.5999999999999993E-2</v>
      </c>
      <c r="E3731" t="s">
        <v>6</v>
      </c>
      <c r="F3731">
        <v>0.12429000000000001</v>
      </c>
    </row>
    <row r="3732" spans="1:6" x14ac:dyDescent="0.3">
      <c r="A3732" t="s">
        <v>22</v>
      </c>
      <c r="B3732" s="1">
        <v>45813</v>
      </c>
      <c r="C3732">
        <v>12</v>
      </c>
      <c r="D3732">
        <v>0.161</v>
      </c>
      <c r="E3732" t="s">
        <v>6</v>
      </c>
      <c r="F3732">
        <v>0.12408</v>
      </c>
    </row>
    <row r="3733" spans="1:6" x14ac:dyDescent="0.3">
      <c r="A3733" t="s">
        <v>22</v>
      </c>
      <c r="B3733" s="1">
        <v>45813</v>
      </c>
      <c r="C3733">
        <v>13</v>
      </c>
      <c r="D3733">
        <v>0.505</v>
      </c>
      <c r="E3733" t="s">
        <v>6</v>
      </c>
      <c r="F3733">
        <v>0.12415000000000001</v>
      </c>
    </row>
    <row r="3734" spans="1:6" x14ac:dyDescent="0.3">
      <c r="A3734" t="s">
        <v>22</v>
      </c>
      <c r="B3734" s="1">
        <v>45813</v>
      </c>
      <c r="C3734">
        <v>14</v>
      </c>
      <c r="D3734">
        <v>1.252</v>
      </c>
      <c r="E3734" t="s">
        <v>6</v>
      </c>
      <c r="F3734">
        <v>0.12137000000000001</v>
      </c>
    </row>
    <row r="3735" spans="1:6" x14ac:dyDescent="0.3">
      <c r="A3735" t="s">
        <v>22</v>
      </c>
      <c r="B3735" s="1">
        <v>45813</v>
      </c>
      <c r="C3735">
        <v>15</v>
      </c>
      <c r="D3735">
        <v>0.99</v>
      </c>
      <c r="E3735" t="s">
        <v>6</v>
      </c>
      <c r="F3735">
        <v>5.6469999999999999E-2</v>
      </c>
    </row>
    <row r="3736" spans="1:6" x14ac:dyDescent="0.3">
      <c r="A3736" t="s">
        <v>22</v>
      </c>
      <c r="B3736" s="1">
        <v>45813</v>
      </c>
      <c r="C3736">
        <v>16</v>
      </c>
      <c r="D3736">
        <v>0.309</v>
      </c>
      <c r="E3736" t="s">
        <v>6</v>
      </c>
      <c r="F3736">
        <v>5.7049999999999997E-2</v>
      </c>
    </row>
    <row r="3737" spans="1:6" x14ac:dyDescent="0.3">
      <c r="A3737" t="s">
        <v>22</v>
      </c>
      <c r="B3737" s="1">
        <v>45813</v>
      </c>
      <c r="C3737">
        <v>17</v>
      </c>
      <c r="D3737">
        <v>0.29899999999999999</v>
      </c>
      <c r="E3737" t="s">
        <v>6</v>
      </c>
      <c r="F3737">
        <v>5.7200000000000001E-2</v>
      </c>
    </row>
    <row r="3738" spans="1:6" x14ac:dyDescent="0.3">
      <c r="A3738" t="s">
        <v>22</v>
      </c>
      <c r="B3738" s="1">
        <v>45813</v>
      </c>
      <c r="C3738">
        <v>18</v>
      </c>
      <c r="D3738">
        <v>0.13400000000000001</v>
      </c>
      <c r="E3738" t="s">
        <v>6</v>
      </c>
      <c r="F3738">
        <v>5.6000000000000001E-2</v>
      </c>
    </row>
    <row r="3739" spans="1:6" x14ac:dyDescent="0.3">
      <c r="A3739" t="s">
        <v>22</v>
      </c>
      <c r="B3739" s="1">
        <v>45813</v>
      </c>
      <c r="C3739">
        <v>19</v>
      </c>
      <c r="D3739">
        <v>0.21</v>
      </c>
      <c r="E3739" t="s">
        <v>6</v>
      </c>
      <c r="F3739">
        <v>0.12772</v>
      </c>
    </row>
    <row r="3740" spans="1:6" x14ac:dyDescent="0.3">
      <c r="A3740" t="s">
        <v>22</v>
      </c>
      <c r="B3740" s="1">
        <v>45813</v>
      </c>
      <c r="C3740">
        <v>20</v>
      </c>
      <c r="D3740">
        <v>0.30299999999999999</v>
      </c>
      <c r="E3740" t="s">
        <v>6</v>
      </c>
      <c r="F3740">
        <v>0.16437000000000002</v>
      </c>
    </row>
    <row r="3741" spans="1:6" x14ac:dyDescent="0.3">
      <c r="A3741" t="s">
        <v>22</v>
      </c>
      <c r="B3741" s="1">
        <v>45813</v>
      </c>
      <c r="C3741">
        <v>21</v>
      </c>
      <c r="D3741">
        <v>0.20499999999999999</v>
      </c>
      <c r="E3741" t="s">
        <v>6</v>
      </c>
      <c r="F3741">
        <v>0.23330000000000001</v>
      </c>
    </row>
    <row r="3742" spans="1:6" x14ac:dyDescent="0.3">
      <c r="A3742" t="s">
        <v>22</v>
      </c>
      <c r="B3742" s="1">
        <v>45813</v>
      </c>
      <c r="C3742">
        <v>22</v>
      </c>
      <c r="D3742">
        <v>0.877</v>
      </c>
      <c r="E3742" t="s">
        <v>6</v>
      </c>
      <c r="F3742">
        <v>0.27417000000000002</v>
      </c>
    </row>
    <row r="3743" spans="1:6" x14ac:dyDescent="0.3">
      <c r="A3743" t="s">
        <v>22</v>
      </c>
      <c r="B3743" s="1">
        <v>45813</v>
      </c>
      <c r="C3743">
        <v>23</v>
      </c>
      <c r="D3743">
        <v>0.33800000000000002</v>
      </c>
      <c r="E3743" t="s">
        <v>6</v>
      </c>
      <c r="F3743">
        <v>0.21086000000000002</v>
      </c>
    </row>
    <row r="3744" spans="1:6" x14ac:dyDescent="0.3">
      <c r="A3744" t="s">
        <v>22</v>
      </c>
      <c r="B3744" s="1">
        <v>45813</v>
      </c>
      <c r="C3744">
        <v>24</v>
      </c>
      <c r="D3744">
        <v>0.36099999999999999</v>
      </c>
      <c r="E3744" t="s">
        <v>6</v>
      </c>
      <c r="F3744">
        <v>0.18668999999999999</v>
      </c>
    </row>
    <row r="3745" spans="1:6" x14ac:dyDescent="0.3">
      <c r="A3745" t="s">
        <v>22</v>
      </c>
      <c r="B3745" s="1">
        <v>45814</v>
      </c>
      <c r="C3745">
        <v>1</v>
      </c>
      <c r="D3745">
        <v>0.19700000000000001</v>
      </c>
      <c r="E3745" t="s">
        <v>6</v>
      </c>
      <c r="F3745">
        <v>0.16833000000000001</v>
      </c>
    </row>
    <row r="3746" spans="1:6" x14ac:dyDescent="0.3">
      <c r="A3746" t="s">
        <v>22</v>
      </c>
      <c r="B3746" s="1">
        <v>45814</v>
      </c>
      <c r="C3746">
        <v>2</v>
      </c>
      <c r="D3746">
        <v>0.188</v>
      </c>
      <c r="E3746" t="s">
        <v>6</v>
      </c>
      <c r="F3746">
        <v>0.16708000000000001</v>
      </c>
    </row>
    <row r="3747" spans="1:6" x14ac:dyDescent="0.3">
      <c r="A3747" t="s">
        <v>22</v>
      </c>
      <c r="B3747" s="1">
        <v>45814</v>
      </c>
      <c r="C3747">
        <v>3</v>
      </c>
      <c r="D3747">
        <v>0.16900000000000001</v>
      </c>
      <c r="E3747" t="s">
        <v>6</v>
      </c>
      <c r="F3747">
        <v>0.15834999999999999</v>
      </c>
    </row>
    <row r="3748" spans="1:6" x14ac:dyDescent="0.3">
      <c r="A3748" t="s">
        <v>22</v>
      </c>
      <c r="B3748" s="1">
        <v>45814</v>
      </c>
      <c r="C3748">
        <v>4</v>
      </c>
      <c r="D3748">
        <v>0.126</v>
      </c>
      <c r="E3748" t="s">
        <v>6</v>
      </c>
      <c r="F3748">
        <v>0.14967</v>
      </c>
    </row>
    <row r="3749" spans="1:6" x14ac:dyDescent="0.3">
      <c r="A3749" t="s">
        <v>22</v>
      </c>
      <c r="B3749" s="1">
        <v>45814</v>
      </c>
      <c r="C3749">
        <v>5</v>
      </c>
      <c r="D3749">
        <v>0.16400000000000001</v>
      </c>
      <c r="E3749" t="s">
        <v>6</v>
      </c>
      <c r="F3749">
        <v>0.14908000000000002</v>
      </c>
    </row>
    <row r="3750" spans="1:6" x14ac:dyDescent="0.3">
      <c r="A3750" t="s">
        <v>22</v>
      </c>
      <c r="B3750" s="1">
        <v>45814</v>
      </c>
      <c r="C3750">
        <v>6</v>
      </c>
      <c r="D3750">
        <v>0.11</v>
      </c>
      <c r="E3750" t="s">
        <v>6</v>
      </c>
      <c r="F3750">
        <v>0.14999000000000001</v>
      </c>
    </row>
    <row r="3751" spans="1:6" x14ac:dyDescent="0.3">
      <c r="A3751" t="s">
        <v>22</v>
      </c>
      <c r="B3751" s="1">
        <v>45814</v>
      </c>
      <c r="C3751">
        <v>7</v>
      </c>
      <c r="D3751">
        <v>0.161</v>
      </c>
      <c r="E3751" t="s">
        <v>6</v>
      </c>
      <c r="F3751">
        <v>0.16059999999999999</v>
      </c>
    </row>
    <row r="3752" spans="1:6" x14ac:dyDescent="0.3">
      <c r="A3752" t="s">
        <v>22</v>
      </c>
      <c r="B3752" s="1">
        <v>45814</v>
      </c>
      <c r="C3752">
        <v>8</v>
      </c>
      <c r="D3752">
        <v>0.11700000000000001</v>
      </c>
      <c r="E3752" t="s">
        <v>6</v>
      </c>
      <c r="F3752">
        <v>0.16246000000000002</v>
      </c>
    </row>
    <row r="3753" spans="1:6" x14ac:dyDescent="0.3">
      <c r="A3753" t="s">
        <v>22</v>
      </c>
      <c r="B3753" s="1">
        <v>45814</v>
      </c>
      <c r="C3753">
        <v>9</v>
      </c>
      <c r="D3753">
        <v>1.6040000000000001</v>
      </c>
      <c r="E3753" t="s">
        <v>6</v>
      </c>
      <c r="F3753">
        <v>0.18115999999999999</v>
      </c>
    </row>
    <row r="3754" spans="1:6" x14ac:dyDescent="0.3">
      <c r="A3754" t="s">
        <v>22</v>
      </c>
      <c r="B3754" s="1">
        <v>45814</v>
      </c>
      <c r="C3754">
        <v>10</v>
      </c>
      <c r="D3754">
        <v>1.4490000000000001</v>
      </c>
      <c r="E3754" t="s">
        <v>6</v>
      </c>
      <c r="F3754">
        <v>0.1154</v>
      </c>
    </row>
    <row r="3755" spans="1:6" x14ac:dyDescent="0.3">
      <c r="A3755" t="s">
        <v>22</v>
      </c>
      <c r="B3755" s="1">
        <v>45814</v>
      </c>
      <c r="C3755">
        <v>11</v>
      </c>
      <c r="D3755">
        <v>0.187</v>
      </c>
      <c r="E3755" t="s">
        <v>6</v>
      </c>
      <c r="F3755">
        <v>0.12595999999999999</v>
      </c>
    </row>
    <row r="3756" spans="1:6" x14ac:dyDescent="0.3">
      <c r="A3756" t="s">
        <v>22</v>
      </c>
      <c r="B3756" s="1">
        <v>45814</v>
      </c>
      <c r="C3756">
        <v>12</v>
      </c>
      <c r="D3756">
        <v>0.18</v>
      </c>
      <c r="E3756" t="s">
        <v>6</v>
      </c>
      <c r="F3756">
        <v>0.11944</v>
      </c>
    </row>
    <row r="3757" spans="1:6" x14ac:dyDescent="0.3">
      <c r="A3757" t="s">
        <v>22</v>
      </c>
      <c r="B3757" s="1">
        <v>45814</v>
      </c>
      <c r="C3757">
        <v>13</v>
      </c>
      <c r="D3757">
        <v>0.54800000000000004</v>
      </c>
      <c r="E3757" t="s">
        <v>6</v>
      </c>
      <c r="F3757">
        <v>0.11799999999999999</v>
      </c>
    </row>
    <row r="3758" spans="1:6" x14ac:dyDescent="0.3">
      <c r="A3758" t="s">
        <v>22</v>
      </c>
      <c r="B3758" s="1">
        <v>45814</v>
      </c>
      <c r="C3758">
        <v>14</v>
      </c>
      <c r="D3758">
        <v>1.19</v>
      </c>
      <c r="E3758" t="s">
        <v>6</v>
      </c>
      <c r="F3758">
        <v>0.11484</v>
      </c>
    </row>
    <row r="3759" spans="1:6" x14ac:dyDescent="0.3">
      <c r="A3759" t="s">
        <v>22</v>
      </c>
      <c r="B3759" s="1">
        <v>45814</v>
      </c>
      <c r="C3759">
        <v>15</v>
      </c>
      <c r="D3759">
        <v>1.0109999999999999</v>
      </c>
      <c r="E3759" t="s">
        <v>6</v>
      </c>
      <c r="F3759">
        <v>4.9759999999999999E-2</v>
      </c>
    </row>
    <row r="3760" spans="1:6" x14ac:dyDescent="0.3">
      <c r="A3760" t="s">
        <v>22</v>
      </c>
      <c r="B3760" s="1">
        <v>45814</v>
      </c>
      <c r="C3760">
        <v>16</v>
      </c>
      <c r="D3760">
        <v>0.70099999999999996</v>
      </c>
      <c r="E3760" t="s">
        <v>6</v>
      </c>
      <c r="F3760">
        <v>5.033E-2</v>
      </c>
    </row>
    <row r="3761" spans="1:6" x14ac:dyDescent="0.3">
      <c r="A3761" t="s">
        <v>22</v>
      </c>
      <c r="B3761" s="1">
        <v>45814</v>
      </c>
      <c r="C3761">
        <v>17</v>
      </c>
      <c r="D3761">
        <v>0.23799999999999999</v>
      </c>
      <c r="E3761" t="s">
        <v>6</v>
      </c>
      <c r="F3761">
        <v>5.076E-2</v>
      </c>
    </row>
    <row r="3762" spans="1:6" x14ac:dyDescent="0.3">
      <c r="A3762" t="s">
        <v>22</v>
      </c>
      <c r="B3762" s="1">
        <v>45814</v>
      </c>
      <c r="C3762">
        <v>18</v>
      </c>
      <c r="D3762">
        <v>0.159</v>
      </c>
      <c r="E3762" t="s">
        <v>6</v>
      </c>
      <c r="F3762">
        <v>5.1639999999999998E-2</v>
      </c>
    </row>
    <row r="3763" spans="1:6" x14ac:dyDescent="0.3">
      <c r="A3763" t="s">
        <v>22</v>
      </c>
      <c r="B3763" s="1">
        <v>45814</v>
      </c>
      <c r="C3763">
        <v>19</v>
      </c>
      <c r="D3763">
        <v>0.26100000000000001</v>
      </c>
      <c r="E3763" t="s">
        <v>6</v>
      </c>
      <c r="F3763">
        <v>0.13458000000000001</v>
      </c>
    </row>
    <row r="3764" spans="1:6" x14ac:dyDescent="0.3">
      <c r="A3764" t="s">
        <v>22</v>
      </c>
      <c r="B3764" s="1">
        <v>45814</v>
      </c>
      <c r="C3764">
        <v>20</v>
      </c>
      <c r="D3764">
        <v>0.40200000000000002</v>
      </c>
      <c r="E3764" t="s">
        <v>6</v>
      </c>
      <c r="F3764">
        <v>0.16933999999999999</v>
      </c>
    </row>
    <row r="3765" spans="1:6" x14ac:dyDescent="0.3">
      <c r="A3765" t="s">
        <v>22</v>
      </c>
      <c r="B3765" s="1">
        <v>45814</v>
      </c>
      <c r="C3765">
        <v>21</v>
      </c>
      <c r="D3765">
        <v>0.35699999999999998</v>
      </c>
      <c r="E3765" t="s">
        <v>6</v>
      </c>
      <c r="F3765">
        <v>0.23147999999999999</v>
      </c>
    </row>
    <row r="3766" spans="1:6" x14ac:dyDescent="0.3">
      <c r="A3766" t="s">
        <v>22</v>
      </c>
      <c r="B3766" s="1">
        <v>45814</v>
      </c>
      <c r="C3766">
        <v>22</v>
      </c>
      <c r="D3766">
        <v>1.204</v>
      </c>
      <c r="E3766" t="s">
        <v>6</v>
      </c>
      <c r="F3766">
        <v>0.26168999999999998</v>
      </c>
    </row>
    <row r="3767" spans="1:6" x14ac:dyDescent="0.3">
      <c r="A3767" t="s">
        <v>22</v>
      </c>
      <c r="B3767" s="1">
        <v>45814</v>
      </c>
      <c r="C3767">
        <v>23</v>
      </c>
      <c r="D3767">
        <v>0.51</v>
      </c>
      <c r="E3767" t="s">
        <v>6</v>
      </c>
      <c r="F3767">
        <v>0.20222999999999999</v>
      </c>
    </row>
    <row r="3768" spans="1:6" x14ac:dyDescent="0.3">
      <c r="A3768" t="s">
        <v>22</v>
      </c>
      <c r="B3768" s="1">
        <v>45814</v>
      </c>
      <c r="C3768">
        <v>24</v>
      </c>
      <c r="D3768">
        <v>1.0469999999999999</v>
      </c>
      <c r="E3768" t="s">
        <v>6</v>
      </c>
      <c r="F3768">
        <v>0.18339</v>
      </c>
    </row>
    <row r="3769" spans="1:6" x14ac:dyDescent="0.3">
      <c r="A3769" t="s">
        <v>22</v>
      </c>
      <c r="B3769" s="1">
        <v>45815</v>
      </c>
      <c r="C3769">
        <v>1</v>
      </c>
      <c r="D3769">
        <v>0.34599999999999997</v>
      </c>
      <c r="E3769" t="s">
        <v>6</v>
      </c>
      <c r="F3769">
        <v>0.16353000000000001</v>
      </c>
    </row>
    <row r="3770" spans="1:6" x14ac:dyDescent="0.3">
      <c r="A3770" t="s">
        <v>22</v>
      </c>
      <c r="B3770" s="1">
        <v>45815</v>
      </c>
      <c r="C3770">
        <v>2</v>
      </c>
      <c r="D3770">
        <v>0.21299999999999999</v>
      </c>
      <c r="E3770" t="s">
        <v>6</v>
      </c>
      <c r="F3770">
        <v>0.15622999999999998</v>
      </c>
    </row>
    <row r="3771" spans="1:6" x14ac:dyDescent="0.3">
      <c r="A3771" t="s">
        <v>22</v>
      </c>
      <c r="B3771" s="1">
        <v>45815</v>
      </c>
      <c r="C3771">
        <v>3</v>
      </c>
      <c r="D3771">
        <v>0.32500000000000001</v>
      </c>
      <c r="E3771" t="s">
        <v>6</v>
      </c>
      <c r="F3771">
        <v>0.15605000000000002</v>
      </c>
    </row>
    <row r="3772" spans="1:6" x14ac:dyDescent="0.3">
      <c r="A3772" t="s">
        <v>22</v>
      </c>
      <c r="B3772" s="1">
        <v>45815</v>
      </c>
      <c r="C3772">
        <v>4</v>
      </c>
      <c r="D3772">
        <v>0.17199999999999999</v>
      </c>
      <c r="E3772" t="s">
        <v>6</v>
      </c>
      <c r="F3772">
        <v>0.15195</v>
      </c>
    </row>
    <row r="3773" spans="1:6" x14ac:dyDescent="0.3">
      <c r="A3773" t="s">
        <v>22</v>
      </c>
      <c r="B3773" s="1">
        <v>45815</v>
      </c>
      <c r="C3773">
        <v>5</v>
      </c>
      <c r="D3773">
        <v>0.113</v>
      </c>
      <c r="E3773" t="s">
        <v>6</v>
      </c>
      <c r="F3773">
        <v>0.15215000000000001</v>
      </c>
    </row>
    <row r="3774" spans="1:6" x14ac:dyDescent="0.3">
      <c r="A3774" t="s">
        <v>22</v>
      </c>
      <c r="B3774" s="1">
        <v>45815</v>
      </c>
      <c r="C3774">
        <v>6</v>
      </c>
      <c r="D3774">
        <v>0.17100000000000001</v>
      </c>
      <c r="E3774" t="s">
        <v>6</v>
      </c>
      <c r="F3774">
        <v>0.15277000000000002</v>
      </c>
    </row>
    <row r="3775" spans="1:6" x14ac:dyDescent="0.3">
      <c r="A3775" t="s">
        <v>22</v>
      </c>
      <c r="B3775" s="1">
        <v>45815</v>
      </c>
      <c r="C3775">
        <v>7</v>
      </c>
      <c r="D3775">
        <v>0.114</v>
      </c>
      <c r="E3775" t="s">
        <v>6</v>
      </c>
      <c r="F3775">
        <v>0.15443000000000001</v>
      </c>
    </row>
    <row r="3776" spans="1:6" x14ac:dyDescent="0.3">
      <c r="A3776" t="s">
        <v>22</v>
      </c>
      <c r="B3776" s="1">
        <v>45815</v>
      </c>
      <c r="C3776">
        <v>8</v>
      </c>
      <c r="D3776">
        <v>0.20200000000000001</v>
      </c>
      <c r="E3776" t="s">
        <v>6</v>
      </c>
      <c r="F3776">
        <v>0.14862999999999998</v>
      </c>
    </row>
    <row r="3777" spans="1:6" x14ac:dyDescent="0.3">
      <c r="A3777" t="s">
        <v>22</v>
      </c>
      <c r="B3777" s="1">
        <v>45815</v>
      </c>
      <c r="C3777">
        <v>9</v>
      </c>
      <c r="D3777">
        <v>0.13900000000000001</v>
      </c>
      <c r="E3777" t="s">
        <v>6</v>
      </c>
      <c r="F3777">
        <v>7.554000000000001E-2</v>
      </c>
    </row>
    <row r="3778" spans="1:6" x14ac:dyDescent="0.3">
      <c r="A3778" t="s">
        <v>22</v>
      </c>
      <c r="B3778" s="1">
        <v>45815</v>
      </c>
      <c r="C3778">
        <v>10</v>
      </c>
      <c r="D3778">
        <v>0.20399999999999999</v>
      </c>
      <c r="E3778" t="s">
        <v>6</v>
      </c>
      <c r="F3778">
        <v>4.3490000000000001E-2</v>
      </c>
    </row>
    <row r="3779" spans="1:6" x14ac:dyDescent="0.3">
      <c r="A3779" t="s">
        <v>22</v>
      </c>
      <c r="B3779" s="1">
        <v>45815</v>
      </c>
      <c r="C3779">
        <v>11</v>
      </c>
      <c r="D3779">
        <v>0.24399999999999999</v>
      </c>
      <c r="E3779" t="s">
        <v>6</v>
      </c>
      <c r="F3779">
        <v>4.496E-2</v>
      </c>
    </row>
    <row r="3780" spans="1:6" x14ac:dyDescent="0.3">
      <c r="A3780" t="s">
        <v>22</v>
      </c>
      <c r="B3780" s="1">
        <v>45815</v>
      </c>
      <c r="C3780">
        <v>12</v>
      </c>
      <c r="D3780">
        <v>0.191</v>
      </c>
      <c r="E3780" t="s">
        <v>6</v>
      </c>
      <c r="F3780">
        <v>4.4940000000000001E-2</v>
      </c>
    </row>
    <row r="3781" spans="1:6" x14ac:dyDescent="0.3">
      <c r="A3781" t="s">
        <v>22</v>
      </c>
      <c r="B3781" s="1">
        <v>45815</v>
      </c>
      <c r="C3781">
        <v>13</v>
      </c>
      <c r="D3781">
        <v>0.76200000000000001</v>
      </c>
      <c r="E3781" t="s">
        <v>6</v>
      </c>
      <c r="F3781">
        <v>4.4810000000000003E-2</v>
      </c>
    </row>
    <row r="3782" spans="1:6" x14ac:dyDescent="0.3">
      <c r="A3782" t="s">
        <v>22</v>
      </c>
      <c r="B3782" s="1">
        <v>45815</v>
      </c>
      <c r="C3782">
        <v>14</v>
      </c>
      <c r="D3782">
        <v>2.1619999999999999</v>
      </c>
      <c r="E3782" t="s">
        <v>6</v>
      </c>
      <c r="F3782">
        <v>4.428E-2</v>
      </c>
    </row>
    <row r="3783" spans="1:6" x14ac:dyDescent="0.3">
      <c r="A3783" t="s">
        <v>22</v>
      </c>
      <c r="B3783" s="1">
        <v>45815</v>
      </c>
      <c r="C3783">
        <v>15</v>
      </c>
      <c r="D3783">
        <v>1.34</v>
      </c>
      <c r="E3783" t="s">
        <v>6</v>
      </c>
      <c r="F3783">
        <v>4.4330000000000001E-2</v>
      </c>
    </row>
    <row r="3784" spans="1:6" x14ac:dyDescent="0.3">
      <c r="A3784" t="s">
        <v>22</v>
      </c>
      <c r="B3784" s="1">
        <v>45815</v>
      </c>
      <c r="C3784">
        <v>16</v>
      </c>
      <c r="D3784">
        <v>1.1339999999999999</v>
      </c>
      <c r="E3784" t="s">
        <v>6</v>
      </c>
      <c r="F3784">
        <v>4.5109999999999997E-2</v>
      </c>
    </row>
    <row r="3785" spans="1:6" x14ac:dyDescent="0.3">
      <c r="A3785" t="s">
        <v>22</v>
      </c>
      <c r="B3785" s="1">
        <v>45815</v>
      </c>
      <c r="C3785">
        <v>17</v>
      </c>
      <c r="D3785">
        <v>0.21299999999999999</v>
      </c>
      <c r="E3785" t="s">
        <v>6</v>
      </c>
      <c r="F3785">
        <v>4.5259999999999995E-2</v>
      </c>
    </row>
    <row r="3786" spans="1:6" x14ac:dyDescent="0.3">
      <c r="A3786" t="s">
        <v>22</v>
      </c>
      <c r="B3786" s="1">
        <v>45815</v>
      </c>
      <c r="C3786">
        <v>18</v>
      </c>
      <c r="D3786">
        <v>0.17</v>
      </c>
      <c r="E3786" t="s">
        <v>6</v>
      </c>
      <c r="F3786">
        <v>4.5859999999999998E-2</v>
      </c>
    </row>
    <row r="3787" spans="1:6" x14ac:dyDescent="0.3">
      <c r="A3787" t="s">
        <v>22</v>
      </c>
      <c r="B3787" s="1">
        <v>45815</v>
      </c>
      <c r="C3787">
        <v>19</v>
      </c>
      <c r="D3787">
        <v>0.224</v>
      </c>
      <c r="E3787" t="s">
        <v>6</v>
      </c>
      <c r="F3787">
        <v>4.6079999999999996E-2</v>
      </c>
    </row>
    <row r="3788" spans="1:6" x14ac:dyDescent="0.3">
      <c r="A3788" t="s">
        <v>22</v>
      </c>
      <c r="B3788" s="1">
        <v>45815</v>
      </c>
      <c r="C3788">
        <v>20</v>
      </c>
      <c r="D3788">
        <v>0.27700000000000002</v>
      </c>
      <c r="E3788" t="s">
        <v>6</v>
      </c>
      <c r="F3788">
        <v>5.1950000000000003E-2</v>
      </c>
    </row>
    <row r="3789" spans="1:6" x14ac:dyDescent="0.3">
      <c r="A3789" t="s">
        <v>22</v>
      </c>
      <c r="B3789" s="1">
        <v>45815</v>
      </c>
      <c r="C3789">
        <v>21</v>
      </c>
      <c r="D3789">
        <v>0.22800000000000001</v>
      </c>
      <c r="E3789" t="s">
        <v>6</v>
      </c>
      <c r="F3789">
        <v>0.10075000000000001</v>
      </c>
    </row>
    <row r="3790" spans="1:6" x14ac:dyDescent="0.3">
      <c r="A3790" t="s">
        <v>22</v>
      </c>
      <c r="B3790" s="1">
        <v>45815</v>
      </c>
      <c r="C3790">
        <v>22</v>
      </c>
      <c r="D3790">
        <v>1.589</v>
      </c>
      <c r="E3790" t="s">
        <v>6</v>
      </c>
      <c r="F3790">
        <v>0.16122999999999998</v>
      </c>
    </row>
    <row r="3791" spans="1:6" x14ac:dyDescent="0.3">
      <c r="A3791" t="s">
        <v>22</v>
      </c>
      <c r="B3791" s="1">
        <v>45815</v>
      </c>
      <c r="C3791">
        <v>23</v>
      </c>
      <c r="D3791">
        <v>0.45400000000000001</v>
      </c>
      <c r="E3791" t="s">
        <v>6</v>
      </c>
      <c r="F3791">
        <v>0.15153999999999998</v>
      </c>
    </row>
    <row r="3792" spans="1:6" x14ac:dyDescent="0.3">
      <c r="A3792" t="s">
        <v>22</v>
      </c>
      <c r="B3792" s="1">
        <v>45815</v>
      </c>
      <c r="C3792">
        <v>24</v>
      </c>
      <c r="D3792">
        <v>0.85899999999999999</v>
      </c>
      <c r="E3792" t="s">
        <v>6</v>
      </c>
      <c r="F3792">
        <v>0.14019999999999999</v>
      </c>
    </row>
    <row r="3793" spans="1:6" x14ac:dyDescent="0.3">
      <c r="A3793" t="s">
        <v>22</v>
      </c>
      <c r="B3793" s="1">
        <v>45816</v>
      </c>
      <c r="C3793">
        <v>1</v>
      </c>
      <c r="D3793">
        <v>0.32500000000000001</v>
      </c>
      <c r="E3793" t="s">
        <v>6</v>
      </c>
      <c r="F3793">
        <v>0.13669999999999999</v>
      </c>
    </row>
    <row r="3794" spans="1:6" x14ac:dyDescent="0.3">
      <c r="A3794" t="s">
        <v>22</v>
      </c>
      <c r="B3794" s="1">
        <v>45816</v>
      </c>
      <c r="C3794">
        <v>2</v>
      </c>
      <c r="D3794">
        <v>0.22700000000000001</v>
      </c>
      <c r="E3794" t="s">
        <v>6</v>
      </c>
      <c r="F3794">
        <v>0.13741</v>
      </c>
    </row>
    <row r="3795" spans="1:6" x14ac:dyDescent="0.3">
      <c r="A3795" t="s">
        <v>22</v>
      </c>
      <c r="B3795" s="1">
        <v>45816</v>
      </c>
      <c r="C3795">
        <v>3</v>
      </c>
      <c r="D3795">
        <v>0.13900000000000001</v>
      </c>
      <c r="E3795" t="s">
        <v>6</v>
      </c>
      <c r="F3795">
        <v>0.13933000000000001</v>
      </c>
    </row>
    <row r="3796" spans="1:6" x14ac:dyDescent="0.3">
      <c r="A3796" t="s">
        <v>22</v>
      </c>
      <c r="B3796" s="1">
        <v>45816</v>
      </c>
      <c r="C3796">
        <v>4</v>
      </c>
      <c r="D3796">
        <v>0.124</v>
      </c>
      <c r="E3796" t="s">
        <v>6</v>
      </c>
      <c r="F3796">
        <v>0.12836</v>
      </c>
    </row>
    <row r="3797" spans="1:6" x14ac:dyDescent="0.3">
      <c r="A3797" t="s">
        <v>22</v>
      </c>
      <c r="B3797" s="1">
        <v>45816</v>
      </c>
      <c r="C3797">
        <v>5</v>
      </c>
      <c r="D3797">
        <v>0.126</v>
      </c>
      <c r="E3797" t="s">
        <v>6</v>
      </c>
      <c r="F3797">
        <v>0.12853000000000001</v>
      </c>
    </row>
    <row r="3798" spans="1:6" x14ac:dyDescent="0.3">
      <c r="A3798" t="s">
        <v>22</v>
      </c>
      <c r="B3798" s="1">
        <v>45816</v>
      </c>
      <c r="C3798">
        <v>6</v>
      </c>
      <c r="D3798">
        <v>0.124</v>
      </c>
      <c r="E3798" t="s">
        <v>6</v>
      </c>
      <c r="F3798">
        <v>0.12922999999999998</v>
      </c>
    </row>
    <row r="3799" spans="1:6" x14ac:dyDescent="0.3">
      <c r="A3799" t="s">
        <v>22</v>
      </c>
      <c r="B3799" s="1">
        <v>45816</v>
      </c>
      <c r="C3799">
        <v>7</v>
      </c>
      <c r="D3799">
        <v>0.23300000000000001</v>
      </c>
      <c r="E3799" t="s">
        <v>6</v>
      </c>
      <c r="F3799">
        <v>0.12884000000000001</v>
      </c>
    </row>
    <row r="3800" spans="1:6" x14ac:dyDescent="0.3">
      <c r="A3800" t="s">
        <v>22</v>
      </c>
      <c r="B3800" s="1">
        <v>45816</v>
      </c>
      <c r="C3800">
        <v>8</v>
      </c>
      <c r="D3800">
        <v>0.18099999999999999</v>
      </c>
      <c r="E3800" t="s">
        <v>6</v>
      </c>
      <c r="F3800">
        <v>9.7409999999999997E-2</v>
      </c>
    </row>
    <row r="3801" spans="1:6" x14ac:dyDescent="0.3">
      <c r="A3801" t="s">
        <v>22</v>
      </c>
      <c r="B3801" s="1">
        <v>45816</v>
      </c>
      <c r="C3801">
        <v>9</v>
      </c>
      <c r="D3801">
        <v>0.16900000000000001</v>
      </c>
      <c r="E3801" t="s">
        <v>6</v>
      </c>
      <c r="F3801">
        <v>6.6640000000000005E-2</v>
      </c>
    </row>
    <row r="3802" spans="1:6" x14ac:dyDescent="0.3">
      <c r="A3802" t="s">
        <v>22</v>
      </c>
      <c r="B3802" s="1">
        <v>45816</v>
      </c>
      <c r="C3802">
        <v>10</v>
      </c>
      <c r="D3802">
        <v>1.038</v>
      </c>
      <c r="E3802" t="s">
        <v>6</v>
      </c>
      <c r="F3802">
        <v>5.4289999999999998E-2</v>
      </c>
    </row>
    <row r="3803" spans="1:6" x14ac:dyDescent="0.3">
      <c r="A3803" t="s">
        <v>22</v>
      </c>
      <c r="B3803" s="1">
        <v>45816</v>
      </c>
      <c r="C3803">
        <v>11</v>
      </c>
      <c r="D3803">
        <v>0.375</v>
      </c>
      <c r="E3803" t="s">
        <v>6</v>
      </c>
      <c r="F3803">
        <v>4.8820000000000002E-2</v>
      </c>
    </row>
    <row r="3804" spans="1:6" x14ac:dyDescent="0.3">
      <c r="A3804" t="s">
        <v>22</v>
      </c>
      <c r="B3804" s="1">
        <v>45816</v>
      </c>
      <c r="C3804">
        <v>12</v>
      </c>
      <c r="D3804">
        <v>0.188</v>
      </c>
      <c r="E3804" t="s">
        <v>6</v>
      </c>
      <c r="F3804">
        <v>5.2209999999999999E-2</v>
      </c>
    </row>
    <row r="3805" spans="1:6" x14ac:dyDescent="0.3">
      <c r="A3805" t="s">
        <v>22</v>
      </c>
      <c r="B3805" s="1">
        <v>45816</v>
      </c>
      <c r="C3805">
        <v>13</v>
      </c>
      <c r="D3805">
        <v>0.70199999999999996</v>
      </c>
      <c r="E3805" t="s">
        <v>6</v>
      </c>
      <c r="F3805">
        <v>5.126E-2</v>
      </c>
    </row>
    <row r="3806" spans="1:6" x14ac:dyDescent="0.3">
      <c r="A3806" t="s">
        <v>22</v>
      </c>
      <c r="B3806" s="1">
        <v>45816</v>
      </c>
      <c r="C3806">
        <v>14</v>
      </c>
      <c r="D3806">
        <v>1.214</v>
      </c>
      <c r="E3806" t="s">
        <v>6</v>
      </c>
      <c r="F3806">
        <v>4.9829999999999999E-2</v>
      </c>
    </row>
    <row r="3807" spans="1:6" x14ac:dyDescent="0.3">
      <c r="A3807" t="s">
        <v>22</v>
      </c>
      <c r="B3807" s="1">
        <v>45816</v>
      </c>
      <c r="C3807">
        <v>15</v>
      </c>
      <c r="D3807">
        <v>0.97899999999999998</v>
      </c>
      <c r="E3807" t="s">
        <v>6</v>
      </c>
      <c r="F3807">
        <v>4.9930000000000002E-2</v>
      </c>
    </row>
    <row r="3808" spans="1:6" x14ac:dyDescent="0.3">
      <c r="A3808" t="s">
        <v>22</v>
      </c>
      <c r="B3808" s="1">
        <v>45816</v>
      </c>
      <c r="C3808">
        <v>16</v>
      </c>
      <c r="D3808">
        <v>0.26500000000000001</v>
      </c>
      <c r="E3808" t="s">
        <v>6</v>
      </c>
      <c r="F3808">
        <v>5.0180000000000002E-2</v>
      </c>
    </row>
    <row r="3809" spans="1:6" x14ac:dyDescent="0.3">
      <c r="A3809" t="s">
        <v>22</v>
      </c>
      <c r="B3809" s="1">
        <v>45816</v>
      </c>
      <c r="C3809">
        <v>17</v>
      </c>
      <c r="D3809">
        <v>1.2290000000000001</v>
      </c>
      <c r="E3809" t="s">
        <v>6</v>
      </c>
      <c r="F3809">
        <v>5.1720000000000002E-2</v>
      </c>
    </row>
    <row r="3810" spans="1:6" x14ac:dyDescent="0.3">
      <c r="A3810" t="s">
        <v>22</v>
      </c>
      <c r="B3810" s="1">
        <v>45816</v>
      </c>
      <c r="C3810">
        <v>18</v>
      </c>
      <c r="D3810">
        <v>0.42</v>
      </c>
      <c r="E3810" t="s">
        <v>6</v>
      </c>
      <c r="F3810">
        <v>5.2740000000000002E-2</v>
      </c>
    </row>
    <row r="3811" spans="1:6" x14ac:dyDescent="0.3">
      <c r="A3811" t="s">
        <v>22</v>
      </c>
      <c r="B3811" s="1">
        <v>45816</v>
      </c>
      <c r="C3811">
        <v>19</v>
      </c>
      <c r="D3811">
        <v>0.29799999999999999</v>
      </c>
      <c r="E3811" t="s">
        <v>6</v>
      </c>
      <c r="F3811">
        <v>5.1049999999999998E-2</v>
      </c>
    </row>
    <row r="3812" spans="1:6" x14ac:dyDescent="0.3">
      <c r="A3812" t="s">
        <v>22</v>
      </c>
      <c r="B3812" s="1">
        <v>45816</v>
      </c>
      <c r="C3812">
        <v>20</v>
      </c>
      <c r="D3812">
        <v>0.20799999999999999</v>
      </c>
      <c r="E3812" t="s">
        <v>6</v>
      </c>
      <c r="F3812">
        <v>5.9119999999999999E-2</v>
      </c>
    </row>
    <row r="3813" spans="1:6" x14ac:dyDescent="0.3">
      <c r="A3813" t="s">
        <v>22</v>
      </c>
      <c r="B3813" s="1">
        <v>45816</v>
      </c>
      <c r="C3813">
        <v>21</v>
      </c>
      <c r="D3813">
        <v>0.153</v>
      </c>
      <c r="E3813" t="s">
        <v>6</v>
      </c>
      <c r="F3813">
        <v>0.14359</v>
      </c>
    </row>
    <row r="3814" spans="1:6" x14ac:dyDescent="0.3">
      <c r="A3814" t="s">
        <v>22</v>
      </c>
      <c r="B3814" s="1">
        <v>45816</v>
      </c>
      <c r="C3814">
        <v>22</v>
      </c>
      <c r="D3814">
        <v>0.91900000000000004</v>
      </c>
      <c r="E3814" t="s">
        <v>6</v>
      </c>
      <c r="F3814">
        <v>0.16253000000000001</v>
      </c>
    </row>
    <row r="3815" spans="1:6" x14ac:dyDescent="0.3">
      <c r="A3815" t="s">
        <v>22</v>
      </c>
      <c r="B3815" s="1">
        <v>45816</v>
      </c>
      <c r="C3815">
        <v>23</v>
      </c>
      <c r="D3815">
        <v>1.2729999999999999</v>
      </c>
      <c r="E3815" t="s">
        <v>6</v>
      </c>
      <c r="F3815">
        <v>0.16263</v>
      </c>
    </row>
    <row r="3816" spans="1:6" x14ac:dyDescent="0.3">
      <c r="A3816" t="s">
        <v>22</v>
      </c>
      <c r="B3816" s="1">
        <v>45816</v>
      </c>
      <c r="C3816">
        <v>24</v>
      </c>
      <c r="D3816">
        <v>0.53800000000000003</v>
      </c>
      <c r="E3816" t="s">
        <v>6</v>
      </c>
      <c r="F3816">
        <v>0.15228</v>
      </c>
    </row>
    <row r="3817" spans="1:6" x14ac:dyDescent="0.3">
      <c r="A3817" t="s">
        <v>22</v>
      </c>
      <c r="B3817" s="1">
        <v>45817</v>
      </c>
      <c r="C3817">
        <v>1</v>
      </c>
      <c r="D3817">
        <v>0.35799999999999998</v>
      </c>
      <c r="E3817" t="s">
        <v>6</v>
      </c>
      <c r="F3817">
        <v>0.1356</v>
      </c>
    </row>
    <row r="3818" spans="1:6" x14ac:dyDescent="0.3">
      <c r="A3818" t="s">
        <v>22</v>
      </c>
      <c r="B3818" s="1">
        <v>45817</v>
      </c>
      <c r="C3818">
        <v>2</v>
      </c>
      <c r="D3818">
        <v>0.217</v>
      </c>
      <c r="E3818" t="s">
        <v>6</v>
      </c>
      <c r="F3818">
        <v>0.12540999999999999</v>
      </c>
    </row>
    <row r="3819" spans="1:6" x14ac:dyDescent="0.3">
      <c r="A3819" t="s">
        <v>22</v>
      </c>
      <c r="B3819" s="1">
        <v>45817</v>
      </c>
      <c r="C3819">
        <v>3</v>
      </c>
      <c r="D3819">
        <v>0.29799999999999999</v>
      </c>
      <c r="E3819" t="s">
        <v>6</v>
      </c>
      <c r="F3819">
        <v>0.12669</v>
      </c>
    </row>
    <row r="3820" spans="1:6" x14ac:dyDescent="0.3">
      <c r="A3820" t="s">
        <v>22</v>
      </c>
      <c r="B3820" s="1">
        <v>45817</v>
      </c>
      <c r="C3820">
        <v>4</v>
      </c>
      <c r="D3820">
        <v>0.25800000000000001</v>
      </c>
      <c r="E3820" t="s">
        <v>6</v>
      </c>
      <c r="F3820">
        <v>0.12928000000000001</v>
      </c>
    </row>
    <row r="3821" spans="1:6" x14ac:dyDescent="0.3">
      <c r="A3821" t="s">
        <v>22</v>
      </c>
      <c r="B3821" s="1">
        <v>45817</v>
      </c>
      <c r="C3821">
        <v>5</v>
      </c>
      <c r="D3821">
        <v>0.23499999999999999</v>
      </c>
      <c r="E3821" t="s">
        <v>6</v>
      </c>
      <c r="F3821">
        <v>0.13172</v>
      </c>
    </row>
    <row r="3822" spans="1:6" x14ac:dyDescent="0.3">
      <c r="A3822" t="s">
        <v>22</v>
      </c>
      <c r="B3822" s="1">
        <v>45817</v>
      </c>
      <c r="C3822">
        <v>6</v>
      </c>
      <c r="D3822">
        <v>0.122</v>
      </c>
      <c r="E3822" t="s">
        <v>6</v>
      </c>
      <c r="F3822">
        <v>0.13427</v>
      </c>
    </row>
    <row r="3823" spans="1:6" x14ac:dyDescent="0.3">
      <c r="A3823" t="s">
        <v>22</v>
      </c>
      <c r="B3823" s="1">
        <v>45817</v>
      </c>
      <c r="C3823">
        <v>7</v>
      </c>
      <c r="D3823">
        <v>0.13</v>
      </c>
      <c r="E3823" t="s">
        <v>6</v>
      </c>
      <c r="F3823">
        <v>0.14757000000000001</v>
      </c>
    </row>
    <row r="3824" spans="1:6" x14ac:dyDescent="0.3">
      <c r="A3824" t="s">
        <v>22</v>
      </c>
      <c r="B3824" s="1">
        <v>45817</v>
      </c>
      <c r="C3824">
        <v>8</v>
      </c>
      <c r="D3824">
        <v>0.113</v>
      </c>
      <c r="E3824" t="s">
        <v>6</v>
      </c>
      <c r="F3824">
        <v>0.14738999999999999</v>
      </c>
    </row>
    <row r="3825" spans="1:6" x14ac:dyDescent="0.3">
      <c r="A3825" t="s">
        <v>22</v>
      </c>
      <c r="B3825" s="1">
        <v>45817</v>
      </c>
      <c r="C3825">
        <v>9</v>
      </c>
      <c r="D3825">
        <v>0.22700000000000001</v>
      </c>
      <c r="E3825" t="s">
        <v>6</v>
      </c>
      <c r="F3825">
        <v>0.14886000000000002</v>
      </c>
    </row>
    <row r="3826" spans="1:6" x14ac:dyDescent="0.3">
      <c r="A3826" t="s">
        <v>22</v>
      </c>
      <c r="B3826" s="1">
        <v>45817</v>
      </c>
      <c r="C3826">
        <v>10</v>
      </c>
      <c r="D3826">
        <v>0.24</v>
      </c>
      <c r="E3826" t="s">
        <v>6</v>
      </c>
      <c r="F3826">
        <v>8.2409999999999997E-2</v>
      </c>
    </row>
    <row r="3827" spans="1:6" x14ac:dyDescent="0.3">
      <c r="A3827" t="s">
        <v>22</v>
      </c>
      <c r="B3827" s="1">
        <v>45817</v>
      </c>
      <c r="C3827">
        <v>11</v>
      </c>
      <c r="D3827">
        <v>0.109</v>
      </c>
      <c r="E3827" t="s">
        <v>6</v>
      </c>
      <c r="F3827">
        <v>0.13200999999999999</v>
      </c>
    </row>
    <row r="3828" spans="1:6" x14ac:dyDescent="0.3">
      <c r="A3828" t="s">
        <v>22</v>
      </c>
      <c r="B3828" s="1">
        <v>45817</v>
      </c>
      <c r="C3828">
        <v>12</v>
      </c>
      <c r="D3828">
        <v>0.16400000000000001</v>
      </c>
      <c r="E3828" t="s">
        <v>6</v>
      </c>
      <c r="F3828">
        <v>0.12723999999999999</v>
      </c>
    </row>
    <row r="3829" spans="1:6" x14ac:dyDescent="0.3">
      <c r="A3829" t="s">
        <v>22</v>
      </c>
      <c r="B3829" s="1">
        <v>45817</v>
      </c>
      <c r="C3829">
        <v>13</v>
      </c>
      <c r="D3829">
        <v>0.46400000000000002</v>
      </c>
      <c r="E3829" t="s">
        <v>6</v>
      </c>
      <c r="F3829">
        <v>0.12526999999999999</v>
      </c>
    </row>
    <row r="3830" spans="1:6" x14ac:dyDescent="0.3">
      <c r="A3830" t="s">
        <v>22</v>
      </c>
      <c r="B3830" s="1">
        <v>45817</v>
      </c>
      <c r="C3830">
        <v>14</v>
      </c>
      <c r="D3830">
        <v>1.323</v>
      </c>
      <c r="E3830" t="s">
        <v>6</v>
      </c>
      <c r="F3830">
        <v>0.12262999999999999</v>
      </c>
    </row>
    <row r="3831" spans="1:6" x14ac:dyDescent="0.3">
      <c r="A3831" t="s">
        <v>22</v>
      </c>
      <c r="B3831" s="1">
        <v>45817</v>
      </c>
      <c r="C3831">
        <v>15</v>
      </c>
      <c r="D3831">
        <v>1.131</v>
      </c>
      <c r="E3831" t="s">
        <v>6</v>
      </c>
      <c r="F3831">
        <v>5.8939999999999999E-2</v>
      </c>
    </row>
    <row r="3832" spans="1:6" x14ac:dyDescent="0.3">
      <c r="A3832" t="s">
        <v>22</v>
      </c>
      <c r="B3832" s="1">
        <v>45817</v>
      </c>
      <c r="C3832">
        <v>16</v>
      </c>
      <c r="D3832">
        <v>0.19900000000000001</v>
      </c>
      <c r="E3832" t="s">
        <v>6</v>
      </c>
      <c r="F3832">
        <v>5.9729999999999998E-2</v>
      </c>
    </row>
    <row r="3833" spans="1:6" x14ac:dyDescent="0.3">
      <c r="A3833" t="s">
        <v>22</v>
      </c>
      <c r="B3833" s="1">
        <v>45817</v>
      </c>
      <c r="C3833">
        <v>17</v>
      </c>
      <c r="D3833">
        <v>0.26900000000000002</v>
      </c>
      <c r="E3833" t="s">
        <v>6</v>
      </c>
      <c r="F3833">
        <v>6.2700000000000006E-2</v>
      </c>
    </row>
    <row r="3834" spans="1:6" x14ac:dyDescent="0.3">
      <c r="A3834" t="s">
        <v>22</v>
      </c>
      <c r="B3834" s="1">
        <v>45817</v>
      </c>
      <c r="C3834">
        <v>18</v>
      </c>
      <c r="D3834">
        <v>0.11799999999999999</v>
      </c>
      <c r="E3834" t="s">
        <v>6</v>
      </c>
      <c r="F3834">
        <v>7.0680000000000007E-2</v>
      </c>
    </row>
    <row r="3835" spans="1:6" x14ac:dyDescent="0.3">
      <c r="A3835" t="s">
        <v>22</v>
      </c>
      <c r="B3835" s="1">
        <v>45817</v>
      </c>
      <c r="C3835">
        <v>19</v>
      </c>
      <c r="D3835">
        <v>0.29699999999999999</v>
      </c>
      <c r="E3835" t="s">
        <v>6</v>
      </c>
      <c r="F3835">
        <v>0.17902999999999999</v>
      </c>
    </row>
    <row r="3836" spans="1:6" x14ac:dyDescent="0.3">
      <c r="A3836" t="s">
        <v>22</v>
      </c>
      <c r="B3836" s="1">
        <v>45817</v>
      </c>
      <c r="C3836">
        <v>20</v>
      </c>
      <c r="D3836">
        <v>0.59599999999999997</v>
      </c>
      <c r="E3836" t="s">
        <v>6</v>
      </c>
      <c r="F3836">
        <v>0.21988999999999997</v>
      </c>
    </row>
    <row r="3837" spans="1:6" x14ac:dyDescent="0.3">
      <c r="A3837" t="s">
        <v>22</v>
      </c>
      <c r="B3837" s="1">
        <v>45817</v>
      </c>
      <c r="C3837">
        <v>21</v>
      </c>
      <c r="D3837">
        <v>0.82899999999999996</v>
      </c>
      <c r="E3837" t="s">
        <v>6</v>
      </c>
      <c r="F3837">
        <v>0.24393999999999999</v>
      </c>
    </row>
    <row r="3838" spans="1:6" x14ac:dyDescent="0.3">
      <c r="A3838" t="s">
        <v>22</v>
      </c>
      <c r="B3838" s="1">
        <v>45817</v>
      </c>
      <c r="C3838">
        <v>22</v>
      </c>
      <c r="D3838">
        <v>1.6930000000000001</v>
      </c>
      <c r="E3838" t="s">
        <v>6</v>
      </c>
      <c r="F3838">
        <v>0.26718000000000003</v>
      </c>
    </row>
    <row r="3839" spans="1:6" x14ac:dyDescent="0.3">
      <c r="A3839" t="s">
        <v>22</v>
      </c>
      <c r="B3839" s="1">
        <v>45817</v>
      </c>
      <c r="C3839">
        <v>23</v>
      </c>
      <c r="D3839">
        <v>0.97299999999999998</v>
      </c>
      <c r="E3839" t="s">
        <v>6</v>
      </c>
      <c r="F3839">
        <v>0.19005000000000002</v>
      </c>
    </row>
    <row r="3840" spans="1:6" x14ac:dyDescent="0.3">
      <c r="A3840" t="s">
        <v>22</v>
      </c>
      <c r="B3840" s="1">
        <v>45817</v>
      </c>
      <c r="C3840">
        <v>24</v>
      </c>
      <c r="D3840">
        <v>0.35199999999999998</v>
      </c>
      <c r="E3840" t="s">
        <v>6</v>
      </c>
      <c r="F3840">
        <v>0.17976</v>
      </c>
    </row>
    <row r="3841" spans="1:6" x14ac:dyDescent="0.3">
      <c r="A3841" t="s">
        <v>22</v>
      </c>
      <c r="B3841" s="1">
        <v>45818</v>
      </c>
      <c r="C3841">
        <v>1</v>
      </c>
      <c r="D3841">
        <v>0.43099999999999999</v>
      </c>
      <c r="E3841" t="s">
        <v>6</v>
      </c>
      <c r="F3841">
        <v>0.13961999999999999</v>
      </c>
    </row>
    <row r="3842" spans="1:6" x14ac:dyDescent="0.3">
      <c r="A3842" t="s">
        <v>22</v>
      </c>
      <c r="B3842" s="1">
        <v>45818</v>
      </c>
      <c r="C3842">
        <v>2</v>
      </c>
      <c r="D3842">
        <v>0.34399999999999997</v>
      </c>
      <c r="E3842" t="s">
        <v>6</v>
      </c>
      <c r="F3842">
        <v>0.13729</v>
      </c>
    </row>
    <row r="3843" spans="1:6" x14ac:dyDescent="0.3">
      <c r="A3843" t="s">
        <v>22</v>
      </c>
      <c r="B3843" s="1">
        <v>45818</v>
      </c>
      <c r="C3843">
        <v>3</v>
      </c>
      <c r="D3843">
        <v>0.193</v>
      </c>
      <c r="E3843" t="s">
        <v>6</v>
      </c>
      <c r="F3843">
        <v>0.13747000000000001</v>
      </c>
    </row>
    <row r="3844" spans="1:6" x14ac:dyDescent="0.3">
      <c r="A3844" t="s">
        <v>22</v>
      </c>
      <c r="B3844" s="1">
        <v>45818</v>
      </c>
      <c r="C3844">
        <v>4</v>
      </c>
      <c r="D3844">
        <v>0.20300000000000001</v>
      </c>
      <c r="E3844" t="s">
        <v>6</v>
      </c>
      <c r="F3844">
        <v>0.13302</v>
      </c>
    </row>
    <row r="3845" spans="1:6" x14ac:dyDescent="0.3">
      <c r="A3845" t="s">
        <v>22</v>
      </c>
      <c r="B3845" s="1">
        <v>45818</v>
      </c>
      <c r="C3845">
        <v>5</v>
      </c>
      <c r="D3845">
        <v>0.17699999999999999</v>
      </c>
      <c r="E3845" t="s">
        <v>6</v>
      </c>
      <c r="F3845">
        <v>0.13297999999999999</v>
      </c>
    </row>
    <row r="3846" spans="1:6" x14ac:dyDescent="0.3">
      <c r="A3846" t="s">
        <v>22</v>
      </c>
      <c r="B3846" s="1">
        <v>45818</v>
      </c>
      <c r="C3846">
        <v>6</v>
      </c>
      <c r="D3846">
        <v>0.193</v>
      </c>
      <c r="E3846" t="s">
        <v>6</v>
      </c>
      <c r="F3846">
        <v>0.13247</v>
      </c>
    </row>
    <row r="3847" spans="1:6" x14ac:dyDescent="0.3">
      <c r="A3847" t="s">
        <v>22</v>
      </c>
      <c r="B3847" s="1">
        <v>45818</v>
      </c>
      <c r="C3847">
        <v>7</v>
      </c>
      <c r="D3847">
        <v>0.20799999999999999</v>
      </c>
      <c r="E3847" t="s">
        <v>6</v>
      </c>
      <c r="F3847">
        <v>0.13531000000000001</v>
      </c>
    </row>
    <row r="3848" spans="1:6" x14ac:dyDescent="0.3">
      <c r="A3848" t="s">
        <v>22</v>
      </c>
      <c r="B3848" s="1">
        <v>45818</v>
      </c>
      <c r="C3848">
        <v>8</v>
      </c>
      <c r="D3848">
        <v>0.875</v>
      </c>
      <c r="E3848" t="s">
        <v>6</v>
      </c>
      <c r="F3848">
        <v>0.13539999999999999</v>
      </c>
    </row>
    <row r="3849" spans="1:6" x14ac:dyDescent="0.3">
      <c r="A3849" t="s">
        <v>22</v>
      </c>
      <c r="B3849" s="1">
        <v>45818</v>
      </c>
      <c r="C3849">
        <v>9</v>
      </c>
      <c r="D3849">
        <v>1.038</v>
      </c>
      <c r="E3849" t="s">
        <v>6</v>
      </c>
      <c r="F3849">
        <v>0.15737999999999999</v>
      </c>
    </row>
    <row r="3850" spans="1:6" x14ac:dyDescent="0.3">
      <c r="A3850" t="s">
        <v>22</v>
      </c>
      <c r="B3850" s="1">
        <v>45818</v>
      </c>
      <c r="C3850">
        <v>10</v>
      </c>
      <c r="D3850">
        <v>1.0449999999999999</v>
      </c>
      <c r="E3850" t="s">
        <v>6</v>
      </c>
      <c r="F3850">
        <v>0.15359999999999999</v>
      </c>
    </row>
    <row r="3851" spans="1:6" x14ac:dyDescent="0.3">
      <c r="A3851" t="s">
        <v>22</v>
      </c>
      <c r="B3851" s="1">
        <v>45818</v>
      </c>
      <c r="C3851">
        <v>11</v>
      </c>
      <c r="D3851">
        <v>1.105</v>
      </c>
      <c r="E3851" t="s">
        <v>6</v>
      </c>
      <c r="F3851">
        <v>0.21118000000000001</v>
      </c>
    </row>
    <row r="3852" spans="1:6" x14ac:dyDescent="0.3">
      <c r="A3852" t="s">
        <v>22</v>
      </c>
      <c r="B3852" s="1">
        <v>45818</v>
      </c>
      <c r="C3852">
        <v>12</v>
      </c>
      <c r="D3852">
        <v>1.466</v>
      </c>
      <c r="E3852" t="s">
        <v>6</v>
      </c>
      <c r="F3852">
        <v>0.19355</v>
      </c>
    </row>
    <row r="3853" spans="1:6" x14ac:dyDescent="0.3">
      <c r="A3853" t="s">
        <v>22</v>
      </c>
      <c r="B3853" s="1">
        <v>45818</v>
      </c>
      <c r="C3853">
        <v>13</v>
      </c>
      <c r="D3853">
        <v>0.49099999999999999</v>
      </c>
      <c r="E3853" t="s">
        <v>6</v>
      </c>
      <c r="F3853">
        <v>0.16197999999999999</v>
      </c>
    </row>
    <row r="3854" spans="1:6" x14ac:dyDescent="0.3">
      <c r="A3854" t="s">
        <v>22</v>
      </c>
      <c r="B3854" s="1">
        <v>45818</v>
      </c>
      <c r="C3854">
        <v>14</v>
      </c>
      <c r="D3854">
        <v>1.619</v>
      </c>
      <c r="E3854" t="s">
        <v>6</v>
      </c>
      <c r="F3854">
        <v>0.15853999999999999</v>
      </c>
    </row>
    <row r="3855" spans="1:6" x14ac:dyDescent="0.3">
      <c r="A3855" t="s">
        <v>22</v>
      </c>
      <c r="B3855" s="1">
        <v>45818</v>
      </c>
      <c r="C3855">
        <v>15</v>
      </c>
      <c r="D3855">
        <v>1.2170000000000001</v>
      </c>
      <c r="E3855" t="s">
        <v>6</v>
      </c>
      <c r="F3855">
        <v>9.257E-2</v>
      </c>
    </row>
    <row r="3856" spans="1:6" x14ac:dyDescent="0.3">
      <c r="A3856" t="s">
        <v>22</v>
      </c>
      <c r="B3856" s="1">
        <v>45818</v>
      </c>
      <c r="C3856">
        <v>16</v>
      </c>
      <c r="D3856">
        <v>0.77800000000000002</v>
      </c>
      <c r="E3856" t="s">
        <v>6</v>
      </c>
      <c r="F3856">
        <v>9.2280000000000001E-2</v>
      </c>
    </row>
    <row r="3857" spans="1:6" x14ac:dyDescent="0.3">
      <c r="A3857" t="s">
        <v>22</v>
      </c>
      <c r="B3857" s="1">
        <v>45818</v>
      </c>
      <c r="C3857">
        <v>17</v>
      </c>
      <c r="D3857">
        <v>0.39200000000000002</v>
      </c>
      <c r="E3857" t="s">
        <v>6</v>
      </c>
      <c r="F3857">
        <v>9.2719999999999997E-2</v>
      </c>
    </row>
    <row r="3858" spans="1:6" x14ac:dyDescent="0.3">
      <c r="A3858" t="s">
        <v>22</v>
      </c>
      <c r="B3858" s="1">
        <v>45818</v>
      </c>
      <c r="C3858">
        <v>18</v>
      </c>
      <c r="D3858">
        <v>0.24299999999999999</v>
      </c>
      <c r="E3858" t="s">
        <v>6</v>
      </c>
      <c r="F3858">
        <v>0.13168000000000002</v>
      </c>
    </row>
    <row r="3859" spans="1:6" x14ac:dyDescent="0.3">
      <c r="A3859" t="s">
        <v>22</v>
      </c>
      <c r="B3859" s="1">
        <v>45818</v>
      </c>
      <c r="C3859">
        <v>19</v>
      </c>
      <c r="D3859">
        <v>0.29399999999999998</v>
      </c>
      <c r="E3859" t="s">
        <v>6</v>
      </c>
      <c r="F3859">
        <v>0.21112999999999998</v>
      </c>
    </row>
    <row r="3860" spans="1:6" x14ac:dyDescent="0.3">
      <c r="A3860" t="s">
        <v>22</v>
      </c>
      <c r="B3860" s="1">
        <v>45818</v>
      </c>
      <c r="C3860">
        <v>20</v>
      </c>
      <c r="D3860">
        <v>0.16700000000000001</v>
      </c>
      <c r="E3860" t="s">
        <v>6</v>
      </c>
      <c r="F3860">
        <v>0.21936000000000003</v>
      </c>
    </row>
    <row r="3861" spans="1:6" x14ac:dyDescent="0.3">
      <c r="A3861" t="s">
        <v>22</v>
      </c>
      <c r="B3861" s="1">
        <v>45818</v>
      </c>
      <c r="C3861">
        <v>21</v>
      </c>
      <c r="D3861">
        <v>0.45700000000000002</v>
      </c>
      <c r="E3861" t="s">
        <v>6</v>
      </c>
      <c r="F3861">
        <v>0.22952</v>
      </c>
    </row>
    <row r="3862" spans="1:6" x14ac:dyDescent="0.3">
      <c r="A3862" t="s">
        <v>22</v>
      </c>
      <c r="B3862" s="1">
        <v>45818</v>
      </c>
      <c r="C3862">
        <v>22</v>
      </c>
      <c r="D3862">
        <v>2.02</v>
      </c>
      <c r="E3862" t="s">
        <v>6</v>
      </c>
      <c r="F3862">
        <v>0.23327000000000001</v>
      </c>
    </row>
    <row r="3863" spans="1:6" x14ac:dyDescent="0.3">
      <c r="A3863" t="s">
        <v>22</v>
      </c>
      <c r="B3863" s="1">
        <v>45818</v>
      </c>
      <c r="C3863">
        <v>23</v>
      </c>
      <c r="D3863">
        <v>2.363</v>
      </c>
      <c r="E3863" t="s">
        <v>6</v>
      </c>
      <c r="F3863">
        <v>0.16505</v>
      </c>
    </row>
    <row r="3864" spans="1:6" x14ac:dyDescent="0.3">
      <c r="A3864" t="s">
        <v>22</v>
      </c>
      <c r="B3864" s="1">
        <v>45818</v>
      </c>
      <c r="C3864">
        <v>24</v>
      </c>
      <c r="D3864">
        <v>1.0549999999999999</v>
      </c>
      <c r="E3864" t="s">
        <v>6</v>
      </c>
      <c r="F3864">
        <v>0.15994999999999998</v>
      </c>
    </row>
    <row r="3865" spans="1:6" x14ac:dyDescent="0.3">
      <c r="A3865" t="s">
        <v>22</v>
      </c>
      <c r="B3865" s="1">
        <v>45819</v>
      </c>
      <c r="C3865">
        <v>1</v>
      </c>
      <c r="D3865">
        <v>0.315</v>
      </c>
      <c r="E3865" t="s">
        <v>6</v>
      </c>
      <c r="F3865">
        <v>0.14521999999999999</v>
      </c>
    </row>
    <row r="3866" spans="1:6" x14ac:dyDescent="0.3">
      <c r="A3866" t="s">
        <v>22</v>
      </c>
      <c r="B3866" s="1">
        <v>45819</v>
      </c>
      <c r="C3866">
        <v>2</v>
      </c>
      <c r="D3866">
        <v>0.13900000000000001</v>
      </c>
      <c r="E3866" t="s">
        <v>6</v>
      </c>
      <c r="F3866">
        <v>0.14321</v>
      </c>
    </row>
    <row r="3867" spans="1:6" x14ac:dyDescent="0.3">
      <c r="A3867" t="s">
        <v>22</v>
      </c>
      <c r="B3867" s="1">
        <v>45819</v>
      </c>
      <c r="C3867">
        <v>3</v>
      </c>
      <c r="D3867">
        <v>0.10299999999999999</v>
      </c>
      <c r="E3867" t="s">
        <v>6</v>
      </c>
      <c r="F3867">
        <v>0.14143</v>
      </c>
    </row>
    <row r="3868" spans="1:6" x14ac:dyDescent="0.3">
      <c r="A3868" t="s">
        <v>22</v>
      </c>
      <c r="B3868" s="1">
        <v>45819</v>
      </c>
      <c r="C3868">
        <v>4</v>
      </c>
      <c r="D3868">
        <v>0.20499999999999999</v>
      </c>
      <c r="E3868" t="s">
        <v>6</v>
      </c>
      <c r="F3868">
        <v>0.13830000000000001</v>
      </c>
    </row>
    <row r="3869" spans="1:6" x14ac:dyDescent="0.3">
      <c r="A3869" t="s">
        <v>22</v>
      </c>
      <c r="B3869" s="1">
        <v>45819</v>
      </c>
      <c r="C3869">
        <v>5</v>
      </c>
      <c r="D3869">
        <v>0.127</v>
      </c>
      <c r="E3869" t="s">
        <v>6</v>
      </c>
      <c r="F3869">
        <v>0.13661000000000001</v>
      </c>
    </row>
    <row r="3870" spans="1:6" x14ac:dyDescent="0.3">
      <c r="A3870" t="s">
        <v>22</v>
      </c>
      <c r="B3870" s="1">
        <v>45819</v>
      </c>
      <c r="C3870">
        <v>6</v>
      </c>
      <c r="D3870">
        <v>0.16900000000000001</v>
      </c>
      <c r="E3870" t="s">
        <v>6</v>
      </c>
      <c r="F3870">
        <v>0.13788</v>
      </c>
    </row>
    <row r="3871" spans="1:6" x14ac:dyDescent="0.3">
      <c r="A3871" t="s">
        <v>22</v>
      </c>
      <c r="B3871" s="1">
        <v>45819</v>
      </c>
      <c r="C3871">
        <v>7</v>
      </c>
      <c r="D3871">
        <v>0.16500000000000001</v>
      </c>
      <c r="E3871" t="s">
        <v>6</v>
      </c>
      <c r="F3871">
        <v>0.14107</v>
      </c>
    </row>
    <row r="3872" spans="1:6" x14ac:dyDescent="0.3">
      <c r="A3872" t="s">
        <v>22</v>
      </c>
      <c r="B3872" s="1">
        <v>45819</v>
      </c>
      <c r="C3872">
        <v>8</v>
      </c>
      <c r="D3872">
        <v>0.65</v>
      </c>
      <c r="E3872" t="s">
        <v>6</v>
      </c>
      <c r="F3872">
        <v>0.14230000000000001</v>
      </c>
    </row>
    <row r="3873" spans="1:6" x14ac:dyDescent="0.3">
      <c r="A3873" t="s">
        <v>22</v>
      </c>
      <c r="B3873" s="1">
        <v>45819</v>
      </c>
      <c r="C3873">
        <v>9</v>
      </c>
      <c r="D3873">
        <v>3.1829999999999998</v>
      </c>
      <c r="E3873" t="s">
        <v>6</v>
      </c>
      <c r="F3873">
        <v>0.16506999999999999</v>
      </c>
    </row>
    <row r="3874" spans="1:6" x14ac:dyDescent="0.3">
      <c r="A3874" t="s">
        <v>22</v>
      </c>
      <c r="B3874" s="1">
        <v>45819</v>
      </c>
      <c r="C3874">
        <v>10</v>
      </c>
      <c r="D3874">
        <v>4.8810000000000002</v>
      </c>
      <c r="E3874" t="s">
        <v>6</v>
      </c>
      <c r="F3874">
        <v>0.15786</v>
      </c>
    </row>
    <row r="3875" spans="1:6" x14ac:dyDescent="0.3">
      <c r="A3875" t="s">
        <v>22</v>
      </c>
      <c r="B3875" s="1">
        <v>45819</v>
      </c>
      <c r="C3875">
        <v>11</v>
      </c>
      <c r="D3875">
        <v>5.4569999999999999</v>
      </c>
      <c r="E3875" t="s">
        <v>6</v>
      </c>
      <c r="F3875">
        <v>0.2026</v>
      </c>
    </row>
    <row r="3876" spans="1:6" x14ac:dyDescent="0.3">
      <c r="A3876" t="s">
        <v>22</v>
      </c>
      <c r="B3876" s="1">
        <v>45819</v>
      </c>
      <c r="C3876">
        <v>12</v>
      </c>
      <c r="D3876">
        <v>2.3540000000000001</v>
      </c>
      <c r="E3876" t="s">
        <v>6</v>
      </c>
      <c r="F3876">
        <v>0.16857</v>
      </c>
    </row>
    <row r="3877" spans="1:6" x14ac:dyDescent="0.3">
      <c r="A3877" t="s">
        <v>22</v>
      </c>
      <c r="B3877" s="1">
        <v>45819</v>
      </c>
      <c r="C3877">
        <v>13</v>
      </c>
      <c r="D3877">
        <v>2.3860000000000001</v>
      </c>
      <c r="E3877" t="s">
        <v>6</v>
      </c>
      <c r="F3877">
        <v>0.13069999999999998</v>
      </c>
    </row>
    <row r="3878" spans="1:6" x14ac:dyDescent="0.3">
      <c r="A3878" t="s">
        <v>22</v>
      </c>
      <c r="B3878" s="1">
        <v>45819</v>
      </c>
      <c r="C3878">
        <v>14</v>
      </c>
      <c r="D3878">
        <v>1.7649999999999999</v>
      </c>
      <c r="E3878" t="s">
        <v>6</v>
      </c>
      <c r="F3878">
        <v>0.11763</v>
      </c>
    </row>
    <row r="3879" spans="1:6" x14ac:dyDescent="0.3">
      <c r="A3879" t="s">
        <v>22</v>
      </c>
      <c r="B3879" s="1">
        <v>45819</v>
      </c>
      <c r="C3879">
        <v>15</v>
      </c>
      <c r="D3879">
        <v>1.837</v>
      </c>
      <c r="E3879" t="s">
        <v>6</v>
      </c>
      <c r="F3879">
        <v>5.0939999999999999E-2</v>
      </c>
    </row>
    <row r="3880" spans="1:6" x14ac:dyDescent="0.3">
      <c r="A3880" t="s">
        <v>22</v>
      </c>
      <c r="B3880" s="1">
        <v>45819</v>
      </c>
      <c r="C3880">
        <v>16</v>
      </c>
      <c r="D3880">
        <v>0.47399999999999998</v>
      </c>
      <c r="E3880" t="s">
        <v>6</v>
      </c>
      <c r="F3880">
        <v>4.8780000000000004E-2</v>
      </c>
    </row>
    <row r="3881" spans="1:6" x14ac:dyDescent="0.3">
      <c r="A3881" t="s">
        <v>22</v>
      </c>
      <c r="B3881" s="1">
        <v>45819</v>
      </c>
      <c r="C3881">
        <v>17</v>
      </c>
      <c r="D3881">
        <v>0.32300000000000001</v>
      </c>
      <c r="E3881" t="s">
        <v>6</v>
      </c>
      <c r="F3881">
        <v>5.0299999999999997E-2</v>
      </c>
    </row>
    <row r="3882" spans="1:6" x14ac:dyDescent="0.3">
      <c r="A3882" t="s">
        <v>22</v>
      </c>
      <c r="B3882" s="1">
        <v>45819</v>
      </c>
      <c r="C3882">
        <v>18</v>
      </c>
      <c r="D3882">
        <v>0.29699999999999999</v>
      </c>
      <c r="E3882" t="s">
        <v>6</v>
      </c>
      <c r="F3882">
        <v>5.1139999999999998E-2</v>
      </c>
    </row>
    <row r="3883" spans="1:6" x14ac:dyDescent="0.3">
      <c r="A3883" t="s">
        <v>22</v>
      </c>
      <c r="B3883" s="1">
        <v>45819</v>
      </c>
      <c r="C3883">
        <v>19</v>
      </c>
      <c r="D3883">
        <v>0.27300000000000002</v>
      </c>
      <c r="E3883" t="s">
        <v>6</v>
      </c>
      <c r="F3883">
        <v>0.13403999999999999</v>
      </c>
    </row>
    <row r="3884" spans="1:6" x14ac:dyDescent="0.3">
      <c r="A3884" t="s">
        <v>22</v>
      </c>
      <c r="B3884" s="1">
        <v>45819</v>
      </c>
      <c r="C3884">
        <v>20</v>
      </c>
      <c r="D3884">
        <v>1.833</v>
      </c>
      <c r="E3884" t="s">
        <v>6</v>
      </c>
      <c r="F3884">
        <v>0.19803999999999999</v>
      </c>
    </row>
    <row r="3885" spans="1:6" x14ac:dyDescent="0.3">
      <c r="A3885" t="s">
        <v>22</v>
      </c>
      <c r="B3885" s="1">
        <v>45819</v>
      </c>
      <c r="C3885">
        <v>21</v>
      </c>
      <c r="D3885">
        <v>1.4930000000000001</v>
      </c>
      <c r="E3885" t="s">
        <v>6</v>
      </c>
      <c r="F3885">
        <v>0.22905</v>
      </c>
    </row>
    <row r="3886" spans="1:6" x14ac:dyDescent="0.3">
      <c r="A3886" t="s">
        <v>22</v>
      </c>
      <c r="B3886" s="1">
        <v>45819</v>
      </c>
      <c r="C3886">
        <v>22</v>
      </c>
      <c r="D3886">
        <v>0.68400000000000005</v>
      </c>
      <c r="E3886" t="s">
        <v>6</v>
      </c>
      <c r="F3886">
        <v>0.2399</v>
      </c>
    </row>
    <row r="3887" spans="1:6" x14ac:dyDescent="0.3">
      <c r="A3887" t="s">
        <v>22</v>
      </c>
      <c r="B3887" s="1">
        <v>45819</v>
      </c>
      <c r="C3887">
        <v>23</v>
      </c>
      <c r="D3887">
        <v>0.437</v>
      </c>
      <c r="E3887" t="s">
        <v>6</v>
      </c>
      <c r="F3887">
        <v>0.17443999999999998</v>
      </c>
    </row>
    <row r="3888" spans="1:6" x14ac:dyDescent="0.3">
      <c r="A3888" t="s">
        <v>22</v>
      </c>
      <c r="B3888" s="1">
        <v>45819</v>
      </c>
      <c r="C3888">
        <v>24</v>
      </c>
      <c r="D3888">
        <v>0.26700000000000002</v>
      </c>
      <c r="E3888" t="s">
        <v>6</v>
      </c>
      <c r="F3888">
        <v>0.16975999999999999</v>
      </c>
    </row>
    <row r="3889" spans="1:6" x14ac:dyDescent="0.3">
      <c r="A3889" t="s">
        <v>22</v>
      </c>
      <c r="B3889" s="1">
        <v>45820</v>
      </c>
      <c r="C3889">
        <v>1</v>
      </c>
      <c r="D3889">
        <v>0.215</v>
      </c>
      <c r="E3889" t="s">
        <v>6</v>
      </c>
      <c r="F3889">
        <v>0.14530999999999999</v>
      </c>
    </row>
    <row r="3890" spans="1:6" x14ac:dyDescent="0.3">
      <c r="A3890" t="s">
        <v>22</v>
      </c>
      <c r="B3890" s="1">
        <v>45820</v>
      </c>
      <c r="C3890">
        <v>2</v>
      </c>
      <c r="D3890">
        <v>0.14399999999999999</v>
      </c>
      <c r="E3890" t="s">
        <v>6</v>
      </c>
      <c r="F3890">
        <v>0.14223</v>
      </c>
    </row>
    <row r="3891" spans="1:6" x14ac:dyDescent="0.3">
      <c r="A3891" t="s">
        <v>22</v>
      </c>
      <c r="B3891" s="1">
        <v>45820</v>
      </c>
      <c r="C3891">
        <v>3</v>
      </c>
      <c r="D3891">
        <v>0.21099999999999999</v>
      </c>
      <c r="E3891" t="s">
        <v>6</v>
      </c>
      <c r="F3891">
        <v>0.13774</v>
      </c>
    </row>
    <row r="3892" spans="1:6" x14ac:dyDescent="0.3">
      <c r="A3892" t="s">
        <v>22</v>
      </c>
      <c r="B3892" s="1">
        <v>45820</v>
      </c>
      <c r="C3892">
        <v>4</v>
      </c>
      <c r="D3892">
        <v>0.11600000000000001</v>
      </c>
      <c r="E3892" t="s">
        <v>6</v>
      </c>
      <c r="F3892">
        <v>0.13350999999999999</v>
      </c>
    </row>
    <row r="3893" spans="1:6" x14ac:dyDescent="0.3">
      <c r="A3893" t="s">
        <v>22</v>
      </c>
      <c r="B3893" s="1">
        <v>45820</v>
      </c>
      <c r="C3893">
        <v>5</v>
      </c>
      <c r="D3893">
        <v>0.185</v>
      </c>
      <c r="E3893" t="s">
        <v>6</v>
      </c>
      <c r="F3893">
        <v>0.13337000000000002</v>
      </c>
    </row>
    <row r="3894" spans="1:6" x14ac:dyDescent="0.3">
      <c r="A3894" t="s">
        <v>22</v>
      </c>
      <c r="B3894" s="1">
        <v>45820</v>
      </c>
      <c r="C3894">
        <v>6</v>
      </c>
      <c r="D3894">
        <v>0.125</v>
      </c>
      <c r="E3894" t="s">
        <v>6</v>
      </c>
      <c r="F3894">
        <v>0.13750000000000001</v>
      </c>
    </row>
    <row r="3895" spans="1:6" x14ac:dyDescent="0.3">
      <c r="A3895" t="s">
        <v>22</v>
      </c>
      <c r="B3895" s="1">
        <v>45820</v>
      </c>
      <c r="C3895">
        <v>7</v>
      </c>
      <c r="D3895">
        <v>0.161</v>
      </c>
      <c r="E3895" t="s">
        <v>6</v>
      </c>
      <c r="F3895">
        <v>0.14361000000000002</v>
      </c>
    </row>
    <row r="3896" spans="1:6" x14ac:dyDescent="0.3">
      <c r="A3896" t="s">
        <v>22</v>
      </c>
      <c r="B3896" s="1">
        <v>45820</v>
      </c>
      <c r="C3896">
        <v>8</v>
      </c>
      <c r="D3896">
        <v>0.44400000000000001</v>
      </c>
      <c r="E3896" t="s">
        <v>6</v>
      </c>
      <c r="F3896">
        <v>0.14198</v>
      </c>
    </row>
    <row r="3897" spans="1:6" x14ac:dyDescent="0.3">
      <c r="A3897" t="s">
        <v>22</v>
      </c>
      <c r="B3897" s="1">
        <v>45820</v>
      </c>
      <c r="C3897">
        <v>9</v>
      </c>
      <c r="D3897">
        <v>0.63100000000000001</v>
      </c>
      <c r="E3897" t="s">
        <v>6</v>
      </c>
      <c r="F3897">
        <v>0.15309999999999999</v>
      </c>
    </row>
    <row r="3898" spans="1:6" x14ac:dyDescent="0.3">
      <c r="A3898" t="s">
        <v>22</v>
      </c>
      <c r="B3898" s="1">
        <v>45820</v>
      </c>
      <c r="C3898">
        <v>10</v>
      </c>
      <c r="D3898">
        <v>1.17</v>
      </c>
      <c r="E3898" t="s">
        <v>6</v>
      </c>
      <c r="F3898">
        <v>7.5490000000000002E-2</v>
      </c>
    </row>
    <row r="3899" spans="1:6" x14ac:dyDescent="0.3">
      <c r="A3899" t="s">
        <v>22</v>
      </c>
      <c r="B3899" s="1">
        <v>45820</v>
      </c>
      <c r="C3899">
        <v>11</v>
      </c>
      <c r="D3899">
        <v>1.1399999999999999</v>
      </c>
      <c r="E3899" t="s">
        <v>6</v>
      </c>
      <c r="F3899">
        <v>0.12322</v>
      </c>
    </row>
    <row r="3900" spans="1:6" x14ac:dyDescent="0.3">
      <c r="A3900" t="s">
        <v>22</v>
      </c>
      <c r="B3900" s="1">
        <v>45820</v>
      </c>
      <c r="C3900">
        <v>12</v>
      </c>
      <c r="D3900">
        <v>1.7509999999999999</v>
      </c>
      <c r="E3900" t="s">
        <v>6</v>
      </c>
      <c r="F3900">
        <v>0.12257999999999999</v>
      </c>
    </row>
    <row r="3901" spans="1:6" x14ac:dyDescent="0.3">
      <c r="A3901" t="s">
        <v>22</v>
      </c>
      <c r="B3901" s="1">
        <v>45820</v>
      </c>
      <c r="C3901">
        <v>13</v>
      </c>
      <c r="D3901">
        <v>3.1970000000000001</v>
      </c>
      <c r="E3901" t="s">
        <v>6</v>
      </c>
      <c r="F3901">
        <v>0.12254000000000001</v>
      </c>
    </row>
    <row r="3902" spans="1:6" x14ac:dyDescent="0.3">
      <c r="A3902" t="s">
        <v>22</v>
      </c>
      <c r="B3902" s="1">
        <v>45820</v>
      </c>
      <c r="C3902">
        <v>14</v>
      </c>
      <c r="D3902">
        <v>4.5609999999999999</v>
      </c>
      <c r="E3902" t="s">
        <v>6</v>
      </c>
      <c r="F3902">
        <v>0.11971999999999999</v>
      </c>
    </row>
    <row r="3903" spans="1:6" x14ac:dyDescent="0.3">
      <c r="A3903" t="s">
        <v>22</v>
      </c>
      <c r="B3903" s="1">
        <v>45820</v>
      </c>
      <c r="C3903">
        <v>15</v>
      </c>
      <c r="D3903">
        <v>5.2969999999999997</v>
      </c>
      <c r="E3903" t="s">
        <v>6</v>
      </c>
      <c r="F3903">
        <v>5.4549999999999994E-2</v>
      </c>
    </row>
    <row r="3904" spans="1:6" x14ac:dyDescent="0.3">
      <c r="A3904" t="s">
        <v>22</v>
      </c>
      <c r="B3904" s="1">
        <v>45820</v>
      </c>
      <c r="C3904">
        <v>16</v>
      </c>
      <c r="D3904">
        <v>1.0660000000000001</v>
      </c>
      <c r="E3904" t="s">
        <v>6</v>
      </c>
      <c r="F3904">
        <v>5.5539999999999999E-2</v>
      </c>
    </row>
    <row r="3905" spans="1:6" x14ac:dyDescent="0.3">
      <c r="A3905" t="s">
        <v>22</v>
      </c>
      <c r="B3905" s="1">
        <v>45820</v>
      </c>
      <c r="C3905">
        <v>17</v>
      </c>
      <c r="D3905">
        <v>1.1419999999999999</v>
      </c>
      <c r="E3905" t="s">
        <v>6</v>
      </c>
      <c r="F3905">
        <v>5.4939999999999996E-2</v>
      </c>
    </row>
    <row r="3906" spans="1:6" x14ac:dyDescent="0.3">
      <c r="A3906" t="s">
        <v>22</v>
      </c>
      <c r="B3906" s="1">
        <v>45820</v>
      </c>
      <c r="C3906">
        <v>18</v>
      </c>
      <c r="D3906">
        <v>1.2090000000000001</v>
      </c>
      <c r="E3906" t="s">
        <v>6</v>
      </c>
      <c r="F3906">
        <v>5.6559999999999999E-2</v>
      </c>
    </row>
    <row r="3907" spans="1:6" x14ac:dyDescent="0.3">
      <c r="A3907" t="s">
        <v>22</v>
      </c>
      <c r="B3907" s="1">
        <v>45820</v>
      </c>
      <c r="C3907">
        <v>19</v>
      </c>
      <c r="D3907">
        <v>1.0820000000000001</v>
      </c>
      <c r="E3907" t="s">
        <v>6</v>
      </c>
      <c r="F3907">
        <v>0.14063999999999999</v>
      </c>
    </row>
    <row r="3908" spans="1:6" x14ac:dyDescent="0.3">
      <c r="A3908" t="s">
        <v>22</v>
      </c>
      <c r="B3908" s="1">
        <v>45820</v>
      </c>
      <c r="C3908">
        <v>20</v>
      </c>
      <c r="D3908">
        <v>0.67100000000000004</v>
      </c>
      <c r="E3908" t="s">
        <v>6</v>
      </c>
      <c r="F3908">
        <v>0.21933000000000002</v>
      </c>
    </row>
    <row r="3909" spans="1:6" x14ac:dyDescent="0.3">
      <c r="A3909" t="s">
        <v>22</v>
      </c>
      <c r="B3909" s="1">
        <v>45820</v>
      </c>
      <c r="C3909">
        <v>21</v>
      </c>
      <c r="D3909">
        <v>0.105</v>
      </c>
      <c r="E3909" t="s">
        <v>6</v>
      </c>
      <c r="F3909">
        <v>0.23418</v>
      </c>
    </row>
    <row r="3910" spans="1:6" x14ac:dyDescent="0.3">
      <c r="A3910" t="s">
        <v>22</v>
      </c>
      <c r="B3910" s="1">
        <v>45820</v>
      </c>
      <c r="C3910">
        <v>22</v>
      </c>
      <c r="D3910">
        <v>0.30299999999999999</v>
      </c>
      <c r="E3910" t="s">
        <v>6</v>
      </c>
      <c r="F3910">
        <v>0.26297999999999999</v>
      </c>
    </row>
    <row r="3911" spans="1:6" x14ac:dyDescent="0.3">
      <c r="A3911" t="s">
        <v>22</v>
      </c>
      <c r="B3911" s="1">
        <v>45820</v>
      </c>
      <c r="C3911">
        <v>23</v>
      </c>
      <c r="D3911">
        <v>0.36399999999999999</v>
      </c>
      <c r="E3911" t="s">
        <v>6</v>
      </c>
      <c r="F3911">
        <v>0.20758000000000001</v>
      </c>
    </row>
    <row r="3912" spans="1:6" x14ac:dyDescent="0.3">
      <c r="A3912" t="s">
        <v>22</v>
      </c>
      <c r="B3912" s="1">
        <v>45820</v>
      </c>
      <c r="C3912">
        <v>24</v>
      </c>
      <c r="D3912">
        <v>0.309</v>
      </c>
      <c r="E3912" t="s">
        <v>6</v>
      </c>
      <c r="F3912">
        <v>0.18258000000000002</v>
      </c>
    </row>
    <row r="3913" spans="1:6" x14ac:dyDescent="0.3">
      <c r="A3913" t="s">
        <v>22</v>
      </c>
      <c r="B3913" s="1">
        <v>45821</v>
      </c>
      <c r="C3913">
        <v>1</v>
      </c>
      <c r="D3913">
        <v>0.20200000000000001</v>
      </c>
      <c r="E3913" t="s">
        <v>6</v>
      </c>
      <c r="F3913">
        <v>0.16547999999999999</v>
      </c>
    </row>
    <row r="3914" spans="1:6" x14ac:dyDescent="0.3">
      <c r="A3914" t="s">
        <v>22</v>
      </c>
      <c r="B3914" s="1">
        <v>45821</v>
      </c>
      <c r="C3914">
        <v>2</v>
      </c>
      <c r="D3914">
        <v>0.157</v>
      </c>
      <c r="E3914" t="s">
        <v>6</v>
      </c>
      <c r="F3914">
        <v>0.15783000000000003</v>
      </c>
    </row>
    <row r="3915" spans="1:6" x14ac:dyDescent="0.3">
      <c r="A3915" t="s">
        <v>22</v>
      </c>
      <c r="B3915" s="1">
        <v>45821</v>
      </c>
      <c r="C3915">
        <v>3</v>
      </c>
      <c r="D3915">
        <v>0.17399999999999999</v>
      </c>
      <c r="E3915" t="s">
        <v>6</v>
      </c>
      <c r="F3915">
        <v>0.15355000000000002</v>
      </c>
    </row>
    <row r="3916" spans="1:6" x14ac:dyDescent="0.3">
      <c r="A3916" t="s">
        <v>22</v>
      </c>
      <c r="B3916" s="1">
        <v>45821</v>
      </c>
      <c r="C3916">
        <v>4</v>
      </c>
      <c r="D3916">
        <v>0.12</v>
      </c>
      <c r="E3916" t="s">
        <v>6</v>
      </c>
      <c r="F3916">
        <v>0.14921000000000001</v>
      </c>
    </row>
    <row r="3917" spans="1:6" x14ac:dyDescent="0.3">
      <c r="A3917" t="s">
        <v>22</v>
      </c>
      <c r="B3917" s="1">
        <v>45821</v>
      </c>
      <c r="C3917">
        <v>5</v>
      </c>
      <c r="D3917">
        <v>0.191</v>
      </c>
      <c r="E3917" t="s">
        <v>6</v>
      </c>
      <c r="F3917">
        <v>0.1482</v>
      </c>
    </row>
    <row r="3918" spans="1:6" x14ac:dyDescent="0.3">
      <c r="A3918" t="s">
        <v>22</v>
      </c>
      <c r="B3918" s="1">
        <v>45821</v>
      </c>
      <c r="C3918">
        <v>6</v>
      </c>
      <c r="D3918">
        <v>0.114</v>
      </c>
      <c r="E3918" t="s">
        <v>6</v>
      </c>
      <c r="F3918">
        <v>0.14756</v>
      </c>
    </row>
    <row r="3919" spans="1:6" x14ac:dyDescent="0.3">
      <c r="A3919" t="s">
        <v>22</v>
      </c>
      <c r="B3919" s="1">
        <v>45821</v>
      </c>
      <c r="C3919">
        <v>7</v>
      </c>
      <c r="D3919">
        <v>0.129</v>
      </c>
      <c r="E3919" t="s">
        <v>6</v>
      </c>
      <c r="F3919">
        <v>0.15145</v>
      </c>
    </row>
    <row r="3920" spans="1:6" x14ac:dyDescent="0.3">
      <c r="A3920" t="s">
        <v>22</v>
      </c>
      <c r="B3920" s="1">
        <v>45821</v>
      </c>
      <c r="C3920">
        <v>8</v>
      </c>
      <c r="D3920">
        <v>0.70899999999999996</v>
      </c>
      <c r="E3920" t="s">
        <v>6</v>
      </c>
      <c r="F3920">
        <v>0.14812999999999998</v>
      </c>
    </row>
    <row r="3921" spans="1:6" x14ac:dyDescent="0.3">
      <c r="A3921" t="s">
        <v>22</v>
      </c>
      <c r="B3921" s="1">
        <v>45821</v>
      </c>
      <c r="C3921">
        <v>9</v>
      </c>
      <c r="D3921">
        <v>3.4830000000000001</v>
      </c>
      <c r="E3921" t="s">
        <v>6</v>
      </c>
      <c r="F3921">
        <v>0.17199999999999999</v>
      </c>
    </row>
    <row r="3922" spans="1:6" x14ac:dyDescent="0.3">
      <c r="A3922" t="s">
        <v>22</v>
      </c>
      <c r="B3922" s="1">
        <v>45821</v>
      </c>
      <c r="C3922">
        <v>10</v>
      </c>
      <c r="D3922">
        <v>1.0369999999999999</v>
      </c>
      <c r="E3922" t="s">
        <v>6</v>
      </c>
      <c r="F3922">
        <v>0.11045000000000001</v>
      </c>
    </row>
    <row r="3923" spans="1:6" x14ac:dyDescent="0.3">
      <c r="A3923" t="s">
        <v>22</v>
      </c>
      <c r="B3923" s="1">
        <v>45821</v>
      </c>
      <c r="C3923">
        <v>11</v>
      </c>
      <c r="D3923">
        <v>0</v>
      </c>
      <c r="E3923" t="s">
        <v>6</v>
      </c>
      <c r="F3923">
        <v>0.13618</v>
      </c>
    </row>
    <row r="3924" spans="1:6" x14ac:dyDescent="0.3">
      <c r="A3924" t="s">
        <v>22</v>
      </c>
      <c r="B3924" s="1">
        <v>45821</v>
      </c>
      <c r="C3924">
        <v>12</v>
      </c>
      <c r="D3924">
        <v>0</v>
      </c>
      <c r="E3924" t="s">
        <v>6</v>
      </c>
      <c r="F3924">
        <v>0.12145</v>
      </c>
    </row>
    <row r="3925" spans="1:6" x14ac:dyDescent="0.3">
      <c r="A3925" t="s">
        <v>22</v>
      </c>
      <c r="B3925" s="1">
        <v>45821</v>
      </c>
      <c r="C3925">
        <v>13</v>
      </c>
      <c r="D3925">
        <v>0</v>
      </c>
      <c r="E3925" t="s">
        <v>6</v>
      </c>
      <c r="F3925">
        <v>0.12025</v>
      </c>
    </row>
    <row r="3926" spans="1:6" x14ac:dyDescent="0.3">
      <c r="A3926" t="s">
        <v>22</v>
      </c>
      <c r="B3926" s="1">
        <v>45821</v>
      </c>
      <c r="C3926">
        <v>14</v>
      </c>
      <c r="D3926">
        <v>1.28</v>
      </c>
      <c r="E3926" t="s">
        <v>6</v>
      </c>
      <c r="F3926">
        <v>0.11769</v>
      </c>
    </row>
    <row r="3927" spans="1:6" x14ac:dyDescent="0.3">
      <c r="A3927" t="s">
        <v>22</v>
      </c>
      <c r="B3927" s="1">
        <v>45821</v>
      </c>
      <c r="C3927">
        <v>15</v>
      </c>
      <c r="D3927">
        <v>0</v>
      </c>
      <c r="E3927" t="s">
        <v>6</v>
      </c>
      <c r="F3927">
        <v>5.2929999999999998E-2</v>
      </c>
    </row>
    <row r="3928" spans="1:6" x14ac:dyDescent="0.3">
      <c r="A3928" t="s">
        <v>22</v>
      </c>
      <c r="B3928" s="1">
        <v>45821</v>
      </c>
      <c r="C3928">
        <v>16</v>
      </c>
      <c r="D3928">
        <v>0</v>
      </c>
      <c r="E3928" t="s">
        <v>6</v>
      </c>
      <c r="F3928">
        <v>5.364E-2</v>
      </c>
    </row>
    <row r="3929" spans="1:6" x14ac:dyDescent="0.3">
      <c r="A3929" t="s">
        <v>22</v>
      </c>
      <c r="B3929" s="1">
        <v>45821</v>
      </c>
      <c r="C3929">
        <v>17</v>
      </c>
      <c r="D3929">
        <v>0</v>
      </c>
      <c r="E3929" t="s">
        <v>6</v>
      </c>
      <c r="F3929">
        <v>5.4119999999999994E-2</v>
      </c>
    </row>
    <row r="3930" spans="1:6" x14ac:dyDescent="0.3">
      <c r="A3930" t="s">
        <v>22</v>
      </c>
      <c r="B3930" s="1">
        <v>45821</v>
      </c>
      <c r="C3930">
        <v>18</v>
      </c>
      <c r="D3930">
        <v>0</v>
      </c>
      <c r="E3930" t="s">
        <v>6</v>
      </c>
      <c r="F3930">
        <v>5.8590000000000003E-2</v>
      </c>
    </row>
    <row r="3931" spans="1:6" x14ac:dyDescent="0.3">
      <c r="A3931" t="s">
        <v>22</v>
      </c>
      <c r="B3931" s="1">
        <v>45821</v>
      </c>
      <c r="C3931">
        <v>19</v>
      </c>
      <c r="D3931">
        <v>0</v>
      </c>
      <c r="E3931" t="s">
        <v>6</v>
      </c>
      <c r="F3931">
        <v>0.14246</v>
      </c>
    </row>
    <row r="3932" spans="1:6" x14ac:dyDescent="0.3">
      <c r="A3932" t="s">
        <v>22</v>
      </c>
      <c r="B3932" s="1">
        <v>45821</v>
      </c>
      <c r="C3932">
        <v>20</v>
      </c>
      <c r="D3932">
        <v>0.27800000000000002</v>
      </c>
      <c r="E3932" t="s">
        <v>6</v>
      </c>
      <c r="F3932">
        <v>0.21933000000000002</v>
      </c>
    </row>
    <row r="3933" spans="1:6" x14ac:dyDescent="0.3">
      <c r="A3933" t="s">
        <v>22</v>
      </c>
      <c r="B3933" s="1">
        <v>45821</v>
      </c>
      <c r="C3933">
        <v>21</v>
      </c>
      <c r="D3933">
        <v>0.82399999999999995</v>
      </c>
      <c r="E3933" t="s">
        <v>6</v>
      </c>
      <c r="F3933">
        <v>0.23294999999999999</v>
      </c>
    </row>
    <row r="3934" spans="1:6" x14ac:dyDescent="0.3">
      <c r="A3934" t="s">
        <v>22</v>
      </c>
      <c r="B3934" s="1">
        <v>45821</v>
      </c>
      <c r="C3934">
        <v>22</v>
      </c>
      <c r="D3934">
        <v>1.0569999999999999</v>
      </c>
      <c r="E3934" t="s">
        <v>6</v>
      </c>
      <c r="F3934">
        <v>0.24714</v>
      </c>
    </row>
    <row r="3935" spans="1:6" x14ac:dyDescent="0.3">
      <c r="A3935" t="s">
        <v>22</v>
      </c>
      <c r="B3935" s="1">
        <v>45821</v>
      </c>
      <c r="C3935">
        <v>23</v>
      </c>
      <c r="D3935">
        <v>0.872</v>
      </c>
      <c r="E3935" t="s">
        <v>6</v>
      </c>
      <c r="F3935">
        <v>0.18205000000000002</v>
      </c>
    </row>
    <row r="3936" spans="1:6" x14ac:dyDescent="0.3">
      <c r="A3936" t="s">
        <v>22</v>
      </c>
      <c r="B3936" s="1">
        <v>45821</v>
      </c>
      <c r="C3936">
        <v>24</v>
      </c>
      <c r="D3936">
        <v>0.57399999999999995</v>
      </c>
      <c r="E3936" t="s">
        <v>6</v>
      </c>
      <c r="F3936">
        <v>0.17595</v>
      </c>
    </row>
    <row r="3937" spans="1:6" x14ac:dyDescent="0.3">
      <c r="A3937" t="s">
        <v>22</v>
      </c>
      <c r="B3937" s="1">
        <v>45822</v>
      </c>
      <c r="C3937">
        <v>1</v>
      </c>
      <c r="D3937">
        <v>0.61499999999999999</v>
      </c>
      <c r="E3937" t="s">
        <v>6</v>
      </c>
      <c r="F3937">
        <v>0.15718000000000001</v>
      </c>
    </row>
    <row r="3938" spans="1:6" x14ac:dyDescent="0.3">
      <c r="A3938" t="s">
        <v>22</v>
      </c>
      <c r="B3938" s="1">
        <v>45822</v>
      </c>
      <c r="C3938">
        <v>2</v>
      </c>
      <c r="D3938">
        <v>0.53700000000000003</v>
      </c>
      <c r="E3938" t="s">
        <v>6</v>
      </c>
      <c r="F3938">
        <v>0.15818000000000002</v>
      </c>
    </row>
    <row r="3939" spans="1:6" x14ac:dyDescent="0.3">
      <c r="A3939" t="s">
        <v>22</v>
      </c>
      <c r="B3939" s="1">
        <v>45822</v>
      </c>
      <c r="C3939">
        <v>3</v>
      </c>
      <c r="D3939">
        <v>1.73</v>
      </c>
      <c r="E3939" t="s">
        <v>6</v>
      </c>
      <c r="F3939">
        <v>0.15969</v>
      </c>
    </row>
    <row r="3940" spans="1:6" x14ac:dyDescent="0.3">
      <c r="A3940" t="s">
        <v>22</v>
      </c>
      <c r="B3940" s="1">
        <v>45822</v>
      </c>
      <c r="C3940">
        <v>4</v>
      </c>
      <c r="D3940">
        <v>0.47799999999999998</v>
      </c>
      <c r="E3940" t="s">
        <v>6</v>
      </c>
      <c r="F3940">
        <v>0.15619</v>
      </c>
    </row>
    <row r="3941" spans="1:6" x14ac:dyDescent="0.3">
      <c r="A3941" t="s">
        <v>22</v>
      </c>
      <c r="B3941" s="1">
        <v>45822</v>
      </c>
      <c r="C3941">
        <v>5</v>
      </c>
      <c r="D3941">
        <v>0.54400000000000004</v>
      </c>
      <c r="E3941" t="s">
        <v>6</v>
      </c>
      <c r="F3941">
        <v>0.15625999999999998</v>
      </c>
    </row>
    <row r="3942" spans="1:6" x14ac:dyDescent="0.3">
      <c r="A3942" t="s">
        <v>22</v>
      </c>
      <c r="B3942" s="1">
        <v>45822</v>
      </c>
      <c r="C3942">
        <v>6</v>
      </c>
      <c r="D3942">
        <v>0.50600000000000001</v>
      </c>
      <c r="E3942" t="s">
        <v>6</v>
      </c>
      <c r="F3942">
        <v>0.15625999999999998</v>
      </c>
    </row>
    <row r="3943" spans="1:6" x14ac:dyDescent="0.3">
      <c r="A3943" t="s">
        <v>22</v>
      </c>
      <c r="B3943" s="1">
        <v>45822</v>
      </c>
      <c r="C3943">
        <v>7</v>
      </c>
      <c r="D3943">
        <v>0.47599999999999998</v>
      </c>
      <c r="E3943" t="s">
        <v>6</v>
      </c>
      <c r="F3943">
        <v>0.15659999999999999</v>
      </c>
    </row>
    <row r="3944" spans="1:6" x14ac:dyDescent="0.3">
      <c r="A3944" t="s">
        <v>22</v>
      </c>
      <c r="B3944" s="1">
        <v>45822</v>
      </c>
      <c r="C3944">
        <v>8</v>
      </c>
      <c r="D3944">
        <v>0.33</v>
      </c>
      <c r="E3944" t="s">
        <v>6</v>
      </c>
      <c r="F3944">
        <v>0.15195</v>
      </c>
    </row>
    <row r="3945" spans="1:6" x14ac:dyDescent="0.3">
      <c r="A3945" t="s">
        <v>22</v>
      </c>
      <c r="B3945" s="1">
        <v>45822</v>
      </c>
      <c r="C3945">
        <v>9</v>
      </c>
      <c r="D3945">
        <v>0</v>
      </c>
      <c r="E3945" t="s">
        <v>6</v>
      </c>
      <c r="F3945">
        <v>0.10145999999999999</v>
      </c>
    </row>
    <row r="3946" spans="1:6" x14ac:dyDescent="0.3">
      <c r="A3946" t="s">
        <v>22</v>
      </c>
      <c r="B3946" s="1">
        <v>45822</v>
      </c>
      <c r="C3946">
        <v>10</v>
      </c>
      <c r="D3946">
        <v>0</v>
      </c>
      <c r="E3946" t="s">
        <v>6</v>
      </c>
      <c r="F3946">
        <v>4.6969999999999998E-2</v>
      </c>
    </row>
    <row r="3947" spans="1:6" x14ac:dyDescent="0.3">
      <c r="A3947" t="s">
        <v>22</v>
      </c>
      <c r="B3947" s="1">
        <v>45822</v>
      </c>
      <c r="C3947">
        <v>11</v>
      </c>
      <c r="D3947">
        <v>0</v>
      </c>
      <c r="E3947" t="s">
        <v>6</v>
      </c>
      <c r="F3947">
        <v>4.1149999999999999E-2</v>
      </c>
    </row>
    <row r="3948" spans="1:6" x14ac:dyDescent="0.3">
      <c r="A3948" t="s">
        <v>22</v>
      </c>
      <c r="B3948" s="1">
        <v>45822</v>
      </c>
      <c r="C3948">
        <v>12</v>
      </c>
      <c r="D3948">
        <v>0</v>
      </c>
      <c r="E3948" t="s">
        <v>6</v>
      </c>
      <c r="F3948">
        <v>3.9359999999999999E-2</v>
      </c>
    </row>
    <row r="3949" spans="1:6" x14ac:dyDescent="0.3">
      <c r="A3949" t="s">
        <v>22</v>
      </c>
      <c r="B3949" s="1">
        <v>45822</v>
      </c>
      <c r="C3949">
        <v>13</v>
      </c>
      <c r="D3949">
        <v>0</v>
      </c>
      <c r="E3949" t="s">
        <v>6</v>
      </c>
      <c r="F3949">
        <v>3.8719999999999997E-2</v>
      </c>
    </row>
    <row r="3950" spans="1:6" x14ac:dyDescent="0.3">
      <c r="A3950" t="s">
        <v>22</v>
      </c>
      <c r="B3950" s="1">
        <v>45822</v>
      </c>
      <c r="C3950">
        <v>14</v>
      </c>
      <c r="D3950">
        <v>1.8580000000000001</v>
      </c>
      <c r="E3950" t="s">
        <v>6</v>
      </c>
      <c r="F3950">
        <v>3.823E-2</v>
      </c>
    </row>
    <row r="3951" spans="1:6" x14ac:dyDescent="0.3">
      <c r="A3951" t="s">
        <v>22</v>
      </c>
      <c r="B3951" s="1">
        <v>45822</v>
      </c>
      <c r="C3951">
        <v>15</v>
      </c>
      <c r="D3951">
        <v>0</v>
      </c>
      <c r="E3951" t="s">
        <v>6</v>
      </c>
      <c r="F3951">
        <v>3.8020000000000005E-2</v>
      </c>
    </row>
    <row r="3952" spans="1:6" x14ac:dyDescent="0.3">
      <c r="A3952" t="s">
        <v>22</v>
      </c>
      <c r="B3952" s="1">
        <v>45822</v>
      </c>
      <c r="C3952">
        <v>16</v>
      </c>
      <c r="D3952">
        <v>0</v>
      </c>
      <c r="E3952" t="s">
        <v>6</v>
      </c>
      <c r="F3952">
        <v>3.8619999999999995E-2</v>
      </c>
    </row>
    <row r="3953" spans="1:6" x14ac:dyDescent="0.3">
      <c r="A3953" t="s">
        <v>22</v>
      </c>
      <c r="B3953" s="1">
        <v>45822</v>
      </c>
      <c r="C3953">
        <v>17</v>
      </c>
      <c r="D3953">
        <v>0</v>
      </c>
      <c r="E3953" t="s">
        <v>6</v>
      </c>
      <c r="F3953">
        <v>4.0320000000000002E-2</v>
      </c>
    </row>
    <row r="3954" spans="1:6" x14ac:dyDescent="0.3">
      <c r="A3954" t="s">
        <v>22</v>
      </c>
      <c r="B3954" s="1">
        <v>45822</v>
      </c>
      <c r="C3954">
        <v>18</v>
      </c>
      <c r="D3954">
        <v>0</v>
      </c>
      <c r="E3954" t="s">
        <v>6</v>
      </c>
      <c r="F3954">
        <v>4.1530000000000004E-2</v>
      </c>
    </row>
    <row r="3955" spans="1:6" x14ac:dyDescent="0.3">
      <c r="A3955" t="s">
        <v>22</v>
      </c>
      <c r="B3955" s="1">
        <v>45822</v>
      </c>
      <c r="C3955">
        <v>19</v>
      </c>
      <c r="D3955">
        <v>0</v>
      </c>
      <c r="E3955" t="s">
        <v>6</v>
      </c>
      <c r="F3955">
        <v>4.555E-2</v>
      </c>
    </row>
    <row r="3956" spans="1:6" x14ac:dyDescent="0.3">
      <c r="A3956" t="s">
        <v>22</v>
      </c>
      <c r="B3956" s="1">
        <v>45822</v>
      </c>
      <c r="C3956">
        <v>20</v>
      </c>
      <c r="D3956">
        <v>1.2170000000000001</v>
      </c>
      <c r="E3956" t="s">
        <v>6</v>
      </c>
      <c r="F3956">
        <v>7.9629999999999992E-2</v>
      </c>
    </row>
    <row r="3957" spans="1:6" x14ac:dyDescent="0.3">
      <c r="A3957" t="s">
        <v>22</v>
      </c>
      <c r="B3957" s="1">
        <v>45822</v>
      </c>
      <c r="C3957">
        <v>21</v>
      </c>
      <c r="D3957">
        <v>1.536</v>
      </c>
      <c r="E3957" t="s">
        <v>6</v>
      </c>
      <c r="F3957">
        <v>0.13299</v>
      </c>
    </row>
    <row r="3958" spans="1:6" x14ac:dyDescent="0.3">
      <c r="A3958" t="s">
        <v>22</v>
      </c>
      <c r="B3958" s="1">
        <v>45822</v>
      </c>
      <c r="C3958">
        <v>22</v>
      </c>
      <c r="D3958">
        <v>1.516</v>
      </c>
      <c r="E3958" t="s">
        <v>6</v>
      </c>
      <c r="F3958">
        <v>0.14560000000000001</v>
      </c>
    </row>
    <row r="3959" spans="1:6" x14ac:dyDescent="0.3">
      <c r="A3959" t="s">
        <v>22</v>
      </c>
      <c r="B3959" s="1">
        <v>45822</v>
      </c>
      <c r="C3959">
        <v>23</v>
      </c>
      <c r="D3959">
        <v>0.91800000000000004</v>
      </c>
      <c r="E3959" t="s">
        <v>6</v>
      </c>
      <c r="F3959">
        <v>0.14956999999999998</v>
      </c>
    </row>
    <row r="3960" spans="1:6" x14ac:dyDescent="0.3">
      <c r="A3960" t="s">
        <v>22</v>
      </c>
      <c r="B3960" s="1">
        <v>45822</v>
      </c>
      <c r="C3960">
        <v>24</v>
      </c>
      <c r="D3960">
        <v>0.65400000000000003</v>
      </c>
      <c r="E3960" t="s">
        <v>6</v>
      </c>
      <c r="F3960">
        <v>0.14513000000000001</v>
      </c>
    </row>
    <row r="3961" spans="1:6" x14ac:dyDescent="0.3">
      <c r="A3961" t="s">
        <v>22</v>
      </c>
      <c r="B3961" s="1">
        <v>45823</v>
      </c>
      <c r="C3961">
        <v>1</v>
      </c>
      <c r="D3961">
        <v>0.505</v>
      </c>
      <c r="E3961" t="s">
        <v>6</v>
      </c>
      <c r="F3961">
        <v>0.15171000000000001</v>
      </c>
    </row>
    <row r="3962" spans="1:6" x14ac:dyDescent="0.3">
      <c r="A3962" t="s">
        <v>22</v>
      </c>
      <c r="B3962" s="1">
        <v>45823</v>
      </c>
      <c r="C3962">
        <v>2</v>
      </c>
      <c r="D3962">
        <v>0.99199999999999999</v>
      </c>
      <c r="E3962" t="s">
        <v>6</v>
      </c>
      <c r="F3962">
        <v>0.12831999999999999</v>
      </c>
    </row>
    <row r="3963" spans="1:6" x14ac:dyDescent="0.3">
      <c r="A3963" t="s">
        <v>22</v>
      </c>
      <c r="B3963" s="1">
        <v>45823</v>
      </c>
      <c r="C3963">
        <v>3</v>
      </c>
      <c r="D3963">
        <v>0.96399999999999997</v>
      </c>
      <c r="E3963" t="s">
        <v>6</v>
      </c>
      <c r="F3963">
        <v>0.10840999999999999</v>
      </c>
    </row>
    <row r="3964" spans="1:6" x14ac:dyDescent="0.3">
      <c r="A3964" t="s">
        <v>22</v>
      </c>
      <c r="B3964" s="1">
        <v>45823</v>
      </c>
      <c r="C3964">
        <v>4</v>
      </c>
      <c r="D3964">
        <v>0.59899999999999998</v>
      </c>
      <c r="E3964" t="s">
        <v>6</v>
      </c>
      <c r="F3964">
        <v>0.10585</v>
      </c>
    </row>
    <row r="3965" spans="1:6" x14ac:dyDescent="0.3">
      <c r="A3965" t="s">
        <v>22</v>
      </c>
      <c r="B3965" s="1">
        <v>45823</v>
      </c>
      <c r="C3965">
        <v>5</v>
      </c>
      <c r="D3965">
        <v>0.47599999999999998</v>
      </c>
      <c r="E3965" t="s">
        <v>6</v>
      </c>
      <c r="F3965">
        <v>9.5510000000000012E-2</v>
      </c>
    </row>
    <row r="3966" spans="1:6" x14ac:dyDescent="0.3">
      <c r="A3966" t="s">
        <v>22</v>
      </c>
      <c r="B3966" s="1">
        <v>45823</v>
      </c>
      <c r="C3966">
        <v>6</v>
      </c>
      <c r="D3966">
        <v>0.49199999999999999</v>
      </c>
      <c r="E3966" t="s">
        <v>6</v>
      </c>
      <c r="F3966">
        <v>9.126999999999999E-2</v>
      </c>
    </row>
    <row r="3967" spans="1:6" x14ac:dyDescent="0.3">
      <c r="A3967" t="s">
        <v>22</v>
      </c>
      <c r="B3967" s="1">
        <v>45823</v>
      </c>
      <c r="C3967">
        <v>7</v>
      </c>
      <c r="D3967">
        <v>0.52</v>
      </c>
      <c r="E3967" t="s">
        <v>6</v>
      </c>
      <c r="F3967">
        <v>8.8469999999999993E-2</v>
      </c>
    </row>
    <row r="3968" spans="1:6" x14ac:dyDescent="0.3">
      <c r="A3968" t="s">
        <v>22</v>
      </c>
      <c r="B3968" s="1">
        <v>45823</v>
      </c>
      <c r="C3968">
        <v>8</v>
      </c>
      <c r="D3968">
        <v>0.255</v>
      </c>
      <c r="E3968" t="s">
        <v>6</v>
      </c>
      <c r="F3968">
        <v>9.2859999999999998E-2</v>
      </c>
    </row>
    <row r="3969" spans="1:6" x14ac:dyDescent="0.3">
      <c r="A3969" t="s">
        <v>22</v>
      </c>
      <c r="B3969" s="1">
        <v>45823</v>
      </c>
      <c r="C3969">
        <v>9</v>
      </c>
      <c r="D3969">
        <v>0</v>
      </c>
      <c r="E3969" t="s">
        <v>6</v>
      </c>
      <c r="F3969">
        <v>7.0519999999999999E-2</v>
      </c>
    </row>
    <row r="3970" spans="1:6" x14ac:dyDescent="0.3">
      <c r="A3970" t="s">
        <v>22</v>
      </c>
      <c r="B3970" s="1">
        <v>45823</v>
      </c>
      <c r="C3970">
        <v>10</v>
      </c>
      <c r="D3970">
        <v>0</v>
      </c>
      <c r="E3970" t="s">
        <v>6</v>
      </c>
      <c r="F3970">
        <v>6.0639999999999999E-2</v>
      </c>
    </row>
    <row r="3971" spans="1:6" x14ac:dyDescent="0.3">
      <c r="A3971" t="s">
        <v>22</v>
      </c>
      <c r="B3971" s="1">
        <v>45823</v>
      </c>
      <c r="C3971">
        <v>11</v>
      </c>
      <c r="D3971">
        <v>0</v>
      </c>
      <c r="E3971" t="s">
        <v>6</v>
      </c>
      <c r="F3971">
        <v>5.4560000000000004E-2</v>
      </c>
    </row>
    <row r="3972" spans="1:6" x14ac:dyDescent="0.3">
      <c r="A3972" t="s">
        <v>22</v>
      </c>
      <c r="B3972" s="1">
        <v>45823</v>
      </c>
      <c r="C3972">
        <v>12</v>
      </c>
      <c r="D3972">
        <v>0</v>
      </c>
      <c r="E3972" t="s">
        <v>6</v>
      </c>
      <c r="F3972">
        <v>5.8790000000000002E-2</v>
      </c>
    </row>
    <row r="3973" spans="1:6" x14ac:dyDescent="0.3">
      <c r="A3973" t="s">
        <v>22</v>
      </c>
      <c r="B3973" s="1">
        <v>45823</v>
      </c>
      <c r="C3973">
        <v>13</v>
      </c>
      <c r="D3973">
        <v>0</v>
      </c>
      <c r="E3973" t="s">
        <v>6</v>
      </c>
      <c r="F3973">
        <v>5.8020000000000002E-2</v>
      </c>
    </row>
    <row r="3974" spans="1:6" x14ac:dyDescent="0.3">
      <c r="A3974" t="s">
        <v>22</v>
      </c>
      <c r="B3974" s="1">
        <v>45823</v>
      </c>
      <c r="C3974">
        <v>14</v>
      </c>
      <c r="D3974">
        <v>1.37</v>
      </c>
      <c r="E3974" t="s">
        <v>6</v>
      </c>
      <c r="F3974">
        <v>5.5039999999999999E-2</v>
      </c>
    </row>
    <row r="3975" spans="1:6" x14ac:dyDescent="0.3">
      <c r="A3975" t="s">
        <v>22</v>
      </c>
      <c r="B3975" s="1">
        <v>45823</v>
      </c>
      <c r="C3975">
        <v>15</v>
      </c>
      <c r="D3975">
        <v>0</v>
      </c>
      <c r="E3975" t="s">
        <v>6</v>
      </c>
      <c r="F3975">
        <v>5.4990000000000004E-2</v>
      </c>
    </row>
    <row r="3976" spans="1:6" x14ac:dyDescent="0.3">
      <c r="A3976" t="s">
        <v>22</v>
      </c>
      <c r="B3976" s="1">
        <v>45823</v>
      </c>
      <c r="C3976">
        <v>16</v>
      </c>
      <c r="D3976">
        <v>0</v>
      </c>
      <c r="E3976" t="s">
        <v>6</v>
      </c>
      <c r="F3976">
        <v>5.6570000000000002E-2</v>
      </c>
    </row>
    <row r="3977" spans="1:6" x14ac:dyDescent="0.3">
      <c r="A3977" t="s">
        <v>22</v>
      </c>
      <c r="B3977" s="1">
        <v>45823</v>
      </c>
      <c r="C3977">
        <v>17</v>
      </c>
      <c r="D3977">
        <v>0</v>
      </c>
      <c r="E3977" t="s">
        <v>6</v>
      </c>
      <c r="F3977">
        <v>5.8430000000000003E-2</v>
      </c>
    </row>
    <row r="3978" spans="1:6" x14ac:dyDescent="0.3">
      <c r="A3978" t="s">
        <v>22</v>
      </c>
      <c r="B3978" s="1">
        <v>45823</v>
      </c>
      <c r="C3978">
        <v>18</v>
      </c>
      <c r="D3978">
        <v>0</v>
      </c>
      <c r="E3978" t="s">
        <v>6</v>
      </c>
      <c r="F3978">
        <v>5.8909999999999997E-2</v>
      </c>
    </row>
    <row r="3979" spans="1:6" x14ac:dyDescent="0.3">
      <c r="A3979" t="s">
        <v>22</v>
      </c>
      <c r="B3979" s="1">
        <v>45823</v>
      </c>
      <c r="C3979">
        <v>19</v>
      </c>
      <c r="D3979">
        <v>0</v>
      </c>
      <c r="E3979" t="s">
        <v>6</v>
      </c>
      <c r="F3979">
        <v>5.4090000000000006E-2</v>
      </c>
    </row>
    <row r="3980" spans="1:6" x14ac:dyDescent="0.3">
      <c r="A3980" t="s">
        <v>22</v>
      </c>
      <c r="B3980" s="1">
        <v>45823</v>
      </c>
      <c r="C3980">
        <v>20</v>
      </c>
      <c r="D3980">
        <v>0.25600000000000001</v>
      </c>
      <c r="E3980" t="s">
        <v>6</v>
      </c>
      <c r="F3980">
        <v>5.6829999999999999E-2</v>
      </c>
    </row>
    <row r="3981" spans="1:6" x14ac:dyDescent="0.3">
      <c r="A3981" t="s">
        <v>22</v>
      </c>
      <c r="B3981" s="1">
        <v>45823</v>
      </c>
      <c r="C3981">
        <v>21</v>
      </c>
      <c r="D3981">
        <v>0.59299999999999997</v>
      </c>
      <c r="E3981" t="s">
        <v>6</v>
      </c>
      <c r="F3981">
        <v>9.1489999999999988E-2</v>
      </c>
    </row>
    <row r="3982" spans="1:6" x14ac:dyDescent="0.3">
      <c r="A3982" t="s">
        <v>22</v>
      </c>
      <c r="B3982" s="1">
        <v>45823</v>
      </c>
      <c r="C3982">
        <v>22</v>
      </c>
      <c r="D3982">
        <v>0.75600000000000001</v>
      </c>
      <c r="E3982" t="s">
        <v>6</v>
      </c>
      <c r="F3982">
        <v>0.13632</v>
      </c>
    </row>
    <row r="3983" spans="1:6" x14ac:dyDescent="0.3">
      <c r="A3983" t="s">
        <v>22</v>
      </c>
      <c r="B3983" s="1">
        <v>45823</v>
      </c>
      <c r="C3983">
        <v>23</v>
      </c>
      <c r="D3983">
        <v>0.61399999999999999</v>
      </c>
      <c r="E3983" t="s">
        <v>6</v>
      </c>
      <c r="F3983">
        <v>0.13711999999999999</v>
      </c>
    </row>
    <row r="3984" spans="1:6" x14ac:dyDescent="0.3">
      <c r="A3984" t="s">
        <v>22</v>
      </c>
      <c r="B3984" s="1">
        <v>45823</v>
      </c>
      <c r="C3984">
        <v>24</v>
      </c>
      <c r="D3984">
        <v>1.1599999999999999</v>
      </c>
      <c r="E3984" t="s">
        <v>6</v>
      </c>
      <c r="F3984">
        <v>0.11236</v>
      </c>
    </row>
    <row r="3985" spans="1:6" x14ac:dyDescent="0.3">
      <c r="A3985" t="s">
        <v>22</v>
      </c>
      <c r="B3985" s="1">
        <v>45824</v>
      </c>
      <c r="C3985">
        <v>1</v>
      </c>
      <c r="D3985">
        <v>0.92100000000000004</v>
      </c>
      <c r="E3985" t="s">
        <v>6</v>
      </c>
      <c r="F3985">
        <v>7.8129999999999991E-2</v>
      </c>
    </row>
    <row r="3986" spans="1:6" x14ac:dyDescent="0.3">
      <c r="A3986" t="s">
        <v>22</v>
      </c>
      <c r="B3986" s="1">
        <v>45824</v>
      </c>
      <c r="C3986">
        <v>2</v>
      </c>
      <c r="D3986">
        <v>0.59399999999999997</v>
      </c>
      <c r="E3986" t="s">
        <v>6</v>
      </c>
      <c r="F3986">
        <v>6.5299999999999997E-2</v>
      </c>
    </row>
    <row r="3987" spans="1:6" x14ac:dyDescent="0.3">
      <c r="A3987" t="s">
        <v>22</v>
      </c>
      <c r="B3987" s="1">
        <v>45824</v>
      </c>
      <c r="C3987">
        <v>3</v>
      </c>
      <c r="D3987">
        <v>0.42899999999999999</v>
      </c>
      <c r="E3987" t="s">
        <v>6</v>
      </c>
      <c r="F3987">
        <v>6.232E-2</v>
      </c>
    </row>
    <row r="3988" spans="1:6" x14ac:dyDescent="0.3">
      <c r="A3988" t="s">
        <v>22</v>
      </c>
      <c r="B3988" s="1">
        <v>45824</v>
      </c>
      <c r="C3988">
        <v>4</v>
      </c>
      <c r="D3988">
        <v>0.47099999999999997</v>
      </c>
      <c r="E3988" t="s">
        <v>6</v>
      </c>
      <c r="F3988">
        <v>5.9539999999999996E-2</v>
      </c>
    </row>
    <row r="3989" spans="1:6" x14ac:dyDescent="0.3">
      <c r="A3989" t="s">
        <v>22</v>
      </c>
      <c r="B3989" s="1">
        <v>45824</v>
      </c>
      <c r="C3989">
        <v>5</v>
      </c>
      <c r="D3989">
        <v>0.54600000000000004</v>
      </c>
      <c r="E3989" t="s">
        <v>6</v>
      </c>
      <c r="F3989">
        <v>6.2E-2</v>
      </c>
    </row>
    <row r="3990" spans="1:6" x14ac:dyDescent="0.3">
      <c r="A3990" t="s">
        <v>22</v>
      </c>
      <c r="B3990" s="1">
        <v>45824</v>
      </c>
      <c r="C3990">
        <v>6</v>
      </c>
      <c r="D3990">
        <v>0.46800000000000003</v>
      </c>
      <c r="E3990" t="s">
        <v>6</v>
      </c>
      <c r="F3990">
        <v>7.2010000000000005E-2</v>
      </c>
    </row>
    <row r="3991" spans="1:6" x14ac:dyDescent="0.3">
      <c r="A3991" t="s">
        <v>22</v>
      </c>
      <c r="B3991" s="1">
        <v>45824</v>
      </c>
      <c r="C3991">
        <v>7</v>
      </c>
      <c r="D3991">
        <v>0.443</v>
      </c>
      <c r="E3991" t="s">
        <v>6</v>
      </c>
      <c r="F3991">
        <v>0.10834000000000001</v>
      </c>
    </row>
    <row r="3992" spans="1:6" x14ac:dyDescent="0.3">
      <c r="A3992" t="s">
        <v>22</v>
      </c>
      <c r="B3992" s="1">
        <v>45824</v>
      </c>
      <c r="C3992">
        <v>8</v>
      </c>
      <c r="D3992">
        <v>0.219</v>
      </c>
      <c r="E3992" t="s">
        <v>6</v>
      </c>
      <c r="F3992">
        <v>0.11849999999999999</v>
      </c>
    </row>
    <row r="3993" spans="1:6" x14ac:dyDescent="0.3">
      <c r="A3993" t="s">
        <v>22</v>
      </c>
      <c r="B3993" s="1">
        <v>45824</v>
      </c>
      <c r="C3993">
        <v>9</v>
      </c>
      <c r="D3993">
        <v>0.182</v>
      </c>
      <c r="E3993" t="s">
        <v>6</v>
      </c>
      <c r="F3993">
        <v>0.12714</v>
      </c>
    </row>
    <row r="3994" spans="1:6" x14ac:dyDescent="0.3">
      <c r="A3994" t="s">
        <v>22</v>
      </c>
      <c r="B3994" s="1">
        <v>45824</v>
      </c>
      <c r="C3994">
        <v>10</v>
      </c>
      <c r="D3994">
        <v>0</v>
      </c>
      <c r="E3994" t="s">
        <v>6</v>
      </c>
      <c r="F3994">
        <v>8.7059999999999998E-2</v>
      </c>
    </row>
    <row r="3995" spans="1:6" x14ac:dyDescent="0.3">
      <c r="A3995" t="s">
        <v>22</v>
      </c>
      <c r="B3995" s="1">
        <v>45824</v>
      </c>
      <c r="C3995">
        <v>11</v>
      </c>
      <c r="D3995">
        <v>0</v>
      </c>
      <c r="E3995" t="s">
        <v>6</v>
      </c>
      <c r="F3995">
        <v>0.13338</v>
      </c>
    </row>
    <row r="3996" spans="1:6" x14ac:dyDescent="0.3">
      <c r="A3996" t="s">
        <v>22</v>
      </c>
      <c r="B3996" s="1">
        <v>45824</v>
      </c>
      <c r="C3996">
        <v>12</v>
      </c>
      <c r="D3996">
        <v>0</v>
      </c>
      <c r="E3996" t="s">
        <v>6</v>
      </c>
      <c r="F3996">
        <v>0.12959999999999999</v>
      </c>
    </row>
    <row r="3997" spans="1:6" x14ac:dyDescent="0.3">
      <c r="A3997" t="s">
        <v>22</v>
      </c>
      <c r="B3997" s="1">
        <v>45824</v>
      </c>
      <c r="C3997">
        <v>13</v>
      </c>
      <c r="D3997">
        <v>0</v>
      </c>
      <c r="E3997" t="s">
        <v>6</v>
      </c>
      <c r="F3997">
        <v>0.12884999999999999</v>
      </c>
    </row>
    <row r="3998" spans="1:6" x14ac:dyDescent="0.3">
      <c r="A3998" t="s">
        <v>22</v>
      </c>
      <c r="B3998" s="1">
        <v>45824</v>
      </c>
      <c r="C3998">
        <v>14</v>
      </c>
      <c r="D3998">
        <v>0</v>
      </c>
      <c r="E3998" t="s">
        <v>6</v>
      </c>
      <c r="F3998">
        <v>0.12645999999999999</v>
      </c>
    </row>
    <row r="3999" spans="1:6" x14ac:dyDescent="0.3">
      <c r="A3999" t="s">
        <v>22</v>
      </c>
      <c r="B3999" s="1">
        <v>45824</v>
      </c>
      <c r="C3999">
        <v>15</v>
      </c>
      <c r="D3999">
        <v>0</v>
      </c>
      <c r="E3999" t="s">
        <v>6</v>
      </c>
      <c r="F3999">
        <v>6.2219999999999998E-2</v>
      </c>
    </row>
    <row r="4000" spans="1:6" x14ac:dyDescent="0.3">
      <c r="A4000" t="s">
        <v>22</v>
      </c>
      <c r="B4000" s="1">
        <v>45824</v>
      </c>
      <c r="C4000">
        <v>16</v>
      </c>
      <c r="D4000">
        <v>0</v>
      </c>
      <c r="E4000" t="s">
        <v>6</v>
      </c>
      <c r="F4000">
        <v>6.4519999999999994E-2</v>
      </c>
    </row>
    <row r="4001" spans="1:6" x14ac:dyDescent="0.3">
      <c r="A4001" t="s">
        <v>22</v>
      </c>
      <c r="B4001" s="1">
        <v>45824</v>
      </c>
      <c r="C4001">
        <v>17</v>
      </c>
      <c r="D4001">
        <v>0</v>
      </c>
      <c r="E4001" t="s">
        <v>6</v>
      </c>
      <c r="F4001">
        <v>8.0500000000000002E-2</v>
      </c>
    </row>
    <row r="4002" spans="1:6" x14ac:dyDescent="0.3">
      <c r="A4002" t="s">
        <v>22</v>
      </c>
      <c r="B4002" s="1">
        <v>45824</v>
      </c>
      <c r="C4002">
        <v>18</v>
      </c>
      <c r="D4002">
        <v>0</v>
      </c>
      <c r="E4002" t="s">
        <v>6</v>
      </c>
      <c r="F4002">
        <v>0.11251</v>
      </c>
    </row>
    <row r="4003" spans="1:6" x14ac:dyDescent="0.3">
      <c r="A4003" t="s">
        <v>22</v>
      </c>
      <c r="B4003" s="1">
        <v>45824</v>
      </c>
      <c r="C4003">
        <v>19</v>
      </c>
      <c r="D4003">
        <v>0</v>
      </c>
      <c r="E4003" t="s">
        <v>6</v>
      </c>
      <c r="F4003">
        <v>0.24213999999999999</v>
      </c>
    </row>
    <row r="4004" spans="1:6" x14ac:dyDescent="0.3">
      <c r="A4004" t="s">
        <v>22</v>
      </c>
      <c r="B4004" s="1">
        <v>45824</v>
      </c>
      <c r="C4004">
        <v>20</v>
      </c>
      <c r="D4004">
        <v>0.34499999999999997</v>
      </c>
      <c r="E4004" t="s">
        <v>6</v>
      </c>
      <c r="F4004">
        <v>0.25146000000000002</v>
      </c>
    </row>
    <row r="4005" spans="1:6" x14ac:dyDescent="0.3">
      <c r="A4005" t="s">
        <v>22</v>
      </c>
      <c r="B4005" s="1">
        <v>45824</v>
      </c>
      <c r="C4005">
        <v>21</v>
      </c>
      <c r="D4005">
        <v>0.63100000000000001</v>
      </c>
      <c r="E4005" t="s">
        <v>6</v>
      </c>
      <c r="F4005">
        <v>0.26130000000000003</v>
      </c>
    </row>
    <row r="4006" spans="1:6" x14ac:dyDescent="0.3">
      <c r="A4006" t="s">
        <v>22</v>
      </c>
      <c r="B4006" s="1">
        <v>45824</v>
      </c>
      <c r="C4006">
        <v>22</v>
      </c>
      <c r="D4006">
        <v>0.79400000000000004</v>
      </c>
      <c r="E4006" t="s">
        <v>6</v>
      </c>
      <c r="F4006">
        <v>0.35564999999999997</v>
      </c>
    </row>
    <row r="4007" spans="1:6" x14ac:dyDescent="0.3">
      <c r="A4007" t="s">
        <v>22</v>
      </c>
      <c r="B4007" s="1">
        <v>45824</v>
      </c>
      <c r="C4007">
        <v>23</v>
      </c>
      <c r="D4007">
        <v>1.4750000000000001</v>
      </c>
      <c r="E4007" t="s">
        <v>6</v>
      </c>
      <c r="F4007">
        <v>0.24238999999999999</v>
      </c>
    </row>
    <row r="4008" spans="1:6" x14ac:dyDescent="0.3">
      <c r="A4008" t="s">
        <v>22</v>
      </c>
      <c r="B4008" s="1">
        <v>45824</v>
      </c>
      <c r="C4008">
        <v>24</v>
      </c>
      <c r="D4008">
        <v>0.69599999999999995</v>
      </c>
      <c r="E4008" t="s">
        <v>6</v>
      </c>
      <c r="F4008">
        <v>0.19619999999999999</v>
      </c>
    </row>
    <row r="4009" spans="1:6" x14ac:dyDescent="0.3">
      <c r="A4009" t="s">
        <v>22</v>
      </c>
      <c r="B4009" s="1">
        <v>45825</v>
      </c>
      <c r="C4009">
        <v>1</v>
      </c>
      <c r="D4009">
        <v>0.65200000000000002</v>
      </c>
      <c r="E4009" t="s">
        <v>6</v>
      </c>
      <c r="F4009">
        <v>0.15530000000000002</v>
      </c>
    </row>
    <row r="4010" spans="1:6" x14ac:dyDescent="0.3">
      <c r="A4010" t="s">
        <v>22</v>
      </c>
      <c r="B4010" s="1">
        <v>45825</v>
      </c>
      <c r="C4010">
        <v>2</v>
      </c>
      <c r="D4010">
        <v>0.53600000000000003</v>
      </c>
      <c r="E4010" t="s">
        <v>6</v>
      </c>
      <c r="F4010">
        <v>0.15215000000000001</v>
      </c>
    </row>
    <row r="4011" spans="1:6" x14ac:dyDescent="0.3">
      <c r="A4011" t="s">
        <v>22</v>
      </c>
      <c r="B4011" s="1">
        <v>45825</v>
      </c>
      <c r="C4011">
        <v>3</v>
      </c>
      <c r="D4011">
        <v>0.50800000000000001</v>
      </c>
      <c r="E4011" t="s">
        <v>6</v>
      </c>
      <c r="F4011">
        <v>0.14724999999999999</v>
      </c>
    </row>
    <row r="4012" spans="1:6" x14ac:dyDescent="0.3">
      <c r="A4012" t="s">
        <v>22</v>
      </c>
      <c r="B4012" s="1">
        <v>45825</v>
      </c>
      <c r="C4012">
        <v>4</v>
      </c>
      <c r="D4012">
        <v>0.44400000000000001</v>
      </c>
      <c r="E4012" t="s">
        <v>6</v>
      </c>
      <c r="F4012">
        <v>0.14409</v>
      </c>
    </row>
    <row r="4013" spans="1:6" x14ac:dyDescent="0.3">
      <c r="A4013" t="s">
        <v>22</v>
      </c>
      <c r="B4013" s="1">
        <v>45825</v>
      </c>
      <c r="C4013">
        <v>5</v>
      </c>
      <c r="D4013">
        <v>0.5</v>
      </c>
      <c r="E4013" t="s">
        <v>6</v>
      </c>
      <c r="F4013">
        <v>0.14416000000000001</v>
      </c>
    </row>
    <row r="4014" spans="1:6" x14ac:dyDescent="0.3">
      <c r="A4014" t="s">
        <v>22</v>
      </c>
      <c r="B4014" s="1">
        <v>45825</v>
      </c>
      <c r="C4014">
        <v>6</v>
      </c>
      <c r="D4014">
        <v>0.46100000000000002</v>
      </c>
      <c r="E4014" t="s">
        <v>6</v>
      </c>
      <c r="F4014">
        <v>0.14022999999999999</v>
      </c>
    </row>
    <row r="4015" spans="1:6" x14ac:dyDescent="0.3">
      <c r="A4015" t="s">
        <v>22</v>
      </c>
      <c r="B4015" s="1">
        <v>45825</v>
      </c>
      <c r="C4015">
        <v>7</v>
      </c>
      <c r="D4015">
        <v>0.51700000000000002</v>
      </c>
      <c r="E4015" t="s">
        <v>6</v>
      </c>
      <c r="F4015">
        <v>0.1449</v>
      </c>
    </row>
    <row r="4016" spans="1:6" x14ac:dyDescent="0.3">
      <c r="A4016" t="s">
        <v>22</v>
      </c>
      <c r="B4016" s="1">
        <v>45825</v>
      </c>
      <c r="C4016">
        <v>8</v>
      </c>
      <c r="D4016">
        <v>0.314</v>
      </c>
      <c r="E4016" t="s">
        <v>6</v>
      </c>
      <c r="F4016">
        <v>0.14953999999999998</v>
      </c>
    </row>
    <row r="4017" spans="1:6" x14ac:dyDescent="0.3">
      <c r="A4017" t="s">
        <v>22</v>
      </c>
      <c r="B4017" s="1">
        <v>45825</v>
      </c>
      <c r="C4017">
        <v>9</v>
      </c>
      <c r="D4017">
        <v>0.29399999999999998</v>
      </c>
      <c r="E4017" t="s">
        <v>6</v>
      </c>
      <c r="F4017">
        <v>0.17526</v>
      </c>
    </row>
    <row r="4018" spans="1:6" x14ac:dyDescent="0.3">
      <c r="A4018" t="s">
        <v>22</v>
      </c>
      <c r="B4018" s="1">
        <v>45825</v>
      </c>
      <c r="C4018">
        <v>10</v>
      </c>
      <c r="D4018">
        <v>0</v>
      </c>
      <c r="E4018" t="s">
        <v>6</v>
      </c>
      <c r="F4018">
        <v>0.15996000000000002</v>
      </c>
    </row>
    <row r="4019" spans="1:6" x14ac:dyDescent="0.3">
      <c r="A4019" t="s">
        <v>22</v>
      </c>
      <c r="B4019" s="1">
        <v>45825</v>
      </c>
      <c r="C4019">
        <v>11</v>
      </c>
      <c r="D4019">
        <v>0</v>
      </c>
      <c r="E4019" t="s">
        <v>6</v>
      </c>
      <c r="F4019">
        <v>0.18421999999999999</v>
      </c>
    </row>
    <row r="4020" spans="1:6" x14ac:dyDescent="0.3">
      <c r="A4020" t="s">
        <v>22</v>
      </c>
      <c r="B4020" s="1">
        <v>45825</v>
      </c>
      <c r="C4020">
        <v>12</v>
      </c>
      <c r="D4020">
        <v>0</v>
      </c>
      <c r="E4020" t="s">
        <v>6</v>
      </c>
      <c r="F4020">
        <v>0.13437000000000002</v>
      </c>
    </row>
    <row r="4021" spans="1:6" x14ac:dyDescent="0.3">
      <c r="A4021" t="s">
        <v>22</v>
      </c>
      <c r="B4021" s="1">
        <v>45825</v>
      </c>
      <c r="C4021">
        <v>13</v>
      </c>
      <c r="D4021">
        <v>0</v>
      </c>
      <c r="E4021" t="s">
        <v>6</v>
      </c>
      <c r="F4021">
        <v>0.13137000000000001</v>
      </c>
    </row>
    <row r="4022" spans="1:6" x14ac:dyDescent="0.3">
      <c r="A4022" t="s">
        <v>22</v>
      </c>
      <c r="B4022" s="1">
        <v>45825</v>
      </c>
      <c r="C4022">
        <v>14</v>
      </c>
      <c r="D4022">
        <v>0</v>
      </c>
      <c r="E4022" t="s">
        <v>6</v>
      </c>
      <c r="F4022">
        <v>0.12712000000000001</v>
      </c>
    </row>
    <row r="4023" spans="1:6" x14ac:dyDescent="0.3">
      <c r="A4023" t="s">
        <v>22</v>
      </c>
      <c r="B4023" s="1">
        <v>45825</v>
      </c>
      <c r="C4023">
        <v>15</v>
      </c>
      <c r="D4023">
        <v>0</v>
      </c>
      <c r="E4023" t="s">
        <v>6</v>
      </c>
      <c r="F4023">
        <v>5.7189999999999998E-2</v>
      </c>
    </row>
    <row r="4024" spans="1:6" x14ac:dyDescent="0.3">
      <c r="A4024" t="s">
        <v>22</v>
      </c>
      <c r="B4024" s="1">
        <v>45825</v>
      </c>
      <c r="C4024">
        <v>16</v>
      </c>
      <c r="D4024">
        <v>0</v>
      </c>
      <c r="E4024" t="s">
        <v>6</v>
      </c>
      <c r="F4024">
        <v>5.0560000000000001E-2</v>
      </c>
    </row>
    <row r="4025" spans="1:6" x14ac:dyDescent="0.3">
      <c r="A4025" t="s">
        <v>22</v>
      </c>
      <c r="B4025" s="1">
        <v>45825</v>
      </c>
      <c r="C4025">
        <v>17</v>
      </c>
      <c r="D4025">
        <v>0</v>
      </c>
      <c r="E4025" t="s">
        <v>6</v>
      </c>
      <c r="F4025">
        <v>6.522E-2</v>
      </c>
    </row>
    <row r="4026" spans="1:6" x14ac:dyDescent="0.3">
      <c r="A4026" t="s">
        <v>22</v>
      </c>
      <c r="B4026" s="1">
        <v>45825</v>
      </c>
      <c r="C4026">
        <v>18</v>
      </c>
      <c r="D4026">
        <v>5.5E-2</v>
      </c>
      <c r="E4026" t="s">
        <v>6</v>
      </c>
      <c r="F4026">
        <v>0.11745</v>
      </c>
    </row>
    <row r="4027" spans="1:6" x14ac:dyDescent="0.3">
      <c r="A4027" t="s">
        <v>22</v>
      </c>
      <c r="B4027" s="1">
        <v>45825</v>
      </c>
      <c r="C4027">
        <v>19</v>
      </c>
      <c r="D4027">
        <v>1.8420000000000001</v>
      </c>
      <c r="E4027" t="s">
        <v>6</v>
      </c>
      <c r="F4027">
        <v>0.2094</v>
      </c>
    </row>
    <row r="4028" spans="1:6" x14ac:dyDescent="0.3">
      <c r="A4028" t="s">
        <v>22</v>
      </c>
      <c r="B4028" s="1">
        <v>45825</v>
      </c>
      <c r="C4028">
        <v>20</v>
      </c>
      <c r="D4028">
        <v>0.98499999999999999</v>
      </c>
      <c r="E4028" t="s">
        <v>6</v>
      </c>
      <c r="F4028">
        <v>0.22972000000000001</v>
      </c>
    </row>
    <row r="4029" spans="1:6" x14ac:dyDescent="0.3">
      <c r="A4029" t="s">
        <v>22</v>
      </c>
      <c r="B4029" s="1">
        <v>45825</v>
      </c>
      <c r="C4029">
        <v>21</v>
      </c>
      <c r="D4029">
        <v>0.375</v>
      </c>
      <c r="E4029" t="s">
        <v>6</v>
      </c>
      <c r="F4029">
        <v>0.24209</v>
      </c>
    </row>
    <row r="4030" spans="1:6" x14ac:dyDescent="0.3">
      <c r="A4030" t="s">
        <v>22</v>
      </c>
      <c r="B4030" s="1">
        <v>45825</v>
      </c>
      <c r="C4030">
        <v>22</v>
      </c>
      <c r="D4030">
        <v>0.77800000000000002</v>
      </c>
      <c r="E4030" t="s">
        <v>6</v>
      </c>
      <c r="F4030">
        <v>0.27332999999999996</v>
      </c>
    </row>
    <row r="4031" spans="1:6" x14ac:dyDescent="0.3">
      <c r="A4031" t="s">
        <v>22</v>
      </c>
      <c r="B4031" s="1">
        <v>45825</v>
      </c>
      <c r="C4031">
        <v>23</v>
      </c>
      <c r="D4031">
        <v>0.621</v>
      </c>
      <c r="E4031" t="s">
        <v>6</v>
      </c>
      <c r="F4031">
        <v>0.20611000000000002</v>
      </c>
    </row>
    <row r="4032" spans="1:6" x14ac:dyDescent="0.3">
      <c r="A4032" t="s">
        <v>22</v>
      </c>
      <c r="B4032" s="1">
        <v>45825</v>
      </c>
      <c r="C4032">
        <v>24</v>
      </c>
      <c r="D4032">
        <v>0.60199999999999998</v>
      </c>
      <c r="E4032" t="s">
        <v>6</v>
      </c>
      <c r="F4032">
        <v>0.17893999999999999</v>
      </c>
    </row>
    <row r="4033" spans="1:6" x14ac:dyDescent="0.3">
      <c r="A4033" t="s">
        <v>22</v>
      </c>
      <c r="B4033" s="1">
        <v>45826</v>
      </c>
      <c r="C4033">
        <v>1</v>
      </c>
      <c r="D4033">
        <v>0.504</v>
      </c>
      <c r="E4033" t="s">
        <v>6</v>
      </c>
      <c r="F4033">
        <v>0.14995</v>
      </c>
    </row>
    <row r="4034" spans="1:6" x14ac:dyDescent="0.3">
      <c r="A4034" t="s">
        <v>22</v>
      </c>
      <c r="B4034" s="1">
        <v>45826</v>
      </c>
      <c r="C4034">
        <v>2</v>
      </c>
      <c r="D4034">
        <v>0.42099999999999999</v>
      </c>
      <c r="E4034" t="s">
        <v>6</v>
      </c>
      <c r="F4034">
        <v>0.14438000000000001</v>
      </c>
    </row>
    <row r="4035" spans="1:6" x14ac:dyDescent="0.3">
      <c r="A4035" t="s">
        <v>22</v>
      </c>
      <c r="B4035" s="1">
        <v>45826</v>
      </c>
      <c r="C4035">
        <v>3</v>
      </c>
      <c r="D4035">
        <v>0.61199999999999999</v>
      </c>
      <c r="E4035" t="s">
        <v>6</v>
      </c>
      <c r="F4035">
        <v>0.14349000000000001</v>
      </c>
    </row>
    <row r="4036" spans="1:6" x14ac:dyDescent="0.3">
      <c r="A4036" t="s">
        <v>22</v>
      </c>
      <c r="B4036" s="1">
        <v>45826</v>
      </c>
      <c r="C4036">
        <v>4</v>
      </c>
      <c r="D4036">
        <v>0.44400000000000001</v>
      </c>
      <c r="E4036" t="s">
        <v>6</v>
      </c>
      <c r="F4036">
        <v>0.14080000000000001</v>
      </c>
    </row>
    <row r="4037" spans="1:6" x14ac:dyDescent="0.3">
      <c r="A4037" t="s">
        <v>22</v>
      </c>
      <c r="B4037" s="1">
        <v>45826</v>
      </c>
      <c r="C4037">
        <v>5</v>
      </c>
      <c r="D4037">
        <v>1.3220000000000001</v>
      </c>
      <c r="E4037" t="s">
        <v>6</v>
      </c>
      <c r="F4037">
        <v>0.1416</v>
      </c>
    </row>
    <row r="4038" spans="1:6" x14ac:dyDescent="0.3">
      <c r="A4038" t="s">
        <v>22</v>
      </c>
      <c r="B4038" s="1">
        <v>45826</v>
      </c>
      <c r="C4038">
        <v>6</v>
      </c>
      <c r="D4038">
        <v>0.46100000000000002</v>
      </c>
      <c r="E4038" t="s">
        <v>6</v>
      </c>
      <c r="F4038">
        <v>0.14429</v>
      </c>
    </row>
    <row r="4039" spans="1:6" x14ac:dyDescent="0.3">
      <c r="A4039" t="s">
        <v>22</v>
      </c>
      <c r="B4039" s="1">
        <v>45826</v>
      </c>
      <c r="C4039">
        <v>7</v>
      </c>
      <c r="D4039">
        <v>0.443</v>
      </c>
      <c r="E4039" t="s">
        <v>6</v>
      </c>
      <c r="F4039">
        <v>0.14496000000000001</v>
      </c>
    </row>
    <row r="4040" spans="1:6" x14ac:dyDescent="0.3">
      <c r="A4040" t="s">
        <v>22</v>
      </c>
      <c r="B4040" s="1">
        <v>45826</v>
      </c>
      <c r="C4040">
        <v>8</v>
      </c>
      <c r="D4040">
        <v>0.19700000000000001</v>
      </c>
      <c r="E4040" t="s">
        <v>6</v>
      </c>
      <c r="F4040">
        <v>0.14858000000000002</v>
      </c>
    </row>
    <row r="4041" spans="1:6" x14ac:dyDescent="0.3">
      <c r="A4041" t="s">
        <v>22</v>
      </c>
      <c r="B4041" s="1">
        <v>45826</v>
      </c>
      <c r="C4041">
        <v>9</v>
      </c>
      <c r="D4041">
        <v>0</v>
      </c>
      <c r="E4041" t="s">
        <v>6</v>
      </c>
      <c r="F4041">
        <v>0.16343000000000002</v>
      </c>
    </row>
    <row r="4042" spans="1:6" x14ac:dyDescent="0.3">
      <c r="A4042" t="s">
        <v>22</v>
      </c>
      <c r="B4042" s="1">
        <v>45826</v>
      </c>
      <c r="C4042">
        <v>10</v>
      </c>
      <c r="D4042">
        <v>0</v>
      </c>
      <c r="E4042" t="s">
        <v>6</v>
      </c>
      <c r="F4042">
        <v>0.15687999999999999</v>
      </c>
    </row>
    <row r="4043" spans="1:6" x14ac:dyDescent="0.3">
      <c r="A4043" t="s">
        <v>22</v>
      </c>
      <c r="B4043" s="1">
        <v>45826</v>
      </c>
      <c r="C4043">
        <v>11</v>
      </c>
      <c r="D4043">
        <v>0</v>
      </c>
      <c r="E4043" t="s">
        <v>6</v>
      </c>
      <c r="F4043">
        <v>0.18653999999999998</v>
      </c>
    </row>
    <row r="4044" spans="1:6" x14ac:dyDescent="0.3">
      <c r="A4044" t="s">
        <v>22</v>
      </c>
      <c r="B4044" s="1">
        <v>45826</v>
      </c>
      <c r="C4044">
        <v>12</v>
      </c>
      <c r="D4044">
        <v>0</v>
      </c>
      <c r="E4044" t="s">
        <v>6</v>
      </c>
      <c r="F4044">
        <v>0.16538</v>
      </c>
    </row>
    <row r="4045" spans="1:6" x14ac:dyDescent="0.3">
      <c r="A4045" t="s">
        <v>22</v>
      </c>
      <c r="B4045" s="1">
        <v>45826</v>
      </c>
      <c r="C4045">
        <v>13</v>
      </c>
      <c r="D4045">
        <v>0</v>
      </c>
      <c r="E4045" t="s">
        <v>6</v>
      </c>
      <c r="F4045">
        <v>0.1502</v>
      </c>
    </row>
    <row r="4046" spans="1:6" x14ac:dyDescent="0.3">
      <c r="A4046" t="s">
        <v>22</v>
      </c>
      <c r="B4046" s="1">
        <v>45826</v>
      </c>
      <c r="C4046">
        <v>14</v>
      </c>
      <c r="D4046">
        <v>0</v>
      </c>
      <c r="E4046" t="s">
        <v>6</v>
      </c>
      <c r="F4046">
        <v>0.14307</v>
      </c>
    </row>
    <row r="4047" spans="1:6" x14ac:dyDescent="0.3">
      <c r="A4047" t="s">
        <v>22</v>
      </c>
      <c r="B4047" s="1">
        <v>45826</v>
      </c>
      <c r="C4047">
        <v>15</v>
      </c>
      <c r="D4047">
        <v>0</v>
      </c>
      <c r="E4047" t="s">
        <v>6</v>
      </c>
      <c r="F4047">
        <v>7.739E-2</v>
      </c>
    </row>
    <row r="4048" spans="1:6" x14ac:dyDescent="0.3">
      <c r="A4048" t="s">
        <v>22</v>
      </c>
      <c r="B4048" s="1">
        <v>45826</v>
      </c>
      <c r="C4048">
        <v>16</v>
      </c>
      <c r="D4048">
        <v>0</v>
      </c>
      <c r="E4048" t="s">
        <v>6</v>
      </c>
      <c r="F4048">
        <v>7.6620000000000008E-2</v>
      </c>
    </row>
    <row r="4049" spans="1:6" x14ac:dyDescent="0.3">
      <c r="A4049" t="s">
        <v>22</v>
      </c>
      <c r="B4049" s="1">
        <v>45826</v>
      </c>
      <c r="C4049">
        <v>17</v>
      </c>
      <c r="D4049">
        <v>0</v>
      </c>
      <c r="E4049" t="s">
        <v>6</v>
      </c>
      <c r="F4049">
        <v>8.9079999999999993E-2</v>
      </c>
    </row>
    <row r="4050" spans="1:6" x14ac:dyDescent="0.3">
      <c r="A4050" t="s">
        <v>22</v>
      </c>
      <c r="B4050" s="1">
        <v>45826</v>
      </c>
      <c r="C4050">
        <v>18</v>
      </c>
      <c r="D4050">
        <v>0</v>
      </c>
      <c r="E4050" t="s">
        <v>6</v>
      </c>
      <c r="F4050">
        <v>0.12074</v>
      </c>
    </row>
    <row r="4051" spans="1:6" x14ac:dyDescent="0.3">
      <c r="A4051" t="s">
        <v>22</v>
      </c>
      <c r="B4051" s="1">
        <v>45826</v>
      </c>
      <c r="C4051">
        <v>19</v>
      </c>
      <c r="D4051">
        <v>0</v>
      </c>
      <c r="E4051" t="s">
        <v>6</v>
      </c>
      <c r="F4051">
        <v>0.22191999999999998</v>
      </c>
    </row>
    <row r="4052" spans="1:6" x14ac:dyDescent="0.3">
      <c r="A4052" t="s">
        <v>22</v>
      </c>
      <c r="B4052" s="1">
        <v>45826</v>
      </c>
      <c r="C4052">
        <v>20</v>
      </c>
      <c r="D4052">
        <v>0.13300000000000001</v>
      </c>
      <c r="E4052" t="s">
        <v>6</v>
      </c>
      <c r="F4052">
        <v>0.23166999999999999</v>
      </c>
    </row>
    <row r="4053" spans="1:6" x14ac:dyDescent="0.3">
      <c r="A4053" t="s">
        <v>22</v>
      </c>
      <c r="B4053" s="1">
        <v>45826</v>
      </c>
      <c r="C4053">
        <v>21</v>
      </c>
      <c r="D4053">
        <v>0.46700000000000003</v>
      </c>
      <c r="E4053" t="s">
        <v>6</v>
      </c>
      <c r="F4053">
        <v>0.25112000000000001</v>
      </c>
    </row>
    <row r="4054" spans="1:6" x14ac:dyDescent="0.3">
      <c r="A4054" t="s">
        <v>22</v>
      </c>
      <c r="B4054" s="1">
        <v>45826</v>
      </c>
      <c r="C4054">
        <v>22</v>
      </c>
      <c r="D4054">
        <v>1.0029999999999999</v>
      </c>
      <c r="E4054" t="s">
        <v>6</v>
      </c>
      <c r="F4054">
        <v>0.31441000000000002</v>
      </c>
    </row>
    <row r="4055" spans="1:6" x14ac:dyDescent="0.3">
      <c r="A4055" t="s">
        <v>22</v>
      </c>
      <c r="B4055" s="1">
        <v>45826</v>
      </c>
      <c r="C4055">
        <v>23</v>
      </c>
      <c r="D4055">
        <v>0.84199999999999997</v>
      </c>
      <c r="E4055" t="s">
        <v>6</v>
      </c>
      <c r="F4055">
        <v>0.21737999999999999</v>
      </c>
    </row>
    <row r="4056" spans="1:6" x14ac:dyDescent="0.3">
      <c r="A4056" t="s">
        <v>22</v>
      </c>
      <c r="B4056" s="1">
        <v>45826</v>
      </c>
      <c r="C4056">
        <v>24</v>
      </c>
      <c r="D4056">
        <v>1.4259999999999999</v>
      </c>
      <c r="E4056" t="s">
        <v>6</v>
      </c>
      <c r="F4056">
        <v>0.18221999999999999</v>
      </c>
    </row>
    <row r="4057" spans="1:6" x14ac:dyDescent="0.3">
      <c r="A4057" t="s">
        <v>22</v>
      </c>
      <c r="B4057" s="1">
        <v>45827</v>
      </c>
      <c r="C4057">
        <v>1</v>
      </c>
      <c r="D4057">
        <v>0.53500000000000003</v>
      </c>
      <c r="E4057" t="s">
        <v>6</v>
      </c>
      <c r="F4057">
        <v>0.15721000000000002</v>
      </c>
    </row>
    <row r="4058" spans="1:6" x14ac:dyDescent="0.3">
      <c r="A4058" t="s">
        <v>22</v>
      </c>
      <c r="B4058" s="1">
        <v>45827</v>
      </c>
      <c r="C4058">
        <v>2</v>
      </c>
      <c r="D4058">
        <v>0.54300000000000004</v>
      </c>
      <c r="E4058" t="s">
        <v>6</v>
      </c>
      <c r="F4058">
        <v>0.14965999999999999</v>
      </c>
    </row>
    <row r="4059" spans="1:6" x14ac:dyDescent="0.3">
      <c r="A4059" t="s">
        <v>22</v>
      </c>
      <c r="B4059" s="1">
        <v>45827</v>
      </c>
      <c r="C4059">
        <v>3</v>
      </c>
      <c r="D4059">
        <v>0.47699999999999998</v>
      </c>
      <c r="E4059" t="s">
        <v>6</v>
      </c>
      <c r="F4059">
        <v>0.14681</v>
      </c>
    </row>
    <row r="4060" spans="1:6" x14ac:dyDescent="0.3">
      <c r="A4060" t="s">
        <v>22</v>
      </c>
      <c r="B4060" s="1">
        <v>45827</v>
      </c>
      <c r="C4060">
        <v>4</v>
      </c>
      <c r="D4060">
        <v>0.48899999999999999</v>
      </c>
      <c r="E4060" t="s">
        <v>6</v>
      </c>
      <c r="F4060">
        <v>0.14348</v>
      </c>
    </row>
    <row r="4061" spans="1:6" x14ac:dyDescent="0.3">
      <c r="A4061" t="s">
        <v>22</v>
      </c>
      <c r="B4061" s="1">
        <v>45827</v>
      </c>
      <c r="C4061">
        <v>5</v>
      </c>
      <c r="D4061">
        <v>0.45100000000000001</v>
      </c>
      <c r="E4061" t="s">
        <v>6</v>
      </c>
      <c r="F4061">
        <v>0.14318999999999998</v>
      </c>
    </row>
    <row r="4062" spans="1:6" x14ac:dyDescent="0.3">
      <c r="A4062" t="s">
        <v>22</v>
      </c>
      <c r="B4062" s="1">
        <v>45827</v>
      </c>
      <c r="C4062">
        <v>6</v>
      </c>
      <c r="D4062">
        <v>0.49299999999999999</v>
      </c>
      <c r="E4062" t="s">
        <v>6</v>
      </c>
      <c r="F4062">
        <v>0.14369999999999999</v>
      </c>
    </row>
    <row r="4063" spans="1:6" x14ac:dyDescent="0.3">
      <c r="A4063" t="s">
        <v>22</v>
      </c>
      <c r="B4063" s="1">
        <v>45827</v>
      </c>
      <c r="C4063">
        <v>7</v>
      </c>
      <c r="D4063">
        <v>0.43</v>
      </c>
      <c r="E4063" t="s">
        <v>6</v>
      </c>
      <c r="F4063">
        <v>0.15196999999999999</v>
      </c>
    </row>
    <row r="4064" spans="1:6" x14ac:dyDescent="0.3">
      <c r="A4064" t="s">
        <v>22</v>
      </c>
      <c r="B4064" s="1">
        <v>45827</v>
      </c>
      <c r="C4064">
        <v>8</v>
      </c>
      <c r="D4064">
        <v>0.32100000000000001</v>
      </c>
      <c r="E4064" t="s">
        <v>6</v>
      </c>
      <c r="F4064">
        <v>0.15518000000000001</v>
      </c>
    </row>
    <row r="4065" spans="1:6" x14ac:dyDescent="0.3">
      <c r="A4065" t="s">
        <v>22</v>
      </c>
      <c r="B4065" s="1">
        <v>45827</v>
      </c>
      <c r="C4065">
        <v>9</v>
      </c>
      <c r="D4065">
        <v>0.36899999999999999</v>
      </c>
      <c r="E4065" t="s">
        <v>6</v>
      </c>
      <c r="F4065">
        <v>0.16687000000000002</v>
      </c>
    </row>
    <row r="4066" spans="1:6" x14ac:dyDescent="0.3">
      <c r="A4066" t="s">
        <v>22</v>
      </c>
      <c r="B4066" s="1">
        <v>45827</v>
      </c>
      <c r="C4066">
        <v>10</v>
      </c>
      <c r="D4066">
        <v>0</v>
      </c>
      <c r="E4066" t="s">
        <v>6</v>
      </c>
      <c r="F4066">
        <v>0.16416999999999998</v>
      </c>
    </row>
    <row r="4067" spans="1:6" x14ac:dyDescent="0.3">
      <c r="A4067" t="s">
        <v>22</v>
      </c>
      <c r="B4067" s="1">
        <v>45827</v>
      </c>
      <c r="C4067">
        <v>11</v>
      </c>
      <c r="D4067">
        <v>0</v>
      </c>
      <c r="E4067" t="s">
        <v>6</v>
      </c>
      <c r="F4067">
        <v>0.21915000000000001</v>
      </c>
    </row>
    <row r="4068" spans="1:6" x14ac:dyDescent="0.3">
      <c r="A4068" t="s">
        <v>22</v>
      </c>
      <c r="B4068" s="1">
        <v>45827</v>
      </c>
      <c r="C4068">
        <v>12</v>
      </c>
      <c r="D4068">
        <v>0</v>
      </c>
      <c r="E4068" t="s">
        <v>6</v>
      </c>
      <c r="F4068">
        <v>0.18480000000000002</v>
      </c>
    </row>
    <row r="4069" spans="1:6" x14ac:dyDescent="0.3">
      <c r="A4069" t="s">
        <v>22</v>
      </c>
      <c r="B4069" s="1">
        <v>45827</v>
      </c>
      <c r="C4069">
        <v>13</v>
      </c>
      <c r="D4069">
        <v>0</v>
      </c>
      <c r="E4069" t="s">
        <v>6</v>
      </c>
      <c r="F4069">
        <v>0.17949000000000001</v>
      </c>
    </row>
    <row r="4070" spans="1:6" x14ac:dyDescent="0.3">
      <c r="A4070" t="s">
        <v>22</v>
      </c>
      <c r="B4070" s="1">
        <v>45827</v>
      </c>
      <c r="C4070">
        <v>14</v>
      </c>
      <c r="D4070">
        <v>0</v>
      </c>
      <c r="E4070" t="s">
        <v>6</v>
      </c>
      <c r="F4070">
        <v>0.17077999999999999</v>
      </c>
    </row>
    <row r="4071" spans="1:6" x14ac:dyDescent="0.3">
      <c r="A4071" t="s">
        <v>22</v>
      </c>
      <c r="B4071" s="1">
        <v>45827</v>
      </c>
      <c r="C4071">
        <v>15</v>
      </c>
      <c r="D4071">
        <v>0</v>
      </c>
      <c r="E4071" t="s">
        <v>6</v>
      </c>
      <c r="F4071">
        <v>0.10357999999999999</v>
      </c>
    </row>
    <row r="4072" spans="1:6" x14ac:dyDescent="0.3">
      <c r="A4072" t="s">
        <v>22</v>
      </c>
      <c r="B4072" s="1">
        <v>45827</v>
      </c>
      <c r="C4072">
        <v>16</v>
      </c>
      <c r="D4072">
        <v>0</v>
      </c>
      <c r="E4072" t="s">
        <v>6</v>
      </c>
      <c r="F4072">
        <v>0.10106</v>
      </c>
    </row>
    <row r="4073" spans="1:6" x14ac:dyDescent="0.3">
      <c r="A4073" t="s">
        <v>22</v>
      </c>
      <c r="B4073" s="1">
        <v>45827</v>
      </c>
      <c r="C4073">
        <v>17</v>
      </c>
      <c r="D4073">
        <v>0</v>
      </c>
      <c r="E4073" t="s">
        <v>6</v>
      </c>
      <c r="F4073">
        <v>0.11286</v>
      </c>
    </row>
    <row r="4074" spans="1:6" x14ac:dyDescent="0.3">
      <c r="A4074" t="s">
        <v>22</v>
      </c>
      <c r="B4074" s="1">
        <v>45827</v>
      </c>
      <c r="C4074">
        <v>18</v>
      </c>
      <c r="D4074">
        <v>0</v>
      </c>
      <c r="E4074" t="s">
        <v>6</v>
      </c>
      <c r="F4074">
        <v>0.13381999999999999</v>
      </c>
    </row>
    <row r="4075" spans="1:6" x14ac:dyDescent="0.3">
      <c r="A4075" t="s">
        <v>22</v>
      </c>
      <c r="B4075" s="1">
        <v>45827</v>
      </c>
      <c r="C4075">
        <v>19</v>
      </c>
      <c r="D4075">
        <v>0</v>
      </c>
      <c r="E4075" t="s">
        <v>6</v>
      </c>
      <c r="F4075">
        <v>0.22538999999999998</v>
      </c>
    </row>
    <row r="4076" spans="1:6" x14ac:dyDescent="0.3">
      <c r="A4076" t="s">
        <v>22</v>
      </c>
      <c r="B4076" s="1">
        <v>45827</v>
      </c>
      <c r="C4076">
        <v>20</v>
      </c>
      <c r="D4076">
        <v>0.94199999999999995</v>
      </c>
      <c r="E4076" t="s">
        <v>6</v>
      </c>
      <c r="F4076">
        <v>0.23055</v>
      </c>
    </row>
    <row r="4077" spans="1:6" x14ac:dyDescent="0.3">
      <c r="A4077" t="s">
        <v>22</v>
      </c>
      <c r="B4077" s="1">
        <v>45827</v>
      </c>
      <c r="C4077">
        <v>21</v>
      </c>
      <c r="D4077">
        <v>0.53500000000000003</v>
      </c>
      <c r="E4077" t="s">
        <v>6</v>
      </c>
      <c r="F4077">
        <v>0.24099000000000001</v>
      </c>
    </row>
    <row r="4078" spans="1:6" x14ac:dyDescent="0.3">
      <c r="A4078" t="s">
        <v>22</v>
      </c>
      <c r="B4078" s="1">
        <v>45827</v>
      </c>
      <c r="C4078">
        <v>22</v>
      </c>
      <c r="D4078">
        <v>0.51900000000000002</v>
      </c>
      <c r="E4078" t="s">
        <v>6</v>
      </c>
      <c r="F4078">
        <v>0.27981</v>
      </c>
    </row>
    <row r="4079" spans="1:6" x14ac:dyDescent="0.3">
      <c r="A4079" t="s">
        <v>22</v>
      </c>
      <c r="B4079" s="1">
        <v>45827</v>
      </c>
      <c r="C4079">
        <v>23</v>
      </c>
      <c r="D4079">
        <v>0.60599999999999998</v>
      </c>
      <c r="E4079" t="s">
        <v>6</v>
      </c>
      <c r="F4079">
        <v>0.21190000000000001</v>
      </c>
    </row>
    <row r="4080" spans="1:6" x14ac:dyDescent="0.3">
      <c r="A4080" t="s">
        <v>22</v>
      </c>
      <c r="B4080" s="1">
        <v>45827</v>
      </c>
      <c r="C4080">
        <v>24</v>
      </c>
      <c r="D4080">
        <v>0.69799999999999995</v>
      </c>
      <c r="E4080" t="s">
        <v>6</v>
      </c>
      <c r="F4080">
        <v>0.17621000000000001</v>
      </c>
    </row>
    <row r="4081" spans="1:6" x14ac:dyDescent="0.3">
      <c r="A4081" t="s">
        <v>22</v>
      </c>
      <c r="B4081" s="1">
        <v>45828</v>
      </c>
      <c r="C4081">
        <v>1</v>
      </c>
      <c r="D4081">
        <v>0.55100000000000005</v>
      </c>
      <c r="E4081" t="s">
        <v>6</v>
      </c>
      <c r="F4081">
        <v>0.14796999999999999</v>
      </c>
    </row>
    <row r="4082" spans="1:6" x14ac:dyDescent="0.3">
      <c r="A4082" t="s">
        <v>22</v>
      </c>
      <c r="B4082" s="1">
        <v>45828</v>
      </c>
      <c r="C4082">
        <v>2</v>
      </c>
      <c r="D4082">
        <v>0.56000000000000005</v>
      </c>
      <c r="E4082" t="s">
        <v>6</v>
      </c>
      <c r="F4082">
        <v>0.14543999999999999</v>
      </c>
    </row>
    <row r="4083" spans="1:6" x14ac:dyDescent="0.3">
      <c r="A4083" t="s">
        <v>22</v>
      </c>
      <c r="B4083" s="1">
        <v>45828</v>
      </c>
      <c r="C4083">
        <v>3</v>
      </c>
      <c r="D4083">
        <v>0.44400000000000001</v>
      </c>
      <c r="E4083" t="s">
        <v>6</v>
      </c>
      <c r="F4083">
        <v>0.14368</v>
      </c>
    </row>
    <row r="4084" spans="1:6" x14ac:dyDescent="0.3">
      <c r="A4084" t="s">
        <v>22</v>
      </c>
      <c r="B4084" s="1">
        <v>45828</v>
      </c>
      <c r="C4084">
        <v>4</v>
      </c>
      <c r="D4084">
        <v>0.47699999999999998</v>
      </c>
      <c r="E4084" t="s">
        <v>6</v>
      </c>
      <c r="F4084">
        <v>0.14104</v>
      </c>
    </row>
    <row r="4085" spans="1:6" x14ac:dyDescent="0.3">
      <c r="A4085" t="s">
        <v>22</v>
      </c>
      <c r="B4085" s="1">
        <v>45828</v>
      </c>
      <c r="C4085">
        <v>5</v>
      </c>
      <c r="D4085">
        <v>0.46800000000000003</v>
      </c>
      <c r="E4085" t="s">
        <v>6</v>
      </c>
      <c r="F4085">
        <v>0.14066000000000001</v>
      </c>
    </row>
    <row r="4086" spans="1:6" x14ac:dyDescent="0.3">
      <c r="A4086" t="s">
        <v>22</v>
      </c>
      <c r="B4086" s="1">
        <v>45828</v>
      </c>
      <c r="C4086">
        <v>6</v>
      </c>
      <c r="D4086">
        <v>0.49</v>
      </c>
      <c r="E4086" t="s">
        <v>6</v>
      </c>
      <c r="F4086">
        <v>0.13930999999999999</v>
      </c>
    </row>
    <row r="4087" spans="1:6" x14ac:dyDescent="0.3">
      <c r="A4087" t="s">
        <v>22</v>
      </c>
      <c r="B4087" s="1">
        <v>45828</v>
      </c>
      <c r="C4087">
        <v>7</v>
      </c>
      <c r="D4087">
        <v>1.2829999999999999</v>
      </c>
      <c r="E4087" t="s">
        <v>6</v>
      </c>
      <c r="F4087">
        <v>0.14515</v>
      </c>
    </row>
    <row r="4088" spans="1:6" x14ac:dyDescent="0.3">
      <c r="A4088" t="s">
        <v>22</v>
      </c>
      <c r="B4088" s="1">
        <v>45828</v>
      </c>
      <c r="C4088">
        <v>8</v>
      </c>
      <c r="D4088">
        <v>0.26800000000000002</v>
      </c>
      <c r="E4088" t="s">
        <v>6</v>
      </c>
      <c r="F4088">
        <v>0.14399000000000001</v>
      </c>
    </row>
    <row r="4089" spans="1:6" x14ac:dyDescent="0.3">
      <c r="A4089" t="s">
        <v>22</v>
      </c>
      <c r="B4089" s="1">
        <v>45828</v>
      </c>
      <c r="C4089">
        <v>9</v>
      </c>
      <c r="D4089">
        <v>0</v>
      </c>
      <c r="E4089" t="s">
        <v>6</v>
      </c>
      <c r="F4089">
        <v>0.16177</v>
      </c>
    </row>
    <row r="4090" spans="1:6" x14ac:dyDescent="0.3">
      <c r="A4090" t="s">
        <v>22</v>
      </c>
      <c r="B4090" s="1">
        <v>45828</v>
      </c>
      <c r="C4090">
        <v>10</v>
      </c>
      <c r="D4090">
        <v>0</v>
      </c>
      <c r="E4090" t="s">
        <v>6</v>
      </c>
      <c r="F4090">
        <v>0.15496000000000001</v>
      </c>
    </row>
    <row r="4091" spans="1:6" x14ac:dyDescent="0.3">
      <c r="A4091" t="s">
        <v>22</v>
      </c>
      <c r="B4091" s="1">
        <v>45828</v>
      </c>
      <c r="C4091">
        <v>11</v>
      </c>
      <c r="D4091">
        <v>0</v>
      </c>
      <c r="E4091" t="s">
        <v>6</v>
      </c>
      <c r="F4091">
        <v>0.19222999999999998</v>
      </c>
    </row>
    <row r="4092" spans="1:6" x14ac:dyDescent="0.3">
      <c r="A4092" t="s">
        <v>22</v>
      </c>
      <c r="B4092" s="1">
        <v>45828</v>
      </c>
      <c r="C4092">
        <v>12</v>
      </c>
      <c r="D4092">
        <v>0</v>
      </c>
      <c r="E4092" t="s">
        <v>6</v>
      </c>
      <c r="F4092">
        <v>0.18894</v>
      </c>
    </row>
    <row r="4093" spans="1:6" x14ac:dyDescent="0.3">
      <c r="A4093" t="s">
        <v>22</v>
      </c>
      <c r="B4093" s="1">
        <v>45828</v>
      </c>
      <c r="C4093">
        <v>13</v>
      </c>
      <c r="D4093">
        <v>0.32600000000000001</v>
      </c>
      <c r="E4093" t="s">
        <v>6</v>
      </c>
      <c r="F4093">
        <v>0.18115000000000001</v>
      </c>
    </row>
    <row r="4094" spans="1:6" x14ac:dyDescent="0.3">
      <c r="A4094" t="s">
        <v>22</v>
      </c>
      <c r="B4094" s="1">
        <v>45828</v>
      </c>
      <c r="C4094">
        <v>14</v>
      </c>
      <c r="D4094">
        <v>0.82499999999999996</v>
      </c>
      <c r="E4094" t="s">
        <v>6</v>
      </c>
      <c r="F4094">
        <v>0.17374999999999999</v>
      </c>
    </row>
    <row r="4095" spans="1:6" x14ac:dyDescent="0.3">
      <c r="A4095" t="s">
        <v>22</v>
      </c>
      <c r="B4095" s="1">
        <v>45828</v>
      </c>
      <c r="C4095">
        <v>15</v>
      </c>
      <c r="D4095">
        <v>0</v>
      </c>
      <c r="E4095" t="s">
        <v>6</v>
      </c>
      <c r="F4095">
        <v>0.10703</v>
      </c>
    </row>
    <row r="4096" spans="1:6" x14ac:dyDescent="0.3">
      <c r="A4096" t="s">
        <v>22</v>
      </c>
      <c r="B4096" s="1">
        <v>45828</v>
      </c>
      <c r="C4096">
        <v>16</v>
      </c>
      <c r="D4096">
        <v>0</v>
      </c>
      <c r="E4096" t="s">
        <v>6</v>
      </c>
      <c r="F4096">
        <v>0.10672</v>
      </c>
    </row>
    <row r="4097" spans="1:6" x14ac:dyDescent="0.3">
      <c r="A4097" t="s">
        <v>22</v>
      </c>
      <c r="B4097" s="1">
        <v>45828</v>
      </c>
      <c r="C4097">
        <v>17</v>
      </c>
      <c r="D4097">
        <v>0</v>
      </c>
      <c r="E4097" t="s">
        <v>6</v>
      </c>
      <c r="F4097">
        <v>0.11941</v>
      </c>
    </row>
    <row r="4098" spans="1:6" x14ac:dyDescent="0.3">
      <c r="A4098" t="s">
        <v>22</v>
      </c>
      <c r="B4098" s="1">
        <v>45828</v>
      </c>
      <c r="C4098">
        <v>18</v>
      </c>
      <c r="D4098">
        <v>0.19900000000000001</v>
      </c>
      <c r="E4098" t="s">
        <v>6</v>
      </c>
      <c r="F4098">
        <v>0.12776999999999999</v>
      </c>
    </row>
    <row r="4099" spans="1:6" x14ac:dyDescent="0.3">
      <c r="A4099" t="s">
        <v>22</v>
      </c>
      <c r="B4099" s="1">
        <v>45828</v>
      </c>
      <c r="C4099">
        <v>19</v>
      </c>
      <c r="D4099">
        <v>0.69599999999999995</v>
      </c>
      <c r="E4099" t="s">
        <v>6</v>
      </c>
      <c r="F4099">
        <v>0.21966999999999998</v>
      </c>
    </row>
    <row r="4100" spans="1:6" x14ac:dyDescent="0.3">
      <c r="A4100" t="s">
        <v>22</v>
      </c>
      <c r="B4100" s="1">
        <v>45828</v>
      </c>
      <c r="C4100">
        <v>20</v>
      </c>
      <c r="D4100">
        <v>0.22500000000000001</v>
      </c>
      <c r="E4100" t="s">
        <v>6</v>
      </c>
      <c r="F4100">
        <v>0.23612</v>
      </c>
    </row>
    <row r="4101" spans="1:6" x14ac:dyDescent="0.3">
      <c r="A4101" t="s">
        <v>22</v>
      </c>
      <c r="B4101" s="1">
        <v>45828</v>
      </c>
      <c r="C4101">
        <v>21</v>
      </c>
      <c r="D4101">
        <v>0.39200000000000002</v>
      </c>
      <c r="E4101" t="s">
        <v>6</v>
      </c>
      <c r="F4101">
        <v>0.24984000000000001</v>
      </c>
    </row>
    <row r="4102" spans="1:6" x14ac:dyDescent="0.3">
      <c r="A4102" t="s">
        <v>22</v>
      </c>
      <c r="B4102" s="1">
        <v>45828</v>
      </c>
      <c r="C4102">
        <v>22</v>
      </c>
      <c r="D4102">
        <v>0.74099999999999999</v>
      </c>
      <c r="E4102" t="s">
        <v>6</v>
      </c>
      <c r="F4102">
        <v>0.27498</v>
      </c>
    </row>
    <row r="4103" spans="1:6" x14ac:dyDescent="0.3">
      <c r="A4103" t="s">
        <v>22</v>
      </c>
      <c r="B4103" s="1">
        <v>45828</v>
      </c>
      <c r="C4103">
        <v>23</v>
      </c>
      <c r="D4103">
        <v>0.69299999999999995</v>
      </c>
      <c r="E4103" t="s">
        <v>6</v>
      </c>
      <c r="F4103">
        <v>0.20552999999999999</v>
      </c>
    </row>
    <row r="4104" spans="1:6" x14ac:dyDescent="0.3">
      <c r="A4104" t="s">
        <v>22</v>
      </c>
      <c r="B4104" s="1">
        <v>45828</v>
      </c>
      <c r="C4104">
        <v>24</v>
      </c>
      <c r="D4104">
        <v>0.59799999999999998</v>
      </c>
      <c r="E4104" t="s">
        <v>6</v>
      </c>
      <c r="F4104">
        <v>0.17516000000000001</v>
      </c>
    </row>
    <row r="4105" spans="1:6" x14ac:dyDescent="0.3">
      <c r="A4105" t="s">
        <v>22</v>
      </c>
      <c r="B4105" s="1">
        <v>45829</v>
      </c>
      <c r="C4105">
        <v>1</v>
      </c>
      <c r="D4105">
        <v>0.53</v>
      </c>
      <c r="E4105" t="s">
        <v>6</v>
      </c>
      <c r="F4105">
        <v>0.16390000000000002</v>
      </c>
    </row>
    <row r="4106" spans="1:6" x14ac:dyDescent="0.3">
      <c r="A4106" t="s">
        <v>22</v>
      </c>
      <c r="B4106" s="1">
        <v>45829</v>
      </c>
      <c r="C4106">
        <v>2</v>
      </c>
      <c r="D4106">
        <v>1.2470000000000001</v>
      </c>
      <c r="E4106" t="s">
        <v>6</v>
      </c>
      <c r="F4106">
        <v>0.16312000000000001</v>
      </c>
    </row>
    <row r="4107" spans="1:6" x14ac:dyDescent="0.3">
      <c r="A4107" t="s">
        <v>22</v>
      </c>
      <c r="B4107" s="1">
        <v>45829</v>
      </c>
      <c r="C4107">
        <v>3</v>
      </c>
      <c r="D4107">
        <v>0.55700000000000005</v>
      </c>
      <c r="E4107" t="s">
        <v>6</v>
      </c>
      <c r="F4107">
        <v>0.16327</v>
      </c>
    </row>
    <row r="4108" spans="1:6" x14ac:dyDescent="0.3">
      <c r="A4108" t="s">
        <v>22</v>
      </c>
      <c r="B4108" s="1">
        <v>45829</v>
      </c>
      <c r="C4108">
        <v>4</v>
      </c>
      <c r="D4108">
        <v>0.45600000000000002</v>
      </c>
      <c r="E4108" t="s">
        <v>6</v>
      </c>
      <c r="F4108">
        <v>0.15706000000000001</v>
      </c>
    </row>
    <row r="4109" spans="1:6" x14ac:dyDescent="0.3">
      <c r="A4109" t="s">
        <v>22</v>
      </c>
      <c r="B4109" s="1">
        <v>45829</v>
      </c>
      <c r="C4109">
        <v>5</v>
      </c>
      <c r="D4109">
        <v>0.59699999999999998</v>
      </c>
      <c r="E4109" t="s">
        <v>6</v>
      </c>
      <c r="F4109">
        <v>0.15671000000000002</v>
      </c>
    </row>
    <row r="4110" spans="1:6" x14ac:dyDescent="0.3">
      <c r="A4110" t="s">
        <v>22</v>
      </c>
      <c r="B4110" s="1">
        <v>45829</v>
      </c>
      <c r="C4110">
        <v>6</v>
      </c>
      <c r="D4110">
        <v>0.441</v>
      </c>
      <c r="E4110" t="s">
        <v>6</v>
      </c>
      <c r="F4110">
        <v>0.15546000000000001</v>
      </c>
    </row>
    <row r="4111" spans="1:6" x14ac:dyDescent="0.3">
      <c r="A4111" t="s">
        <v>22</v>
      </c>
      <c r="B4111" s="1">
        <v>45829</v>
      </c>
      <c r="C4111">
        <v>7</v>
      </c>
      <c r="D4111">
        <v>0.44600000000000001</v>
      </c>
      <c r="E4111" t="s">
        <v>6</v>
      </c>
      <c r="F4111">
        <v>0.15705000000000002</v>
      </c>
    </row>
    <row r="4112" spans="1:6" x14ac:dyDescent="0.3">
      <c r="A4112" t="s">
        <v>22</v>
      </c>
      <c r="B4112" s="1">
        <v>45829</v>
      </c>
      <c r="C4112">
        <v>8</v>
      </c>
      <c r="D4112">
        <v>0.27700000000000002</v>
      </c>
      <c r="E4112" t="s">
        <v>6</v>
      </c>
      <c r="F4112">
        <v>0.15012999999999999</v>
      </c>
    </row>
    <row r="4113" spans="1:6" x14ac:dyDescent="0.3">
      <c r="A4113" t="s">
        <v>22</v>
      </c>
      <c r="B4113" s="1">
        <v>45829</v>
      </c>
      <c r="C4113">
        <v>9</v>
      </c>
      <c r="D4113">
        <v>0</v>
      </c>
      <c r="E4113" t="s">
        <v>6</v>
      </c>
      <c r="F4113">
        <v>0.13969999999999999</v>
      </c>
    </row>
    <row r="4114" spans="1:6" x14ac:dyDescent="0.3">
      <c r="A4114" t="s">
        <v>22</v>
      </c>
      <c r="B4114" s="1">
        <v>45829</v>
      </c>
      <c r="C4114">
        <v>10</v>
      </c>
      <c r="D4114">
        <v>0</v>
      </c>
      <c r="E4114" t="s">
        <v>6</v>
      </c>
      <c r="F4114">
        <v>7.1249999999999994E-2</v>
      </c>
    </row>
    <row r="4115" spans="1:6" x14ac:dyDescent="0.3">
      <c r="A4115" t="s">
        <v>22</v>
      </c>
      <c r="B4115" s="1">
        <v>45829</v>
      </c>
      <c r="C4115">
        <v>11</v>
      </c>
      <c r="D4115">
        <v>0</v>
      </c>
      <c r="E4115" t="s">
        <v>6</v>
      </c>
      <c r="F4115">
        <v>2.8300000000000002E-2</v>
      </c>
    </row>
    <row r="4116" spans="1:6" x14ac:dyDescent="0.3">
      <c r="A4116" t="s">
        <v>22</v>
      </c>
      <c r="B4116" s="1">
        <v>45829</v>
      </c>
      <c r="C4116">
        <v>12</v>
      </c>
      <c r="D4116">
        <v>0</v>
      </c>
      <c r="E4116" t="s">
        <v>6</v>
      </c>
      <c r="F4116">
        <v>2.435E-2</v>
      </c>
    </row>
    <row r="4117" spans="1:6" x14ac:dyDescent="0.3">
      <c r="A4117" t="s">
        <v>22</v>
      </c>
      <c r="B4117" s="1">
        <v>45829</v>
      </c>
      <c r="C4117">
        <v>13</v>
      </c>
      <c r="D4117">
        <v>0</v>
      </c>
      <c r="E4117" t="s">
        <v>6</v>
      </c>
      <c r="F4117">
        <v>2.3710000000000002E-2</v>
      </c>
    </row>
    <row r="4118" spans="1:6" x14ac:dyDescent="0.3">
      <c r="A4118" t="s">
        <v>22</v>
      </c>
      <c r="B4118" s="1">
        <v>45829</v>
      </c>
      <c r="C4118">
        <v>14</v>
      </c>
      <c r="D4118">
        <v>0</v>
      </c>
      <c r="E4118" t="s">
        <v>6</v>
      </c>
      <c r="F4118">
        <v>2.3260000000000003E-2</v>
      </c>
    </row>
    <row r="4119" spans="1:6" x14ac:dyDescent="0.3">
      <c r="A4119" t="s">
        <v>22</v>
      </c>
      <c r="B4119" s="1">
        <v>45829</v>
      </c>
      <c r="C4119">
        <v>15</v>
      </c>
      <c r="D4119">
        <v>0</v>
      </c>
      <c r="E4119" t="s">
        <v>6</v>
      </c>
      <c r="F4119">
        <v>2.298E-2</v>
      </c>
    </row>
    <row r="4120" spans="1:6" x14ac:dyDescent="0.3">
      <c r="A4120" t="s">
        <v>22</v>
      </c>
      <c r="B4120" s="1">
        <v>45829</v>
      </c>
      <c r="C4120">
        <v>16</v>
      </c>
      <c r="D4120">
        <v>0.55700000000000005</v>
      </c>
      <c r="E4120" t="s">
        <v>6</v>
      </c>
      <c r="F4120">
        <v>2.3730000000000001E-2</v>
      </c>
    </row>
    <row r="4121" spans="1:6" x14ac:dyDescent="0.3">
      <c r="A4121" t="s">
        <v>22</v>
      </c>
      <c r="B4121" s="1">
        <v>45829</v>
      </c>
      <c r="C4121">
        <v>17</v>
      </c>
      <c r="D4121">
        <v>0.67300000000000004</v>
      </c>
      <c r="E4121" t="s">
        <v>6</v>
      </c>
      <c r="F4121">
        <v>2.4120000000000003E-2</v>
      </c>
    </row>
    <row r="4122" spans="1:6" x14ac:dyDescent="0.3">
      <c r="A4122" t="s">
        <v>22</v>
      </c>
      <c r="B4122" s="1">
        <v>45829</v>
      </c>
      <c r="C4122">
        <v>18</v>
      </c>
      <c r="D4122">
        <v>0.63300000000000001</v>
      </c>
      <c r="E4122" t="s">
        <v>6</v>
      </c>
      <c r="F4122">
        <v>2.9270000000000001E-2</v>
      </c>
    </row>
    <row r="4123" spans="1:6" x14ac:dyDescent="0.3">
      <c r="A4123" t="s">
        <v>22</v>
      </c>
      <c r="B4123" s="1">
        <v>45829</v>
      </c>
      <c r="C4123">
        <v>19</v>
      </c>
      <c r="D4123">
        <v>0.65</v>
      </c>
      <c r="E4123" t="s">
        <v>6</v>
      </c>
      <c r="F4123">
        <v>0.10734</v>
      </c>
    </row>
    <row r="4124" spans="1:6" x14ac:dyDescent="0.3">
      <c r="A4124" t="s">
        <v>22</v>
      </c>
      <c r="B4124" s="1">
        <v>45829</v>
      </c>
      <c r="C4124">
        <v>20</v>
      </c>
      <c r="D4124">
        <v>0.81799999999999995</v>
      </c>
      <c r="E4124" t="s">
        <v>6</v>
      </c>
      <c r="F4124">
        <v>0.14409</v>
      </c>
    </row>
    <row r="4125" spans="1:6" x14ac:dyDescent="0.3">
      <c r="A4125" t="s">
        <v>22</v>
      </c>
      <c r="B4125" s="1">
        <v>45829</v>
      </c>
      <c r="C4125">
        <v>21</v>
      </c>
      <c r="D4125">
        <v>0.59499999999999997</v>
      </c>
      <c r="E4125" t="s">
        <v>6</v>
      </c>
      <c r="F4125">
        <v>0.16053999999999999</v>
      </c>
    </row>
    <row r="4126" spans="1:6" x14ac:dyDescent="0.3">
      <c r="A4126" t="s">
        <v>22</v>
      </c>
      <c r="B4126" s="1">
        <v>45829</v>
      </c>
      <c r="C4126">
        <v>22</v>
      </c>
      <c r="D4126">
        <v>1.421</v>
      </c>
      <c r="E4126" t="s">
        <v>6</v>
      </c>
      <c r="F4126">
        <v>0.16985</v>
      </c>
    </row>
    <row r="4127" spans="1:6" x14ac:dyDescent="0.3">
      <c r="A4127" t="s">
        <v>22</v>
      </c>
      <c r="B4127" s="1">
        <v>45829</v>
      </c>
      <c r="C4127">
        <v>23</v>
      </c>
      <c r="D4127">
        <v>0.72199999999999998</v>
      </c>
      <c r="E4127" t="s">
        <v>6</v>
      </c>
      <c r="F4127">
        <v>0.17394000000000001</v>
      </c>
    </row>
    <row r="4128" spans="1:6" x14ac:dyDescent="0.3">
      <c r="A4128" t="s">
        <v>22</v>
      </c>
      <c r="B4128" s="1">
        <v>45829</v>
      </c>
      <c r="C4128">
        <v>24</v>
      </c>
      <c r="D4128">
        <v>0.57399999999999995</v>
      </c>
      <c r="E4128" t="s">
        <v>6</v>
      </c>
      <c r="F4128">
        <v>0.16078000000000001</v>
      </c>
    </row>
    <row r="4129" spans="1:6" x14ac:dyDescent="0.3">
      <c r="A4129" t="s">
        <v>22</v>
      </c>
      <c r="B4129" s="1">
        <v>45830</v>
      </c>
      <c r="C4129">
        <v>1</v>
      </c>
      <c r="D4129">
        <v>0.626</v>
      </c>
      <c r="E4129" t="s">
        <v>6</v>
      </c>
      <c r="F4129">
        <v>0.16350999999999999</v>
      </c>
    </row>
    <row r="4130" spans="1:6" x14ac:dyDescent="0.3">
      <c r="A4130" t="s">
        <v>22</v>
      </c>
      <c r="B4130" s="1">
        <v>45830</v>
      </c>
      <c r="C4130">
        <v>2</v>
      </c>
      <c r="D4130">
        <v>0.46500000000000002</v>
      </c>
      <c r="E4130" t="s">
        <v>6</v>
      </c>
      <c r="F4130">
        <v>0.16238</v>
      </c>
    </row>
    <row r="4131" spans="1:6" x14ac:dyDescent="0.3">
      <c r="A4131" t="s">
        <v>22</v>
      </c>
      <c r="B4131" s="1">
        <v>45830</v>
      </c>
      <c r="C4131">
        <v>3</v>
      </c>
      <c r="D4131">
        <v>0.51</v>
      </c>
      <c r="E4131" t="s">
        <v>6</v>
      </c>
      <c r="F4131">
        <v>0.16446</v>
      </c>
    </row>
    <row r="4132" spans="1:6" x14ac:dyDescent="0.3">
      <c r="A4132" t="s">
        <v>22</v>
      </c>
      <c r="B4132" s="1">
        <v>45830</v>
      </c>
      <c r="C4132">
        <v>4</v>
      </c>
      <c r="D4132">
        <v>0.54900000000000004</v>
      </c>
      <c r="E4132" t="s">
        <v>6</v>
      </c>
      <c r="F4132">
        <v>0.16722999999999999</v>
      </c>
    </row>
    <row r="4133" spans="1:6" x14ac:dyDescent="0.3">
      <c r="A4133" t="s">
        <v>22</v>
      </c>
      <c r="B4133" s="1">
        <v>45830</v>
      </c>
      <c r="C4133">
        <v>5</v>
      </c>
      <c r="D4133">
        <v>0.49099999999999999</v>
      </c>
      <c r="E4133" t="s">
        <v>6</v>
      </c>
      <c r="F4133">
        <v>0.16644</v>
      </c>
    </row>
    <row r="4134" spans="1:6" x14ac:dyDescent="0.3">
      <c r="A4134" t="s">
        <v>22</v>
      </c>
      <c r="B4134" s="1">
        <v>45830</v>
      </c>
      <c r="C4134">
        <v>6</v>
      </c>
      <c r="D4134">
        <v>0.47099999999999997</v>
      </c>
      <c r="E4134" t="s">
        <v>6</v>
      </c>
      <c r="F4134">
        <v>0.16721</v>
      </c>
    </row>
    <row r="4135" spans="1:6" x14ac:dyDescent="0.3">
      <c r="A4135" t="s">
        <v>22</v>
      </c>
      <c r="B4135" s="1">
        <v>45830</v>
      </c>
      <c r="C4135">
        <v>7</v>
      </c>
      <c r="D4135">
        <v>0.45600000000000002</v>
      </c>
      <c r="E4135" t="s">
        <v>6</v>
      </c>
      <c r="F4135">
        <v>0.16662000000000002</v>
      </c>
    </row>
    <row r="4136" spans="1:6" x14ac:dyDescent="0.3">
      <c r="A4136" t="s">
        <v>22</v>
      </c>
      <c r="B4136" s="1">
        <v>45830</v>
      </c>
      <c r="C4136">
        <v>8</v>
      </c>
      <c r="D4136">
        <v>0.56100000000000005</v>
      </c>
      <c r="E4136" t="s">
        <v>6</v>
      </c>
      <c r="F4136">
        <v>0.16616999999999998</v>
      </c>
    </row>
    <row r="4137" spans="1:6" x14ac:dyDescent="0.3">
      <c r="A4137" t="s">
        <v>22</v>
      </c>
      <c r="B4137" s="1">
        <v>45830</v>
      </c>
      <c r="C4137">
        <v>9</v>
      </c>
      <c r="D4137">
        <v>1.1950000000000001</v>
      </c>
      <c r="E4137" t="s">
        <v>6</v>
      </c>
      <c r="F4137">
        <v>0.10715000000000001</v>
      </c>
    </row>
    <row r="4138" spans="1:6" x14ac:dyDescent="0.3">
      <c r="A4138" t="s">
        <v>22</v>
      </c>
      <c r="B4138" s="1">
        <v>45830</v>
      </c>
      <c r="C4138">
        <v>10</v>
      </c>
      <c r="D4138">
        <v>1.03</v>
      </c>
      <c r="E4138" t="s">
        <v>6</v>
      </c>
      <c r="F4138">
        <v>3.15E-2</v>
      </c>
    </row>
    <row r="4139" spans="1:6" x14ac:dyDescent="0.3">
      <c r="A4139" t="s">
        <v>22</v>
      </c>
      <c r="B4139" s="1">
        <v>45830</v>
      </c>
      <c r="C4139">
        <v>11</v>
      </c>
      <c r="D4139">
        <v>0.80200000000000005</v>
      </c>
      <c r="E4139" t="s">
        <v>6</v>
      </c>
      <c r="F4139">
        <v>2.8140000000000002E-2</v>
      </c>
    </row>
    <row r="4140" spans="1:6" x14ac:dyDescent="0.3">
      <c r="A4140" t="s">
        <v>22</v>
      </c>
      <c r="B4140" s="1">
        <v>45830</v>
      </c>
      <c r="C4140">
        <v>12</v>
      </c>
      <c r="D4140">
        <v>2.9119999999999999</v>
      </c>
      <c r="E4140" t="s">
        <v>6</v>
      </c>
      <c r="F4140">
        <v>3.0960000000000001E-2</v>
      </c>
    </row>
    <row r="4141" spans="1:6" x14ac:dyDescent="0.3">
      <c r="A4141" t="s">
        <v>22</v>
      </c>
      <c r="B4141" s="1">
        <v>45830</v>
      </c>
      <c r="C4141">
        <v>13</v>
      </c>
      <c r="D4141">
        <v>1.708</v>
      </c>
      <c r="E4141" t="s">
        <v>6</v>
      </c>
      <c r="F4141">
        <v>2.9989999999999999E-2</v>
      </c>
    </row>
    <row r="4142" spans="1:6" x14ac:dyDescent="0.3">
      <c r="A4142" t="s">
        <v>22</v>
      </c>
      <c r="B4142" s="1">
        <v>45830</v>
      </c>
      <c r="C4142">
        <v>14</v>
      </c>
      <c r="D4142">
        <v>1.94</v>
      </c>
      <c r="E4142" t="s">
        <v>6</v>
      </c>
      <c r="F4142">
        <v>2.9389999999999999E-2</v>
      </c>
    </row>
    <row r="4143" spans="1:6" x14ac:dyDescent="0.3">
      <c r="A4143" t="s">
        <v>22</v>
      </c>
      <c r="B4143" s="1">
        <v>45830</v>
      </c>
      <c r="C4143">
        <v>15</v>
      </c>
      <c r="D4143">
        <v>1.8169999999999999</v>
      </c>
      <c r="E4143" t="s">
        <v>6</v>
      </c>
      <c r="F4143">
        <v>2.937E-2</v>
      </c>
    </row>
    <row r="4144" spans="1:6" x14ac:dyDescent="0.3">
      <c r="A4144" t="s">
        <v>22</v>
      </c>
      <c r="B4144" s="1">
        <v>45830</v>
      </c>
      <c r="C4144">
        <v>16</v>
      </c>
      <c r="D4144">
        <v>0.90100000000000002</v>
      </c>
      <c r="E4144" t="s">
        <v>6</v>
      </c>
      <c r="F4144">
        <v>2.938E-2</v>
      </c>
    </row>
    <row r="4145" spans="1:6" x14ac:dyDescent="0.3">
      <c r="A4145" t="s">
        <v>22</v>
      </c>
      <c r="B4145" s="1">
        <v>45830</v>
      </c>
      <c r="C4145">
        <v>17</v>
      </c>
      <c r="D4145">
        <v>0.64800000000000002</v>
      </c>
      <c r="E4145" t="s">
        <v>6</v>
      </c>
      <c r="F4145">
        <v>3.014E-2</v>
      </c>
    </row>
    <row r="4146" spans="1:6" x14ac:dyDescent="0.3">
      <c r="A4146" t="s">
        <v>22</v>
      </c>
      <c r="B4146" s="1">
        <v>45830</v>
      </c>
      <c r="C4146">
        <v>18</v>
      </c>
      <c r="D4146">
        <v>1.012</v>
      </c>
      <c r="E4146" t="s">
        <v>6</v>
      </c>
      <c r="F4146">
        <v>3.0679999999999999E-2</v>
      </c>
    </row>
    <row r="4147" spans="1:6" x14ac:dyDescent="0.3">
      <c r="A4147" t="s">
        <v>22</v>
      </c>
      <c r="B4147" s="1">
        <v>45830</v>
      </c>
      <c r="C4147">
        <v>19</v>
      </c>
      <c r="D4147">
        <v>0.97899999999999998</v>
      </c>
      <c r="E4147" t="s">
        <v>6</v>
      </c>
      <c r="F4147">
        <v>3.4229999999999997E-2</v>
      </c>
    </row>
    <row r="4148" spans="1:6" x14ac:dyDescent="0.3">
      <c r="A4148" t="s">
        <v>22</v>
      </c>
      <c r="B4148" s="1">
        <v>45830</v>
      </c>
      <c r="C4148">
        <v>20</v>
      </c>
      <c r="D4148">
        <v>0.70899999999999996</v>
      </c>
      <c r="E4148" t="s">
        <v>6</v>
      </c>
      <c r="F4148">
        <v>0.10983</v>
      </c>
    </row>
    <row r="4149" spans="1:6" x14ac:dyDescent="0.3">
      <c r="A4149" t="s">
        <v>22</v>
      </c>
      <c r="B4149" s="1">
        <v>45830</v>
      </c>
      <c r="C4149">
        <v>21</v>
      </c>
      <c r="D4149">
        <v>0.69499999999999995</v>
      </c>
      <c r="E4149" t="s">
        <v>6</v>
      </c>
      <c r="F4149">
        <v>0.15318000000000001</v>
      </c>
    </row>
    <row r="4150" spans="1:6" x14ac:dyDescent="0.3">
      <c r="A4150" t="s">
        <v>22</v>
      </c>
      <c r="B4150" s="1">
        <v>45830</v>
      </c>
      <c r="C4150">
        <v>22</v>
      </c>
      <c r="D4150">
        <v>0.54500000000000004</v>
      </c>
      <c r="E4150" t="s">
        <v>6</v>
      </c>
      <c r="F4150">
        <v>0.16875000000000001</v>
      </c>
    </row>
    <row r="4151" spans="1:6" x14ac:dyDescent="0.3">
      <c r="A4151" t="s">
        <v>22</v>
      </c>
      <c r="B4151" s="1">
        <v>45830</v>
      </c>
      <c r="C4151">
        <v>23</v>
      </c>
      <c r="D4151">
        <v>0.58299999999999996</v>
      </c>
      <c r="E4151" t="s">
        <v>6</v>
      </c>
      <c r="F4151">
        <v>0.17036000000000001</v>
      </c>
    </row>
    <row r="4152" spans="1:6" x14ac:dyDescent="0.3">
      <c r="A4152" t="s">
        <v>22</v>
      </c>
      <c r="B4152" s="1">
        <v>45830</v>
      </c>
      <c r="C4152">
        <v>24</v>
      </c>
      <c r="D4152">
        <v>0.53500000000000003</v>
      </c>
      <c r="E4152" t="s">
        <v>6</v>
      </c>
      <c r="F4152">
        <v>0.16836000000000001</v>
      </c>
    </row>
    <row r="4153" spans="1:6" x14ac:dyDescent="0.3">
      <c r="A4153" t="s">
        <v>22</v>
      </c>
      <c r="B4153" s="1">
        <v>45831</v>
      </c>
      <c r="C4153">
        <v>1</v>
      </c>
      <c r="D4153">
        <v>0.51400000000000001</v>
      </c>
      <c r="E4153" t="s">
        <v>6</v>
      </c>
      <c r="F4153">
        <v>0.14918000000000001</v>
      </c>
    </row>
    <row r="4154" spans="1:6" x14ac:dyDescent="0.3">
      <c r="A4154" t="s">
        <v>22</v>
      </c>
      <c r="B4154" s="1">
        <v>45831</v>
      </c>
      <c r="C4154">
        <v>2</v>
      </c>
      <c r="D4154">
        <v>0.52700000000000002</v>
      </c>
      <c r="E4154" t="s">
        <v>6</v>
      </c>
      <c r="F4154">
        <v>0.14577999999999999</v>
      </c>
    </row>
    <row r="4155" spans="1:6" x14ac:dyDescent="0.3">
      <c r="A4155" t="s">
        <v>22</v>
      </c>
      <c r="B4155" s="1">
        <v>45831</v>
      </c>
      <c r="C4155">
        <v>3</v>
      </c>
      <c r="D4155">
        <v>0.45100000000000001</v>
      </c>
      <c r="E4155" t="s">
        <v>6</v>
      </c>
      <c r="F4155">
        <v>0.14094000000000001</v>
      </c>
    </row>
    <row r="4156" spans="1:6" x14ac:dyDescent="0.3">
      <c r="A4156" t="s">
        <v>22</v>
      </c>
      <c r="B4156" s="1">
        <v>45831</v>
      </c>
      <c r="C4156">
        <v>4</v>
      </c>
      <c r="D4156">
        <v>1.268</v>
      </c>
      <c r="E4156" t="s">
        <v>6</v>
      </c>
      <c r="F4156">
        <v>0.13869999999999999</v>
      </c>
    </row>
    <row r="4157" spans="1:6" x14ac:dyDescent="0.3">
      <c r="A4157" t="s">
        <v>22</v>
      </c>
      <c r="B4157" s="1">
        <v>45831</v>
      </c>
      <c r="C4157">
        <v>5</v>
      </c>
      <c r="D4157">
        <v>0.35499999999999998</v>
      </c>
      <c r="E4157" t="s">
        <v>6</v>
      </c>
      <c r="F4157">
        <v>0.13822000000000001</v>
      </c>
    </row>
    <row r="4158" spans="1:6" x14ac:dyDescent="0.3">
      <c r="A4158" t="s">
        <v>22</v>
      </c>
      <c r="B4158" s="1">
        <v>45831</v>
      </c>
      <c r="C4158">
        <v>6</v>
      </c>
      <c r="D4158">
        <v>0.36299999999999999</v>
      </c>
      <c r="E4158" t="s">
        <v>6</v>
      </c>
      <c r="F4158">
        <v>0.13735</v>
      </c>
    </row>
    <row r="4159" spans="1:6" x14ac:dyDescent="0.3">
      <c r="A4159" t="s">
        <v>22</v>
      </c>
      <c r="B4159" s="1">
        <v>45831</v>
      </c>
      <c r="C4159">
        <v>7</v>
      </c>
      <c r="D4159">
        <v>0.32500000000000001</v>
      </c>
      <c r="E4159" t="s">
        <v>6</v>
      </c>
      <c r="F4159">
        <v>0.14521000000000001</v>
      </c>
    </row>
    <row r="4160" spans="1:6" x14ac:dyDescent="0.3">
      <c r="A4160" t="s">
        <v>22</v>
      </c>
      <c r="B4160" s="1">
        <v>45831</v>
      </c>
      <c r="C4160">
        <v>8</v>
      </c>
      <c r="D4160">
        <v>0.51600000000000001</v>
      </c>
      <c r="E4160" t="s">
        <v>6</v>
      </c>
      <c r="F4160">
        <v>0.14786000000000002</v>
      </c>
    </row>
    <row r="4161" spans="1:6" x14ac:dyDescent="0.3">
      <c r="A4161" t="s">
        <v>22</v>
      </c>
      <c r="B4161" s="1">
        <v>45831</v>
      </c>
      <c r="C4161">
        <v>9</v>
      </c>
      <c r="D4161">
        <v>0.65300000000000002</v>
      </c>
      <c r="E4161" t="s">
        <v>6</v>
      </c>
      <c r="F4161">
        <v>0.16066</v>
      </c>
    </row>
    <row r="4162" spans="1:6" x14ac:dyDescent="0.3">
      <c r="A4162" t="s">
        <v>22</v>
      </c>
      <c r="B4162" s="1">
        <v>45831</v>
      </c>
      <c r="C4162">
        <v>10</v>
      </c>
      <c r="D4162">
        <v>0.50900000000000001</v>
      </c>
      <c r="E4162" t="s">
        <v>6</v>
      </c>
      <c r="F4162">
        <v>0.14427000000000001</v>
      </c>
    </row>
    <row r="4163" spans="1:6" x14ac:dyDescent="0.3">
      <c r="A4163" t="s">
        <v>22</v>
      </c>
      <c r="B4163" s="1">
        <v>45831</v>
      </c>
      <c r="C4163">
        <v>11</v>
      </c>
      <c r="D4163">
        <v>0.879</v>
      </c>
      <c r="E4163" t="s">
        <v>6</v>
      </c>
      <c r="F4163">
        <v>0.19919000000000001</v>
      </c>
    </row>
    <row r="4164" spans="1:6" x14ac:dyDescent="0.3">
      <c r="A4164" t="s">
        <v>22</v>
      </c>
      <c r="B4164" s="1">
        <v>45831</v>
      </c>
      <c r="C4164">
        <v>12</v>
      </c>
      <c r="D4164">
        <v>1.9259999999999999</v>
      </c>
      <c r="E4164" t="s">
        <v>6</v>
      </c>
      <c r="F4164">
        <v>0.18096000000000001</v>
      </c>
    </row>
    <row r="4165" spans="1:6" x14ac:dyDescent="0.3">
      <c r="A4165" t="s">
        <v>22</v>
      </c>
      <c r="B4165" s="1">
        <v>45831</v>
      </c>
      <c r="C4165">
        <v>13</v>
      </c>
      <c r="D4165">
        <v>2.879</v>
      </c>
      <c r="E4165" t="s">
        <v>6</v>
      </c>
      <c r="F4165">
        <v>0.17599999999999999</v>
      </c>
    </row>
    <row r="4166" spans="1:6" x14ac:dyDescent="0.3">
      <c r="A4166" t="s">
        <v>22</v>
      </c>
      <c r="B4166" s="1">
        <v>45831</v>
      </c>
      <c r="C4166">
        <v>14</v>
      </c>
      <c r="D4166">
        <v>5.5609999999999999</v>
      </c>
      <c r="E4166" t="s">
        <v>6</v>
      </c>
      <c r="F4166">
        <v>0.17266000000000001</v>
      </c>
    </row>
    <row r="4167" spans="1:6" x14ac:dyDescent="0.3">
      <c r="A4167" t="s">
        <v>22</v>
      </c>
      <c r="B4167" s="1">
        <v>45831</v>
      </c>
      <c r="C4167">
        <v>15</v>
      </c>
      <c r="D4167">
        <v>6.0110000000000001</v>
      </c>
      <c r="E4167" t="s">
        <v>6</v>
      </c>
      <c r="F4167">
        <v>9.2969999999999997E-2</v>
      </c>
    </row>
    <row r="4168" spans="1:6" x14ac:dyDescent="0.3">
      <c r="A4168" t="s">
        <v>22</v>
      </c>
      <c r="B4168" s="1">
        <v>45831</v>
      </c>
      <c r="C4168">
        <v>16</v>
      </c>
      <c r="D4168">
        <v>4.7279999999999998</v>
      </c>
      <c r="E4168" t="s">
        <v>6</v>
      </c>
      <c r="F4168">
        <v>0.1075</v>
      </c>
    </row>
    <row r="4169" spans="1:6" x14ac:dyDescent="0.3">
      <c r="A4169" t="s">
        <v>22</v>
      </c>
      <c r="B4169" s="1">
        <v>45831</v>
      </c>
      <c r="C4169">
        <v>17</v>
      </c>
      <c r="D4169">
        <v>0.71499999999999997</v>
      </c>
      <c r="E4169" t="s">
        <v>6</v>
      </c>
      <c r="F4169">
        <v>0.10872</v>
      </c>
    </row>
    <row r="4170" spans="1:6" x14ac:dyDescent="0.3">
      <c r="A4170" t="s">
        <v>22</v>
      </c>
      <c r="B4170" s="1">
        <v>45831</v>
      </c>
      <c r="C4170">
        <v>18</v>
      </c>
      <c r="D4170">
        <v>1.292</v>
      </c>
      <c r="E4170" t="s">
        <v>6</v>
      </c>
      <c r="F4170">
        <v>0.12949000000000002</v>
      </c>
    </row>
    <row r="4171" spans="1:6" x14ac:dyDescent="0.3">
      <c r="A4171" t="s">
        <v>22</v>
      </c>
      <c r="B4171" s="1">
        <v>45831</v>
      </c>
      <c r="C4171">
        <v>19</v>
      </c>
      <c r="D4171">
        <v>1.0820000000000001</v>
      </c>
      <c r="E4171" t="s">
        <v>6</v>
      </c>
      <c r="F4171">
        <v>0.21865999999999999</v>
      </c>
    </row>
    <row r="4172" spans="1:6" x14ac:dyDescent="0.3">
      <c r="A4172" t="s">
        <v>22</v>
      </c>
      <c r="B4172" s="1">
        <v>45831</v>
      </c>
      <c r="C4172">
        <v>20</v>
      </c>
      <c r="D4172">
        <v>1.69</v>
      </c>
      <c r="E4172" t="s">
        <v>6</v>
      </c>
      <c r="F4172">
        <v>0.23391000000000001</v>
      </c>
    </row>
    <row r="4173" spans="1:6" x14ac:dyDescent="0.3">
      <c r="A4173" t="s">
        <v>22</v>
      </c>
      <c r="B4173" s="1">
        <v>45831</v>
      </c>
      <c r="C4173">
        <v>21</v>
      </c>
      <c r="D4173">
        <v>1.4810000000000001</v>
      </c>
      <c r="E4173" t="s">
        <v>6</v>
      </c>
      <c r="F4173">
        <v>0.24647999999999998</v>
      </c>
    </row>
    <row r="4174" spans="1:6" x14ac:dyDescent="0.3">
      <c r="A4174" t="s">
        <v>22</v>
      </c>
      <c r="B4174" s="1">
        <v>45831</v>
      </c>
      <c r="C4174">
        <v>22</v>
      </c>
      <c r="D4174">
        <v>0.82</v>
      </c>
      <c r="E4174" t="s">
        <v>6</v>
      </c>
      <c r="F4174">
        <v>0.31333</v>
      </c>
    </row>
    <row r="4175" spans="1:6" x14ac:dyDescent="0.3">
      <c r="A4175" t="s">
        <v>22</v>
      </c>
      <c r="B4175" s="1">
        <v>45831</v>
      </c>
      <c r="C4175">
        <v>23</v>
      </c>
      <c r="D4175">
        <v>0.98</v>
      </c>
      <c r="E4175" t="s">
        <v>6</v>
      </c>
      <c r="F4175">
        <v>0.22606999999999999</v>
      </c>
    </row>
    <row r="4176" spans="1:6" x14ac:dyDescent="0.3">
      <c r="A4176" t="s">
        <v>22</v>
      </c>
      <c r="B4176" s="1">
        <v>45831</v>
      </c>
      <c r="C4176">
        <v>24</v>
      </c>
      <c r="D4176">
        <v>0.91</v>
      </c>
      <c r="E4176" t="s">
        <v>6</v>
      </c>
      <c r="F4176">
        <v>0.18161000000000002</v>
      </c>
    </row>
    <row r="4177" spans="1:6" x14ac:dyDescent="0.3">
      <c r="A4177" t="s">
        <v>22</v>
      </c>
      <c r="B4177" s="1">
        <v>45832</v>
      </c>
      <c r="C4177">
        <v>1</v>
      </c>
      <c r="D4177">
        <v>0.55800000000000005</v>
      </c>
      <c r="E4177" t="s">
        <v>6</v>
      </c>
      <c r="F4177">
        <v>0.15605000000000002</v>
      </c>
    </row>
    <row r="4178" spans="1:6" x14ac:dyDescent="0.3">
      <c r="A4178" t="s">
        <v>22</v>
      </c>
      <c r="B4178" s="1">
        <v>45832</v>
      </c>
      <c r="C4178">
        <v>2</v>
      </c>
      <c r="D4178">
        <v>0.50900000000000001</v>
      </c>
      <c r="E4178" t="s">
        <v>6</v>
      </c>
      <c r="F4178">
        <v>0.15372999999999998</v>
      </c>
    </row>
    <row r="4179" spans="1:6" x14ac:dyDescent="0.3">
      <c r="A4179" t="s">
        <v>22</v>
      </c>
      <c r="B4179" s="1">
        <v>45832</v>
      </c>
      <c r="C4179">
        <v>3</v>
      </c>
      <c r="D4179">
        <v>0.48599999999999999</v>
      </c>
      <c r="E4179" t="s">
        <v>6</v>
      </c>
      <c r="F4179">
        <v>0.15109</v>
      </c>
    </row>
    <row r="4180" spans="1:6" x14ac:dyDescent="0.3">
      <c r="A4180" t="s">
        <v>22</v>
      </c>
      <c r="B4180" s="1">
        <v>45832</v>
      </c>
      <c r="C4180">
        <v>4</v>
      </c>
      <c r="D4180">
        <v>0.45500000000000002</v>
      </c>
      <c r="E4180" t="s">
        <v>6</v>
      </c>
      <c r="F4180">
        <v>0.14928999999999998</v>
      </c>
    </row>
    <row r="4181" spans="1:6" x14ac:dyDescent="0.3">
      <c r="A4181" t="s">
        <v>22</v>
      </c>
      <c r="B4181" s="1">
        <v>45832</v>
      </c>
      <c r="C4181">
        <v>5</v>
      </c>
      <c r="D4181">
        <v>0.52600000000000002</v>
      </c>
      <c r="E4181" t="s">
        <v>6</v>
      </c>
      <c r="F4181">
        <v>0.14927000000000001</v>
      </c>
    </row>
    <row r="4182" spans="1:6" x14ac:dyDescent="0.3">
      <c r="A4182" t="s">
        <v>22</v>
      </c>
      <c r="B4182" s="1">
        <v>45832</v>
      </c>
      <c r="C4182">
        <v>6</v>
      </c>
      <c r="D4182">
        <v>0.49099999999999999</v>
      </c>
      <c r="E4182" t="s">
        <v>6</v>
      </c>
      <c r="F4182">
        <v>0.14917</v>
      </c>
    </row>
    <row r="4183" spans="1:6" x14ac:dyDescent="0.3">
      <c r="A4183" t="s">
        <v>22</v>
      </c>
      <c r="B4183" s="1">
        <v>45832</v>
      </c>
      <c r="C4183">
        <v>7</v>
      </c>
      <c r="D4183">
        <v>0.46200000000000002</v>
      </c>
      <c r="E4183" t="s">
        <v>6</v>
      </c>
      <c r="F4183">
        <v>0.15218000000000001</v>
      </c>
    </row>
    <row r="4184" spans="1:6" x14ac:dyDescent="0.3">
      <c r="A4184" t="s">
        <v>22</v>
      </c>
      <c r="B4184" s="1">
        <v>45832</v>
      </c>
      <c r="C4184">
        <v>8</v>
      </c>
      <c r="D4184">
        <v>0.46400000000000002</v>
      </c>
      <c r="E4184" t="s">
        <v>6</v>
      </c>
      <c r="F4184">
        <v>0.15265000000000001</v>
      </c>
    </row>
    <row r="4185" spans="1:6" x14ac:dyDescent="0.3">
      <c r="A4185" t="s">
        <v>22</v>
      </c>
      <c r="B4185" s="1">
        <v>45832</v>
      </c>
      <c r="C4185">
        <v>9</v>
      </c>
      <c r="D4185">
        <v>0.49399999999999999</v>
      </c>
      <c r="E4185" t="s">
        <v>6</v>
      </c>
      <c r="F4185">
        <v>0.17745</v>
      </c>
    </row>
    <row r="4186" spans="1:6" x14ac:dyDescent="0.3">
      <c r="A4186" t="s">
        <v>22</v>
      </c>
      <c r="B4186" s="1">
        <v>45832</v>
      </c>
      <c r="C4186">
        <v>10</v>
      </c>
      <c r="D4186">
        <v>0.96399999999999997</v>
      </c>
      <c r="E4186" t="s">
        <v>6</v>
      </c>
      <c r="F4186">
        <v>0.16761000000000001</v>
      </c>
    </row>
    <row r="4187" spans="1:6" x14ac:dyDescent="0.3">
      <c r="A4187" t="s">
        <v>22</v>
      </c>
      <c r="B4187" s="1">
        <v>45832</v>
      </c>
      <c r="C4187">
        <v>11</v>
      </c>
      <c r="D4187">
        <v>1.032</v>
      </c>
      <c r="E4187" t="s">
        <v>6</v>
      </c>
      <c r="F4187">
        <v>0.21259</v>
      </c>
    </row>
    <row r="4188" spans="1:6" x14ac:dyDescent="0.3">
      <c r="A4188" t="s">
        <v>22</v>
      </c>
      <c r="B4188" s="1">
        <v>45832</v>
      </c>
      <c r="C4188">
        <v>12</v>
      </c>
      <c r="D4188">
        <v>1.5620000000000001</v>
      </c>
      <c r="E4188" t="s">
        <v>6</v>
      </c>
      <c r="F4188">
        <v>0.18921000000000002</v>
      </c>
    </row>
    <row r="4189" spans="1:6" x14ac:dyDescent="0.3">
      <c r="A4189" t="s">
        <v>22</v>
      </c>
      <c r="B4189" s="1">
        <v>45832</v>
      </c>
      <c r="C4189">
        <v>13</v>
      </c>
      <c r="D4189">
        <v>2.6379999999999999</v>
      </c>
      <c r="E4189" t="s">
        <v>6</v>
      </c>
      <c r="F4189">
        <v>0.18700999999999998</v>
      </c>
    </row>
    <row r="4190" spans="1:6" x14ac:dyDescent="0.3">
      <c r="A4190" t="s">
        <v>22</v>
      </c>
      <c r="B4190" s="1">
        <v>45832</v>
      </c>
      <c r="C4190">
        <v>14</v>
      </c>
      <c r="D4190">
        <v>2.177</v>
      </c>
      <c r="E4190" t="s">
        <v>6</v>
      </c>
      <c r="F4190">
        <v>0.14144000000000001</v>
      </c>
    </row>
    <row r="4191" spans="1:6" x14ac:dyDescent="0.3">
      <c r="A4191" t="s">
        <v>22</v>
      </c>
      <c r="B4191" s="1">
        <v>45832</v>
      </c>
      <c r="C4191">
        <v>15</v>
      </c>
      <c r="D4191">
        <v>2.3149999999999999</v>
      </c>
      <c r="E4191" t="s">
        <v>6</v>
      </c>
      <c r="F4191">
        <v>5.1959999999999999E-2</v>
      </c>
    </row>
    <row r="4192" spans="1:6" x14ac:dyDescent="0.3">
      <c r="A4192" t="s">
        <v>22</v>
      </c>
      <c r="B4192" s="1">
        <v>45832</v>
      </c>
      <c r="C4192">
        <v>16</v>
      </c>
      <c r="D4192">
        <v>1.06</v>
      </c>
      <c r="E4192" t="s">
        <v>6</v>
      </c>
      <c r="F4192">
        <v>4.2279999999999998E-2</v>
      </c>
    </row>
    <row r="4193" spans="1:6" x14ac:dyDescent="0.3">
      <c r="A4193" t="s">
        <v>22</v>
      </c>
      <c r="B4193" s="1">
        <v>45832</v>
      </c>
      <c r="C4193">
        <v>17</v>
      </c>
      <c r="D4193">
        <v>0.95599999999999996</v>
      </c>
      <c r="E4193" t="s">
        <v>6</v>
      </c>
      <c r="F4193">
        <v>4.2419999999999999E-2</v>
      </c>
    </row>
    <row r="4194" spans="1:6" x14ac:dyDescent="0.3">
      <c r="A4194" t="s">
        <v>22</v>
      </c>
      <c r="B4194" s="1">
        <v>45832</v>
      </c>
      <c r="C4194">
        <v>18</v>
      </c>
      <c r="D4194">
        <v>1.4179999999999999</v>
      </c>
      <c r="E4194" t="s">
        <v>6</v>
      </c>
      <c r="F4194">
        <v>5.7169999999999999E-2</v>
      </c>
    </row>
    <row r="4195" spans="1:6" x14ac:dyDescent="0.3">
      <c r="A4195" t="s">
        <v>22</v>
      </c>
      <c r="B4195" s="1">
        <v>45832</v>
      </c>
      <c r="C4195">
        <v>19</v>
      </c>
      <c r="D4195">
        <v>2.0569999999999999</v>
      </c>
      <c r="E4195" t="s">
        <v>6</v>
      </c>
      <c r="F4195">
        <v>0.18439</v>
      </c>
    </row>
    <row r="4196" spans="1:6" x14ac:dyDescent="0.3">
      <c r="A4196" t="s">
        <v>22</v>
      </c>
      <c r="B4196" s="1">
        <v>45832</v>
      </c>
      <c r="C4196">
        <v>20</v>
      </c>
      <c r="D4196">
        <v>1.97</v>
      </c>
      <c r="E4196" t="s">
        <v>6</v>
      </c>
      <c r="F4196">
        <v>0.21940000000000001</v>
      </c>
    </row>
    <row r="4197" spans="1:6" x14ac:dyDescent="0.3">
      <c r="A4197" t="s">
        <v>22</v>
      </c>
      <c r="B4197" s="1">
        <v>45832</v>
      </c>
      <c r="C4197">
        <v>21</v>
      </c>
      <c r="D4197">
        <v>1.292</v>
      </c>
      <c r="E4197" t="s">
        <v>6</v>
      </c>
      <c r="F4197">
        <v>0.24012</v>
      </c>
    </row>
    <row r="4198" spans="1:6" x14ac:dyDescent="0.3">
      <c r="A4198" t="s">
        <v>22</v>
      </c>
      <c r="B4198" s="1">
        <v>45832</v>
      </c>
      <c r="C4198">
        <v>22</v>
      </c>
      <c r="D4198">
        <v>0.77700000000000002</v>
      </c>
      <c r="E4198" t="s">
        <v>6</v>
      </c>
      <c r="F4198">
        <v>0.26254</v>
      </c>
    </row>
    <row r="4199" spans="1:6" x14ac:dyDescent="0.3">
      <c r="A4199" t="s">
        <v>22</v>
      </c>
      <c r="B4199" s="1">
        <v>45832</v>
      </c>
      <c r="C4199">
        <v>23</v>
      </c>
      <c r="D4199">
        <v>0.84199999999999997</v>
      </c>
      <c r="E4199" t="s">
        <v>6</v>
      </c>
      <c r="F4199">
        <v>0.20737</v>
      </c>
    </row>
    <row r="4200" spans="1:6" x14ac:dyDescent="0.3">
      <c r="A4200" t="s">
        <v>22</v>
      </c>
      <c r="B4200" s="1">
        <v>45832</v>
      </c>
      <c r="C4200">
        <v>24</v>
      </c>
      <c r="D4200">
        <v>0.73899999999999999</v>
      </c>
      <c r="E4200" t="s">
        <v>6</v>
      </c>
      <c r="F4200">
        <v>0.18290999999999999</v>
      </c>
    </row>
    <row r="4201" spans="1:6" x14ac:dyDescent="0.3">
      <c r="A4201" t="s">
        <v>22</v>
      </c>
      <c r="B4201" s="1">
        <v>45833</v>
      </c>
      <c r="C4201">
        <v>1</v>
      </c>
      <c r="D4201">
        <v>0.67200000000000004</v>
      </c>
      <c r="E4201" t="s">
        <v>6</v>
      </c>
      <c r="F4201">
        <v>0.16236</v>
      </c>
    </row>
    <row r="4202" spans="1:6" x14ac:dyDescent="0.3">
      <c r="A4202" t="s">
        <v>22</v>
      </c>
      <c r="B4202" s="1">
        <v>45833</v>
      </c>
      <c r="C4202">
        <v>2</v>
      </c>
      <c r="D4202">
        <v>0.60499999999999998</v>
      </c>
      <c r="E4202" t="s">
        <v>6</v>
      </c>
      <c r="F4202">
        <v>0.15048</v>
      </c>
    </row>
    <row r="4203" spans="1:6" x14ac:dyDescent="0.3">
      <c r="A4203" t="s">
        <v>22</v>
      </c>
      <c r="B4203" s="1">
        <v>45833</v>
      </c>
      <c r="C4203">
        <v>3</v>
      </c>
      <c r="D4203">
        <v>0.53400000000000003</v>
      </c>
      <c r="E4203" t="s">
        <v>6</v>
      </c>
      <c r="F4203">
        <v>0.14887999999999998</v>
      </c>
    </row>
    <row r="4204" spans="1:6" x14ac:dyDescent="0.3">
      <c r="A4204" t="s">
        <v>22</v>
      </c>
      <c r="B4204" s="1">
        <v>45833</v>
      </c>
      <c r="C4204">
        <v>4</v>
      </c>
      <c r="D4204">
        <v>0.498</v>
      </c>
      <c r="E4204" t="s">
        <v>6</v>
      </c>
      <c r="F4204">
        <v>0.14543999999999999</v>
      </c>
    </row>
    <row r="4205" spans="1:6" x14ac:dyDescent="0.3">
      <c r="A4205" t="s">
        <v>22</v>
      </c>
      <c r="B4205" s="1">
        <v>45833</v>
      </c>
      <c r="C4205">
        <v>5</v>
      </c>
      <c r="D4205">
        <v>0.44800000000000001</v>
      </c>
      <c r="E4205" t="s">
        <v>6</v>
      </c>
      <c r="F4205">
        <v>0.1454</v>
      </c>
    </row>
    <row r="4206" spans="1:6" x14ac:dyDescent="0.3">
      <c r="A4206" t="s">
        <v>22</v>
      </c>
      <c r="B4206" s="1">
        <v>45833</v>
      </c>
      <c r="C4206">
        <v>6</v>
      </c>
      <c r="D4206">
        <v>1.3480000000000001</v>
      </c>
      <c r="E4206" t="s">
        <v>6</v>
      </c>
      <c r="F4206">
        <v>0.14543999999999999</v>
      </c>
    </row>
    <row r="4207" spans="1:6" x14ac:dyDescent="0.3">
      <c r="A4207" t="s">
        <v>22</v>
      </c>
      <c r="B4207" s="1">
        <v>45833</v>
      </c>
      <c r="C4207">
        <v>7</v>
      </c>
      <c r="D4207">
        <v>0.43099999999999999</v>
      </c>
      <c r="E4207" t="s">
        <v>6</v>
      </c>
      <c r="F4207">
        <v>0.15018000000000001</v>
      </c>
    </row>
    <row r="4208" spans="1:6" x14ac:dyDescent="0.3">
      <c r="A4208" t="s">
        <v>22</v>
      </c>
      <c r="B4208" s="1">
        <v>45833</v>
      </c>
      <c r="C4208">
        <v>8</v>
      </c>
      <c r="D4208">
        <v>0.52100000000000002</v>
      </c>
      <c r="E4208" t="s">
        <v>6</v>
      </c>
      <c r="F4208">
        <v>0.15553</v>
      </c>
    </row>
    <row r="4209" spans="1:6" x14ac:dyDescent="0.3">
      <c r="A4209" t="s">
        <v>22</v>
      </c>
      <c r="B4209" s="1">
        <v>45833</v>
      </c>
      <c r="C4209">
        <v>9</v>
      </c>
      <c r="D4209">
        <v>1.294</v>
      </c>
      <c r="E4209" t="s">
        <v>6</v>
      </c>
      <c r="F4209">
        <v>0.16785</v>
      </c>
    </row>
    <row r="4210" spans="1:6" x14ac:dyDescent="0.3">
      <c r="A4210" t="s">
        <v>22</v>
      </c>
      <c r="B4210" s="1">
        <v>45833</v>
      </c>
      <c r="C4210">
        <v>10</v>
      </c>
      <c r="D4210">
        <v>1.3120000000000001</v>
      </c>
      <c r="E4210" t="s">
        <v>6</v>
      </c>
      <c r="F4210">
        <v>0.13678000000000001</v>
      </c>
    </row>
    <row r="4211" spans="1:6" x14ac:dyDescent="0.3">
      <c r="A4211" t="s">
        <v>22</v>
      </c>
      <c r="B4211" s="1">
        <v>45833</v>
      </c>
      <c r="C4211">
        <v>11</v>
      </c>
      <c r="D4211">
        <v>0.81599999999999995</v>
      </c>
      <c r="E4211" t="s">
        <v>6</v>
      </c>
      <c r="F4211">
        <v>0.15537999999999999</v>
      </c>
    </row>
    <row r="4212" spans="1:6" x14ac:dyDescent="0.3">
      <c r="A4212" t="s">
        <v>22</v>
      </c>
      <c r="B4212" s="1">
        <v>45833</v>
      </c>
      <c r="C4212">
        <v>12</v>
      </c>
      <c r="D4212">
        <v>1.5389999999999999</v>
      </c>
      <c r="E4212" t="s">
        <v>6</v>
      </c>
      <c r="F4212">
        <v>0.1386</v>
      </c>
    </row>
    <row r="4213" spans="1:6" x14ac:dyDescent="0.3">
      <c r="A4213" t="s">
        <v>22</v>
      </c>
      <c r="B4213" s="1">
        <v>45833</v>
      </c>
      <c r="C4213">
        <v>13</v>
      </c>
      <c r="D4213">
        <v>1.605</v>
      </c>
      <c r="E4213" t="s">
        <v>6</v>
      </c>
      <c r="F4213">
        <v>0.12407</v>
      </c>
    </row>
    <row r="4214" spans="1:6" x14ac:dyDescent="0.3">
      <c r="A4214" t="s">
        <v>22</v>
      </c>
      <c r="B4214" s="1">
        <v>45833</v>
      </c>
      <c r="C4214">
        <v>14</v>
      </c>
      <c r="D4214">
        <v>1.494</v>
      </c>
      <c r="E4214" t="s">
        <v>6</v>
      </c>
      <c r="F4214">
        <v>0.11209000000000001</v>
      </c>
    </row>
    <row r="4215" spans="1:6" x14ac:dyDescent="0.3">
      <c r="A4215" t="s">
        <v>22</v>
      </c>
      <c r="B4215" s="1">
        <v>45833</v>
      </c>
      <c r="C4215">
        <v>15</v>
      </c>
      <c r="D4215">
        <v>2.4510000000000001</v>
      </c>
      <c r="E4215" t="s">
        <v>6</v>
      </c>
      <c r="F4215">
        <v>4.5439999999999994E-2</v>
      </c>
    </row>
    <row r="4216" spans="1:6" x14ac:dyDescent="0.3">
      <c r="A4216" t="s">
        <v>22</v>
      </c>
      <c r="B4216" s="1">
        <v>45833</v>
      </c>
      <c r="C4216">
        <v>16</v>
      </c>
      <c r="D4216">
        <v>1.2110000000000001</v>
      </c>
      <c r="E4216" t="s">
        <v>6</v>
      </c>
      <c r="F4216">
        <v>4.4380000000000003E-2</v>
      </c>
    </row>
    <row r="4217" spans="1:6" x14ac:dyDescent="0.3">
      <c r="A4217" t="s">
        <v>22</v>
      </c>
      <c r="B4217" s="1">
        <v>45833</v>
      </c>
      <c r="C4217">
        <v>17</v>
      </c>
      <c r="D4217">
        <v>0.877</v>
      </c>
      <c r="E4217" t="s">
        <v>6</v>
      </c>
      <c r="F4217">
        <v>4.5539999999999997E-2</v>
      </c>
    </row>
    <row r="4218" spans="1:6" x14ac:dyDescent="0.3">
      <c r="A4218" t="s">
        <v>22</v>
      </c>
      <c r="B4218" s="1">
        <v>45833</v>
      </c>
      <c r="C4218">
        <v>18</v>
      </c>
      <c r="D4218">
        <v>0.71799999999999997</v>
      </c>
      <c r="E4218" t="s">
        <v>6</v>
      </c>
      <c r="F4218">
        <v>4.7820000000000001E-2</v>
      </c>
    </row>
    <row r="4219" spans="1:6" x14ac:dyDescent="0.3">
      <c r="A4219" t="s">
        <v>22</v>
      </c>
      <c r="B4219" s="1">
        <v>45833</v>
      </c>
      <c r="C4219">
        <v>19</v>
      </c>
      <c r="D4219">
        <v>0.64200000000000002</v>
      </c>
      <c r="E4219" t="s">
        <v>6</v>
      </c>
      <c r="F4219">
        <v>0.15012999999999999</v>
      </c>
    </row>
    <row r="4220" spans="1:6" x14ac:dyDescent="0.3">
      <c r="A4220" t="s">
        <v>22</v>
      </c>
      <c r="B4220" s="1">
        <v>45833</v>
      </c>
      <c r="C4220">
        <v>20</v>
      </c>
      <c r="D4220">
        <v>0.69099999999999995</v>
      </c>
      <c r="E4220" t="s">
        <v>6</v>
      </c>
      <c r="F4220">
        <v>0.21662999999999999</v>
      </c>
    </row>
    <row r="4221" spans="1:6" x14ac:dyDescent="0.3">
      <c r="A4221" t="s">
        <v>22</v>
      </c>
      <c r="B4221" s="1">
        <v>45833</v>
      </c>
      <c r="C4221">
        <v>21</v>
      </c>
      <c r="D4221">
        <v>0.58199999999999996</v>
      </c>
      <c r="E4221" t="s">
        <v>6</v>
      </c>
      <c r="F4221">
        <v>0.23983000000000002</v>
      </c>
    </row>
    <row r="4222" spans="1:6" x14ac:dyDescent="0.3">
      <c r="A4222" t="s">
        <v>22</v>
      </c>
      <c r="B4222" s="1">
        <v>45833</v>
      </c>
      <c r="C4222">
        <v>22</v>
      </c>
      <c r="D4222">
        <v>1.575</v>
      </c>
      <c r="E4222" t="s">
        <v>6</v>
      </c>
      <c r="F4222">
        <v>0.27294999999999997</v>
      </c>
    </row>
    <row r="4223" spans="1:6" x14ac:dyDescent="0.3">
      <c r="A4223" t="s">
        <v>22</v>
      </c>
      <c r="B4223" s="1">
        <v>45833</v>
      </c>
      <c r="C4223">
        <v>23</v>
      </c>
      <c r="D4223">
        <v>1.681</v>
      </c>
      <c r="E4223" t="s">
        <v>6</v>
      </c>
      <c r="F4223">
        <v>0.21309</v>
      </c>
    </row>
    <row r="4224" spans="1:6" x14ac:dyDescent="0.3">
      <c r="A4224" t="s">
        <v>22</v>
      </c>
      <c r="B4224" s="1">
        <v>45833</v>
      </c>
      <c r="C4224">
        <v>24</v>
      </c>
      <c r="D4224">
        <v>1.7150000000000001</v>
      </c>
      <c r="E4224" t="s">
        <v>6</v>
      </c>
      <c r="F4224">
        <v>0.18133000000000002</v>
      </c>
    </row>
    <row r="4225" spans="1:6" x14ac:dyDescent="0.3">
      <c r="A4225" t="s">
        <v>22</v>
      </c>
      <c r="B4225" s="1">
        <v>45834</v>
      </c>
      <c r="C4225">
        <v>1</v>
      </c>
      <c r="D4225">
        <v>0.745</v>
      </c>
      <c r="E4225" t="s">
        <v>6</v>
      </c>
      <c r="F4225">
        <v>0.14380999999999999</v>
      </c>
    </row>
    <row r="4226" spans="1:6" x14ac:dyDescent="0.3">
      <c r="A4226" t="s">
        <v>22</v>
      </c>
      <c r="B4226" s="1">
        <v>45834</v>
      </c>
      <c r="C4226">
        <v>2</v>
      </c>
      <c r="D4226">
        <v>0.53300000000000003</v>
      </c>
      <c r="E4226" t="s">
        <v>6</v>
      </c>
      <c r="F4226">
        <v>0.14074</v>
      </c>
    </row>
    <row r="4227" spans="1:6" x14ac:dyDescent="0.3">
      <c r="A4227" t="s">
        <v>22</v>
      </c>
      <c r="B4227" s="1">
        <v>45834</v>
      </c>
      <c r="C4227">
        <v>3</v>
      </c>
      <c r="D4227">
        <v>0.61499999999999999</v>
      </c>
      <c r="E4227" t="s">
        <v>6</v>
      </c>
      <c r="F4227">
        <v>0.13586999999999999</v>
      </c>
    </row>
    <row r="4228" spans="1:6" x14ac:dyDescent="0.3">
      <c r="A4228" t="s">
        <v>22</v>
      </c>
      <c r="B4228" s="1">
        <v>45834</v>
      </c>
      <c r="C4228">
        <v>4</v>
      </c>
      <c r="D4228">
        <v>0.48199999999999998</v>
      </c>
      <c r="E4228" t="s">
        <v>6</v>
      </c>
      <c r="F4228">
        <v>0.13044999999999998</v>
      </c>
    </row>
    <row r="4229" spans="1:6" x14ac:dyDescent="0.3">
      <c r="A4229" t="s">
        <v>22</v>
      </c>
      <c r="B4229" s="1">
        <v>45834</v>
      </c>
      <c r="C4229">
        <v>5</v>
      </c>
      <c r="D4229">
        <v>0.60099999999999998</v>
      </c>
      <c r="E4229" t="s">
        <v>6</v>
      </c>
      <c r="F4229">
        <v>0.13024000000000002</v>
      </c>
    </row>
    <row r="4230" spans="1:6" x14ac:dyDescent="0.3">
      <c r="A4230" t="s">
        <v>22</v>
      </c>
      <c r="B4230" s="1">
        <v>45834</v>
      </c>
      <c r="C4230">
        <v>6</v>
      </c>
      <c r="D4230">
        <v>0.44800000000000001</v>
      </c>
      <c r="E4230" t="s">
        <v>6</v>
      </c>
      <c r="F4230">
        <v>0.13111</v>
      </c>
    </row>
    <row r="4231" spans="1:6" x14ac:dyDescent="0.3">
      <c r="A4231" t="s">
        <v>22</v>
      </c>
      <c r="B4231" s="1">
        <v>45834</v>
      </c>
      <c r="C4231">
        <v>7</v>
      </c>
      <c r="D4231">
        <v>0.55100000000000005</v>
      </c>
      <c r="E4231" t="s">
        <v>6</v>
      </c>
      <c r="F4231">
        <v>0.13974</v>
      </c>
    </row>
    <row r="4232" spans="1:6" x14ac:dyDescent="0.3">
      <c r="A4232" t="s">
        <v>22</v>
      </c>
      <c r="B4232" s="1">
        <v>45834</v>
      </c>
      <c r="C4232">
        <v>8</v>
      </c>
      <c r="D4232">
        <v>0.52500000000000002</v>
      </c>
      <c r="E4232" t="s">
        <v>6</v>
      </c>
      <c r="F4232">
        <v>0.13883000000000001</v>
      </c>
    </row>
    <row r="4233" spans="1:6" x14ac:dyDescent="0.3">
      <c r="A4233" t="s">
        <v>22</v>
      </c>
      <c r="B4233" s="1">
        <v>45834</v>
      </c>
      <c r="C4233">
        <v>9</v>
      </c>
      <c r="D4233">
        <v>0.55600000000000005</v>
      </c>
      <c r="E4233" t="s">
        <v>6</v>
      </c>
      <c r="F4233">
        <v>0.15903999999999999</v>
      </c>
    </row>
    <row r="4234" spans="1:6" x14ac:dyDescent="0.3">
      <c r="A4234" t="s">
        <v>22</v>
      </c>
      <c r="B4234" s="1">
        <v>45834</v>
      </c>
      <c r="C4234">
        <v>10</v>
      </c>
      <c r="D4234">
        <v>0.63400000000000001</v>
      </c>
      <c r="E4234" t="s">
        <v>6</v>
      </c>
      <c r="F4234">
        <v>0.13006000000000001</v>
      </c>
    </row>
    <row r="4235" spans="1:6" x14ac:dyDescent="0.3">
      <c r="A4235" t="s">
        <v>22</v>
      </c>
      <c r="B4235" s="1">
        <v>45834</v>
      </c>
      <c r="C4235">
        <v>11</v>
      </c>
      <c r="D4235">
        <v>1.637</v>
      </c>
      <c r="E4235" t="s">
        <v>6</v>
      </c>
      <c r="F4235">
        <v>0.15813999999999998</v>
      </c>
    </row>
    <row r="4236" spans="1:6" x14ac:dyDescent="0.3">
      <c r="A4236" t="s">
        <v>22</v>
      </c>
      <c r="B4236" s="1">
        <v>45834</v>
      </c>
      <c r="C4236">
        <v>12</v>
      </c>
      <c r="D4236">
        <v>1.6930000000000001</v>
      </c>
      <c r="E4236" t="s">
        <v>6</v>
      </c>
      <c r="F4236">
        <v>0.17144000000000001</v>
      </c>
    </row>
    <row r="4237" spans="1:6" x14ac:dyDescent="0.3">
      <c r="A4237" t="s">
        <v>22</v>
      </c>
      <c r="B4237" s="1">
        <v>45834</v>
      </c>
      <c r="C4237">
        <v>13</v>
      </c>
      <c r="D4237">
        <v>1.5309999999999999</v>
      </c>
      <c r="E4237" t="s">
        <v>6</v>
      </c>
      <c r="F4237">
        <v>0.17005000000000001</v>
      </c>
    </row>
    <row r="4238" spans="1:6" x14ac:dyDescent="0.3">
      <c r="A4238" t="s">
        <v>22</v>
      </c>
      <c r="B4238" s="1">
        <v>45834</v>
      </c>
      <c r="C4238">
        <v>14</v>
      </c>
      <c r="D4238">
        <v>1.579</v>
      </c>
      <c r="E4238" t="s">
        <v>6</v>
      </c>
      <c r="F4238">
        <v>0.15014</v>
      </c>
    </row>
    <row r="4239" spans="1:6" x14ac:dyDescent="0.3">
      <c r="A4239" t="s">
        <v>22</v>
      </c>
      <c r="B4239" s="1">
        <v>45834</v>
      </c>
      <c r="C4239">
        <v>15</v>
      </c>
      <c r="D4239">
        <v>4.9359999999999999</v>
      </c>
      <c r="E4239" t="s">
        <v>6</v>
      </c>
      <c r="F4239">
        <v>7.5799999999999992E-2</v>
      </c>
    </row>
    <row r="4240" spans="1:6" x14ac:dyDescent="0.3">
      <c r="A4240" t="s">
        <v>22</v>
      </c>
      <c r="B4240" s="1">
        <v>45834</v>
      </c>
      <c r="C4240">
        <v>16</v>
      </c>
      <c r="D4240">
        <v>5.4710000000000001</v>
      </c>
      <c r="E4240" t="s">
        <v>6</v>
      </c>
      <c r="F4240">
        <v>7.4829999999999994E-2</v>
      </c>
    </row>
    <row r="4241" spans="1:6" x14ac:dyDescent="0.3">
      <c r="A4241" t="s">
        <v>22</v>
      </c>
      <c r="B4241" s="1">
        <v>45834</v>
      </c>
      <c r="C4241">
        <v>17</v>
      </c>
      <c r="D4241">
        <v>3.5920000000000001</v>
      </c>
      <c r="E4241" t="s">
        <v>6</v>
      </c>
      <c r="F4241">
        <v>7.6060000000000003E-2</v>
      </c>
    </row>
    <row r="4242" spans="1:6" x14ac:dyDescent="0.3">
      <c r="A4242" t="s">
        <v>22</v>
      </c>
      <c r="B4242" s="1">
        <v>45834</v>
      </c>
      <c r="C4242">
        <v>18</v>
      </c>
      <c r="D4242">
        <v>1.1930000000000001</v>
      </c>
      <c r="E4242" t="s">
        <v>6</v>
      </c>
      <c r="F4242">
        <v>0.10034999999999999</v>
      </c>
    </row>
    <row r="4243" spans="1:6" x14ac:dyDescent="0.3">
      <c r="A4243" t="s">
        <v>22</v>
      </c>
      <c r="B4243" s="1">
        <v>45834</v>
      </c>
      <c r="C4243">
        <v>19</v>
      </c>
      <c r="D4243">
        <v>0.94799999999999995</v>
      </c>
      <c r="E4243" t="s">
        <v>6</v>
      </c>
      <c r="F4243">
        <v>0.19072999999999998</v>
      </c>
    </row>
    <row r="4244" spans="1:6" x14ac:dyDescent="0.3">
      <c r="A4244" t="s">
        <v>22</v>
      </c>
      <c r="B4244" s="1">
        <v>45834</v>
      </c>
      <c r="C4244">
        <v>20</v>
      </c>
      <c r="D4244">
        <v>1.04</v>
      </c>
      <c r="E4244" t="s">
        <v>6</v>
      </c>
      <c r="F4244">
        <v>0.21174000000000001</v>
      </c>
    </row>
    <row r="4245" spans="1:6" x14ac:dyDescent="0.3">
      <c r="A4245" t="s">
        <v>22</v>
      </c>
      <c r="B4245" s="1">
        <v>45834</v>
      </c>
      <c r="C4245">
        <v>21</v>
      </c>
      <c r="D4245">
        <v>1.724</v>
      </c>
      <c r="E4245" t="s">
        <v>6</v>
      </c>
      <c r="F4245">
        <v>0.23183999999999999</v>
      </c>
    </row>
    <row r="4246" spans="1:6" x14ac:dyDescent="0.3">
      <c r="A4246" t="s">
        <v>22</v>
      </c>
      <c r="B4246" s="1">
        <v>45834</v>
      </c>
      <c r="C4246">
        <v>22</v>
      </c>
      <c r="D4246">
        <v>1.75</v>
      </c>
      <c r="E4246" t="s">
        <v>6</v>
      </c>
      <c r="F4246">
        <v>0.27907999999999999</v>
      </c>
    </row>
    <row r="4247" spans="1:6" x14ac:dyDescent="0.3">
      <c r="A4247" t="s">
        <v>22</v>
      </c>
      <c r="B4247" s="1">
        <v>45834</v>
      </c>
      <c r="C4247">
        <v>23</v>
      </c>
      <c r="D4247">
        <v>1.823</v>
      </c>
      <c r="E4247" t="s">
        <v>6</v>
      </c>
      <c r="F4247">
        <v>0.2112</v>
      </c>
    </row>
    <row r="4248" spans="1:6" x14ac:dyDescent="0.3">
      <c r="A4248" t="s">
        <v>22</v>
      </c>
      <c r="B4248" s="1">
        <v>45834</v>
      </c>
      <c r="C4248">
        <v>24</v>
      </c>
      <c r="D4248">
        <v>0.66200000000000003</v>
      </c>
      <c r="E4248" t="s">
        <v>6</v>
      </c>
      <c r="F4248">
        <v>0.16880000000000001</v>
      </c>
    </row>
    <row r="4249" spans="1:6" x14ac:dyDescent="0.3">
      <c r="A4249" t="s">
        <v>22</v>
      </c>
      <c r="B4249" s="1">
        <v>45835</v>
      </c>
      <c r="C4249">
        <v>1</v>
      </c>
      <c r="D4249">
        <v>0.57599999999999996</v>
      </c>
      <c r="E4249" t="s">
        <v>6</v>
      </c>
      <c r="F4249">
        <v>0.14015</v>
      </c>
    </row>
    <row r="4250" spans="1:6" x14ac:dyDescent="0.3">
      <c r="A4250" t="s">
        <v>22</v>
      </c>
      <c r="B4250" s="1">
        <v>45835</v>
      </c>
      <c r="C4250">
        <v>2</v>
      </c>
      <c r="D4250">
        <v>0.5</v>
      </c>
      <c r="E4250" t="s">
        <v>6</v>
      </c>
      <c r="F4250">
        <v>0.13659000000000002</v>
      </c>
    </row>
    <row r="4251" spans="1:6" x14ac:dyDescent="0.3">
      <c r="A4251" t="s">
        <v>22</v>
      </c>
      <c r="B4251" s="1">
        <v>45835</v>
      </c>
      <c r="C4251">
        <v>3</v>
      </c>
      <c r="D4251">
        <v>0.59699999999999998</v>
      </c>
      <c r="E4251" t="s">
        <v>6</v>
      </c>
      <c r="F4251">
        <v>0.13652</v>
      </c>
    </row>
    <row r="4252" spans="1:6" x14ac:dyDescent="0.3">
      <c r="A4252" t="s">
        <v>22</v>
      </c>
      <c r="B4252" s="1">
        <v>45835</v>
      </c>
      <c r="C4252">
        <v>4</v>
      </c>
      <c r="D4252">
        <v>0.48399999999999999</v>
      </c>
      <c r="E4252" t="s">
        <v>6</v>
      </c>
      <c r="F4252">
        <v>0.13363</v>
      </c>
    </row>
    <row r="4253" spans="1:6" x14ac:dyDescent="0.3">
      <c r="A4253" t="s">
        <v>22</v>
      </c>
      <c r="B4253" s="1">
        <v>45835</v>
      </c>
      <c r="C4253">
        <v>5</v>
      </c>
      <c r="D4253">
        <v>1.373</v>
      </c>
      <c r="E4253" t="s">
        <v>6</v>
      </c>
      <c r="F4253">
        <v>0.13311000000000001</v>
      </c>
    </row>
    <row r="4254" spans="1:6" x14ac:dyDescent="0.3">
      <c r="A4254" t="s">
        <v>22</v>
      </c>
      <c r="B4254" s="1">
        <v>45835</v>
      </c>
      <c r="C4254">
        <v>6</v>
      </c>
      <c r="D4254">
        <v>0.59</v>
      </c>
      <c r="E4254" t="s">
        <v>6</v>
      </c>
      <c r="F4254">
        <v>0.13378999999999999</v>
      </c>
    </row>
    <row r="4255" spans="1:6" x14ac:dyDescent="0.3">
      <c r="A4255" t="s">
        <v>22</v>
      </c>
      <c r="B4255" s="1">
        <v>45835</v>
      </c>
      <c r="C4255">
        <v>7</v>
      </c>
      <c r="D4255">
        <v>0.46600000000000003</v>
      </c>
      <c r="E4255" t="s">
        <v>6</v>
      </c>
      <c r="F4255">
        <v>0.13747999999999999</v>
      </c>
    </row>
    <row r="4256" spans="1:6" x14ac:dyDescent="0.3">
      <c r="A4256" t="s">
        <v>22</v>
      </c>
      <c r="B4256" s="1">
        <v>45835</v>
      </c>
      <c r="C4256">
        <v>8</v>
      </c>
      <c r="D4256">
        <v>0.63200000000000001</v>
      </c>
      <c r="E4256" t="s">
        <v>6</v>
      </c>
      <c r="F4256">
        <v>0.13796</v>
      </c>
    </row>
    <row r="4257" spans="1:6" x14ac:dyDescent="0.3">
      <c r="A4257" t="s">
        <v>22</v>
      </c>
      <c r="B4257" s="1">
        <v>45835</v>
      </c>
      <c r="C4257">
        <v>9</v>
      </c>
      <c r="D4257">
        <v>0.66700000000000004</v>
      </c>
      <c r="E4257" t="s">
        <v>6</v>
      </c>
      <c r="F4257">
        <v>0.15883</v>
      </c>
    </row>
    <row r="4258" spans="1:6" x14ac:dyDescent="0.3">
      <c r="A4258" t="s">
        <v>22</v>
      </c>
      <c r="B4258" s="1">
        <v>45835</v>
      </c>
      <c r="C4258">
        <v>10</v>
      </c>
      <c r="D4258">
        <v>0.53300000000000003</v>
      </c>
      <c r="E4258" t="s">
        <v>6</v>
      </c>
      <c r="F4258">
        <v>0.14141000000000001</v>
      </c>
    </row>
    <row r="4259" spans="1:6" x14ac:dyDescent="0.3">
      <c r="A4259" t="s">
        <v>22</v>
      </c>
      <c r="B4259" s="1">
        <v>45835</v>
      </c>
      <c r="C4259">
        <v>11</v>
      </c>
      <c r="D4259">
        <v>0.752</v>
      </c>
      <c r="E4259" t="s">
        <v>6</v>
      </c>
      <c r="F4259">
        <v>0.19052000000000002</v>
      </c>
    </row>
    <row r="4260" spans="1:6" x14ac:dyDescent="0.3">
      <c r="A4260" t="s">
        <v>22</v>
      </c>
      <c r="B4260" s="1">
        <v>45835</v>
      </c>
      <c r="C4260">
        <v>12</v>
      </c>
      <c r="D4260">
        <v>1.496</v>
      </c>
      <c r="E4260" t="s">
        <v>6</v>
      </c>
      <c r="F4260">
        <v>0.17793</v>
      </c>
    </row>
    <row r="4261" spans="1:6" x14ac:dyDescent="0.3">
      <c r="A4261" t="s">
        <v>22</v>
      </c>
      <c r="B4261" s="1">
        <v>45835</v>
      </c>
      <c r="C4261">
        <v>13</v>
      </c>
      <c r="D4261">
        <v>1.5189999999999999</v>
      </c>
      <c r="E4261" t="s">
        <v>6</v>
      </c>
      <c r="F4261">
        <v>0.16412000000000002</v>
      </c>
    </row>
    <row r="4262" spans="1:6" x14ac:dyDescent="0.3">
      <c r="A4262" t="s">
        <v>22</v>
      </c>
      <c r="B4262" s="1">
        <v>45835</v>
      </c>
      <c r="C4262">
        <v>14</v>
      </c>
      <c r="D4262">
        <v>1.6040000000000001</v>
      </c>
      <c r="E4262" t="s">
        <v>6</v>
      </c>
      <c r="F4262">
        <v>0.1426</v>
      </c>
    </row>
    <row r="4263" spans="1:6" x14ac:dyDescent="0.3">
      <c r="A4263" t="s">
        <v>22</v>
      </c>
      <c r="B4263" s="1">
        <v>45835</v>
      </c>
      <c r="C4263">
        <v>15</v>
      </c>
      <c r="D4263">
        <v>2.7250000000000001</v>
      </c>
      <c r="E4263" t="s">
        <v>6</v>
      </c>
      <c r="F4263">
        <v>7.7329999999999996E-2</v>
      </c>
    </row>
    <row r="4264" spans="1:6" x14ac:dyDescent="0.3">
      <c r="A4264" t="s">
        <v>22</v>
      </c>
      <c r="B4264" s="1">
        <v>45835</v>
      </c>
      <c r="C4264">
        <v>16</v>
      </c>
      <c r="D4264">
        <v>1.7330000000000001</v>
      </c>
      <c r="E4264" t="s">
        <v>6</v>
      </c>
      <c r="F4264">
        <v>7.554000000000001E-2</v>
      </c>
    </row>
    <row r="4265" spans="1:6" x14ac:dyDescent="0.3">
      <c r="A4265" t="s">
        <v>22</v>
      </c>
      <c r="B4265" s="1">
        <v>45835</v>
      </c>
      <c r="C4265">
        <v>17</v>
      </c>
      <c r="D4265">
        <v>1.0149999999999999</v>
      </c>
      <c r="E4265" t="s">
        <v>6</v>
      </c>
      <c r="F4265">
        <v>7.8290000000000012E-2</v>
      </c>
    </row>
    <row r="4266" spans="1:6" x14ac:dyDescent="0.3">
      <c r="A4266" t="s">
        <v>22</v>
      </c>
      <c r="B4266" s="1">
        <v>45835</v>
      </c>
      <c r="C4266">
        <v>18</v>
      </c>
      <c r="D4266">
        <v>1.458</v>
      </c>
      <c r="E4266" t="s">
        <v>6</v>
      </c>
      <c r="F4266">
        <v>0.11498</v>
      </c>
    </row>
    <row r="4267" spans="1:6" x14ac:dyDescent="0.3">
      <c r="A4267" t="s">
        <v>22</v>
      </c>
      <c r="B4267" s="1">
        <v>45835</v>
      </c>
      <c r="C4267">
        <v>19</v>
      </c>
      <c r="D4267">
        <v>0.89900000000000002</v>
      </c>
      <c r="E4267" t="s">
        <v>6</v>
      </c>
      <c r="F4267">
        <v>0.20191000000000001</v>
      </c>
    </row>
    <row r="4268" spans="1:6" x14ac:dyDescent="0.3">
      <c r="A4268" t="s">
        <v>22</v>
      </c>
      <c r="B4268" s="1">
        <v>45835</v>
      </c>
      <c r="C4268">
        <v>20</v>
      </c>
      <c r="D4268">
        <v>1.054</v>
      </c>
      <c r="E4268" t="s">
        <v>6</v>
      </c>
      <c r="F4268">
        <v>0.22424000000000002</v>
      </c>
    </row>
    <row r="4269" spans="1:6" x14ac:dyDescent="0.3">
      <c r="A4269" t="s">
        <v>22</v>
      </c>
      <c r="B4269" s="1">
        <v>45835</v>
      </c>
      <c r="C4269">
        <v>21</v>
      </c>
      <c r="D4269">
        <v>0.63500000000000001</v>
      </c>
      <c r="E4269" t="s">
        <v>6</v>
      </c>
      <c r="F4269">
        <v>0.23153000000000001</v>
      </c>
    </row>
    <row r="4270" spans="1:6" x14ac:dyDescent="0.3">
      <c r="A4270" t="s">
        <v>22</v>
      </c>
      <c r="B4270" s="1">
        <v>45835</v>
      </c>
      <c r="C4270">
        <v>22</v>
      </c>
      <c r="D4270">
        <v>0.94</v>
      </c>
      <c r="E4270" t="s">
        <v>6</v>
      </c>
      <c r="F4270">
        <v>0.25891000000000003</v>
      </c>
    </row>
    <row r="4271" spans="1:6" x14ac:dyDescent="0.3">
      <c r="A4271" t="s">
        <v>22</v>
      </c>
      <c r="B4271" s="1">
        <v>45835</v>
      </c>
      <c r="C4271">
        <v>23</v>
      </c>
      <c r="D4271">
        <v>0.88400000000000001</v>
      </c>
      <c r="E4271" t="s">
        <v>6</v>
      </c>
      <c r="F4271">
        <v>0.19071000000000002</v>
      </c>
    </row>
    <row r="4272" spans="1:6" x14ac:dyDescent="0.3">
      <c r="A4272" t="s">
        <v>22</v>
      </c>
      <c r="B4272" s="1">
        <v>45835</v>
      </c>
      <c r="C4272">
        <v>24</v>
      </c>
      <c r="D4272">
        <v>1.5860000000000001</v>
      </c>
      <c r="E4272" t="s">
        <v>6</v>
      </c>
      <c r="F4272">
        <v>0.16513999999999998</v>
      </c>
    </row>
    <row r="4273" spans="1:6" x14ac:dyDescent="0.3">
      <c r="A4273" t="s">
        <v>22</v>
      </c>
      <c r="B4273" s="1">
        <v>45836</v>
      </c>
      <c r="C4273">
        <v>1</v>
      </c>
      <c r="D4273">
        <v>0.54500000000000004</v>
      </c>
      <c r="E4273" t="s">
        <v>6</v>
      </c>
      <c r="F4273">
        <v>0.14759999999999998</v>
      </c>
    </row>
    <row r="4274" spans="1:6" x14ac:dyDescent="0.3">
      <c r="A4274" t="s">
        <v>22</v>
      </c>
      <c r="B4274" s="1">
        <v>45836</v>
      </c>
      <c r="C4274">
        <v>2</v>
      </c>
      <c r="D4274">
        <v>0.56699999999999995</v>
      </c>
      <c r="E4274" t="s">
        <v>6</v>
      </c>
      <c r="F4274">
        <v>0.14937999999999999</v>
      </c>
    </row>
    <row r="4275" spans="1:6" x14ac:dyDescent="0.3">
      <c r="A4275" t="s">
        <v>22</v>
      </c>
      <c r="B4275" s="1">
        <v>45836</v>
      </c>
      <c r="C4275">
        <v>3</v>
      </c>
      <c r="D4275">
        <v>0.54900000000000004</v>
      </c>
      <c r="E4275" t="s">
        <v>6</v>
      </c>
      <c r="F4275">
        <v>0.14483000000000001</v>
      </c>
    </row>
    <row r="4276" spans="1:6" x14ac:dyDescent="0.3">
      <c r="A4276" t="s">
        <v>22</v>
      </c>
      <c r="B4276" s="1">
        <v>45836</v>
      </c>
      <c r="C4276">
        <v>4</v>
      </c>
      <c r="D4276">
        <v>0.59199999999999997</v>
      </c>
      <c r="E4276" t="s">
        <v>6</v>
      </c>
      <c r="F4276">
        <v>0.14132</v>
      </c>
    </row>
    <row r="4277" spans="1:6" x14ac:dyDescent="0.3">
      <c r="A4277" t="s">
        <v>22</v>
      </c>
      <c r="B4277" s="1">
        <v>45836</v>
      </c>
      <c r="C4277">
        <v>5</v>
      </c>
      <c r="D4277">
        <v>0.47399999999999998</v>
      </c>
      <c r="E4277" t="s">
        <v>6</v>
      </c>
      <c r="F4277">
        <v>0.14022999999999999</v>
      </c>
    </row>
    <row r="4278" spans="1:6" x14ac:dyDescent="0.3">
      <c r="A4278" t="s">
        <v>22</v>
      </c>
      <c r="B4278" s="1">
        <v>45836</v>
      </c>
      <c r="C4278">
        <v>6</v>
      </c>
      <c r="D4278">
        <v>0.60299999999999998</v>
      </c>
      <c r="E4278" t="s">
        <v>6</v>
      </c>
      <c r="F4278">
        <v>0.14072999999999999</v>
      </c>
    </row>
    <row r="4279" spans="1:6" x14ac:dyDescent="0.3">
      <c r="A4279" t="s">
        <v>22</v>
      </c>
      <c r="B4279" s="1">
        <v>45836</v>
      </c>
      <c r="C4279">
        <v>7</v>
      </c>
      <c r="D4279">
        <v>0.41799999999999998</v>
      </c>
      <c r="E4279" t="s">
        <v>6</v>
      </c>
      <c r="F4279">
        <v>0.14063000000000001</v>
      </c>
    </row>
    <row r="4280" spans="1:6" x14ac:dyDescent="0.3">
      <c r="A4280" t="s">
        <v>22</v>
      </c>
      <c r="B4280" s="1">
        <v>45836</v>
      </c>
      <c r="C4280">
        <v>8</v>
      </c>
      <c r="D4280">
        <v>0.377</v>
      </c>
      <c r="E4280" t="s">
        <v>6</v>
      </c>
      <c r="F4280">
        <v>0.14827000000000001</v>
      </c>
    </row>
    <row r="4281" spans="1:6" x14ac:dyDescent="0.3">
      <c r="A4281" t="s">
        <v>22</v>
      </c>
      <c r="B4281" s="1">
        <v>45836</v>
      </c>
      <c r="C4281">
        <v>9</v>
      </c>
      <c r="D4281">
        <v>0</v>
      </c>
      <c r="E4281" t="s">
        <v>6</v>
      </c>
      <c r="F4281">
        <v>0.12762999999999999</v>
      </c>
    </row>
    <row r="4282" spans="1:6" x14ac:dyDescent="0.3">
      <c r="A4282" t="s">
        <v>22</v>
      </c>
      <c r="B4282" s="1">
        <v>45836</v>
      </c>
      <c r="C4282">
        <v>10</v>
      </c>
      <c r="D4282">
        <v>0.65500000000000003</v>
      </c>
      <c r="E4282" t="s">
        <v>6</v>
      </c>
      <c r="F4282">
        <v>4.972E-2</v>
      </c>
    </row>
    <row r="4283" spans="1:6" x14ac:dyDescent="0.3">
      <c r="A4283" t="s">
        <v>22</v>
      </c>
      <c r="B4283" s="1">
        <v>45836</v>
      </c>
      <c r="C4283">
        <v>11</v>
      </c>
      <c r="D4283">
        <v>2.5979999999999999</v>
      </c>
      <c r="E4283" t="s">
        <v>6</v>
      </c>
      <c r="F4283">
        <v>2.886E-2</v>
      </c>
    </row>
    <row r="4284" spans="1:6" x14ac:dyDescent="0.3">
      <c r="A4284" t="s">
        <v>22</v>
      </c>
      <c r="B4284" s="1">
        <v>45836</v>
      </c>
      <c r="C4284">
        <v>12</v>
      </c>
      <c r="D4284">
        <v>0</v>
      </c>
      <c r="E4284" t="s">
        <v>6</v>
      </c>
      <c r="F4284">
        <v>2.2510000000000002E-2</v>
      </c>
    </row>
    <row r="4285" spans="1:6" x14ac:dyDescent="0.3">
      <c r="A4285" t="s">
        <v>22</v>
      </c>
      <c r="B4285" s="1">
        <v>45836</v>
      </c>
      <c r="C4285">
        <v>13</v>
      </c>
      <c r="D4285">
        <v>0</v>
      </c>
      <c r="E4285" t="s">
        <v>6</v>
      </c>
      <c r="F4285">
        <v>2.1929999999999998E-2</v>
      </c>
    </row>
    <row r="4286" spans="1:6" x14ac:dyDescent="0.3">
      <c r="A4286" t="s">
        <v>22</v>
      </c>
      <c r="B4286" s="1">
        <v>45836</v>
      </c>
      <c r="C4286">
        <v>14</v>
      </c>
      <c r="D4286">
        <v>0</v>
      </c>
      <c r="E4286" t="s">
        <v>6</v>
      </c>
      <c r="F4286">
        <v>2.1530000000000001E-2</v>
      </c>
    </row>
    <row r="4287" spans="1:6" x14ac:dyDescent="0.3">
      <c r="A4287" t="s">
        <v>22</v>
      </c>
      <c r="B4287" s="1">
        <v>45836</v>
      </c>
      <c r="C4287">
        <v>15</v>
      </c>
      <c r="D4287">
        <v>0</v>
      </c>
      <c r="E4287" t="s">
        <v>6</v>
      </c>
      <c r="F4287">
        <v>2.1569999999999999E-2</v>
      </c>
    </row>
    <row r="4288" spans="1:6" x14ac:dyDescent="0.3">
      <c r="A4288" t="s">
        <v>22</v>
      </c>
      <c r="B4288" s="1">
        <v>45836</v>
      </c>
      <c r="C4288">
        <v>16</v>
      </c>
      <c r="D4288">
        <v>0</v>
      </c>
      <c r="E4288" t="s">
        <v>6</v>
      </c>
      <c r="F4288">
        <v>2.1659999999999999E-2</v>
      </c>
    </row>
    <row r="4289" spans="1:6" x14ac:dyDescent="0.3">
      <c r="A4289" t="s">
        <v>22</v>
      </c>
      <c r="B4289" s="1">
        <v>45836</v>
      </c>
      <c r="C4289">
        <v>17</v>
      </c>
      <c r="D4289">
        <v>0</v>
      </c>
      <c r="E4289" t="s">
        <v>6</v>
      </c>
      <c r="F4289">
        <v>2.3420000000000003E-2</v>
      </c>
    </row>
    <row r="4290" spans="1:6" x14ac:dyDescent="0.3">
      <c r="A4290" t="s">
        <v>22</v>
      </c>
      <c r="B4290" s="1">
        <v>45836</v>
      </c>
      <c r="C4290">
        <v>18</v>
      </c>
      <c r="D4290">
        <v>0</v>
      </c>
      <c r="E4290" t="s">
        <v>6</v>
      </c>
      <c r="F4290">
        <v>3.3860000000000001E-2</v>
      </c>
    </row>
    <row r="4291" spans="1:6" x14ac:dyDescent="0.3">
      <c r="A4291" t="s">
        <v>22</v>
      </c>
      <c r="B4291" s="1">
        <v>45836</v>
      </c>
      <c r="C4291">
        <v>19</v>
      </c>
      <c r="D4291">
        <v>0.72399999999999998</v>
      </c>
      <c r="E4291" t="s">
        <v>6</v>
      </c>
      <c r="F4291">
        <v>7.4950000000000003E-2</v>
      </c>
    </row>
    <row r="4292" spans="1:6" x14ac:dyDescent="0.3">
      <c r="A4292" t="s">
        <v>22</v>
      </c>
      <c r="B4292" s="1">
        <v>45836</v>
      </c>
      <c r="C4292">
        <v>20</v>
      </c>
      <c r="D4292">
        <v>2.0950000000000002</v>
      </c>
      <c r="E4292" t="s">
        <v>6</v>
      </c>
      <c r="F4292">
        <v>0.13669999999999999</v>
      </c>
    </row>
    <row r="4293" spans="1:6" x14ac:dyDescent="0.3">
      <c r="A4293" t="s">
        <v>22</v>
      </c>
      <c r="B4293" s="1">
        <v>45836</v>
      </c>
      <c r="C4293">
        <v>21</v>
      </c>
      <c r="D4293">
        <v>1.4159999999999999</v>
      </c>
      <c r="E4293" t="s">
        <v>6</v>
      </c>
      <c r="F4293">
        <v>0.14461000000000002</v>
      </c>
    </row>
    <row r="4294" spans="1:6" x14ac:dyDescent="0.3">
      <c r="A4294" t="s">
        <v>22</v>
      </c>
      <c r="B4294" s="1">
        <v>45836</v>
      </c>
      <c r="C4294">
        <v>22</v>
      </c>
      <c r="D4294">
        <v>1.5049999999999999</v>
      </c>
      <c r="E4294" t="s">
        <v>6</v>
      </c>
      <c r="F4294">
        <v>0.16841</v>
      </c>
    </row>
    <row r="4295" spans="1:6" x14ac:dyDescent="0.3">
      <c r="A4295" t="s">
        <v>22</v>
      </c>
      <c r="B4295" s="1">
        <v>45836</v>
      </c>
      <c r="C4295">
        <v>23</v>
      </c>
      <c r="D4295">
        <v>1.591</v>
      </c>
      <c r="E4295" t="s">
        <v>6</v>
      </c>
      <c r="F4295">
        <v>0.16980000000000001</v>
      </c>
    </row>
    <row r="4296" spans="1:6" x14ac:dyDescent="0.3">
      <c r="A4296" t="s">
        <v>22</v>
      </c>
      <c r="B4296" s="1">
        <v>45836</v>
      </c>
      <c r="C4296">
        <v>24</v>
      </c>
      <c r="D4296">
        <v>1.198</v>
      </c>
      <c r="E4296" t="s">
        <v>6</v>
      </c>
      <c r="F4296">
        <v>0.15006999999999998</v>
      </c>
    </row>
    <row r="4297" spans="1:6" x14ac:dyDescent="0.3">
      <c r="A4297" t="s">
        <v>22</v>
      </c>
      <c r="B4297" s="1">
        <v>45837</v>
      </c>
      <c r="C4297">
        <v>1</v>
      </c>
      <c r="D4297">
        <v>0.61199999999999999</v>
      </c>
      <c r="E4297" t="s">
        <v>6</v>
      </c>
      <c r="F4297">
        <v>0.14436000000000002</v>
      </c>
    </row>
    <row r="4298" spans="1:6" x14ac:dyDescent="0.3">
      <c r="A4298" t="s">
        <v>22</v>
      </c>
      <c r="B4298" s="1">
        <v>45837</v>
      </c>
      <c r="C4298">
        <v>2</v>
      </c>
      <c r="D4298">
        <v>0.57399999999999995</v>
      </c>
      <c r="E4298" t="s">
        <v>6</v>
      </c>
      <c r="F4298">
        <v>0.14180000000000001</v>
      </c>
    </row>
    <row r="4299" spans="1:6" x14ac:dyDescent="0.3">
      <c r="A4299" t="s">
        <v>22</v>
      </c>
      <c r="B4299" s="1">
        <v>45837</v>
      </c>
      <c r="C4299">
        <v>3</v>
      </c>
      <c r="D4299">
        <v>1.4379999999999999</v>
      </c>
      <c r="E4299" t="s">
        <v>6</v>
      </c>
      <c r="F4299">
        <v>0.14196999999999999</v>
      </c>
    </row>
    <row r="4300" spans="1:6" x14ac:dyDescent="0.3">
      <c r="A4300" t="s">
        <v>22</v>
      </c>
      <c r="B4300" s="1">
        <v>45837</v>
      </c>
      <c r="C4300">
        <v>4</v>
      </c>
      <c r="D4300">
        <v>0.57399999999999995</v>
      </c>
      <c r="E4300" t="s">
        <v>6</v>
      </c>
      <c r="F4300">
        <v>0.1416</v>
      </c>
    </row>
    <row r="4301" spans="1:6" x14ac:dyDescent="0.3">
      <c r="A4301" t="s">
        <v>22</v>
      </c>
      <c r="B4301" s="1">
        <v>45837</v>
      </c>
      <c r="C4301">
        <v>5</v>
      </c>
      <c r="D4301">
        <v>0.52500000000000002</v>
      </c>
      <c r="E4301" t="s">
        <v>6</v>
      </c>
      <c r="F4301">
        <v>0.14304</v>
      </c>
    </row>
    <row r="4302" spans="1:6" x14ac:dyDescent="0.3">
      <c r="A4302" t="s">
        <v>22</v>
      </c>
      <c r="B4302" s="1">
        <v>45837</v>
      </c>
      <c r="C4302">
        <v>6</v>
      </c>
      <c r="D4302">
        <v>0.56899999999999995</v>
      </c>
      <c r="E4302" t="s">
        <v>6</v>
      </c>
      <c r="F4302">
        <v>0.14455999999999999</v>
      </c>
    </row>
    <row r="4303" spans="1:6" x14ac:dyDescent="0.3">
      <c r="A4303" t="s">
        <v>22</v>
      </c>
      <c r="B4303" s="1">
        <v>45837</v>
      </c>
      <c r="C4303">
        <v>7</v>
      </c>
      <c r="D4303">
        <v>0.45</v>
      </c>
      <c r="E4303" t="s">
        <v>6</v>
      </c>
      <c r="F4303">
        <v>0.14695</v>
      </c>
    </row>
    <row r="4304" spans="1:6" x14ac:dyDescent="0.3">
      <c r="A4304" t="s">
        <v>22</v>
      </c>
      <c r="B4304" s="1">
        <v>45837</v>
      </c>
      <c r="C4304">
        <v>8</v>
      </c>
      <c r="D4304">
        <v>0.34</v>
      </c>
      <c r="E4304" t="s">
        <v>6</v>
      </c>
      <c r="F4304">
        <v>0.14661000000000002</v>
      </c>
    </row>
    <row r="4305" spans="1:6" x14ac:dyDescent="0.3">
      <c r="A4305" t="s">
        <v>22</v>
      </c>
      <c r="B4305" s="1">
        <v>45837</v>
      </c>
      <c r="C4305">
        <v>9</v>
      </c>
      <c r="D4305">
        <v>0</v>
      </c>
      <c r="E4305" t="s">
        <v>6</v>
      </c>
      <c r="F4305">
        <v>0.12048</v>
      </c>
    </row>
    <row r="4306" spans="1:6" x14ac:dyDescent="0.3">
      <c r="A4306" t="s">
        <v>22</v>
      </c>
      <c r="B4306" s="1">
        <v>45837</v>
      </c>
      <c r="C4306">
        <v>10</v>
      </c>
      <c r="D4306">
        <v>0</v>
      </c>
      <c r="E4306" t="s">
        <v>6</v>
      </c>
      <c r="F4306">
        <v>4.9540000000000001E-2</v>
      </c>
    </row>
    <row r="4307" spans="1:6" x14ac:dyDescent="0.3">
      <c r="A4307" t="s">
        <v>22</v>
      </c>
      <c r="B4307" s="1">
        <v>45837</v>
      </c>
      <c r="C4307">
        <v>11</v>
      </c>
      <c r="D4307">
        <v>0</v>
      </c>
      <c r="E4307" t="s">
        <v>6</v>
      </c>
      <c r="F4307">
        <v>2.887E-2</v>
      </c>
    </row>
    <row r="4308" spans="1:6" x14ac:dyDescent="0.3">
      <c r="A4308" t="s">
        <v>22</v>
      </c>
      <c r="B4308" s="1">
        <v>45837</v>
      </c>
      <c r="C4308">
        <v>12</v>
      </c>
      <c r="D4308">
        <v>0</v>
      </c>
      <c r="E4308" t="s">
        <v>6</v>
      </c>
      <c r="F4308">
        <v>2.9319999999999999E-2</v>
      </c>
    </row>
    <row r="4309" spans="1:6" x14ac:dyDescent="0.3">
      <c r="A4309" t="s">
        <v>22</v>
      </c>
      <c r="B4309" s="1">
        <v>45837</v>
      </c>
      <c r="C4309">
        <v>13</v>
      </c>
      <c r="D4309">
        <v>0</v>
      </c>
      <c r="E4309" t="s">
        <v>6</v>
      </c>
      <c r="F4309">
        <v>2.8629999999999999E-2</v>
      </c>
    </row>
    <row r="4310" spans="1:6" x14ac:dyDescent="0.3">
      <c r="A4310" t="s">
        <v>22</v>
      </c>
      <c r="B4310" s="1">
        <v>45837</v>
      </c>
      <c r="C4310">
        <v>14</v>
      </c>
      <c r="D4310">
        <v>0</v>
      </c>
      <c r="E4310" t="s">
        <v>6</v>
      </c>
      <c r="F4310">
        <v>3.0620000000000001E-2</v>
      </c>
    </row>
    <row r="4311" spans="1:6" x14ac:dyDescent="0.3">
      <c r="A4311" t="s">
        <v>22</v>
      </c>
      <c r="B4311" s="1">
        <v>45837</v>
      </c>
      <c r="C4311">
        <v>15</v>
      </c>
      <c r="D4311">
        <v>0</v>
      </c>
      <c r="E4311" t="s">
        <v>6</v>
      </c>
      <c r="F4311">
        <v>3.0809999999999997E-2</v>
      </c>
    </row>
    <row r="4312" spans="1:6" x14ac:dyDescent="0.3">
      <c r="A4312" t="s">
        <v>22</v>
      </c>
      <c r="B4312" s="1">
        <v>45837</v>
      </c>
      <c r="C4312">
        <v>16</v>
      </c>
      <c r="D4312">
        <v>0</v>
      </c>
      <c r="E4312" t="s">
        <v>6</v>
      </c>
      <c r="F4312">
        <v>3.1179999999999999E-2</v>
      </c>
    </row>
    <row r="4313" spans="1:6" x14ac:dyDescent="0.3">
      <c r="A4313" t="s">
        <v>22</v>
      </c>
      <c r="B4313" s="1">
        <v>45837</v>
      </c>
      <c r="C4313">
        <v>17</v>
      </c>
      <c r="D4313">
        <v>0</v>
      </c>
      <c r="E4313" t="s">
        <v>6</v>
      </c>
      <c r="F4313">
        <v>3.2229999999999995E-2</v>
      </c>
    </row>
    <row r="4314" spans="1:6" x14ac:dyDescent="0.3">
      <c r="A4314" t="s">
        <v>22</v>
      </c>
      <c r="B4314" s="1">
        <v>45837</v>
      </c>
      <c r="C4314">
        <v>18</v>
      </c>
      <c r="D4314">
        <v>0</v>
      </c>
      <c r="E4314" t="s">
        <v>6</v>
      </c>
      <c r="F4314">
        <v>4.9299999999999997E-2</v>
      </c>
    </row>
    <row r="4315" spans="1:6" x14ac:dyDescent="0.3">
      <c r="A4315" t="s">
        <v>22</v>
      </c>
      <c r="B4315" s="1">
        <v>45837</v>
      </c>
      <c r="C4315">
        <v>19</v>
      </c>
      <c r="D4315">
        <v>0.27800000000000002</v>
      </c>
      <c r="E4315" t="s">
        <v>6</v>
      </c>
      <c r="F4315">
        <v>9.74E-2</v>
      </c>
    </row>
    <row r="4316" spans="1:6" x14ac:dyDescent="0.3">
      <c r="A4316" t="s">
        <v>22</v>
      </c>
      <c r="B4316" s="1">
        <v>45837</v>
      </c>
      <c r="C4316">
        <v>20</v>
      </c>
      <c r="D4316">
        <v>1.403</v>
      </c>
      <c r="E4316" t="s">
        <v>6</v>
      </c>
      <c r="F4316">
        <v>0.13603000000000001</v>
      </c>
    </row>
    <row r="4317" spans="1:6" x14ac:dyDescent="0.3">
      <c r="A4317" t="s">
        <v>22</v>
      </c>
      <c r="B4317" s="1">
        <v>45837</v>
      </c>
      <c r="C4317">
        <v>21</v>
      </c>
      <c r="D4317">
        <v>1.518</v>
      </c>
      <c r="E4317" t="s">
        <v>6</v>
      </c>
      <c r="F4317">
        <v>0.14413000000000001</v>
      </c>
    </row>
    <row r="4318" spans="1:6" x14ac:dyDescent="0.3">
      <c r="A4318" t="s">
        <v>22</v>
      </c>
      <c r="B4318" s="1">
        <v>45837</v>
      </c>
      <c r="C4318">
        <v>22</v>
      </c>
      <c r="D4318">
        <v>2.0350000000000001</v>
      </c>
      <c r="E4318" t="s">
        <v>6</v>
      </c>
      <c r="F4318">
        <v>0.16517999999999999</v>
      </c>
    </row>
    <row r="4319" spans="1:6" x14ac:dyDescent="0.3">
      <c r="A4319" t="s">
        <v>22</v>
      </c>
      <c r="B4319" s="1">
        <v>45837</v>
      </c>
      <c r="C4319">
        <v>23</v>
      </c>
      <c r="D4319">
        <v>0.97099999999999997</v>
      </c>
      <c r="E4319" t="s">
        <v>6</v>
      </c>
      <c r="F4319">
        <v>0.19515000000000002</v>
      </c>
    </row>
    <row r="4320" spans="1:6" x14ac:dyDescent="0.3">
      <c r="A4320" t="s">
        <v>22</v>
      </c>
      <c r="B4320" s="1">
        <v>45837</v>
      </c>
      <c r="C4320">
        <v>24</v>
      </c>
      <c r="D4320">
        <v>1.643</v>
      </c>
      <c r="E4320" t="s">
        <v>6</v>
      </c>
      <c r="F4320">
        <v>0.17032</v>
      </c>
    </row>
    <row r="4321" spans="1:6" x14ac:dyDescent="0.3">
      <c r="A4321" t="s">
        <v>22</v>
      </c>
      <c r="B4321" s="1">
        <v>45838</v>
      </c>
      <c r="C4321">
        <v>1</v>
      </c>
      <c r="D4321">
        <v>0.60299999999999998</v>
      </c>
      <c r="E4321" t="s">
        <v>6</v>
      </c>
      <c r="F4321">
        <v>0.14443</v>
      </c>
    </row>
    <row r="4322" spans="1:6" x14ac:dyDescent="0.3">
      <c r="A4322" t="s">
        <v>22</v>
      </c>
      <c r="B4322" s="1">
        <v>45838</v>
      </c>
      <c r="C4322">
        <v>2</v>
      </c>
      <c r="D4322">
        <v>0.57099999999999995</v>
      </c>
      <c r="E4322" t="s">
        <v>6</v>
      </c>
      <c r="F4322">
        <v>0.13408</v>
      </c>
    </row>
    <row r="4323" spans="1:6" x14ac:dyDescent="0.3">
      <c r="A4323" t="s">
        <v>22</v>
      </c>
      <c r="B4323" s="1">
        <v>45838</v>
      </c>
      <c r="C4323">
        <v>3</v>
      </c>
      <c r="D4323">
        <v>0.61199999999999999</v>
      </c>
      <c r="E4323" t="s">
        <v>6</v>
      </c>
      <c r="F4323">
        <v>0.13171000000000002</v>
      </c>
    </row>
    <row r="4324" spans="1:6" x14ac:dyDescent="0.3">
      <c r="A4324" t="s">
        <v>22</v>
      </c>
      <c r="B4324" s="1">
        <v>45838</v>
      </c>
      <c r="C4324">
        <v>4</v>
      </c>
      <c r="D4324">
        <v>0.51200000000000001</v>
      </c>
      <c r="E4324" t="s">
        <v>6</v>
      </c>
      <c r="F4324">
        <v>0.13031999999999999</v>
      </c>
    </row>
    <row r="4325" spans="1:6" x14ac:dyDescent="0.3">
      <c r="A4325" t="s">
        <v>22</v>
      </c>
      <c r="B4325" s="1">
        <v>45838</v>
      </c>
      <c r="C4325">
        <v>5</v>
      </c>
      <c r="D4325">
        <v>0.625</v>
      </c>
      <c r="E4325" t="s">
        <v>6</v>
      </c>
      <c r="F4325">
        <v>0.13365000000000002</v>
      </c>
    </row>
    <row r="4326" spans="1:6" x14ac:dyDescent="0.3">
      <c r="A4326" t="s">
        <v>22</v>
      </c>
      <c r="B4326" s="1">
        <v>45838</v>
      </c>
      <c r="C4326">
        <v>6</v>
      </c>
      <c r="D4326">
        <v>1.347</v>
      </c>
      <c r="E4326" t="s">
        <v>6</v>
      </c>
      <c r="F4326">
        <v>0.13295999999999999</v>
      </c>
    </row>
    <row r="4327" spans="1:6" x14ac:dyDescent="0.3">
      <c r="A4327" t="s">
        <v>22</v>
      </c>
      <c r="B4327" s="1">
        <v>45838</v>
      </c>
      <c r="C4327">
        <v>7</v>
      </c>
      <c r="D4327">
        <v>0.53200000000000003</v>
      </c>
      <c r="E4327" t="s">
        <v>6</v>
      </c>
      <c r="F4327">
        <v>0.13472999999999999</v>
      </c>
    </row>
    <row r="4328" spans="1:6" x14ac:dyDescent="0.3">
      <c r="A4328" t="s">
        <v>22</v>
      </c>
      <c r="B4328" s="1">
        <v>45838</v>
      </c>
      <c r="C4328">
        <v>8</v>
      </c>
      <c r="D4328">
        <v>0.374</v>
      </c>
      <c r="E4328" t="s">
        <v>6</v>
      </c>
      <c r="F4328">
        <v>0.14011000000000001</v>
      </c>
    </row>
    <row r="4329" spans="1:6" x14ac:dyDescent="0.3">
      <c r="A4329" t="s">
        <v>22</v>
      </c>
      <c r="B4329" s="1">
        <v>45838</v>
      </c>
      <c r="C4329">
        <v>9</v>
      </c>
      <c r="D4329">
        <v>0</v>
      </c>
      <c r="E4329" t="s">
        <v>6</v>
      </c>
      <c r="F4329">
        <v>0.15831999999999999</v>
      </c>
    </row>
    <row r="4330" spans="1:6" x14ac:dyDescent="0.3">
      <c r="A4330" t="s">
        <v>22</v>
      </c>
      <c r="B4330" s="1">
        <v>45838</v>
      </c>
      <c r="C4330">
        <v>10</v>
      </c>
      <c r="D4330">
        <v>0</v>
      </c>
      <c r="E4330" t="s">
        <v>6</v>
      </c>
      <c r="F4330">
        <v>0.15218000000000001</v>
      </c>
    </row>
    <row r="4331" spans="1:6" x14ac:dyDescent="0.3">
      <c r="A4331" t="s">
        <v>22</v>
      </c>
      <c r="B4331" s="1">
        <v>45838</v>
      </c>
      <c r="C4331">
        <v>11</v>
      </c>
      <c r="D4331">
        <v>2.0840000000000001</v>
      </c>
      <c r="E4331" t="s">
        <v>6</v>
      </c>
      <c r="F4331">
        <v>0.19181999999999999</v>
      </c>
    </row>
    <row r="4332" spans="1:6" x14ac:dyDescent="0.3">
      <c r="A4332" t="s">
        <v>22</v>
      </c>
      <c r="B4332" s="1">
        <v>45838</v>
      </c>
      <c r="C4332">
        <v>12</v>
      </c>
      <c r="D4332">
        <v>0</v>
      </c>
      <c r="E4332" t="s">
        <v>6</v>
      </c>
      <c r="F4332">
        <v>0.18340999999999999</v>
      </c>
    </row>
    <row r="4333" spans="1:6" x14ac:dyDescent="0.3">
      <c r="A4333" t="s">
        <v>22</v>
      </c>
      <c r="B4333" s="1">
        <v>45838</v>
      </c>
      <c r="C4333">
        <v>13</v>
      </c>
      <c r="D4333">
        <v>0</v>
      </c>
      <c r="E4333" t="s">
        <v>6</v>
      </c>
      <c r="F4333">
        <v>0.18236000000000002</v>
      </c>
    </row>
    <row r="4334" spans="1:6" x14ac:dyDescent="0.3">
      <c r="A4334" t="s">
        <v>22</v>
      </c>
      <c r="B4334" s="1">
        <v>45838</v>
      </c>
      <c r="C4334">
        <v>14</v>
      </c>
      <c r="D4334">
        <v>0</v>
      </c>
      <c r="E4334" t="s">
        <v>6</v>
      </c>
      <c r="F4334">
        <v>0.18015999999999999</v>
      </c>
    </row>
    <row r="4335" spans="1:6" x14ac:dyDescent="0.3">
      <c r="A4335" t="s">
        <v>22</v>
      </c>
      <c r="B4335" s="1">
        <v>45838</v>
      </c>
      <c r="C4335">
        <v>15</v>
      </c>
      <c r="D4335">
        <v>5.0949999999999998</v>
      </c>
      <c r="E4335" t="s">
        <v>6</v>
      </c>
      <c r="F4335">
        <v>0.11501</v>
      </c>
    </row>
    <row r="4336" spans="1:6" x14ac:dyDescent="0.3">
      <c r="A4336" t="s">
        <v>22</v>
      </c>
      <c r="B4336" s="1">
        <v>45838</v>
      </c>
      <c r="C4336">
        <v>16</v>
      </c>
      <c r="D4336">
        <v>1.6559999999999999</v>
      </c>
      <c r="E4336" t="s">
        <v>6</v>
      </c>
      <c r="F4336">
        <v>0.12526000000000001</v>
      </c>
    </row>
    <row r="4337" spans="1:6" x14ac:dyDescent="0.3">
      <c r="A4337" t="s">
        <v>22</v>
      </c>
      <c r="B4337" s="1">
        <v>45838</v>
      </c>
      <c r="C4337">
        <v>17</v>
      </c>
      <c r="D4337">
        <v>0.54600000000000004</v>
      </c>
      <c r="E4337" t="s">
        <v>6</v>
      </c>
      <c r="F4337">
        <v>0.13613999999999998</v>
      </c>
    </row>
    <row r="4338" spans="1:6" x14ac:dyDescent="0.3">
      <c r="A4338" t="s">
        <v>22</v>
      </c>
      <c r="B4338" s="1">
        <v>45838</v>
      </c>
      <c r="C4338">
        <v>18</v>
      </c>
      <c r="D4338">
        <v>0.93500000000000005</v>
      </c>
      <c r="E4338" t="s">
        <v>6</v>
      </c>
      <c r="F4338">
        <v>0.14308999999999999</v>
      </c>
    </row>
    <row r="4339" spans="1:6" x14ac:dyDescent="0.3">
      <c r="A4339" t="s">
        <v>22</v>
      </c>
      <c r="B4339" s="1">
        <v>45838</v>
      </c>
      <c r="C4339">
        <v>19</v>
      </c>
      <c r="D4339">
        <v>1.7350000000000001</v>
      </c>
      <c r="E4339" t="s">
        <v>6</v>
      </c>
      <c r="F4339">
        <v>0.21803999999999998</v>
      </c>
    </row>
    <row r="4340" spans="1:6" x14ac:dyDescent="0.3">
      <c r="A4340" t="s">
        <v>22</v>
      </c>
      <c r="B4340" s="1">
        <v>45838</v>
      </c>
      <c r="C4340">
        <v>20</v>
      </c>
      <c r="D4340">
        <v>1.9570000000000001</v>
      </c>
      <c r="E4340" t="s">
        <v>6</v>
      </c>
      <c r="F4340">
        <v>0.22</v>
      </c>
    </row>
    <row r="4341" spans="1:6" x14ac:dyDescent="0.3">
      <c r="A4341" t="s">
        <v>22</v>
      </c>
      <c r="B4341" s="1">
        <v>45838</v>
      </c>
      <c r="C4341">
        <v>21</v>
      </c>
      <c r="D4341">
        <v>1.87</v>
      </c>
      <c r="E4341" t="s">
        <v>6</v>
      </c>
      <c r="F4341">
        <v>0.24775</v>
      </c>
    </row>
    <row r="4342" spans="1:6" x14ac:dyDescent="0.3">
      <c r="A4342" t="s">
        <v>22</v>
      </c>
      <c r="B4342" s="1">
        <v>45838</v>
      </c>
      <c r="C4342">
        <v>22</v>
      </c>
      <c r="D4342">
        <v>0.72599999999999998</v>
      </c>
      <c r="E4342" t="s">
        <v>6</v>
      </c>
      <c r="F4342">
        <v>0.29430000000000001</v>
      </c>
    </row>
    <row r="4343" spans="1:6" x14ac:dyDescent="0.3">
      <c r="A4343" t="s">
        <v>22</v>
      </c>
      <c r="B4343" s="1">
        <v>45838</v>
      </c>
      <c r="C4343">
        <v>23</v>
      </c>
      <c r="D4343">
        <v>0.76500000000000001</v>
      </c>
      <c r="E4343" t="s">
        <v>6</v>
      </c>
      <c r="F4343">
        <v>0.20734</v>
      </c>
    </row>
    <row r="4344" spans="1:6" x14ac:dyDescent="0.3">
      <c r="A4344" t="s">
        <v>22</v>
      </c>
      <c r="B4344" s="1">
        <v>45838</v>
      </c>
      <c r="C4344">
        <v>24</v>
      </c>
      <c r="D4344">
        <v>0.63600000000000001</v>
      </c>
      <c r="E4344" t="s">
        <v>6</v>
      </c>
      <c r="F4344">
        <v>0.17374999999999999</v>
      </c>
    </row>
    <row r="4345" spans="1:6" x14ac:dyDescent="0.3">
      <c r="A4345" t="s">
        <v>22</v>
      </c>
      <c r="B4345" s="1">
        <v>45839</v>
      </c>
      <c r="C4345">
        <v>1</v>
      </c>
      <c r="D4345">
        <v>1.4730000000000001</v>
      </c>
      <c r="E4345" t="s">
        <v>6</v>
      </c>
      <c r="F4345">
        <v>0.15293000000000001</v>
      </c>
    </row>
    <row r="4346" spans="1:6" x14ac:dyDescent="0.3">
      <c r="A4346" t="s">
        <v>22</v>
      </c>
      <c r="B4346" s="1">
        <v>45839</v>
      </c>
      <c r="C4346">
        <v>2</v>
      </c>
      <c r="D4346">
        <v>0.52300000000000002</v>
      </c>
      <c r="E4346" t="s">
        <v>6</v>
      </c>
      <c r="F4346">
        <v>0.14080999999999999</v>
      </c>
    </row>
    <row r="4347" spans="1:6" x14ac:dyDescent="0.3">
      <c r="A4347" t="s">
        <v>22</v>
      </c>
      <c r="B4347" s="1">
        <v>45839</v>
      </c>
      <c r="C4347">
        <v>3</v>
      </c>
      <c r="D4347">
        <v>0.56799999999999995</v>
      </c>
      <c r="E4347" t="s">
        <v>6</v>
      </c>
      <c r="F4347">
        <v>0.13919999999999999</v>
      </c>
    </row>
    <row r="4348" spans="1:6" x14ac:dyDescent="0.3">
      <c r="A4348" t="s">
        <v>22</v>
      </c>
      <c r="B4348" s="1">
        <v>45839</v>
      </c>
      <c r="C4348">
        <v>4</v>
      </c>
      <c r="D4348">
        <v>0.504</v>
      </c>
      <c r="E4348" t="s">
        <v>6</v>
      </c>
      <c r="F4348">
        <v>0.13539999999999999</v>
      </c>
    </row>
    <row r="4349" spans="1:6" x14ac:dyDescent="0.3">
      <c r="A4349" t="s">
        <v>22</v>
      </c>
      <c r="B4349" s="1">
        <v>45839</v>
      </c>
      <c r="C4349">
        <v>5</v>
      </c>
      <c r="D4349">
        <v>0.53700000000000003</v>
      </c>
      <c r="E4349" t="s">
        <v>6</v>
      </c>
      <c r="F4349">
        <v>0.13405</v>
      </c>
    </row>
    <row r="4350" spans="1:6" x14ac:dyDescent="0.3">
      <c r="A4350" t="s">
        <v>22</v>
      </c>
      <c r="B4350" s="1">
        <v>45839</v>
      </c>
      <c r="C4350">
        <v>6</v>
      </c>
      <c r="D4350">
        <v>0.503</v>
      </c>
      <c r="E4350" t="s">
        <v>6</v>
      </c>
      <c r="F4350">
        <v>0.13505</v>
      </c>
    </row>
    <row r="4351" spans="1:6" x14ac:dyDescent="0.3">
      <c r="A4351" t="s">
        <v>22</v>
      </c>
      <c r="B4351" s="1">
        <v>45839</v>
      </c>
      <c r="C4351">
        <v>7</v>
      </c>
      <c r="D4351">
        <v>0.41499999999999998</v>
      </c>
      <c r="E4351" t="s">
        <v>6</v>
      </c>
      <c r="F4351">
        <v>0.13738999999999998</v>
      </c>
    </row>
    <row r="4352" spans="1:6" x14ac:dyDescent="0.3">
      <c r="A4352" t="s">
        <v>22</v>
      </c>
      <c r="B4352" s="1">
        <v>45839</v>
      </c>
      <c r="C4352">
        <v>8</v>
      </c>
      <c r="D4352">
        <v>0.39600000000000002</v>
      </c>
      <c r="E4352" t="s">
        <v>6</v>
      </c>
      <c r="F4352">
        <v>0.14279</v>
      </c>
    </row>
    <row r="4353" spans="1:6" x14ac:dyDescent="0.3">
      <c r="A4353" t="s">
        <v>22</v>
      </c>
      <c r="B4353" s="1">
        <v>45839</v>
      </c>
      <c r="C4353">
        <v>9</v>
      </c>
      <c r="D4353">
        <v>0.14199999999999999</v>
      </c>
      <c r="E4353" t="s">
        <v>6</v>
      </c>
      <c r="F4353">
        <v>0.16037999999999999</v>
      </c>
    </row>
    <row r="4354" spans="1:6" x14ac:dyDescent="0.3">
      <c r="A4354" t="s">
        <v>22</v>
      </c>
      <c r="B4354" s="1">
        <v>45839</v>
      </c>
      <c r="C4354">
        <v>10</v>
      </c>
      <c r="D4354">
        <v>1.85</v>
      </c>
      <c r="E4354" t="s">
        <v>6</v>
      </c>
      <c r="F4354">
        <v>0.15275999999999998</v>
      </c>
    </row>
    <row r="4355" spans="1:6" x14ac:dyDescent="0.3">
      <c r="A4355" t="s">
        <v>22</v>
      </c>
      <c r="B4355" s="1">
        <v>45839</v>
      </c>
      <c r="C4355">
        <v>11</v>
      </c>
      <c r="D4355">
        <v>0</v>
      </c>
      <c r="E4355" t="s">
        <v>6</v>
      </c>
      <c r="F4355">
        <v>0.20687</v>
      </c>
    </row>
    <row r="4356" spans="1:6" x14ac:dyDescent="0.3">
      <c r="A4356" t="s">
        <v>22</v>
      </c>
      <c r="B4356" s="1">
        <v>45839</v>
      </c>
      <c r="C4356">
        <v>12</v>
      </c>
      <c r="D4356">
        <v>0</v>
      </c>
      <c r="E4356" t="s">
        <v>6</v>
      </c>
      <c r="F4356">
        <v>0.19006000000000001</v>
      </c>
    </row>
    <row r="4357" spans="1:6" x14ac:dyDescent="0.3">
      <c r="A4357" t="s">
        <v>22</v>
      </c>
      <c r="B4357" s="1">
        <v>45839</v>
      </c>
      <c r="C4357">
        <v>13</v>
      </c>
      <c r="D4357">
        <v>0</v>
      </c>
      <c r="E4357" t="s">
        <v>6</v>
      </c>
      <c r="F4357">
        <v>0.18877000000000002</v>
      </c>
    </row>
    <row r="4358" spans="1:6" x14ac:dyDescent="0.3">
      <c r="A4358" t="s">
        <v>22</v>
      </c>
      <c r="B4358" s="1">
        <v>45839</v>
      </c>
      <c r="C4358">
        <v>14</v>
      </c>
      <c r="D4358">
        <v>0</v>
      </c>
      <c r="E4358" t="s">
        <v>6</v>
      </c>
      <c r="F4358">
        <v>0.18643999999999999</v>
      </c>
    </row>
    <row r="4359" spans="1:6" x14ac:dyDescent="0.3">
      <c r="A4359" t="s">
        <v>22</v>
      </c>
      <c r="B4359" s="1">
        <v>45839</v>
      </c>
      <c r="C4359">
        <v>15</v>
      </c>
      <c r="D4359">
        <v>0</v>
      </c>
      <c r="E4359" t="s">
        <v>6</v>
      </c>
      <c r="F4359">
        <v>0.12129999999999999</v>
      </c>
    </row>
    <row r="4360" spans="1:6" x14ac:dyDescent="0.3">
      <c r="A4360" t="s">
        <v>22</v>
      </c>
      <c r="B4360" s="1">
        <v>45839</v>
      </c>
      <c r="C4360">
        <v>16</v>
      </c>
      <c r="D4360">
        <v>0</v>
      </c>
      <c r="E4360" t="s">
        <v>6</v>
      </c>
      <c r="F4360">
        <v>0.12182999999999999</v>
      </c>
    </row>
    <row r="4361" spans="1:6" x14ac:dyDescent="0.3">
      <c r="A4361" t="s">
        <v>22</v>
      </c>
      <c r="B4361" s="1">
        <v>45839</v>
      </c>
      <c r="C4361">
        <v>17</v>
      </c>
      <c r="D4361">
        <v>0</v>
      </c>
      <c r="E4361" t="s">
        <v>6</v>
      </c>
      <c r="F4361">
        <v>0.13412000000000002</v>
      </c>
    </row>
    <row r="4362" spans="1:6" x14ac:dyDescent="0.3">
      <c r="A4362" t="s">
        <v>22</v>
      </c>
      <c r="B4362" s="1">
        <v>45839</v>
      </c>
      <c r="C4362">
        <v>18</v>
      </c>
      <c r="D4362">
        <v>1.1879999999999999</v>
      </c>
      <c r="E4362" t="s">
        <v>6</v>
      </c>
      <c r="F4362">
        <v>0.14696999999999999</v>
      </c>
    </row>
    <row r="4363" spans="1:6" x14ac:dyDescent="0.3">
      <c r="A4363" t="s">
        <v>22</v>
      </c>
      <c r="B4363" s="1">
        <v>45839</v>
      </c>
      <c r="C4363">
        <v>19</v>
      </c>
      <c r="D4363">
        <v>0.90300000000000002</v>
      </c>
      <c r="E4363" t="s">
        <v>6</v>
      </c>
      <c r="F4363">
        <v>0.22194999999999998</v>
      </c>
    </row>
    <row r="4364" spans="1:6" x14ac:dyDescent="0.3">
      <c r="A4364" t="s">
        <v>22</v>
      </c>
      <c r="B4364" s="1">
        <v>45839</v>
      </c>
      <c r="C4364">
        <v>20</v>
      </c>
      <c r="D4364">
        <v>1.3009999999999999</v>
      </c>
      <c r="E4364" t="s">
        <v>6</v>
      </c>
      <c r="F4364">
        <v>0.2266</v>
      </c>
    </row>
    <row r="4365" spans="1:6" x14ac:dyDescent="0.3">
      <c r="A4365" t="s">
        <v>22</v>
      </c>
      <c r="B4365" s="1">
        <v>45839</v>
      </c>
      <c r="C4365">
        <v>21</v>
      </c>
      <c r="D4365">
        <v>2.4129999999999998</v>
      </c>
      <c r="E4365" t="s">
        <v>6</v>
      </c>
      <c r="F4365">
        <v>0.23674000000000001</v>
      </c>
    </row>
    <row r="4366" spans="1:6" x14ac:dyDescent="0.3">
      <c r="A4366" t="s">
        <v>22</v>
      </c>
      <c r="B4366" s="1">
        <v>45839</v>
      </c>
      <c r="C4366">
        <v>22</v>
      </c>
      <c r="D4366">
        <v>1.1319999999999999</v>
      </c>
      <c r="E4366" t="s">
        <v>6</v>
      </c>
      <c r="F4366">
        <v>0.28479000000000004</v>
      </c>
    </row>
    <row r="4367" spans="1:6" x14ac:dyDescent="0.3">
      <c r="A4367" t="s">
        <v>22</v>
      </c>
      <c r="B4367" s="1">
        <v>45839</v>
      </c>
      <c r="C4367">
        <v>23</v>
      </c>
      <c r="D4367">
        <v>0.91300000000000003</v>
      </c>
      <c r="E4367" t="s">
        <v>6</v>
      </c>
      <c r="F4367">
        <v>0.21101</v>
      </c>
    </row>
    <row r="4368" spans="1:6" x14ac:dyDescent="0.3">
      <c r="A4368" t="s">
        <v>22</v>
      </c>
      <c r="B4368" s="1">
        <v>45839</v>
      </c>
      <c r="C4368">
        <v>24</v>
      </c>
      <c r="D4368">
        <v>0.56399999999999995</v>
      </c>
      <c r="E4368" t="s">
        <v>6</v>
      </c>
      <c r="F4368">
        <v>0.17755000000000001</v>
      </c>
    </row>
    <row r="4369" spans="1:6" x14ac:dyDescent="0.3">
      <c r="A4369" t="s">
        <v>22</v>
      </c>
      <c r="B4369" s="1">
        <v>45840</v>
      </c>
      <c r="C4369">
        <v>1</v>
      </c>
      <c r="D4369">
        <v>0.52200000000000002</v>
      </c>
      <c r="E4369" t="s">
        <v>6</v>
      </c>
      <c r="F4369">
        <v>0.15915000000000001</v>
      </c>
    </row>
    <row r="4370" spans="1:6" x14ac:dyDescent="0.3">
      <c r="A4370" t="s">
        <v>22</v>
      </c>
      <c r="B4370" s="1">
        <v>45840</v>
      </c>
      <c r="C4370">
        <v>2</v>
      </c>
      <c r="D4370">
        <v>0.54300000000000004</v>
      </c>
      <c r="E4370" t="s">
        <v>6</v>
      </c>
      <c r="F4370">
        <v>0.14776</v>
      </c>
    </row>
    <row r="4371" spans="1:6" x14ac:dyDescent="0.3">
      <c r="A4371" t="s">
        <v>22</v>
      </c>
      <c r="B4371" s="1">
        <v>45840</v>
      </c>
      <c r="C4371">
        <v>3</v>
      </c>
      <c r="D4371">
        <v>0.5</v>
      </c>
      <c r="E4371" t="s">
        <v>6</v>
      </c>
      <c r="F4371">
        <v>0.13882</v>
      </c>
    </row>
    <row r="4372" spans="1:6" x14ac:dyDescent="0.3">
      <c r="A4372" t="s">
        <v>22</v>
      </c>
      <c r="B4372" s="1">
        <v>45840</v>
      </c>
      <c r="C4372">
        <v>4</v>
      </c>
      <c r="D4372">
        <v>0.501</v>
      </c>
      <c r="E4372" t="s">
        <v>6</v>
      </c>
      <c r="F4372">
        <v>0.13588999999999998</v>
      </c>
    </row>
    <row r="4373" spans="1:6" x14ac:dyDescent="0.3">
      <c r="A4373" t="s">
        <v>22</v>
      </c>
      <c r="B4373" s="1">
        <v>45840</v>
      </c>
      <c r="C4373">
        <v>5</v>
      </c>
      <c r="D4373">
        <v>0.45400000000000001</v>
      </c>
      <c r="E4373" t="s">
        <v>6</v>
      </c>
      <c r="F4373">
        <v>0.13631000000000001</v>
      </c>
    </row>
    <row r="4374" spans="1:6" x14ac:dyDescent="0.3">
      <c r="A4374" t="s">
        <v>22</v>
      </c>
      <c r="B4374" s="1">
        <v>45840</v>
      </c>
      <c r="C4374">
        <v>6</v>
      </c>
      <c r="D4374">
        <v>0.41199999999999998</v>
      </c>
      <c r="E4374" t="s">
        <v>6</v>
      </c>
      <c r="F4374">
        <v>0.13608000000000001</v>
      </c>
    </row>
    <row r="4375" spans="1:6" x14ac:dyDescent="0.3">
      <c r="A4375" t="s">
        <v>22</v>
      </c>
      <c r="B4375" s="1">
        <v>45840</v>
      </c>
      <c r="C4375">
        <v>7</v>
      </c>
      <c r="D4375">
        <v>1.1499999999999999</v>
      </c>
      <c r="E4375" t="s">
        <v>6</v>
      </c>
      <c r="F4375">
        <v>0.13616999999999999</v>
      </c>
    </row>
    <row r="4376" spans="1:6" x14ac:dyDescent="0.3">
      <c r="A4376" t="s">
        <v>22</v>
      </c>
      <c r="B4376" s="1">
        <v>45840</v>
      </c>
      <c r="C4376">
        <v>8</v>
      </c>
      <c r="D4376">
        <v>0.28199999999999997</v>
      </c>
      <c r="E4376" t="s">
        <v>6</v>
      </c>
      <c r="F4376">
        <v>0.13961999999999999</v>
      </c>
    </row>
    <row r="4377" spans="1:6" x14ac:dyDescent="0.3">
      <c r="A4377" t="s">
        <v>22</v>
      </c>
      <c r="B4377" s="1">
        <v>45840</v>
      </c>
      <c r="C4377">
        <v>9</v>
      </c>
      <c r="D4377">
        <v>0</v>
      </c>
      <c r="E4377" t="s">
        <v>6</v>
      </c>
      <c r="F4377">
        <v>0.16391999999999998</v>
      </c>
    </row>
    <row r="4378" spans="1:6" x14ac:dyDescent="0.3">
      <c r="A4378" t="s">
        <v>22</v>
      </c>
      <c r="B4378" s="1">
        <v>45840</v>
      </c>
      <c r="C4378">
        <v>10</v>
      </c>
      <c r="D4378">
        <v>0</v>
      </c>
      <c r="E4378" t="s">
        <v>6</v>
      </c>
      <c r="F4378">
        <v>0.15581999999999999</v>
      </c>
    </row>
    <row r="4379" spans="1:6" x14ac:dyDescent="0.3">
      <c r="A4379" t="s">
        <v>22</v>
      </c>
      <c r="B4379" s="1">
        <v>45840</v>
      </c>
      <c r="C4379">
        <v>11</v>
      </c>
      <c r="D4379">
        <v>0</v>
      </c>
      <c r="E4379" t="s">
        <v>6</v>
      </c>
      <c r="F4379">
        <v>0.19686000000000001</v>
      </c>
    </row>
    <row r="4380" spans="1:6" x14ac:dyDescent="0.3">
      <c r="A4380" t="s">
        <v>22</v>
      </c>
      <c r="B4380" s="1">
        <v>45840</v>
      </c>
      <c r="C4380">
        <v>12</v>
      </c>
      <c r="D4380">
        <v>0</v>
      </c>
      <c r="E4380" t="s">
        <v>6</v>
      </c>
      <c r="F4380">
        <v>0.19053999999999999</v>
      </c>
    </row>
    <row r="4381" spans="1:6" x14ac:dyDescent="0.3">
      <c r="A4381" t="s">
        <v>22</v>
      </c>
      <c r="B4381" s="1">
        <v>45840</v>
      </c>
      <c r="C4381">
        <v>13</v>
      </c>
      <c r="D4381">
        <v>0</v>
      </c>
      <c r="E4381" t="s">
        <v>6</v>
      </c>
      <c r="F4381">
        <v>0.18356999999999998</v>
      </c>
    </row>
    <row r="4382" spans="1:6" x14ac:dyDescent="0.3">
      <c r="A4382" t="s">
        <v>22</v>
      </c>
      <c r="B4382" s="1">
        <v>45840</v>
      </c>
      <c r="C4382">
        <v>14</v>
      </c>
      <c r="D4382">
        <v>0</v>
      </c>
      <c r="E4382" t="s">
        <v>6</v>
      </c>
      <c r="F4382">
        <v>0.18101</v>
      </c>
    </row>
    <row r="4383" spans="1:6" x14ac:dyDescent="0.3">
      <c r="A4383" t="s">
        <v>22</v>
      </c>
      <c r="B4383" s="1">
        <v>45840</v>
      </c>
      <c r="C4383">
        <v>15</v>
      </c>
      <c r="D4383">
        <v>0</v>
      </c>
      <c r="E4383" t="s">
        <v>6</v>
      </c>
      <c r="F4383">
        <v>0.11547</v>
      </c>
    </row>
    <row r="4384" spans="1:6" x14ac:dyDescent="0.3">
      <c r="A4384" t="s">
        <v>22</v>
      </c>
      <c r="B4384" s="1">
        <v>45840</v>
      </c>
      <c r="C4384">
        <v>16</v>
      </c>
      <c r="D4384">
        <v>0</v>
      </c>
      <c r="E4384" t="s">
        <v>6</v>
      </c>
      <c r="F4384">
        <v>0.11747</v>
      </c>
    </row>
    <row r="4385" spans="1:6" x14ac:dyDescent="0.3">
      <c r="A4385" t="s">
        <v>22</v>
      </c>
      <c r="B4385" s="1">
        <v>45840</v>
      </c>
      <c r="C4385">
        <v>17</v>
      </c>
      <c r="D4385">
        <v>0</v>
      </c>
      <c r="E4385" t="s">
        <v>6</v>
      </c>
      <c r="F4385">
        <v>0.12594</v>
      </c>
    </row>
    <row r="4386" spans="1:6" x14ac:dyDescent="0.3">
      <c r="A4386" t="s">
        <v>22</v>
      </c>
      <c r="B4386" s="1">
        <v>45840</v>
      </c>
      <c r="C4386">
        <v>18</v>
      </c>
      <c r="D4386">
        <v>0</v>
      </c>
      <c r="E4386" t="s">
        <v>6</v>
      </c>
      <c r="F4386">
        <v>0.12733</v>
      </c>
    </row>
    <row r="4387" spans="1:6" x14ac:dyDescent="0.3">
      <c r="A4387" t="s">
        <v>22</v>
      </c>
      <c r="B4387" s="1">
        <v>45840</v>
      </c>
      <c r="C4387">
        <v>19</v>
      </c>
      <c r="D4387">
        <v>0</v>
      </c>
      <c r="E4387" t="s">
        <v>6</v>
      </c>
      <c r="F4387">
        <v>0.20448</v>
      </c>
    </row>
    <row r="4388" spans="1:6" x14ac:dyDescent="0.3">
      <c r="A4388" t="s">
        <v>22</v>
      </c>
      <c r="B4388" s="1">
        <v>45840</v>
      </c>
      <c r="C4388">
        <v>20</v>
      </c>
      <c r="D4388">
        <v>1.2250000000000001</v>
      </c>
      <c r="E4388" t="s">
        <v>6</v>
      </c>
      <c r="F4388">
        <v>0.22612000000000002</v>
      </c>
    </row>
    <row r="4389" spans="1:6" x14ac:dyDescent="0.3">
      <c r="A4389" t="s">
        <v>22</v>
      </c>
      <c r="B4389" s="1">
        <v>45840</v>
      </c>
      <c r="C4389">
        <v>21</v>
      </c>
      <c r="D4389">
        <v>1.5620000000000001</v>
      </c>
      <c r="E4389" t="s">
        <v>6</v>
      </c>
      <c r="F4389">
        <v>0.23182</v>
      </c>
    </row>
    <row r="4390" spans="1:6" x14ac:dyDescent="0.3">
      <c r="A4390" t="s">
        <v>22</v>
      </c>
      <c r="B4390" s="1">
        <v>45840</v>
      </c>
      <c r="C4390">
        <v>22</v>
      </c>
      <c r="D4390">
        <v>1.93</v>
      </c>
      <c r="E4390" t="s">
        <v>6</v>
      </c>
      <c r="F4390">
        <v>0.24531</v>
      </c>
    </row>
    <row r="4391" spans="1:6" x14ac:dyDescent="0.3">
      <c r="A4391" t="s">
        <v>22</v>
      </c>
      <c r="B4391" s="1">
        <v>45840</v>
      </c>
      <c r="C4391">
        <v>23</v>
      </c>
      <c r="D4391">
        <v>1.4790000000000001</v>
      </c>
      <c r="E4391" t="s">
        <v>6</v>
      </c>
      <c r="F4391">
        <v>0.17787999999999998</v>
      </c>
    </row>
    <row r="4392" spans="1:6" x14ac:dyDescent="0.3">
      <c r="A4392" t="s">
        <v>22</v>
      </c>
      <c r="B4392" s="1">
        <v>45840</v>
      </c>
      <c r="C4392">
        <v>24</v>
      </c>
      <c r="D4392">
        <v>0.58499999999999996</v>
      </c>
      <c r="E4392" t="s">
        <v>6</v>
      </c>
      <c r="F4392">
        <v>0.16172</v>
      </c>
    </row>
    <row r="4393" spans="1:6" x14ac:dyDescent="0.3">
      <c r="A4393" t="s">
        <v>22</v>
      </c>
      <c r="B4393" s="1">
        <v>45841</v>
      </c>
      <c r="C4393">
        <v>1</v>
      </c>
      <c r="D4393">
        <v>1.3160000000000001</v>
      </c>
      <c r="E4393" t="s">
        <v>6</v>
      </c>
      <c r="F4393">
        <v>0.14233999999999999</v>
      </c>
    </row>
    <row r="4394" spans="1:6" x14ac:dyDescent="0.3">
      <c r="A4394" t="s">
        <v>22</v>
      </c>
      <c r="B4394" s="1">
        <v>45841</v>
      </c>
      <c r="C4394">
        <v>2</v>
      </c>
      <c r="D4394">
        <v>0.56499999999999995</v>
      </c>
      <c r="E4394" t="s">
        <v>6</v>
      </c>
      <c r="F4394">
        <v>0.14122999999999999</v>
      </c>
    </row>
    <row r="4395" spans="1:6" x14ac:dyDescent="0.3">
      <c r="A4395" t="s">
        <v>22</v>
      </c>
      <c r="B4395" s="1">
        <v>45841</v>
      </c>
      <c r="C4395">
        <v>3</v>
      </c>
      <c r="D4395">
        <v>0.48899999999999999</v>
      </c>
      <c r="E4395" t="s">
        <v>6</v>
      </c>
      <c r="F4395">
        <v>0.14083999999999999</v>
      </c>
    </row>
    <row r="4396" spans="1:6" x14ac:dyDescent="0.3">
      <c r="A4396" t="s">
        <v>22</v>
      </c>
      <c r="B4396" s="1">
        <v>45841</v>
      </c>
      <c r="C4396">
        <v>4</v>
      </c>
      <c r="D4396">
        <v>0.503</v>
      </c>
      <c r="E4396" t="s">
        <v>6</v>
      </c>
      <c r="F4396">
        <v>0.13072</v>
      </c>
    </row>
    <row r="4397" spans="1:6" x14ac:dyDescent="0.3">
      <c r="A4397" t="s">
        <v>22</v>
      </c>
      <c r="B4397" s="1">
        <v>45841</v>
      </c>
      <c r="C4397">
        <v>5</v>
      </c>
      <c r="D4397">
        <v>0.57199999999999995</v>
      </c>
      <c r="E4397" t="s">
        <v>6</v>
      </c>
      <c r="F4397">
        <v>0.11995</v>
      </c>
    </row>
    <row r="4398" spans="1:6" x14ac:dyDescent="0.3">
      <c r="A4398" t="s">
        <v>22</v>
      </c>
      <c r="B4398" s="1">
        <v>45841</v>
      </c>
      <c r="C4398">
        <v>6</v>
      </c>
      <c r="D4398">
        <v>0.439</v>
      </c>
      <c r="E4398" t="s">
        <v>6</v>
      </c>
      <c r="F4398">
        <v>0.12911</v>
      </c>
    </row>
    <row r="4399" spans="1:6" x14ac:dyDescent="0.3">
      <c r="A4399" t="s">
        <v>22</v>
      </c>
      <c r="B4399" s="1">
        <v>45841</v>
      </c>
      <c r="C4399">
        <v>7</v>
      </c>
      <c r="D4399">
        <v>0.46700000000000003</v>
      </c>
      <c r="E4399" t="s">
        <v>6</v>
      </c>
      <c r="F4399">
        <v>0.14061999999999999</v>
      </c>
    </row>
    <row r="4400" spans="1:6" x14ac:dyDescent="0.3">
      <c r="A4400" t="s">
        <v>22</v>
      </c>
      <c r="B4400" s="1">
        <v>45841</v>
      </c>
      <c r="C4400">
        <v>8</v>
      </c>
      <c r="D4400">
        <v>0.252</v>
      </c>
      <c r="E4400" t="s">
        <v>6</v>
      </c>
      <c r="F4400">
        <v>0.14637</v>
      </c>
    </row>
    <row r="4401" spans="1:6" x14ac:dyDescent="0.3">
      <c r="A4401" t="s">
        <v>22</v>
      </c>
      <c r="B4401" s="1">
        <v>45841</v>
      </c>
      <c r="C4401">
        <v>9</v>
      </c>
      <c r="D4401">
        <v>3.294</v>
      </c>
      <c r="E4401" t="s">
        <v>6</v>
      </c>
      <c r="F4401">
        <v>0.16807</v>
      </c>
    </row>
    <row r="4402" spans="1:6" x14ac:dyDescent="0.3">
      <c r="A4402" t="s">
        <v>22</v>
      </c>
      <c r="B4402" s="1">
        <v>45841</v>
      </c>
      <c r="C4402">
        <v>10</v>
      </c>
      <c r="D4402">
        <v>2.4420000000000002</v>
      </c>
      <c r="E4402" t="s">
        <v>6</v>
      </c>
      <c r="F4402">
        <v>0.12484999999999999</v>
      </c>
    </row>
    <row r="4403" spans="1:6" x14ac:dyDescent="0.3">
      <c r="A4403" t="s">
        <v>22</v>
      </c>
      <c r="B4403" s="1">
        <v>45841</v>
      </c>
      <c r="C4403">
        <v>11</v>
      </c>
      <c r="D4403">
        <v>0.372</v>
      </c>
      <c r="E4403" t="s">
        <v>6</v>
      </c>
      <c r="F4403">
        <v>0.18834000000000001</v>
      </c>
    </row>
    <row r="4404" spans="1:6" x14ac:dyDescent="0.3">
      <c r="A4404" t="s">
        <v>22</v>
      </c>
      <c r="B4404" s="1">
        <v>45841</v>
      </c>
      <c r="C4404">
        <v>12</v>
      </c>
      <c r="D4404">
        <v>0</v>
      </c>
      <c r="E4404" t="s">
        <v>6</v>
      </c>
      <c r="F4404">
        <v>0.17552000000000001</v>
      </c>
    </row>
    <row r="4405" spans="1:6" x14ac:dyDescent="0.3">
      <c r="A4405" t="s">
        <v>22</v>
      </c>
      <c r="B4405" s="1">
        <v>45841</v>
      </c>
      <c r="C4405">
        <v>13</v>
      </c>
      <c r="D4405">
        <v>0</v>
      </c>
      <c r="E4405" t="s">
        <v>6</v>
      </c>
      <c r="F4405">
        <v>0.16036</v>
      </c>
    </row>
    <row r="4406" spans="1:6" x14ac:dyDescent="0.3">
      <c r="A4406" t="s">
        <v>22</v>
      </c>
      <c r="B4406" s="1">
        <v>45841</v>
      </c>
      <c r="C4406">
        <v>14</v>
      </c>
      <c r="D4406">
        <v>0</v>
      </c>
      <c r="E4406" t="s">
        <v>6</v>
      </c>
      <c r="F4406">
        <v>0.15225</v>
      </c>
    </row>
    <row r="4407" spans="1:6" x14ac:dyDescent="0.3">
      <c r="A4407" t="s">
        <v>22</v>
      </c>
      <c r="B4407" s="1">
        <v>45841</v>
      </c>
      <c r="C4407">
        <v>15</v>
      </c>
      <c r="D4407">
        <v>0</v>
      </c>
      <c r="E4407" t="s">
        <v>6</v>
      </c>
      <c r="F4407">
        <v>8.8930000000000009E-2</v>
      </c>
    </row>
    <row r="4408" spans="1:6" x14ac:dyDescent="0.3">
      <c r="A4408" t="s">
        <v>22</v>
      </c>
      <c r="B4408" s="1">
        <v>45841</v>
      </c>
      <c r="C4408">
        <v>16</v>
      </c>
      <c r="D4408">
        <v>0</v>
      </c>
      <c r="E4408" t="s">
        <v>6</v>
      </c>
      <c r="F4408">
        <v>0.10751999999999999</v>
      </c>
    </row>
    <row r="4409" spans="1:6" x14ac:dyDescent="0.3">
      <c r="A4409" t="s">
        <v>22</v>
      </c>
      <c r="B4409" s="1">
        <v>45841</v>
      </c>
      <c r="C4409">
        <v>17</v>
      </c>
      <c r="D4409">
        <v>1.6E-2</v>
      </c>
      <c r="E4409" t="s">
        <v>6</v>
      </c>
      <c r="F4409">
        <v>0.11639000000000001</v>
      </c>
    </row>
    <row r="4410" spans="1:6" x14ac:dyDescent="0.3">
      <c r="A4410" t="s">
        <v>22</v>
      </c>
      <c r="B4410" s="1">
        <v>45841</v>
      </c>
      <c r="C4410">
        <v>18</v>
      </c>
      <c r="D4410">
        <v>2.145</v>
      </c>
      <c r="E4410" t="s">
        <v>6</v>
      </c>
      <c r="F4410">
        <v>0.13469</v>
      </c>
    </row>
    <row r="4411" spans="1:6" x14ac:dyDescent="0.3">
      <c r="A4411" t="s">
        <v>22</v>
      </c>
      <c r="B4411" s="1">
        <v>45841</v>
      </c>
      <c r="C4411">
        <v>19</v>
      </c>
      <c r="D4411">
        <v>1.6859999999999999</v>
      </c>
      <c r="E4411" t="s">
        <v>6</v>
      </c>
      <c r="F4411">
        <v>0.21965000000000001</v>
      </c>
    </row>
    <row r="4412" spans="1:6" x14ac:dyDescent="0.3">
      <c r="A4412" t="s">
        <v>22</v>
      </c>
      <c r="B4412" s="1">
        <v>45841</v>
      </c>
      <c r="C4412">
        <v>20</v>
      </c>
      <c r="D4412">
        <v>1.081</v>
      </c>
      <c r="E4412" t="s">
        <v>6</v>
      </c>
      <c r="F4412">
        <v>0.23349</v>
      </c>
    </row>
    <row r="4413" spans="1:6" x14ac:dyDescent="0.3">
      <c r="A4413" t="s">
        <v>22</v>
      </c>
      <c r="B4413" s="1">
        <v>45841</v>
      </c>
      <c r="C4413">
        <v>21</v>
      </c>
      <c r="D4413">
        <v>1.2609999999999999</v>
      </c>
      <c r="E4413" t="s">
        <v>6</v>
      </c>
      <c r="F4413">
        <v>0.2412</v>
      </c>
    </row>
    <row r="4414" spans="1:6" x14ac:dyDescent="0.3">
      <c r="A4414" t="s">
        <v>22</v>
      </c>
      <c r="B4414" s="1">
        <v>45841</v>
      </c>
      <c r="C4414">
        <v>22</v>
      </c>
      <c r="D4414">
        <v>1.4610000000000001</v>
      </c>
      <c r="E4414" t="s">
        <v>6</v>
      </c>
      <c r="F4414">
        <v>0.26688000000000001</v>
      </c>
    </row>
    <row r="4415" spans="1:6" x14ac:dyDescent="0.3">
      <c r="A4415" t="s">
        <v>22</v>
      </c>
      <c r="B4415" s="1">
        <v>45841</v>
      </c>
      <c r="C4415">
        <v>23</v>
      </c>
      <c r="D4415">
        <v>1.698</v>
      </c>
      <c r="E4415" t="s">
        <v>6</v>
      </c>
      <c r="F4415">
        <v>0.19853000000000001</v>
      </c>
    </row>
    <row r="4416" spans="1:6" x14ac:dyDescent="0.3">
      <c r="A4416" t="s">
        <v>22</v>
      </c>
      <c r="B4416" s="1">
        <v>45841</v>
      </c>
      <c r="C4416">
        <v>24</v>
      </c>
      <c r="D4416">
        <v>1.4950000000000001</v>
      </c>
      <c r="E4416" t="s">
        <v>6</v>
      </c>
      <c r="F4416">
        <v>0.17496999999999999</v>
      </c>
    </row>
    <row r="4417" spans="1:6" x14ac:dyDescent="0.3">
      <c r="A4417" t="s">
        <v>22</v>
      </c>
      <c r="B4417" s="1">
        <v>45842</v>
      </c>
      <c r="C4417">
        <v>1</v>
      </c>
      <c r="D4417">
        <v>1.526</v>
      </c>
      <c r="E4417" t="s">
        <v>6</v>
      </c>
      <c r="F4417">
        <v>0.13589999999999999</v>
      </c>
    </row>
    <row r="4418" spans="1:6" x14ac:dyDescent="0.3">
      <c r="A4418" t="s">
        <v>22</v>
      </c>
      <c r="B4418" s="1">
        <v>45842</v>
      </c>
      <c r="C4418">
        <v>2</v>
      </c>
      <c r="D4418">
        <v>1.4119999999999999</v>
      </c>
      <c r="E4418" t="s">
        <v>6</v>
      </c>
      <c r="F4418">
        <v>0.13375999999999999</v>
      </c>
    </row>
    <row r="4419" spans="1:6" x14ac:dyDescent="0.3">
      <c r="A4419" t="s">
        <v>22</v>
      </c>
      <c r="B4419" s="1">
        <v>45842</v>
      </c>
      <c r="C4419">
        <v>3</v>
      </c>
      <c r="D4419">
        <v>1.5720000000000001</v>
      </c>
      <c r="E4419" t="s">
        <v>6</v>
      </c>
      <c r="F4419">
        <v>0.13341</v>
      </c>
    </row>
    <row r="4420" spans="1:6" x14ac:dyDescent="0.3">
      <c r="A4420" t="s">
        <v>22</v>
      </c>
      <c r="B4420" s="1">
        <v>45842</v>
      </c>
      <c r="C4420">
        <v>4</v>
      </c>
      <c r="D4420">
        <v>1.4139999999999999</v>
      </c>
      <c r="E4420" t="s">
        <v>6</v>
      </c>
      <c r="F4420">
        <v>0.13022999999999998</v>
      </c>
    </row>
    <row r="4421" spans="1:6" x14ac:dyDescent="0.3">
      <c r="A4421" t="s">
        <v>22</v>
      </c>
      <c r="B4421" s="1">
        <v>45842</v>
      </c>
      <c r="C4421">
        <v>5</v>
      </c>
      <c r="D4421">
        <v>2.1640000000000001</v>
      </c>
      <c r="E4421" t="s">
        <v>6</v>
      </c>
      <c r="F4421">
        <v>0.13037000000000001</v>
      </c>
    </row>
    <row r="4422" spans="1:6" x14ac:dyDescent="0.3">
      <c r="A4422" t="s">
        <v>22</v>
      </c>
      <c r="B4422" s="1">
        <v>45842</v>
      </c>
      <c r="C4422">
        <v>6</v>
      </c>
      <c r="D4422">
        <v>0.57999999999999996</v>
      </c>
      <c r="E4422" t="s">
        <v>6</v>
      </c>
      <c r="F4422">
        <v>0.13090000000000002</v>
      </c>
    </row>
    <row r="4423" spans="1:6" x14ac:dyDescent="0.3">
      <c r="A4423" t="s">
        <v>22</v>
      </c>
      <c r="B4423" s="1">
        <v>45842</v>
      </c>
      <c r="C4423">
        <v>7</v>
      </c>
      <c r="D4423">
        <v>0.58299999999999996</v>
      </c>
      <c r="E4423" t="s">
        <v>6</v>
      </c>
      <c r="F4423">
        <v>0.13689999999999999</v>
      </c>
    </row>
    <row r="4424" spans="1:6" x14ac:dyDescent="0.3">
      <c r="A4424" t="s">
        <v>22</v>
      </c>
      <c r="B4424" s="1">
        <v>45842</v>
      </c>
      <c r="C4424">
        <v>8</v>
      </c>
      <c r="D4424">
        <v>0.495</v>
      </c>
      <c r="E4424" t="s">
        <v>6</v>
      </c>
      <c r="F4424">
        <v>0.14099</v>
      </c>
    </row>
    <row r="4425" spans="1:6" x14ac:dyDescent="0.3">
      <c r="A4425" t="s">
        <v>22</v>
      </c>
      <c r="B4425" s="1">
        <v>45842</v>
      </c>
      <c r="C4425">
        <v>9</v>
      </c>
      <c r="D4425">
        <v>1.171</v>
      </c>
      <c r="E4425" t="s">
        <v>6</v>
      </c>
      <c r="F4425">
        <v>0.16174000000000002</v>
      </c>
    </row>
    <row r="4426" spans="1:6" x14ac:dyDescent="0.3">
      <c r="A4426" t="s">
        <v>22</v>
      </c>
      <c r="B4426" s="1">
        <v>45842</v>
      </c>
      <c r="C4426">
        <v>10</v>
      </c>
      <c r="D4426">
        <v>0.38900000000000001</v>
      </c>
      <c r="E4426" t="s">
        <v>6</v>
      </c>
      <c r="F4426">
        <v>0.14165</v>
      </c>
    </row>
    <row r="4427" spans="1:6" x14ac:dyDescent="0.3">
      <c r="A4427" t="s">
        <v>22</v>
      </c>
      <c r="B4427" s="1">
        <v>45842</v>
      </c>
      <c r="C4427">
        <v>11</v>
      </c>
      <c r="D4427">
        <v>0</v>
      </c>
      <c r="E4427" t="s">
        <v>6</v>
      </c>
      <c r="F4427">
        <v>0.19059999999999999</v>
      </c>
    </row>
    <row r="4428" spans="1:6" x14ac:dyDescent="0.3">
      <c r="A4428" t="s">
        <v>22</v>
      </c>
      <c r="B4428" s="1">
        <v>45842</v>
      </c>
      <c r="C4428">
        <v>12</v>
      </c>
      <c r="D4428">
        <v>0</v>
      </c>
      <c r="E4428" t="s">
        <v>6</v>
      </c>
      <c r="F4428">
        <v>0.18799000000000002</v>
      </c>
    </row>
    <row r="4429" spans="1:6" x14ac:dyDescent="0.3">
      <c r="A4429" t="s">
        <v>22</v>
      </c>
      <c r="B4429" s="1">
        <v>45842</v>
      </c>
      <c r="C4429">
        <v>13</v>
      </c>
      <c r="D4429">
        <v>0</v>
      </c>
      <c r="E4429" t="s">
        <v>6</v>
      </c>
      <c r="F4429">
        <v>0.19143000000000002</v>
      </c>
    </row>
    <row r="4430" spans="1:6" x14ac:dyDescent="0.3">
      <c r="A4430" t="s">
        <v>22</v>
      </c>
      <c r="B4430" s="1">
        <v>45842</v>
      </c>
      <c r="C4430">
        <v>14</v>
      </c>
      <c r="D4430">
        <v>0</v>
      </c>
      <c r="E4430" t="s">
        <v>6</v>
      </c>
      <c r="F4430">
        <v>0.18941</v>
      </c>
    </row>
    <row r="4431" spans="1:6" x14ac:dyDescent="0.3">
      <c r="A4431" t="s">
        <v>22</v>
      </c>
      <c r="B4431" s="1">
        <v>45842</v>
      </c>
      <c r="C4431">
        <v>15</v>
      </c>
      <c r="D4431">
        <v>0.995</v>
      </c>
      <c r="E4431" t="s">
        <v>6</v>
      </c>
      <c r="F4431">
        <v>0.12415999999999999</v>
      </c>
    </row>
    <row r="4432" spans="1:6" x14ac:dyDescent="0.3">
      <c r="A4432" t="s">
        <v>22</v>
      </c>
      <c r="B4432" s="1">
        <v>45842</v>
      </c>
      <c r="C4432">
        <v>16</v>
      </c>
      <c r="D4432">
        <v>1.7609999999999999</v>
      </c>
      <c r="E4432" t="s">
        <v>6</v>
      </c>
      <c r="F4432">
        <v>0.1245</v>
      </c>
    </row>
    <row r="4433" spans="1:6" x14ac:dyDescent="0.3">
      <c r="A4433" t="s">
        <v>22</v>
      </c>
      <c r="B4433" s="1">
        <v>45842</v>
      </c>
      <c r="C4433">
        <v>17</v>
      </c>
      <c r="D4433">
        <v>1.494</v>
      </c>
      <c r="E4433" t="s">
        <v>6</v>
      </c>
      <c r="F4433">
        <v>0.12368999999999999</v>
      </c>
    </row>
    <row r="4434" spans="1:6" x14ac:dyDescent="0.3">
      <c r="A4434" t="s">
        <v>22</v>
      </c>
      <c r="B4434" s="1">
        <v>45842</v>
      </c>
      <c r="C4434">
        <v>18</v>
      </c>
      <c r="D4434">
        <v>0</v>
      </c>
      <c r="E4434" t="s">
        <v>6</v>
      </c>
      <c r="F4434">
        <v>0.12728</v>
      </c>
    </row>
    <row r="4435" spans="1:6" x14ac:dyDescent="0.3">
      <c r="A4435" t="s">
        <v>22</v>
      </c>
      <c r="B4435" s="1">
        <v>45842</v>
      </c>
      <c r="C4435">
        <v>19</v>
      </c>
      <c r="D4435">
        <v>1.2190000000000001</v>
      </c>
      <c r="E4435" t="s">
        <v>6</v>
      </c>
      <c r="F4435">
        <v>0.20643</v>
      </c>
    </row>
    <row r="4436" spans="1:6" x14ac:dyDescent="0.3">
      <c r="A4436" t="s">
        <v>22</v>
      </c>
      <c r="B4436" s="1">
        <v>45842</v>
      </c>
      <c r="C4436">
        <v>20</v>
      </c>
      <c r="D4436">
        <v>1.0580000000000001</v>
      </c>
      <c r="E4436" t="s">
        <v>6</v>
      </c>
      <c r="F4436">
        <v>0.22561</v>
      </c>
    </row>
    <row r="4437" spans="1:6" x14ac:dyDescent="0.3">
      <c r="A4437" t="s">
        <v>22</v>
      </c>
      <c r="B4437" s="1">
        <v>45842</v>
      </c>
      <c r="C4437">
        <v>21</v>
      </c>
      <c r="D4437">
        <v>0.872</v>
      </c>
      <c r="E4437" t="s">
        <v>6</v>
      </c>
      <c r="F4437">
        <v>0.23136999999999999</v>
      </c>
    </row>
    <row r="4438" spans="1:6" x14ac:dyDescent="0.3">
      <c r="A4438" t="s">
        <v>22</v>
      </c>
      <c r="B4438" s="1">
        <v>45842</v>
      </c>
      <c r="C4438">
        <v>22</v>
      </c>
      <c r="D4438">
        <v>1.135</v>
      </c>
      <c r="E4438" t="s">
        <v>6</v>
      </c>
      <c r="F4438">
        <v>0.26044</v>
      </c>
    </row>
    <row r="4439" spans="1:6" x14ac:dyDescent="0.3">
      <c r="A4439" t="s">
        <v>22</v>
      </c>
      <c r="B4439" s="1">
        <v>45842</v>
      </c>
      <c r="C4439">
        <v>23</v>
      </c>
      <c r="D4439">
        <v>0.61599999999999999</v>
      </c>
      <c r="E4439" t="s">
        <v>6</v>
      </c>
      <c r="F4439">
        <v>0.19333</v>
      </c>
    </row>
    <row r="4440" spans="1:6" x14ac:dyDescent="0.3">
      <c r="A4440" t="s">
        <v>22</v>
      </c>
      <c r="B4440" s="1">
        <v>45842</v>
      </c>
      <c r="C4440">
        <v>24</v>
      </c>
      <c r="D4440">
        <v>0.52400000000000002</v>
      </c>
      <c r="E4440" t="s">
        <v>6</v>
      </c>
      <c r="F4440">
        <v>0.17573</v>
      </c>
    </row>
    <row r="4441" spans="1:6" x14ac:dyDescent="0.3">
      <c r="A4441" t="s">
        <v>22</v>
      </c>
      <c r="B4441" s="1">
        <v>45843</v>
      </c>
      <c r="C4441">
        <v>1</v>
      </c>
      <c r="D4441">
        <v>0.56200000000000006</v>
      </c>
      <c r="E4441" t="s">
        <v>6</v>
      </c>
      <c r="F4441">
        <v>0.17172999999999999</v>
      </c>
    </row>
    <row r="4442" spans="1:6" x14ac:dyDescent="0.3">
      <c r="A4442" t="s">
        <v>22</v>
      </c>
      <c r="B4442" s="1">
        <v>45843</v>
      </c>
      <c r="C4442">
        <v>2</v>
      </c>
      <c r="D4442">
        <v>0.46100000000000002</v>
      </c>
      <c r="E4442" t="s">
        <v>6</v>
      </c>
      <c r="F4442">
        <v>0.15665999999999999</v>
      </c>
    </row>
    <row r="4443" spans="1:6" x14ac:dyDescent="0.3">
      <c r="A4443" t="s">
        <v>22</v>
      </c>
      <c r="B4443" s="1">
        <v>45843</v>
      </c>
      <c r="C4443">
        <v>3</v>
      </c>
      <c r="D4443">
        <v>0.496</v>
      </c>
      <c r="E4443" t="s">
        <v>6</v>
      </c>
      <c r="F4443">
        <v>0.14752000000000001</v>
      </c>
    </row>
    <row r="4444" spans="1:6" x14ac:dyDescent="0.3">
      <c r="A4444" t="s">
        <v>22</v>
      </c>
      <c r="B4444" s="1">
        <v>45843</v>
      </c>
      <c r="C4444">
        <v>4</v>
      </c>
      <c r="D4444">
        <v>0.47399999999999998</v>
      </c>
      <c r="E4444" t="s">
        <v>6</v>
      </c>
      <c r="F4444">
        <v>0.14130999999999999</v>
      </c>
    </row>
    <row r="4445" spans="1:6" x14ac:dyDescent="0.3">
      <c r="A4445" t="s">
        <v>22</v>
      </c>
      <c r="B4445" s="1">
        <v>45843</v>
      </c>
      <c r="C4445">
        <v>5</v>
      </c>
      <c r="D4445">
        <v>0.498</v>
      </c>
      <c r="E4445" t="s">
        <v>6</v>
      </c>
      <c r="F4445">
        <v>0.14141999999999999</v>
      </c>
    </row>
    <row r="4446" spans="1:6" x14ac:dyDescent="0.3">
      <c r="A4446" t="s">
        <v>22</v>
      </c>
      <c r="B4446" s="1">
        <v>45843</v>
      </c>
      <c r="C4446">
        <v>6</v>
      </c>
      <c r="D4446">
        <v>0.49199999999999999</v>
      </c>
      <c r="E4446" t="s">
        <v>6</v>
      </c>
      <c r="F4446">
        <v>0.14096</v>
      </c>
    </row>
    <row r="4447" spans="1:6" x14ac:dyDescent="0.3">
      <c r="A4447" t="s">
        <v>22</v>
      </c>
      <c r="B4447" s="1">
        <v>45843</v>
      </c>
      <c r="C4447">
        <v>7</v>
      </c>
      <c r="D4447">
        <v>0.436</v>
      </c>
      <c r="E4447" t="s">
        <v>6</v>
      </c>
      <c r="F4447">
        <v>0.14452999999999999</v>
      </c>
    </row>
    <row r="4448" spans="1:6" x14ac:dyDescent="0.3">
      <c r="A4448" t="s">
        <v>22</v>
      </c>
      <c r="B4448" s="1">
        <v>45843</v>
      </c>
      <c r="C4448">
        <v>8</v>
      </c>
      <c r="D4448">
        <v>0.49099999999999999</v>
      </c>
      <c r="E4448" t="s">
        <v>6</v>
      </c>
      <c r="F4448">
        <v>0.14662999999999998</v>
      </c>
    </row>
    <row r="4449" spans="1:6" x14ac:dyDescent="0.3">
      <c r="A4449" t="s">
        <v>22</v>
      </c>
      <c r="B4449" s="1">
        <v>45843</v>
      </c>
      <c r="C4449">
        <v>9</v>
      </c>
      <c r="D4449">
        <v>0.36499999999999999</v>
      </c>
      <c r="E4449" t="s">
        <v>6</v>
      </c>
      <c r="F4449">
        <v>0.13483000000000001</v>
      </c>
    </row>
    <row r="4450" spans="1:6" x14ac:dyDescent="0.3">
      <c r="A4450" t="s">
        <v>22</v>
      </c>
      <c r="B4450" s="1">
        <v>45843</v>
      </c>
      <c r="C4450">
        <v>10</v>
      </c>
      <c r="D4450">
        <v>0</v>
      </c>
      <c r="E4450" t="s">
        <v>6</v>
      </c>
      <c r="F4450">
        <v>7.3189999999999991E-2</v>
      </c>
    </row>
    <row r="4451" spans="1:6" x14ac:dyDescent="0.3">
      <c r="A4451" t="s">
        <v>22</v>
      </c>
      <c r="B4451" s="1">
        <v>45843</v>
      </c>
      <c r="C4451">
        <v>11</v>
      </c>
      <c r="D4451">
        <v>0</v>
      </c>
      <c r="E4451" t="s">
        <v>6</v>
      </c>
      <c r="F4451">
        <v>3.4849999999999999E-2</v>
      </c>
    </row>
    <row r="4452" spans="1:6" x14ac:dyDescent="0.3">
      <c r="A4452" t="s">
        <v>22</v>
      </c>
      <c r="B4452" s="1">
        <v>45843</v>
      </c>
      <c r="C4452">
        <v>12</v>
      </c>
      <c r="D4452">
        <v>0</v>
      </c>
      <c r="E4452" t="s">
        <v>6</v>
      </c>
      <c r="F4452">
        <v>3.141E-2</v>
      </c>
    </row>
    <row r="4453" spans="1:6" x14ac:dyDescent="0.3">
      <c r="A4453" t="s">
        <v>22</v>
      </c>
      <c r="B4453" s="1">
        <v>45843</v>
      </c>
      <c r="C4453">
        <v>13</v>
      </c>
      <c r="D4453">
        <v>0</v>
      </c>
      <c r="E4453" t="s">
        <v>6</v>
      </c>
      <c r="F4453">
        <v>3.1980000000000001E-2</v>
      </c>
    </row>
    <row r="4454" spans="1:6" x14ac:dyDescent="0.3">
      <c r="A4454" t="s">
        <v>22</v>
      </c>
      <c r="B4454" s="1">
        <v>45843</v>
      </c>
      <c r="C4454">
        <v>14</v>
      </c>
      <c r="D4454">
        <v>0</v>
      </c>
      <c r="E4454" t="s">
        <v>6</v>
      </c>
      <c r="F4454">
        <v>3.3790000000000001E-2</v>
      </c>
    </row>
    <row r="4455" spans="1:6" x14ac:dyDescent="0.3">
      <c r="A4455" t="s">
        <v>22</v>
      </c>
      <c r="B4455" s="1">
        <v>45843</v>
      </c>
      <c r="C4455">
        <v>15</v>
      </c>
      <c r="D4455">
        <v>0</v>
      </c>
      <c r="E4455" t="s">
        <v>6</v>
      </c>
      <c r="F4455">
        <v>3.3869999999999997E-2</v>
      </c>
    </row>
    <row r="4456" spans="1:6" x14ac:dyDescent="0.3">
      <c r="A4456" t="s">
        <v>22</v>
      </c>
      <c r="B4456" s="1">
        <v>45843</v>
      </c>
      <c r="C4456">
        <v>16</v>
      </c>
      <c r="D4456">
        <v>0</v>
      </c>
      <c r="E4456" t="s">
        <v>6</v>
      </c>
      <c r="F4456">
        <v>3.4040000000000001E-2</v>
      </c>
    </row>
    <row r="4457" spans="1:6" x14ac:dyDescent="0.3">
      <c r="A4457" t="s">
        <v>22</v>
      </c>
      <c r="B4457" s="1">
        <v>45843</v>
      </c>
      <c r="C4457">
        <v>17</v>
      </c>
      <c r="D4457">
        <v>0.39300000000000002</v>
      </c>
      <c r="E4457" t="s">
        <v>6</v>
      </c>
      <c r="F4457">
        <v>3.4509999999999999E-2</v>
      </c>
    </row>
    <row r="4458" spans="1:6" x14ac:dyDescent="0.3">
      <c r="A4458" t="s">
        <v>22</v>
      </c>
      <c r="B4458" s="1">
        <v>45843</v>
      </c>
      <c r="C4458">
        <v>18</v>
      </c>
      <c r="D4458">
        <v>0.125</v>
      </c>
      <c r="E4458" t="s">
        <v>6</v>
      </c>
      <c r="F4458">
        <v>5.9159999999999997E-2</v>
      </c>
    </row>
    <row r="4459" spans="1:6" x14ac:dyDescent="0.3">
      <c r="A4459" t="s">
        <v>22</v>
      </c>
      <c r="B4459" s="1">
        <v>45843</v>
      </c>
      <c r="C4459">
        <v>19</v>
      </c>
      <c r="D4459">
        <v>1.538</v>
      </c>
      <c r="E4459" t="s">
        <v>6</v>
      </c>
      <c r="F4459">
        <v>7.6989999999999989E-2</v>
      </c>
    </row>
    <row r="4460" spans="1:6" x14ac:dyDescent="0.3">
      <c r="A4460" t="s">
        <v>22</v>
      </c>
      <c r="B4460" s="1">
        <v>45843</v>
      </c>
      <c r="C4460">
        <v>20</v>
      </c>
      <c r="D4460">
        <v>1.3460000000000001</v>
      </c>
      <c r="E4460" t="s">
        <v>6</v>
      </c>
      <c r="F4460">
        <v>0.13621</v>
      </c>
    </row>
    <row r="4461" spans="1:6" x14ac:dyDescent="0.3">
      <c r="A4461" t="s">
        <v>22</v>
      </c>
      <c r="B4461" s="1">
        <v>45843</v>
      </c>
      <c r="C4461">
        <v>21</v>
      </c>
      <c r="D4461">
        <v>1.3089999999999999</v>
      </c>
      <c r="E4461" t="s">
        <v>6</v>
      </c>
      <c r="F4461">
        <v>0.14792</v>
      </c>
    </row>
    <row r="4462" spans="1:6" x14ac:dyDescent="0.3">
      <c r="A4462" t="s">
        <v>22</v>
      </c>
      <c r="B4462" s="1">
        <v>45843</v>
      </c>
      <c r="C4462">
        <v>22</v>
      </c>
      <c r="D4462">
        <v>0.74399999999999999</v>
      </c>
      <c r="E4462" t="s">
        <v>6</v>
      </c>
      <c r="F4462">
        <v>0.17113999999999999</v>
      </c>
    </row>
    <row r="4463" spans="1:6" x14ac:dyDescent="0.3">
      <c r="A4463" t="s">
        <v>22</v>
      </c>
      <c r="B4463" s="1">
        <v>45843</v>
      </c>
      <c r="C4463">
        <v>23</v>
      </c>
      <c r="D4463">
        <v>0.54500000000000004</v>
      </c>
      <c r="E4463" t="s">
        <v>6</v>
      </c>
      <c r="F4463">
        <v>0.17427000000000001</v>
      </c>
    </row>
    <row r="4464" spans="1:6" x14ac:dyDescent="0.3">
      <c r="A4464" t="s">
        <v>22</v>
      </c>
      <c r="B4464" s="1">
        <v>45843</v>
      </c>
      <c r="C4464">
        <v>24</v>
      </c>
      <c r="D4464">
        <v>0.54900000000000004</v>
      </c>
      <c r="E4464" t="s">
        <v>6</v>
      </c>
      <c r="F4464">
        <v>0.15872999999999998</v>
      </c>
    </row>
    <row r="4465" spans="1:6" x14ac:dyDescent="0.3">
      <c r="A4465" t="s">
        <v>22</v>
      </c>
      <c r="B4465" s="1">
        <v>45844</v>
      </c>
      <c r="C4465">
        <v>1</v>
      </c>
      <c r="D4465">
        <v>0.48899999999999999</v>
      </c>
      <c r="E4465" t="s">
        <v>6</v>
      </c>
      <c r="F4465">
        <v>0.15584999999999999</v>
      </c>
    </row>
    <row r="4466" spans="1:6" x14ac:dyDescent="0.3">
      <c r="A4466" t="s">
        <v>22</v>
      </c>
      <c r="B4466" s="1">
        <v>45844</v>
      </c>
      <c r="C4466">
        <v>2</v>
      </c>
      <c r="D4466">
        <v>0.51300000000000001</v>
      </c>
      <c r="E4466" t="s">
        <v>6</v>
      </c>
      <c r="F4466">
        <v>0.14986000000000002</v>
      </c>
    </row>
    <row r="4467" spans="1:6" x14ac:dyDescent="0.3">
      <c r="A4467" t="s">
        <v>22</v>
      </c>
      <c r="B4467" s="1">
        <v>45844</v>
      </c>
      <c r="C4467">
        <v>3</v>
      </c>
      <c r="D4467">
        <v>0.45100000000000001</v>
      </c>
      <c r="E4467" t="s">
        <v>6</v>
      </c>
      <c r="F4467">
        <v>0.14784</v>
      </c>
    </row>
    <row r="4468" spans="1:6" x14ac:dyDescent="0.3">
      <c r="A4468" t="s">
        <v>22</v>
      </c>
      <c r="B4468" s="1">
        <v>45844</v>
      </c>
      <c r="C4468">
        <v>4</v>
      </c>
      <c r="D4468">
        <v>0.49199999999999999</v>
      </c>
      <c r="E4468" t="s">
        <v>6</v>
      </c>
      <c r="F4468">
        <v>0.14505999999999999</v>
      </c>
    </row>
    <row r="4469" spans="1:6" x14ac:dyDescent="0.3">
      <c r="A4469" t="s">
        <v>22</v>
      </c>
      <c r="B4469" s="1">
        <v>45844</v>
      </c>
      <c r="C4469">
        <v>5</v>
      </c>
      <c r="D4469">
        <v>1.0820000000000001</v>
      </c>
      <c r="E4469" t="s">
        <v>6</v>
      </c>
      <c r="F4469">
        <v>0.14499999999999999</v>
      </c>
    </row>
    <row r="4470" spans="1:6" x14ac:dyDescent="0.3">
      <c r="A4470" t="s">
        <v>22</v>
      </c>
      <c r="B4470" s="1">
        <v>45844</v>
      </c>
      <c r="C4470">
        <v>6</v>
      </c>
      <c r="D4470">
        <v>0.502</v>
      </c>
      <c r="E4470" t="s">
        <v>6</v>
      </c>
      <c r="F4470">
        <v>0.14583000000000002</v>
      </c>
    </row>
    <row r="4471" spans="1:6" x14ac:dyDescent="0.3">
      <c r="A4471" t="s">
        <v>22</v>
      </c>
      <c r="B4471" s="1">
        <v>45844</v>
      </c>
      <c r="C4471">
        <v>7</v>
      </c>
      <c r="D4471">
        <v>0.53900000000000003</v>
      </c>
      <c r="E4471" t="s">
        <v>6</v>
      </c>
      <c r="F4471">
        <v>0.1464</v>
      </c>
    </row>
    <row r="4472" spans="1:6" x14ac:dyDescent="0.3">
      <c r="A4472" t="s">
        <v>22</v>
      </c>
      <c r="B4472" s="1">
        <v>45844</v>
      </c>
      <c r="C4472">
        <v>8</v>
      </c>
      <c r="D4472">
        <v>0.30499999999999999</v>
      </c>
      <c r="E4472" t="s">
        <v>6</v>
      </c>
      <c r="F4472">
        <v>0.14323</v>
      </c>
    </row>
    <row r="4473" spans="1:6" x14ac:dyDescent="0.3">
      <c r="A4473" t="s">
        <v>22</v>
      </c>
      <c r="B4473" s="1">
        <v>45844</v>
      </c>
      <c r="C4473">
        <v>9</v>
      </c>
      <c r="D4473">
        <v>0</v>
      </c>
      <c r="E4473" t="s">
        <v>6</v>
      </c>
      <c r="F4473">
        <v>9.9599999999999994E-2</v>
      </c>
    </row>
    <row r="4474" spans="1:6" x14ac:dyDescent="0.3">
      <c r="A4474" t="s">
        <v>22</v>
      </c>
      <c r="B4474" s="1">
        <v>45844</v>
      </c>
      <c r="C4474">
        <v>10</v>
      </c>
      <c r="D4474">
        <v>0</v>
      </c>
      <c r="E4474" t="s">
        <v>6</v>
      </c>
      <c r="F4474">
        <v>4.8180000000000001E-2</v>
      </c>
    </row>
    <row r="4475" spans="1:6" x14ac:dyDescent="0.3">
      <c r="A4475" t="s">
        <v>22</v>
      </c>
      <c r="B4475" s="1">
        <v>45844</v>
      </c>
      <c r="C4475">
        <v>11</v>
      </c>
      <c r="D4475">
        <v>0</v>
      </c>
      <c r="E4475" t="s">
        <v>6</v>
      </c>
      <c r="F4475">
        <v>4.1849999999999998E-2</v>
      </c>
    </row>
    <row r="4476" spans="1:6" x14ac:dyDescent="0.3">
      <c r="A4476" t="s">
        <v>22</v>
      </c>
      <c r="B4476" s="1">
        <v>45844</v>
      </c>
      <c r="C4476">
        <v>12</v>
      </c>
      <c r="D4476">
        <v>0</v>
      </c>
      <c r="E4476" t="s">
        <v>6</v>
      </c>
      <c r="F4476">
        <v>4.0219999999999999E-2</v>
      </c>
    </row>
    <row r="4477" spans="1:6" x14ac:dyDescent="0.3">
      <c r="A4477" t="s">
        <v>22</v>
      </c>
      <c r="B4477" s="1">
        <v>45844</v>
      </c>
      <c r="C4477">
        <v>13</v>
      </c>
      <c r="D4477">
        <v>0</v>
      </c>
      <c r="E4477" t="s">
        <v>6</v>
      </c>
      <c r="F4477">
        <v>3.9670000000000004E-2</v>
      </c>
    </row>
    <row r="4478" spans="1:6" x14ac:dyDescent="0.3">
      <c r="A4478" t="s">
        <v>22</v>
      </c>
      <c r="B4478" s="1">
        <v>45844</v>
      </c>
      <c r="C4478">
        <v>14</v>
      </c>
      <c r="D4478">
        <v>0</v>
      </c>
      <c r="E4478" t="s">
        <v>6</v>
      </c>
      <c r="F4478">
        <v>4.1610000000000001E-2</v>
      </c>
    </row>
    <row r="4479" spans="1:6" x14ac:dyDescent="0.3">
      <c r="A4479" t="s">
        <v>22</v>
      </c>
      <c r="B4479" s="1">
        <v>45844</v>
      </c>
      <c r="C4479">
        <v>15</v>
      </c>
      <c r="D4479">
        <v>0.89600000000000002</v>
      </c>
      <c r="E4479" t="s">
        <v>6</v>
      </c>
      <c r="F4479">
        <v>4.165E-2</v>
      </c>
    </row>
    <row r="4480" spans="1:6" x14ac:dyDescent="0.3">
      <c r="A4480" t="s">
        <v>22</v>
      </c>
      <c r="B4480" s="1">
        <v>45844</v>
      </c>
      <c r="C4480">
        <v>16</v>
      </c>
      <c r="D4480">
        <v>1.494</v>
      </c>
      <c r="E4480" t="s">
        <v>6</v>
      </c>
      <c r="F4480">
        <v>3.9109999999999999E-2</v>
      </c>
    </row>
    <row r="4481" spans="1:6" x14ac:dyDescent="0.3">
      <c r="A4481" t="s">
        <v>22</v>
      </c>
      <c r="B4481" s="1">
        <v>45844</v>
      </c>
      <c r="C4481">
        <v>17</v>
      </c>
      <c r="D4481">
        <v>0</v>
      </c>
      <c r="E4481" t="s">
        <v>6</v>
      </c>
      <c r="F4481">
        <v>4.061E-2</v>
      </c>
    </row>
    <row r="4482" spans="1:6" x14ac:dyDescent="0.3">
      <c r="A4482" t="s">
        <v>22</v>
      </c>
      <c r="B4482" s="1">
        <v>45844</v>
      </c>
      <c r="C4482">
        <v>18</v>
      </c>
      <c r="D4482">
        <v>0</v>
      </c>
      <c r="E4482" t="s">
        <v>6</v>
      </c>
      <c r="F4482">
        <v>4.0329999999999998E-2</v>
      </c>
    </row>
    <row r="4483" spans="1:6" x14ac:dyDescent="0.3">
      <c r="A4483" t="s">
        <v>22</v>
      </c>
      <c r="B4483" s="1">
        <v>45844</v>
      </c>
      <c r="C4483">
        <v>19</v>
      </c>
      <c r="D4483">
        <v>0.87</v>
      </c>
      <c r="E4483" t="s">
        <v>6</v>
      </c>
      <c r="F4483">
        <v>4.5219999999999996E-2</v>
      </c>
    </row>
    <row r="4484" spans="1:6" x14ac:dyDescent="0.3">
      <c r="A4484" t="s">
        <v>22</v>
      </c>
      <c r="B4484" s="1">
        <v>45844</v>
      </c>
      <c r="C4484">
        <v>20</v>
      </c>
      <c r="D4484">
        <v>1.1100000000000001</v>
      </c>
      <c r="E4484" t="s">
        <v>6</v>
      </c>
      <c r="F4484">
        <v>7.7769999999999992E-2</v>
      </c>
    </row>
    <row r="4485" spans="1:6" x14ac:dyDescent="0.3">
      <c r="A4485" t="s">
        <v>22</v>
      </c>
      <c r="B4485" s="1">
        <v>45844</v>
      </c>
      <c r="C4485">
        <v>21</v>
      </c>
      <c r="D4485">
        <v>1.3939999999999999</v>
      </c>
      <c r="E4485" t="s">
        <v>6</v>
      </c>
      <c r="F4485">
        <v>0.13672000000000001</v>
      </c>
    </row>
    <row r="4486" spans="1:6" x14ac:dyDescent="0.3">
      <c r="A4486" t="s">
        <v>22</v>
      </c>
      <c r="B4486" s="1">
        <v>45844</v>
      </c>
      <c r="C4486">
        <v>22</v>
      </c>
      <c r="D4486">
        <v>0.94699999999999995</v>
      </c>
      <c r="E4486" t="s">
        <v>6</v>
      </c>
      <c r="F4486">
        <v>0.15309</v>
      </c>
    </row>
    <row r="4487" spans="1:6" x14ac:dyDescent="0.3">
      <c r="A4487" t="s">
        <v>22</v>
      </c>
      <c r="B4487" s="1">
        <v>45844</v>
      </c>
      <c r="C4487">
        <v>23</v>
      </c>
      <c r="D4487">
        <v>1.028</v>
      </c>
      <c r="E4487" t="s">
        <v>6</v>
      </c>
      <c r="F4487">
        <v>0.156</v>
      </c>
    </row>
    <row r="4488" spans="1:6" x14ac:dyDescent="0.3">
      <c r="A4488" t="s">
        <v>22</v>
      </c>
      <c r="B4488" s="1">
        <v>45844</v>
      </c>
      <c r="C4488">
        <v>24</v>
      </c>
      <c r="D4488">
        <v>0.46700000000000003</v>
      </c>
      <c r="E4488" t="s">
        <v>6</v>
      </c>
      <c r="F4488">
        <v>0.15409</v>
      </c>
    </row>
    <row r="4489" spans="1:6" x14ac:dyDescent="0.3">
      <c r="A4489" t="s">
        <v>22</v>
      </c>
      <c r="B4489" s="1">
        <v>45845</v>
      </c>
      <c r="C4489">
        <v>1</v>
      </c>
      <c r="D4489">
        <v>0.41899999999999998</v>
      </c>
      <c r="E4489" t="s">
        <v>6</v>
      </c>
      <c r="F4489">
        <v>0.14915</v>
      </c>
    </row>
    <row r="4490" spans="1:6" x14ac:dyDescent="0.3">
      <c r="A4490" t="s">
        <v>22</v>
      </c>
      <c r="B4490" s="1">
        <v>45845</v>
      </c>
      <c r="C4490">
        <v>2</v>
      </c>
      <c r="D4490">
        <v>0.38</v>
      </c>
      <c r="E4490" t="s">
        <v>6</v>
      </c>
      <c r="F4490">
        <v>0.14033000000000001</v>
      </c>
    </row>
    <row r="4491" spans="1:6" x14ac:dyDescent="0.3">
      <c r="A4491" t="s">
        <v>22</v>
      </c>
      <c r="B4491" s="1">
        <v>45845</v>
      </c>
      <c r="C4491">
        <v>3</v>
      </c>
      <c r="D4491">
        <v>0.371</v>
      </c>
      <c r="E4491" t="s">
        <v>6</v>
      </c>
      <c r="F4491">
        <v>0.13739999999999999</v>
      </c>
    </row>
    <row r="4492" spans="1:6" x14ac:dyDescent="0.3">
      <c r="A4492" t="s">
        <v>22</v>
      </c>
      <c r="B4492" s="1">
        <v>45845</v>
      </c>
      <c r="C4492">
        <v>4</v>
      </c>
      <c r="D4492">
        <v>0.379</v>
      </c>
      <c r="E4492" t="s">
        <v>6</v>
      </c>
      <c r="F4492">
        <v>0.13391999999999998</v>
      </c>
    </row>
    <row r="4493" spans="1:6" x14ac:dyDescent="0.3">
      <c r="A4493" t="s">
        <v>22</v>
      </c>
      <c r="B4493" s="1">
        <v>45845</v>
      </c>
      <c r="C4493">
        <v>5</v>
      </c>
      <c r="D4493">
        <v>0.32600000000000001</v>
      </c>
      <c r="E4493" t="s">
        <v>6</v>
      </c>
      <c r="F4493">
        <v>0.13009999999999999</v>
      </c>
    </row>
    <row r="4494" spans="1:6" x14ac:dyDescent="0.3">
      <c r="A4494" t="s">
        <v>22</v>
      </c>
      <c r="B4494" s="1">
        <v>45845</v>
      </c>
      <c r="C4494">
        <v>6</v>
      </c>
      <c r="D4494">
        <v>0.39200000000000002</v>
      </c>
      <c r="E4494" t="s">
        <v>6</v>
      </c>
      <c r="F4494">
        <v>0.13919999999999999</v>
      </c>
    </row>
    <row r="4495" spans="1:6" x14ac:dyDescent="0.3">
      <c r="A4495" t="s">
        <v>22</v>
      </c>
      <c r="B4495" s="1">
        <v>45845</v>
      </c>
      <c r="C4495">
        <v>7</v>
      </c>
      <c r="D4495">
        <v>0.29599999999999999</v>
      </c>
      <c r="E4495" t="s">
        <v>6</v>
      </c>
      <c r="F4495">
        <v>0.14799000000000001</v>
      </c>
    </row>
    <row r="4496" spans="1:6" x14ac:dyDescent="0.3">
      <c r="A4496" t="s">
        <v>22</v>
      </c>
      <c r="B4496" s="1">
        <v>45845</v>
      </c>
      <c r="C4496">
        <v>8</v>
      </c>
      <c r="D4496">
        <v>0.875</v>
      </c>
      <c r="E4496" t="s">
        <v>6</v>
      </c>
      <c r="F4496">
        <v>0.14921999999999999</v>
      </c>
    </row>
    <row r="4497" spans="1:6" x14ac:dyDescent="0.3">
      <c r="A4497" t="s">
        <v>22</v>
      </c>
      <c r="B4497" s="1">
        <v>45845</v>
      </c>
      <c r="C4497">
        <v>9</v>
      </c>
      <c r="D4497">
        <v>0.128</v>
      </c>
      <c r="E4497" t="s">
        <v>6</v>
      </c>
      <c r="F4497">
        <v>0.16069</v>
      </c>
    </row>
    <row r="4498" spans="1:6" x14ac:dyDescent="0.3">
      <c r="A4498" t="s">
        <v>22</v>
      </c>
      <c r="B4498" s="1">
        <v>45845</v>
      </c>
      <c r="C4498">
        <v>10</v>
      </c>
      <c r="D4498">
        <v>0.17599999999999999</v>
      </c>
      <c r="E4498" t="s">
        <v>6</v>
      </c>
      <c r="F4498">
        <v>0.12415000000000001</v>
      </c>
    </row>
    <row r="4499" spans="1:6" x14ac:dyDescent="0.3">
      <c r="A4499" t="s">
        <v>22</v>
      </c>
      <c r="B4499" s="1">
        <v>45845</v>
      </c>
      <c r="C4499">
        <v>11</v>
      </c>
      <c r="D4499">
        <v>0</v>
      </c>
      <c r="E4499" t="s">
        <v>6</v>
      </c>
      <c r="F4499">
        <v>0.16637000000000002</v>
      </c>
    </row>
    <row r="4500" spans="1:6" x14ac:dyDescent="0.3">
      <c r="A4500" t="s">
        <v>22</v>
      </c>
      <c r="B4500" s="1">
        <v>45845</v>
      </c>
      <c r="C4500">
        <v>12</v>
      </c>
      <c r="D4500">
        <v>0</v>
      </c>
      <c r="E4500" t="s">
        <v>6</v>
      </c>
      <c r="F4500">
        <v>0.14521000000000001</v>
      </c>
    </row>
    <row r="4501" spans="1:6" x14ac:dyDescent="0.3">
      <c r="A4501" t="s">
        <v>22</v>
      </c>
      <c r="B4501" s="1">
        <v>45845</v>
      </c>
      <c r="C4501">
        <v>13</v>
      </c>
      <c r="D4501">
        <v>0</v>
      </c>
      <c r="E4501" t="s">
        <v>6</v>
      </c>
      <c r="F4501">
        <v>0.14202999999999999</v>
      </c>
    </row>
    <row r="4502" spans="1:6" x14ac:dyDescent="0.3">
      <c r="A4502" t="s">
        <v>22</v>
      </c>
      <c r="B4502" s="1">
        <v>45845</v>
      </c>
      <c r="C4502">
        <v>14</v>
      </c>
      <c r="D4502">
        <v>0</v>
      </c>
      <c r="E4502" t="s">
        <v>6</v>
      </c>
      <c r="F4502">
        <v>0.12988</v>
      </c>
    </row>
    <row r="4503" spans="1:6" x14ac:dyDescent="0.3">
      <c r="A4503" t="s">
        <v>22</v>
      </c>
      <c r="B4503" s="1">
        <v>45845</v>
      </c>
      <c r="C4503">
        <v>15</v>
      </c>
      <c r="D4503">
        <v>0</v>
      </c>
      <c r="E4503" t="s">
        <v>6</v>
      </c>
      <c r="F4503">
        <v>6.4510000000000012E-2</v>
      </c>
    </row>
    <row r="4504" spans="1:6" x14ac:dyDescent="0.3">
      <c r="A4504" t="s">
        <v>22</v>
      </c>
      <c r="B4504" s="1">
        <v>45845</v>
      </c>
      <c r="C4504">
        <v>16</v>
      </c>
      <c r="D4504">
        <v>0</v>
      </c>
      <c r="E4504" t="s">
        <v>6</v>
      </c>
      <c r="F4504">
        <v>6.3270000000000007E-2</v>
      </c>
    </row>
    <row r="4505" spans="1:6" x14ac:dyDescent="0.3">
      <c r="A4505" t="s">
        <v>22</v>
      </c>
      <c r="B4505" s="1">
        <v>45845</v>
      </c>
      <c r="C4505">
        <v>17</v>
      </c>
      <c r="D4505">
        <v>0</v>
      </c>
      <c r="E4505" t="s">
        <v>6</v>
      </c>
      <c r="F4505">
        <v>6.1069999999999999E-2</v>
      </c>
    </row>
    <row r="4506" spans="1:6" x14ac:dyDescent="0.3">
      <c r="A4506" t="s">
        <v>22</v>
      </c>
      <c r="B4506" s="1">
        <v>45845</v>
      </c>
      <c r="C4506">
        <v>18</v>
      </c>
      <c r="D4506">
        <v>0</v>
      </c>
      <c r="E4506" t="s">
        <v>6</v>
      </c>
      <c r="F4506">
        <v>6.1950000000000005E-2</v>
      </c>
    </row>
    <row r="4507" spans="1:6" x14ac:dyDescent="0.3">
      <c r="A4507" t="s">
        <v>22</v>
      </c>
      <c r="B4507" s="1">
        <v>45845</v>
      </c>
      <c r="C4507">
        <v>19</v>
      </c>
      <c r="D4507">
        <v>0</v>
      </c>
      <c r="E4507" t="s">
        <v>6</v>
      </c>
      <c r="F4507">
        <v>0.13119</v>
      </c>
    </row>
    <row r="4508" spans="1:6" x14ac:dyDescent="0.3">
      <c r="A4508" t="s">
        <v>22</v>
      </c>
      <c r="B4508" s="1">
        <v>45845</v>
      </c>
      <c r="C4508">
        <v>20</v>
      </c>
      <c r="D4508">
        <v>1.173</v>
      </c>
      <c r="E4508" t="s">
        <v>6</v>
      </c>
      <c r="F4508">
        <v>0.16913999999999998</v>
      </c>
    </row>
    <row r="4509" spans="1:6" x14ac:dyDescent="0.3">
      <c r="A4509" t="s">
        <v>22</v>
      </c>
      <c r="B4509" s="1">
        <v>45845</v>
      </c>
      <c r="C4509">
        <v>21</v>
      </c>
      <c r="D4509">
        <v>1.3979999999999999</v>
      </c>
      <c r="E4509" t="s">
        <v>6</v>
      </c>
      <c r="F4509">
        <v>0.21537000000000001</v>
      </c>
    </row>
    <row r="4510" spans="1:6" x14ac:dyDescent="0.3">
      <c r="A4510" t="s">
        <v>22</v>
      </c>
      <c r="B4510" s="1">
        <v>45845</v>
      </c>
      <c r="C4510">
        <v>22</v>
      </c>
      <c r="D4510">
        <v>1.2789999999999999</v>
      </c>
      <c r="E4510" t="s">
        <v>6</v>
      </c>
      <c r="F4510">
        <v>0.24687999999999999</v>
      </c>
    </row>
    <row r="4511" spans="1:6" x14ac:dyDescent="0.3">
      <c r="A4511" t="s">
        <v>22</v>
      </c>
      <c r="B4511" s="1">
        <v>45845</v>
      </c>
      <c r="C4511">
        <v>23</v>
      </c>
      <c r="D4511">
        <v>0.61399999999999999</v>
      </c>
      <c r="E4511" t="s">
        <v>6</v>
      </c>
      <c r="F4511">
        <v>0.18126</v>
      </c>
    </row>
    <row r="4512" spans="1:6" x14ac:dyDescent="0.3">
      <c r="A4512" t="s">
        <v>22</v>
      </c>
      <c r="B4512" s="1">
        <v>45845</v>
      </c>
      <c r="C4512">
        <v>24</v>
      </c>
      <c r="D4512">
        <v>0.54700000000000004</v>
      </c>
      <c r="E4512" t="s">
        <v>6</v>
      </c>
      <c r="F4512">
        <v>0.17351</v>
      </c>
    </row>
    <row r="4513" spans="1:6" x14ac:dyDescent="0.3">
      <c r="A4513" t="s">
        <v>22</v>
      </c>
      <c r="B4513" s="1">
        <v>45846</v>
      </c>
      <c r="C4513">
        <v>1</v>
      </c>
      <c r="D4513">
        <v>0.502</v>
      </c>
      <c r="E4513" t="s">
        <v>6</v>
      </c>
      <c r="F4513">
        <v>0.13159000000000001</v>
      </c>
    </row>
    <row r="4514" spans="1:6" x14ac:dyDescent="0.3">
      <c r="A4514" t="s">
        <v>22</v>
      </c>
      <c r="B4514" s="1">
        <v>45846</v>
      </c>
      <c r="C4514">
        <v>2</v>
      </c>
      <c r="D4514">
        <v>1.373</v>
      </c>
      <c r="E4514" t="s">
        <v>6</v>
      </c>
      <c r="F4514">
        <v>0.11459</v>
      </c>
    </row>
    <row r="4515" spans="1:6" x14ac:dyDescent="0.3">
      <c r="A4515" t="s">
        <v>22</v>
      </c>
      <c r="B4515" s="1">
        <v>45846</v>
      </c>
      <c r="C4515">
        <v>3</v>
      </c>
      <c r="D4515">
        <v>0.47799999999999998</v>
      </c>
      <c r="E4515" t="s">
        <v>6</v>
      </c>
      <c r="F4515">
        <v>0.10264</v>
      </c>
    </row>
    <row r="4516" spans="1:6" x14ac:dyDescent="0.3">
      <c r="A4516" t="s">
        <v>22</v>
      </c>
      <c r="B4516" s="1">
        <v>45846</v>
      </c>
      <c r="C4516">
        <v>4</v>
      </c>
      <c r="D4516">
        <v>0.48399999999999999</v>
      </c>
      <c r="E4516" t="s">
        <v>6</v>
      </c>
      <c r="F4516">
        <v>8.3629999999999996E-2</v>
      </c>
    </row>
    <row r="4517" spans="1:6" x14ac:dyDescent="0.3">
      <c r="A4517" t="s">
        <v>22</v>
      </c>
      <c r="B4517" s="1">
        <v>45846</v>
      </c>
      <c r="C4517">
        <v>5</v>
      </c>
      <c r="D4517">
        <v>0.48499999999999999</v>
      </c>
      <c r="E4517" t="s">
        <v>6</v>
      </c>
      <c r="F4517">
        <v>8.3830000000000002E-2</v>
      </c>
    </row>
    <row r="4518" spans="1:6" x14ac:dyDescent="0.3">
      <c r="A4518" t="s">
        <v>22</v>
      </c>
      <c r="B4518" s="1">
        <v>45846</v>
      </c>
      <c r="C4518">
        <v>6</v>
      </c>
      <c r="D4518">
        <v>0.32100000000000001</v>
      </c>
      <c r="E4518" t="s">
        <v>6</v>
      </c>
      <c r="F4518">
        <v>7.8150000000000011E-2</v>
      </c>
    </row>
    <row r="4519" spans="1:6" x14ac:dyDescent="0.3">
      <c r="A4519" t="s">
        <v>22</v>
      </c>
      <c r="B4519" s="1">
        <v>45846</v>
      </c>
      <c r="C4519">
        <v>7</v>
      </c>
      <c r="D4519">
        <v>0.36499999999999999</v>
      </c>
      <c r="E4519" t="s">
        <v>6</v>
      </c>
      <c r="F4519">
        <v>0.11070000000000001</v>
      </c>
    </row>
    <row r="4520" spans="1:6" x14ac:dyDescent="0.3">
      <c r="A4520" t="s">
        <v>22</v>
      </c>
      <c r="B4520" s="1">
        <v>45846</v>
      </c>
      <c r="C4520">
        <v>8</v>
      </c>
      <c r="D4520">
        <v>0.25700000000000001</v>
      </c>
      <c r="E4520" t="s">
        <v>6</v>
      </c>
      <c r="F4520">
        <v>0.12584999999999999</v>
      </c>
    </row>
    <row r="4521" spans="1:6" x14ac:dyDescent="0.3">
      <c r="A4521" t="s">
        <v>22</v>
      </c>
      <c r="B4521" s="1">
        <v>45846</v>
      </c>
      <c r="C4521">
        <v>9</v>
      </c>
      <c r="D4521">
        <v>0</v>
      </c>
      <c r="E4521" t="s">
        <v>6</v>
      </c>
      <c r="F4521">
        <v>0.13532</v>
      </c>
    </row>
    <row r="4522" spans="1:6" x14ac:dyDescent="0.3">
      <c r="A4522" t="s">
        <v>22</v>
      </c>
      <c r="B4522" s="1">
        <v>45846</v>
      </c>
      <c r="C4522">
        <v>10</v>
      </c>
      <c r="D4522">
        <v>0</v>
      </c>
      <c r="E4522" t="s">
        <v>6</v>
      </c>
      <c r="F4522">
        <v>8.7260000000000004E-2</v>
      </c>
    </row>
    <row r="4523" spans="1:6" x14ac:dyDescent="0.3">
      <c r="A4523" t="s">
        <v>22</v>
      </c>
      <c r="B4523" s="1">
        <v>45846</v>
      </c>
      <c r="C4523">
        <v>11</v>
      </c>
      <c r="D4523">
        <v>0</v>
      </c>
      <c r="E4523" t="s">
        <v>6</v>
      </c>
      <c r="F4523">
        <v>0.13475999999999999</v>
      </c>
    </row>
    <row r="4524" spans="1:6" x14ac:dyDescent="0.3">
      <c r="A4524" t="s">
        <v>22</v>
      </c>
      <c r="B4524" s="1">
        <v>45846</v>
      </c>
      <c r="C4524">
        <v>12</v>
      </c>
      <c r="D4524">
        <v>0</v>
      </c>
      <c r="E4524" t="s">
        <v>6</v>
      </c>
      <c r="F4524">
        <v>0.13172999999999999</v>
      </c>
    </row>
    <row r="4525" spans="1:6" x14ac:dyDescent="0.3">
      <c r="A4525" t="s">
        <v>22</v>
      </c>
      <c r="B4525" s="1">
        <v>45846</v>
      </c>
      <c r="C4525">
        <v>13</v>
      </c>
      <c r="D4525">
        <v>0</v>
      </c>
      <c r="E4525" t="s">
        <v>6</v>
      </c>
      <c r="F4525">
        <v>0.13122</v>
      </c>
    </row>
    <row r="4526" spans="1:6" x14ac:dyDescent="0.3">
      <c r="A4526" t="s">
        <v>22</v>
      </c>
      <c r="B4526" s="1">
        <v>45846</v>
      </c>
      <c r="C4526">
        <v>14</v>
      </c>
      <c r="D4526">
        <v>0</v>
      </c>
      <c r="E4526" t="s">
        <v>6</v>
      </c>
      <c r="F4526">
        <v>0.13028999999999999</v>
      </c>
    </row>
    <row r="4527" spans="1:6" x14ac:dyDescent="0.3">
      <c r="A4527" t="s">
        <v>22</v>
      </c>
      <c r="B4527" s="1">
        <v>45846</v>
      </c>
      <c r="C4527">
        <v>15</v>
      </c>
      <c r="D4527">
        <v>0</v>
      </c>
      <c r="E4527" t="s">
        <v>6</v>
      </c>
      <c r="F4527">
        <v>6.5530000000000005E-2</v>
      </c>
    </row>
    <row r="4528" spans="1:6" x14ac:dyDescent="0.3">
      <c r="A4528" t="s">
        <v>22</v>
      </c>
      <c r="B4528" s="1">
        <v>45846</v>
      </c>
      <c r="C4528">
        <v>16</v>
      </c>
      <c r="D4528">
        <v>0</v>
      </c>
      <c r="E4528" t="s">
        <v>6</v>
      </c>
      <c r="F4528">
        <v>6.5750000000000003E-2</v>
      </c>
    </row>
    <row r="4529" spans="1:6" x14ac:dyDescent="0.3">
      <c r="A4529" t="s">
        <v>22</v>
      </c>
      <c r="B4529" s="1">
        <v>45846</v>
      </c>
      <c r="C4529">
        <v>17</v>
      </c>
      <c r="D4529">
        <v>0</v>
      </c>
      <c r="E4529" t="s">
        <v>6</v>
      </c>
      <c r="F4529">
        <v>6.7449999999999996E-2</v>
      </c>
    </row>
    <row r="4530" spans="1:6" x14ac:dyDescent="0.3">
      <c r="A4530" t="s">
        <v>22</v>
      </c>
      <c r="B4530" s="1">
        <v>45846</v>
      </c>
      <c r="C4530">
        <v>18</v>
      </c>
      <c r="D4530">
        <v>0</v>
      </c>
      <c r="E4530" t="s">
        <v>6</v>
      </c>
      <c r="F4530">
        <v>8.2000000000000003E-2</v>
      </c>
    </row>
    <row r="4531" spans="1:6" x14ac:dyDescent="0.3">
      <c r="A4531" t="s">
        <v>22</v>
      </c>
      <c r="B4531" s="1">
        <v>45846</v>
      </c>
      <c r="C4531">
        <v>19</v>
      </c>
      <c r="D4531">
        <v>0</v>
      </c>
      <c r="E4531" t="s">
        <v>6</v>
      </c>
      <c r="F4531">
        <v>0.18287</v>
      </c>
    </row>
    <row r="4532" spans="1:6" x14ac:dyDescent="0.3">
      <c r="A4532" t="s">
        <v>22</v>
      </c>
      <c r="B4532" s="1">
        <v>45846</v>
      </c>
      <c r="C4532">
        <v>20</v>
      </c>
      <c r="D4532">
        <v>1.196</v>
      </c>
      <c r="E4532" t="s">
        <v>6</v>
      </c>
      <c r="F4532">
        <v>0.20402000000000001</v>
      </c>
    </row>
    <row r="4533" spans="1:6" x14ac:dyDescent="0.3">
      <c r="A4533" t="s">
        <v>22</v>
      </c>
      <c r="B4533" s="1">
        <v>45846</v>
      </c>
      <c r="C4533">
        <v>21</v>
      </c>
      <c r="D4533">
        <v>0.86099999999999999</v>
      </c>
      <c r="E4533" t="s">
        <v>6</v>
      </c>
      <c r="F4533">
        <v>0.24625999999999998</v>
      </c>
    </row>
    <row r="4534" spans="1:6" x14ac:dyDescent="0.3">
      <c r="A4534" t="s">
        <v>22</v>
      </c>
      <c r="B4534" s="1">
        <v>45846</v>
      </c>
      <c r="C4534">
        <v>22</v>
      </c>
      <c r="D4534">
        <v>0.64100000000000001</v>
      </c>
      <c r="E4534" t="s">
        <v>6</v>
      </c>
      <c r="F4534">
        <v>0.25256000000000001</v>
      </c>
    </row>
    <row r="4535" spans="1:6" x14ac:dyDescent="0.3">
      <c r="A4535" t="s">
        <v>22</v>
      </c>
      <c r="B4535" s="1">
        <v>45846</v>
      </c>
      <c r="C4535">
        <v>23</v>
      </c>
      <c r="D4535">
        <v>0.75900000000000001</v>
      </c>
      <c r="E4535" t="s">
        <v>6</v>
      </c>
      <c r="F4535">
        <v>0.18797999999999998</v>
      </c>
    </row>
    <row r="4536" spans="1:6" x14ac:dyDescent="0.3">
      <c r="A4536" t="s">
        <v>22</v>
      </c>
      <c r="B4536" s="1">
        <v>45846</v>
      </c>
      <c r="C4536">
        <v>24</v>
      </c>
      <c r="D4536">
        <v>0.65400000000000003</v>
      </c>
      <c r="E4536" t="s">
        <v>6</v>
      </c>
      <c r="F4536">
        <v>0.18531999999999998</v>
      </c>
    </row>
    <row r="4537" spans="1:6" x14ac:dyDescent="0.3">
      <c r="A4537" t="s">
        <v>22</v>
      </c>
      <c r="B4537" s="1">
        <v>45847</v>
      </c>
      <c r="C4537">
        <v>1</v>
      </c>
      <c r="D4537">
        <v>0.54100000000000004</v>
      </c>
      <c r="E4537" t="s">
        <v>6</v>
      </c>
      <c r="F4537">
        <v>0.14119000000000001</v>
      </c>
    </row>
    <row r="4538" spans="1:6" x14ac:dyDescent="0.3">
      <c r="A4538" t="s">
        <v>22</v>
      </c>
      <c r="B4538" s="1">
        <v>45847</v>
      </c>
      <c r="C4538">
        <v>2</v>
      </c>
      <c r="D4538">
        <v>0.42599999999999999</v>
      </c>
      <c r="E4538" t="s">
        <v>6</v>
      </c>
      <c r="F4538">
        <v>0.13508000000000001</v>
      </c>
    </row>
    <row r="4539" spans="1:6" x14ac:dyDescent="0.3">
      <c r="A4539" t="s">
        <v>22</v>
      </c>
      <c r="B4539" s="1">
        <v>45847</v>
      </c>
      <c r="C4539">
        <v>3</v>
      </c>
      <c r="D4539">
        <v>0.41499999999999998</v>
      </c>
      <c r="E4539" t="s">
        <v>6</v>
      </c>
      <c r="F4539">
        <v>0.13288</v>
      </c>
    </row>
    <row r="4540" spans="1:6" x14ac:dyDescent="0.3">
      <c r="A4540" t="s">
        <v>22</v>
      </c>
      <c r="B4540" s="1">
        <v>45847</v>
      </c>
      <c r="C4540">
        <v>4</v>
      </c>
      <c r="D4540">
        <v>0.48199999999999998</v>
      </c>
      <c r="E4540" t="s">
        <v>6</v>
      </c>
      <c r="F4540">
        <v>0.13143000000000002</v>
      </c>
    </row>
    <row r="4541" spans="1:6" x14ac:dyDescent="0.3">
      <c r="A4541" t="s">
        <v>22</v>
      </c>
      <c r="B4541" s="1">
        <v>45847</v>
      </c>
      <c r="C4541">
        <v>5</v>
      </c>
      <c r="D4541">
        <v>0.46899999999999997</v>
      </c>
      <c r="E4541" t="s">
        <v>6</v>
      </c>
      <c r="F4541">
        <v>0.13713999999999998</v>
      </c>
    </row>
    <row r="4542" spans="1:6" x14ac:dyDescent="0.3">
      <c r="A4542" t="s">
        <v>22</v>
      </c>
      <c r="B4542" s="1">
        <v>45847</v>
      </c>
      <c r="C4542">
        <v>6</v>
      </c>
      <c r="D4542">
        <v>1.5580000000000001</v>
      </c>
      <c r="E4542" t="s">
        <v>6</v>
      </c>
      <c r="F4542">
        <v>0.13800999999999999</v>
      </c>
    </row>
    <row r="4543" spans="1:6" x14ac:dyDescent="0.3">
      <c r="A4543" t="s">
        <v>22</v>
      </c>
      <c r="B4543" s="1">
        <v>45847</v>
      </c>
      <c r="C4543">
        <v>7</v>
      </c>
      <c r="D4543">
        <v>0.44500000000000001</v>
      </c>
      <c r="E4543" t="s">
        <v>6</v>
      </c>
      <c r="F4543">
        <v>0.13678999999999999</v>
      </c>
    </row>
    <row r="4544" spans="1:6" x14ac:dyDescent="0.3">
      <c r="A4544" t="s">
        <v>22</v>
      </c>
      <c r="B4544" s="1">
        <v>45847</v>
      </c>
      <c r="C4544">
        <v>8</v>
      </c>
      <c r="D4544">
        <v>0.29099999999999998</v>
      </c>
      <c r="E4544" t="s">
        <v>6</v>
      </c>
      <c r="F4544">
        <v>0.14077999999999999</v>
      </c>
    </row>
    <row r="4545" spans="1:6" x14ac:dyDescent="0.3">
      <c r="A4545" t="s">
        <v>22</v>
      </c>
      <c r="B4545" s="1">
        <v>45847</v>
      </c>
      <c r="C4545">
        <v>9</v>
      </c>
      <c r="D4545">
        <v>0.111</v>
      </c>
      <c r="E4545" t="s">
        <v>6</v>
      </c>
      <c r="F4545">
        <v>0.16200000000000001</v>
      </c>
    </row>
    <row r="4546" spans="1:6" x14ac:dyDescent="0.3">
      <c r="A4546" t="s">
        <v>22</v>
      </c>
      <c r="B4546" s="1">
        <v>45847</v>
      </c>
      <c r="C4546">
        <v>10</v>
      </c>
      <c r="D4546">
        <v>0</v>
      </c>
      <c r="E4546" t="s">
        <v>6</v>
      </c>
      <c r="F4546">
        <v>0.156</v>
      </c>
    </row>
    <row r="4547" spans="1:6" x14ac:dyDescent="0.3">
      <c r="A4547" t="s">
        <v>22</v>
      </c>
      <c r="B4547" s="1">
        <v>45847</v>
      </c>
      <c r="C4547">
        <v>11</v>
      </c>
      <c r="D4547">
        <v>0</v>
      </c>
      <c r="E4547" t="s">
        <v>6</v>
      </c>
      <c r="F4547">
        <v>0.17604</v>
      </c>
    </row>
    <row r="4548" spans="1:6" x14ac:dyDescent="0.3">
      <c r="A4548" t="s">
        <v>22</v>
      </c>
      <c r="B4548" s="1">
        <v>45847</v>
      </c>
      <c r="C4548">
        <v>12</v>
      </c>
      <c r="D4548">
        <v>0</v>
      </c>
      <c r="E4548" t="s">
        <v>6</v>
      </c>
      <c r="F4548">
        <v>0.15806999999999999</v>
      </c>
    </row>
    <row r="4549" spans="1:6" x14ac:dyDescent="0.3">
      <c r="A4549" t="s">
        <v>22</v>
      </c>
      <c r="B4549" s="1">
        <v>45847</v>
      </c>
      <c r="C4549">
        <v>13</v>
      </c>
      <c r="D4549">
        <v>0</v>
      </c>
      <c r="E4549" t="s">
        <v>6</v>
      </c>
      <c r="F4549">
        <v>0.15430000000000002</v>
      </c>
    </row>
    <row r="4550" spans="1:6" x14ac:dyDescent="0.3">
      <c r="A4550" t="s">
        <v>22</v>
      </c>
      <c r="B4550" s="1">
        <v>45847</v>
      </c>
      <c r="C4550">
        <v>14</v>
      </c>
      <c r="D4550">
        <v>0</v>
      </c>
      <c r="E4550" t="s">
        <v>6</v>
      </c>
      <c r="F4550">
        <v>0.15278999999999998</v>
      </c>
    </row>
    <row r="4551" spans="1:6" x14ac:dyDescent="0.3">
      <c r="A4551" t="s">
        <v>22</v>
      </c>
      <c r="B4551" s="1">
        <v>45847</v>
      </c>
      <c r="C4551">
        <v>15</v>
      </c>
      <c r="D4551">
        <v>0</v>
      </c>
      <c r="E4551" t="s">
        <v>6</v>
      </c>
      <c r="F4551">
        <v>8.7510000000000004E-2</v>
      </c>
    </row>
    <row r="4552" spans="1:6" x14ac:dyDescent="0.3">
      <c r="A4552" t="s">
        <v>22</v>
      </c>
      <c r="B4552" s="1">
        <v>45847</v>
      </c>
      <c r="C4552">
        <v>16</v>
      </c>
      <c r="D4552">
        <v>0</v>
      </c>
      <c r="E4552" t="s">
        <v>6</v>
      </c>
      <c r="F4552">
        <v>8.924E-2</v>
      </c>
    </row>
    <row r="4553" spans="1:6" x14ac:dyDescent="0.3">
      <c r="A4553" t="s">
        <v>22</v>
      </c>
      <c r="B4553" s="1">
        <v>45847</v>
      </c>
      <c r="C4553">
        <v>17</v>
      </c>
      <c r="D4553">
        <v>0</v>
      </c>
      <c r="E4553" t="s">
        <v>6</v>
      </c>
      <c r="F4553">
        <v>0.10206</v>
      </c>
    </row>
    <row r="4554" spans="1:6" x14ac:dyDescent="0.3">
      <c r="A4554" t="s">
        <v>22</v>
      </c>
      <c r="B4554" s="1">
        <v>45847</v>
      </c>
      <c r="C4554">
        <v>18</v>
      </c>
      <c r="D4554">
        <v>0</v>
      </c>
      <c r="E4554" t="s">
        <v>6</v>
      </c>
      <c r="F4554">
        <v>0.12633</v>
      </c>
    </row>
    <row r="4555" spans="1:6" x14ac:dyDescent="0.3">
      <c r="A4555" t="s">
        <v>22</v>
      </c>
      <c r="B4555" s="1">
        <v>45847</v>
      </c>
      <c r="C4555">
        <v>19</v>
      </c>
      <c r="D4555">
        <v>0</v>
      </c>
      <c r="E4555" t="s">
        <v>6</v>
      </c>
      <c r="F4555">
        <v>0.19608</v>
      </c>
    </row>
    <row r="4556" spans="1:6" x14ac:dyDescent="0.3">
      <c r="A4556" t="s">
        <v>22</v>
      </c>
      <c r="B4556" s="1">
        <v>45847</v>
      </c>
      <c r="C4556">
        <v>20</v>
      </c>
      <c r="D4556">
        <v>0.44500000000000001</v>
      </c>
      <c r="E4556" t="s">
        <v>6</v>
      </c>
      <c r="F4556">
        <v>0.23166</v>
      </c>
    </row>
    <row r="4557" spans="1:6" x14ac:dyDescent="0.3">
      <c r="A4557" t="s">
        <v>22</v>
      </c>
      <c r="B4557" s="1">
        <v>45847</v>
      </c>
      <c r="C4557">
        <v>21</v>
      </c>
      <c r="D4557">
        <v>0.435</v>
      </c>
      <c r="E4557" t="s">
        <v>6</v>
      </c>
      <c r="F4557">
        <v>0.23636000000000001</v>
      </c>
    </row>
    <row r="4558" spans="1:6" x14ac:dyDescent="0.3">
      <c r="A4558" t="s">
        <v>22</v>
      </c>
      <c r="B4558" s="1">
        <v>45847</v>
      </c>
      <c r="C4558">
        <v>22</v>
      </c>
      <c r="D4558">
        <v>0.76800000000000002</v>
      </c>
      <c r="E4558" t="s">
        <v>6</v>
      </c>
      <c r="F4558">
        <v>0.28492000000000001</v>
      </c>
    </row>
    <row r="4559" spans="1:6" x14ac:dyDescent="0.3">
      <c r="A4559" t="s">
        <v>22</v>
      </c>
      <c r="B4559" s="1">
        <v>45847</v>
      </c>
      <c r="C4559">
        <v>23</v>
      </c>
      <c r="D4559">
        <v>0.59399999999999997</v>
      </c>
      <c r="E4559" t="s">
        <v>6</v>
      </c>
      <c r="F4559">
        <v>0.20684</v>
      </c>
    </row>
    <row r="4560" spans="1:6" x14ac:dyDescent="0.3">
      <c r="A4560" t="s">
        <v>22</v>
      </c>
      <c r="B4560" s="1">
        <v>45847</v>
      </c>
      <c r="C4560">
        <v>24</v>
      </c>
      <c r="D4560">
        <v>0.55800000000000005</v>
      </c>
      <c r="E4560" t="s">
        <v>6</v>
      </c>
      <c r="F4560">
        <v>0.17899000000000001</v>
      </c>
    </row>
    <row r="4561" spans="1:6" x14ac:dyDescent="0.3">
      <c r="A4561" t="s">
        <v>22</v>
      </c>
      <c r="B4561" s="1">
        <v>45848</v>
      </c>
      <c r="C4561">
        <v>1</v>
      </c>
      <c r="D4561">
        <v>1.2789999999999999</v>
      </c>
      <c r="E4561" t="s">
        <v>6</v>
      </c>
      <c r="F4561">
        <v>0.14812</v>
      </c>
    </row>
    <row r="4562" spans="1:6" x14ac:dyDescent="0.3">
      <c r="A4562" t="s">
        <v>22</v>
      </c>
      <c r="B4562" s="1">
        <v>45848</v>
      </c>
      <c r="C4562">
        <v>2</v>
      </c>
      <c r="D4562">
        <v>0.42699999999999999</v>
      </c>
      <c r="E4562" t="s">
        <v>6</v>
      </c>
      <c r="F4562">
        <v>0.13963</v>
      </c>
    </row>
    <row r="4563" spans="1:6" x14ac:dyDescent="0.3">
      <c r="A4563" t="s">
        <v>22</v>
      </c>
      <c r="B4563" s="1">
        <v>45848</v>
      </c>
      <c r="C4563">
        <v>3</v>
      </c>
      <c r="D4563">
        <v>0.47499999999999998</v>
      </c>
      <c r="E4563" t="s">
        <v>6</v>
      </c>
      <c r="F4563">
        <v>0.13643</v>
      </c>
    </row>
    <row r="4564" spans="1:6" x14ac:dyDescent="0.3">
      <c r="A4564" t="s">
        <v>22</v>
      </c>
      <c r="B4564" s="1">
        <v>45848</v>
      </c>
      <c r="C4564">
        <v>4</v>
      </c>
      <c r="D4564">
        <v>0.442</v>
      </c>
      <c r="E4564" t="s">
        <v>6</v>
      </c>
      <c r="F4564">
        <v>0.13303999999999999</v>
      </c>
    </row>
    <row r="4565" spans="1:6" x14ac:dyDescent="0.3">
      <c r="A4565" t="s">
        <v>22</v>
      </c>
      <c r="B4565" s="1">
        <v>45848</v>
      </c>
      <c r="C4565">
        <v>5</v>
      </c>
      <c r="D4565">
        <v>0.47699999999999998</v>
      </c>
      <c r="E4565" t="s">
        <v>6</v>
      </c>
      <c r="F4565">
        <v>0.13263999999999998</v>
      </c>
    </row>
    <row r="4566" spans="1:6" x14ac:dyDescent="0.3">
      <c r="A4566" t="s">
        <v>22</v>
      </c>
      <c r="B4566" s="1">
        <v>45848</v>
      </c>
      <c r="C4566">
        <v>6</v>
      </c>
      <c r="D4566">
        <v>0.45100000000000001</v>
      </c>
      <c r="E4566" t="s">
        <v>6</v>
      </c>
      <c r="F4566">
        <v>0.13338</v>
      </c>
    </row>
    <row r="4567" spans="1:6" x14ac:dyDescent="0.3">
      <c r="A4567" t="s">
        <v>22</v>
      </c>
      <c r="B4567" s="1">
        <v>45848</v>
      </c>
      <c r="C4567">
        <v>7</v>
      </c>
      <c r="D4567">
        <v>0.49099999999999999</v>
      </c>
      <c r="E4567" t="s">
        <v>6</v>
      </c>
      <c r="F4567">
        <v>0.14069999999999999</v>
      </c>
    </row>
    <row r="4568" spans="1:6" x14ac:dyDescent="0.3">
      <c r="A4568" t="s">
        <v>22</v>
      </c>
      <c r="B4568" s="1">
        <v>45848</v>
      </c>
      <c r="C4568">
        <v>8</v>
      </c>
      <c r="D4568">
        <v>0.14399999999999999</v>
      </c>
      <c r="E4568" t="s">
        <v>6</v>
      </c>
      <c r="F4568">
        <v>0.14690999999999999</v>
      </c>
    </row>
    <row r="4569" spans="1:6" x14ac:dyDescent="0.3">
      <c r="A4569" t="s">
        <v>22</v>
      </c>
      <c r="B4569" s="1">
        <v>45848</v>
      </c>
      <c r="C4569">
        <v>9</v>
      </c>
      <c r="D4569">
        <v>9.7000000000000003E-2</v>
      </c>
      <c r="E4569" t="s">
        <v>6</v>
      </c>
      <c r="F4569">
        <v>0.15528</v>
      </c>
    </row>
    <row r="4570" spans="1:6" x14ac:dyDescent="0.3">
      <c r="A4570" t="s">
        <v>22</v>
      </c>
      <c r="B4570" s="1">
        <v>45848</v>
      </c>
      <c r="C4570">
        <v>10</v>
      </c>
      <c r="D4570">
        <v>0</v>
      </c>
      <c r="E4570" t="s">
        <v>6</v>
      </c>
      <c r="F4570">
        <v>0.15447999999999998</v>
      </c>
    </row>
    <row r="4571" spans="1:6" x14ac:dyDescent="0.3">
      <c r="A4571" t="s">
        <v>22</v>
      </c>
      <c r="B4571" s="1">
        <v>45848</v>
      </c>
      <c r="C4571">
        <v>11</v>
      </c>
      <c r="D4571">
        <v>0</v>
      </c>
      <c r="E4571" t="s">
        <v>6</v>
      </c>
      <c r="F4571">
        <v>0.21731</v>
      </c>
    </row>
    <row r="4572" spans="1:6" x14ac:dyDescent="0.3">
      <c r="A4572" t="s">
        <v>22</v>
      </c>
      <c r="B4572" s="1">
        <v>45848</v>
      </c>
      <c r="C4572">
        <v>12</v>
      </c>
      <c r="D4572">
        <v>0</v>
      </c>
      <c r="E4572" t="s">
        <v>6</v>
      </c>
      <c r="F4572">
        <v>0.2223</v>
      </c>
    </row>
    <row r="4573" spans="1:6" x14ac:dyDescent="0.3">
      <c r="A4573" t="s">
        <v>22</v>
      </c>
      <c r="B4573" s="1">
        <v>45848</v>
      </c>
      <c r="C4573">
        <v>13</v>
      </c>
      <c r="D4573">
        <v>0</v>
      </c>
      <c r="E4573" t="s">
        <v>6</v>
      </c>
      <c r="F4573">
        <v>0.18687000000000001</v>
      </c>
    </row>
    <row r="4574" spans="1:6" x14ac:dyDescent="0.3">
      <c r="A4574" t="s">
        <v>22</v>
      </c>
      <c r="B4574" s="1">
        <v>45848</v>
      </c>
      <c r="C4574">
        <v>14</v>
      </c>
      <c r="D4574">
        <v>1.7769999999999999</v>
      </c>
      <c r="E4574" t="s">
        <v>6</v>
      </c>
      <c r="F4574">
        <v>0.18330000000000002</v>
      </c>
    </row>
    <row r="4575" spans="1:6" x14ac:dyDescent="0.3">
      <c r="A4575" t="s">
        <v>22</v>
      </c>
      <c r="B4575" s="1">
        <v>45848</v>
      </c>
      <c r="C4575">
        <v>15</v>
      </c>
      <c r="D4575">
        <v>2.7519999999999998</v>
      </c>
      <c r="E4575" t="s">
        <v>6</v>
      </c>
      <c r="F4575">
        <v>0.11912</v>
      </c>
    </row>
    <row r="4576" spans="1:6" x14ac:dyDescent="0.3">
      <c r="A4576" t="s">
        <v>22</v>
      </c>
      <c r="B4576" s="1">
        <v>45848</v>
      </c>
      <c r="C4576">
        <v>16</v>
      </c>
      <c r="D4576">
        <v>1.29</v>
      </c>
      <c r="E4576" t="s">
        <v>6</v>
      </c>
      <c r="F4576">
        <v>0.11928</v>
      </c>
    </row>
    <row r="4577" spans="1:6" x14ac:dyDescent="0.3">
      <c r="A4577" t="s">
        <v>22</v>
      </c>
      <c r="B4577" s="1">
        <v>45848</v>
      </c>
      <c r="C4577">
        <v>17</v>
      </c>
      <c r="D4577">
        <v>0</v>
      </c>
      <c r="E4577" t="s">
        <v>6</v>
      </c>
      <c r="F4577">
        <v>0.11883000000000001</v>
      </c>
    </row>
    <row r="4578" spans="1:6" x14ac:dyDescent="0.3">
      <c r="A4578" t="s">
        <v>22</v>
      </c>
      <c r="B4578" s="1">
        <v>45848</v>
      </c>
      <c r="C4578">
        <v>18</v>
      </c>
      <c r="D4578">
        <v>0</v>
      </c>
      <c r="E4578" t="s">
        <v>6</v>
      </c>
      <c r="F4578">
        <v>0.12051000000000001</v>
      </c>
    </row>
    <row r="4579" spans="1:6" x14ac:dyDescent="0.3">
      <c r="A4579" t="s">
        <v>22</v>
      </c>
      <c r="B4579" s="1">
        <v>45848</v>
      </c>
      <c r="C4579">
        <v>19</v>
      </c>
      <c r="D4579">
        <v>0.62</v>
      </c>
      <c r="E4579" t="s">
        <v>6</v>
      </c>
      <c r="F4579">
        <v>0.19899</v>
      </c>
    </row>
    <row r="4580" spans="1:6" x14ac:dyDescent="0.3">
      <c r="A4580" t="s">
        <v>22</v>
      </c>
      <c r="B4580" s="1">
        <v>45848</v>
      </c>
      <c r="C4580">
        <v>20</v>
      </c>
      <c r="D4580">
        <v>0.50800000000000001</v>
      </c>
      <c r="E4580" t="s">
        <v>6</v>
      </c>
      <c r="F4580">
        <v>0.21788999999999997</v>
      </c>
    </row>
    <row r="4581" spans="1:6" x14ac:dyDescent="0.3">
      <c r="A4581" t="s">
        <v>22</v>
      </c>
      <c r="B4581" s="1">
        <v>45848</v>
      </c>
      <c r="C4581">
        <v>21</v>
      </c>
      <c r="D4581">
        <v>0.95799999999999996</v>
      </c>
      <c r="E4581" t="s">
        <v>6</v>
      </c>
      <c r="F4581">
        <v>0.23291000000000001</v>
      </c>
    </row>
    <row r="4582" spans="1:6" x14ac:dyDescent="0.3">
      <c r="A4582" t="s">
        <v>22</v>
      </c>
      <c r="B4582" s="1">
        <v>45848</v>
      </c>
      <c r="C4582">
        <v>22</v>
      </c>
      <c r="D4582">
        <v>0.65600000000000003</v>
      </c>
      <c r="E4582" t="s">
        <v>6</v>
      </c>
      <c r="F4582">
        <v>0.27294000000000002</v>
      </c>
    </row>
    <row r="4583" spans="1:6" x14ac:dyDescent="0.3">
      <c r="A4583" t="s">
        <v>22</v>
      </c>
      <c r="B4583" s="1">
        <v>45848</v>
      </c>
      <c r="C4583">
        <v>23</v>
      </c>
      <c r="D4583">
        <v>1.4610000000000001</v>
      </c>
      <c r="E4583" t="s">
        <v>6</v>
      </c>
      <c r="F4583">
        <v>0.22765000000000002</v>
      </c>
    </row>
    <row r="4584" spans="1:6" x14ac:dyDescent="0.3">
      <c r="A4584" t="s">
        <v>22</v>
      </c>
      <c r="B4584" s="1">
        <v>45848</v>
      </c>
      <c r="C4584">
        <v>24</v>
      </c>
      <c r="D4584">
        <v>0.59499999999999997</v>
      </c>
      <c r="E4584" t="s">
        <v>6</v>
      </c>
      <c r="F4584">
        <v>0.18187</v>
      </c>
    </row>
    <row r="4585" spans="1:6" x14ac:dyDescent="0.3">
      <c r="A4585" t="s">
        <v>22</v>
      </c>
      <c r="B4585" s="1">
        <v>45849</v>
      </c>
      <c r="C4585">
        <v>1</v>
      </c>
      <c r="D4585">
        <v>0.53300000000000003</v>
      </c>
      <c r="E4585" t="s">
        <v>6</v>
      </c>
      <c r="F4585">
        <v>0.14876</v>
      </c>
    </row>
    <row r="4586" spans="1:6" x14ac:dyDescent="0.3">
      <c r="A4586" t="s">
        <v>22</v>
      </c>
      <c r="B4586" s="1">
        <v>45849</v>
      </c>
      <c r="C4586">
        <v>2</v>
      </c>
      <c r="D4586">
        <v>0.53400000000000003</v>
      </c>
      <c r="E4586" t="s">
        <v>6</v>
      </c>
      <c r="F4586">
        <v>0.14166000000000001</v>
      </c>
    </row>
    <row r="4587" spans="1:6" x14ac:dyDescent="0.3">
      <c r="A4587" t="s">
        <v>22</v>
      </c>
      <c r="B4587" s="1">
        <v>45849</v>
      </c>
      <c r="C4587">
        <v>3</v>
      </c>
      <c r="D4587">
        <v>0.45800000000000002</v>
      </c>
      <c r="E4587" t="s">
        <v>6</v>
      </c>
      <c r="F4587">
        <v>0.14002999999999999</v>
      </c>
    </row>
    <row r="4588" spans="1:6" x14ac:dyDescent="0.3">
      <c r="A4588" t="s">
        <v>22</v>
      </c>
      <c r="B4588" s="1">
        <v>45849</v>
      </c>
      <c r="C4588">
        <v>4</v>
      </c>
      <c r="D4588">
        <v>0.51600000000000001</v>
      </c>
      <c r="E4588" t="s">
        <v>6</v>
      </c>
      <c r="F4588">
        <v>0.13603999999999999</v>
      </c>
    </row>
    <row r="4589" spans="1:6" x14ac:dyDescent="0.3">
      <c r="A4589" t="s">
        <v>22</v>
      </c>
      <c r="B4589" s="1">
        <v>45849</v>
      </c>
      <c r="C4589">
        <v>5</v>
      </c>
      <c r="D4589">
        <v>0.44900000000000001</v>
      </c>
      <c r="E4589" t="s">
        <v>6</v>
      </c>
      <c r="F4589">
        <v>0.13593</v>
      </c>
    </row>
    <row r="4590" spans="1:6" x14ac:dyDescent="0.3">
      <c r="A4590" t="s">
        <v>22</v>
      </c>
      <c r="B4590" s="1">
        <v>45849</v>
      </c>
      <c r="C4590">
        <v>6</v>
      </c>
      <c r="D4590">
        <v>0.40600000000000003</v>
      </c>
      <c r="E4590" t="s">
        <v>6</v>
      </c>
      <c r="F4590">
        <v>0.13611999999999999</v>
      </c>
    </row>
    <row r="4591" spans="1:6" x14ac:dyDescent="0.3">
      <c r="A4591" t="s">
        <v>22</v>
      </c>
      <c r="B4591" s="1">
        <v>45849</v>
      </c>
      <c r="C4591">
        <v>7</v>
      </c>
      <c r="D4591">
        <v>0.45700000000000002</v>
      </c>
      <c r="E4591" t="s">
        <v>6</v>
      </c>
      <c r="F4591">
        <v>0.14427000000000001</v>
      </c>
    </row>
    <row r="4592" spans="1:6" x14ac:dyDescent="0.3">
      <c r="A4592" t="s">
        <v>22</v>
      </c>
      <c r="B4592" s="1">
        <v>45849</v>
      </c>
      <c r="C4592">
        <v>8</v>
      </c>
      <c r="D4592">
        <v>0.309</v>
      </c>
      <c r="E4592" t="s">
        <v>6</v>
      </c>
      <c r="F4592">
        <v>0.15183000000000002</v>
      </c>
    </row>
    <row r="4593" spans="1:6" x14ac:dyDescent="0.3">
      <c r="A4593" t="s">
        <v>22</v>
      </c>
      <c r="B4593" s="1">
        <v>45849</v>
      </c>
      <c r="C4593">
        <v>9</v>
      </c>
      <c r="D4593">
        <v>0</v>
      </c>
      <c r="E4593" t="s">
        <v>6</v>
      </c>
      <c r="F4593">
        <v>0.16018000000000002</v>
      </c>
    </row>
    <row r="4594" spans="1:6" x14ac:dyDescent="0.3">
      <c r="A4594" t="s">
        <v>22</v>
      </c>
      <c r="B4594" s="1">
        <v>45849</v>
      </c>
      <c r="C4594">
        <v>10</v>
      </c>
      <c r="D4594">
        <v>0</v>
      </c>
      <c r="E4594" t="s">
        <v>6</v>
      </c>
      <c r="F4594">
        <v>0.15406</v>
      </c>
    </row>
    <row r="4595" spans="1:6" x14ac:dyDescent="0.3">
      <c r="A4595" t="s">
        <v>22</v>
      </c>
      <c r="B4595" s="1">
        <v>45849</v>
      </c>
      <c r="C4595">
        <v>11</v>
      </c>
      <c r="D4595">
        <v>0</v>
      </c>
      <c r="E4595" t="s">
        <v>6</v>
      </c>
      <c r="F4595">
        <v>0.17352999999999999</v>
      </c>
    </row>
    <row r="4596" spans="1:6" x14ac:dyDescent="0.3">
      <c r="A4596" t="s">
        <v>22</v>
      </c>
      <c r="B4596" s="1">
        <v>45849</v>
      </c>
      <c r="C4596">
        <v>12</v>
      </c>
      <c r="D4596">
        <v>0</v>
      </c>
      <c r="E4596" t="s">
        <v>6</v>
      </c>
      <c r="F4596">
        <v>0.18947999999999998</v>
      </c>
    </row>
    <row r="4597" spans="1:6" x14ac:dyDescent="0.3">
      <c r="A4597" t="s">
        <v>22</v>
      </c>
      <c r="B4597" s="1">
        <v>45849</v>
      </c>
      <c r="C4597">
        <v>13</v>
      </c>
      <c r="D4597">
        <v>0.26200000000000001</v>
      </c>
      <c r="E4597" t="s">
        <v>6</v>
      </c>
      <c r="F4597">
        <v>0.19399</v>
      </c>
    </row>
    <row r="4598" spans="1:6" x14ac:dyDescent="0.3">
      <c r="A4598" t="s">
        <v>22</v>
      </c>
      <c r="B4598" s="1">
        <v>45849</v>
      </c>
      <c r="C4598">
        <v>14</v>
      </c>
      <c r="D4598">
        <v>0</v>
      </c>
      <c r="E4598" t="s">
        <v>6</v>
      </c>
      <c r="F4598">
        <v>0.18593000000000001</v>
      </c>
    </row>
    <row r="4599" spans="1:6" x14ac:dyDescent="0.3">
      <c r="A4599" t="s">
        <v>22</v>
      </c>
      <c r="B4599" s="1">
        <v>45849</v>
      </c>
      <c r="C4599">
        <v>15</v>
      </c>
      <c r="D4599">
        <v>0</v>
      </c>
      <c r="E4599" t="s">
        <v>6</v>
      </c>
      <c r="F4599">
        <v>0.10843999999999999</v>
      </c>
    </row>
    <row r="4600" spans="1:6" x14ac:dyDescent="0.3">
      <c r="A4600" t="s">
        <v>22</v>
      </c>
      <c r="B4600" s="1">
        <v>45849</v>
      </c>
      <c r="C4600">
        <v>16</v>
      </c>
      <c r="D4600">
        <v>0</v>
      </c>
      <c r="E4600" t="s">
        <v>6</v>
      </c>
      <c r="F4600">
        <v>0.10664</v>
      </c>
    </row>
    <row r="4601" spans="1:6" x14ac:dyDescent="0.3">
      <c r="A4601" t="s">
        <v>22</v>
      </c>
      <c r="B4601" s="1">
        <v>45849</v>
      </c>
      <c r="C4601">
        <v>17</v>
      </c>
      <c r="D4601">
        <v>0</v>
      </c>
      <c r="E4601" t="s">
        <v>6</v>
      </c>
      <c r="F4601">
        <v>0.10163999999999999</v>
      </c>
    </row>
    <row r="4602" spans="1:6" x14ac:dyDescent="0.3">
      <c r="A4602" t="s">
        <v>22</v>
      </c>
      <c r="B4602" s="1">
        <v>45849</v>
      </c>
      <c r="C4602">
        <v>18</v>
      </c>
      <c r="D4602">
        <v>3.2000000000000001E-2</v>
      </c>
      <c r="E4602" t="s">
        <v>6</v>
      </c>
      <c r="F4602">
        <v>0.10809999999999999</v>
      </c>
    </row>
    <row r="4603" spans="1:6" x14ac:dyDescent="0.3">
      <c r="A4603" t="s">
        <v>22</v>
      </c>
      <c r="B4603" s="1">
        <v>45849</v>
      </c>
      <c r="C4603">
        <v>19</v>
      </c>
      <c r="D4603">
        <v>1.2210000000000001</v>
      </c>
      <c r="E4603" t="s">
        <v>6</v>
      </c>
      <c r="F4603">
        <v>0.18065999999999999</v>
      </c>
    </row>
    <row r="4604" spans="1:6" x14ac:dyDescent="0.3">
      <c r="A4604" t="s">
        <v>22</v>
      </c>
      <c r="B4604" s="1">
        <v>45849</v>
      </c>
      <c r="C4604">
        <v>20</v>
      </c>
      <c r="D4604">
        <v>1.9370000000000001</v>
      </c>
      <c r="E4604" t="s">
        <v>6</v>
      </c>
      <c r="F4604">
        <v>0.21572999999999998</v>
      </c>
    </row>
    <row r="4605" spans="1:6" x14ac:dyDescent="0.3">
      <c r="A4605" t="s">
        <v>22</v>
      </c>
      <c r="B4605" s="1">
        <v>45849</v>
      </c>
      <c r="C4605">
        <v>21</v>
      </c>
      <c r="D4605">
        <v>0.74099999999999999</v>
      </c>
      <c r="E4605" t="s">
        <v>6</v>
      </c>
      <c r="F4605">
        <v>0.23124</v>
      </c>
    </row>
    <row r="4606" spans="1:6" x14ac:dyDescent="0.3">
      <c r="A4606" t="s">
        <v>22</v>
      </c>
      <c r="B4606" s="1">
        <v>45849</v>
      </c>
      <c r="C4606">
        <v>22</v>
      </c>
      <c r="D4606">
        <v>1.0529999999999999</v>
      </c>
      <c r="E4606" t="s">
        <v>6</v>
      </c>
      <c r="F4606">
        <v>0.2429</v>
      </c>
    </row>
    <row r="4607" spans="1:6" x14ac:dyDescent="0.3">
      <c r="A4607" t="s">
        <v>22</v>
      </c>
      <c r="B4607" s="1">
        <v>45849</v>
      </c>
      <c r="C4607">
        <v>23</v>
      </c>
      <c r="D4607">
        <v>0.66400000000000003</v>
      </c>
      <c r="E4607" t="s">
        <v>6</v>
      </c>
      <c r="F4607">
        <v>0.19172</v>
      </c>
    </row>
    <row r="4608" spans="1:6" x14ac:dyDescent="0.3">
      <c r="A4608" t="s">
        <v>22</v>
      </c>
      <c r="B4608" s="1">
        <v>45849</v>
      </c>
      <c r="C4608">
        <v>24</v>
      </c>
      <c r="D4608">
        <v>0.57899999999999996</v>
      </c>
      <c r="E4608" t="s">
        <v>6</v>
      </c>
      <c r="F4608">
        <v>0.18278999999999998</v>
      </c>
    </row>
    <row r="4609" spans="1:6" x14ac:dyDescent="0.3">
      <c r="A4609" t="s">
        <v>22</v>
      </c>
      <c r="B4609" s="1">
        <v>45850</v>
      </c>
      <c r="C4609">
        <v>1</v>
      </c>
      <c r="D4609">
        <v>0.54900000000000004</v>
      </c>
      <c r="E4609" t="s">
        <v>6</v>
      </c>
      <c r="F4609">
        <v>0.15678</v>
      </c>
    </row>
    <row r="4610" spans="1:6" x14ac:dyDescent="0.3">
      <c r="A4610" t="s">
        <v>22</v>
      </c>
      <c r="B4610" s="1">
        <v>45850</v>
      </c>
      <c r="C4610">
        <v>2</v>
      </c>
      <c r="D4610">
        <v>0.42299999999999999</v>
      </c>
      <c r="E4610" t="s">
        <v>6</v>
      </c>
      <c r="F4610">
        <v>0.1535</v>
      </c>
    </row>
    <row r="4611" spans="1:6" x14ac:dyDescent="0.3">
      <c r="A4611" t="s">
        <v>22</v>
      </c>
      <c r="B4611" s="1">
        <v>45850</v>
      </c>
      <c r="C4611">
        <v>3</v>
      </c>
      <c r="D4611">
        <v>0.47499999999999998</v>
      </c>
      <c r="E4611" t="s">
        <v>6</v>
      </c>
      <c r="F4611">
        <v>0.14915999999999999</v>
      </c>
    </row>
    <row r="4612" spans="1:6" x14ac:dyDescent="0.3">
      <c r="A4612" t="s">
        <v>22</v>
      </c>
      <c r="B4612" s="1">
        <v>45850</v>
      </c>
      <c r="C4612">
        <v>4</v>
      </c>
      <c r="D4612">
        <v>0.44900000000000001</v>
      </c>
      <c r="E4612" t="s">
        <v>6</v>
      </c>
      <c r="F4612">
        <v>0.14129</v>
      </c>
    </row>
    <row r="4613" spans="1:6" x14ac:dyDescent="0.3">
      <c r="A4613" t="s">
        <v>22</v>
      </c>
      <c r="B4613" s="1">
        <v>45850</v>
      </c>
      <c r="C4613">
        <v>5</v>
      </c>
      <c r="D4613">
        <v>0.49199999999999999</v>
      </c>
      <c r="E4613" t="s">
        <v>6</v>
      </c>
      <c r="F4613">
        <v>0.13879</v>
      </c>
    </row>
    <row r="4614" spans="1:6" x14ac:dyDescent="0.3">
      <c r="A4614" t="s">
        <v>22</v>
      </c>
      <c r="B4614" s="1">
        <v>45850</v>
      </c>
      <c r="C4614">
        <v>6</v>
      </c>
      <c r="D4614">
        <v>0.58699999999999997</v>
      </c>
      <c r="E4614" t="s">
        <v>6</v>
      </c>
      <c r="F4614">
        <v>0.13708000000000001</v>
      </c>
    </row>
    <row r="4615" spans="1:6" x14ac:dyDescent="0.3">
      <c r="A4615" t="s">
        <v>22</v>
      </c>
      <c r="B4615" s="1">
        <v>45850</v>
      </c>
      <c r="C4615">
        <v>7</v>
      </c>
      <c r="D4615">
        <v>1.1419999999999999</v>
      </c>
      <c r="E4615" t="s">
        <v>6</v>
      </c>
      <c r="F4615">
        <v>0.14424999999999999</v>
      </c>
    </row>
    <row r="4616" spans="1:6" x14ac:dyDescent="0.3">
      <c r="A4616" t="s">
        <v>22</v>
      </c>
      <c r="B4616" s="1">
        <v>45850</v>
      </c>
      <c r="C4616">
        <v>8</v>
      </c>
      <c r="D4616">
        <v>0.53200000000000003</v>
      </c>
      <c r="E4616" t="s">
        <v>6</v>
      </c>
      <c r="F4616">
        <v>0.15611000000000003</v>
      </c>
    </row>
    <row r="4617" spans="1:6" x14ac:dyDescent="0.3">
      <c r="A4617" t="s">
        <v>22</v>
      </c>
      <c r="B4617" s="1">
        <v>45850</v>
      </c>
      <c r="C4617">
        <v>9</v>
      </c>
      <c r="D4617">
        <v>0.44900000000000001</v>
      </c>
      <c r="E4617" t="s">
        <v>6</v>
      </c>
      <c r="F4617">
        <v>0.14244000000000001</v>
      </c>
    </row>
    <row r="4618" spans="1:6" x14ac:dyDescent="0.3">
      <c r="A4618" t="s">
        <v>22</v>
      </c>
      <c r="B4618" s="1">
        <v>45850</v>
      </c>
      <c r="C4618">
        <v>10</v>
      </c>
      <c r="D4618">
        <v>0.52400000000000002</v>
      </c>
      <c r="E4618" t="s">
        <v>6</v>
      </c>
      <c r="F4618">
        <v>0.11044</v>
      </c>
    </row>
    <row r="4619" spans="1:6" x14ac:dyDescent="0.3">
      <c r="A4619" t="s">
        <v>22</v>
      </c>
      <c r="B4619" s="1">
        <v>45850</v>
      </c>
      <c r="C4619">
        <v>11</v>
      </c>
      <c r="D4619">
        <v>1.2889999999999999</v>
      </c>
      <c r="E4619" t="s">
        <v>6</v>
      </c>
      <c r="F4619">
        <v>7.535E-2</v>
      </c>
    </row>
    <row r="4620" spans="1:6" x14ac:dyDescent="0.3">
      <c r="A4620" t="s">
        <v>22</v>
      </c>
      <c r="B4620" s="1">
        <v>45850</v>
      </c>
      <c r="C4620">
        <v>12</v>
      </c>
      <c r="D4620">
        <v>1.5649999999999999</v>
      </c>
      <c r="E4620" t="s">
        <v>6</v>
      </c>
      <c r="F4620">
        <v>4.845E-2</v>
      </c>
    </row>
    <row r="4621" spans="1:6" x14ac:dyDescent="0.3">
      <c r="A4621" t="s">
        <v>22</v>
      </c>
      <c r="B4621" s="1">
        <v>45850</v>
      </c>
      <c r="C4621">
        <v>13</v>
      </c>
      <c r="D4621">
        <v>1.0640000000000001</v>
      </c>
      <c r="E4621" t="s">
        <v>6</v>
      </c>
      <c r="F4621">
        <v>4.2819999999999997E-2</v>
      </c>
    </row>
    <row r="4622" spans="1:6" x14ac:dyDescent="0.3">
      <c r="A4622" t="s">
        <v>22</v>
      </c>
      <c r="B4622" s="1">
        <v>45850</v>
      </c>
      <c r="C4622">
        <v>14</v>
      </c>
      <c r="D4622">
        <v>1.181</v>
      </c>
      <c r="E4622" t="s">
        <v>6</v>
      </c>
      <c r="F4622">
        <v>3.1219999999999998E-2</v>
      </c>
    </row>
    <row r="4623" spans="1:6" x14ac:dyDescent="0.3">
      <c r="A4623" t="s">
        <v>22</v>
      </c>
      <c r="B4623" s="1">
        <v>45850</v>
      </c>
      <c r="C4623">
        <v>15</v>
      </c>
      <c r="D4623">
        <v>1.6870000000000001</v>
      </c>
      <c r="E4623" t="s">
        <v>6</v>
      </c>
      <c r="F4623">
        <v>2.9569999999999999E-2</v>
      </c>
    </row>
    <row r="4624" spans="1:6" x14ac:dyDescent="0.3">
      <c r="A4624" t="s">
        <v>22</v>
      </c>
      <c r="B4624" s="1">
        <v>45850</v>
      </c>
      <c r="C4624">
        <v>16</v>
      </c>
      <c r="D4624">
        <v>2.09</v>
      </c>
      <c r="E4624" t="s">
        <v>6</v>
      </c>
      <c r="F4624">
        <v>2.6260000000000002E-2</v>
      </c>
    </row>
    <row r="4625" spans="1:6" x14ac:dyDescent="0.3">
      <c r="A4625" t="s">
        <v>22</v>
      </c>
      <c r="B4625" s="1">
        <v>45850</v>
      </c>
      <c r="C4625">
        <v>17</v>
      </c>
      <c r="D4625">
        <v>0.42799999999999999</v>
      </c>
      <c r="E4625" t="s">
        <v>6</v>
      </c>
      <c r="F4625">
        <v>5.1459999999999999E-2</v>
      </c>
    </row>
    <row r="4626" spans="1:6" x14ac:dyDescent="0.3">
      <c r="A4626" t="s">
        <v>22</v>
      </c>
      <c r="B4626" s="1">
        <v>45850</v>
      </c>
      <c r="C4626">
        <v>18</v>
      </c>
      <c r="D4626">
        <v>0.45100000000000001</v>
      </c>
      <c r="E4626" t="s">
        <v>6</v>
      </c>
      <c r="F4626">
        <v>7.8280000000000002E-2</v>
      </c>
    </row>
    <row r="4627" spans="1:6" x14ac:dyDescent="0.3">
      <c r="A4627" t="s">
        <v>22</v>
      </c>
      <c r="B4627" s="1">
        <v>45850</v>
      </c>
      <c r="C4627">
        <v>19</v>
      </c>
      <c r="D4627">
        <v>0.622</v>
      </c>
      <c r="E4627" t="s">
        <v>6</v>
      </c>
      <c r="F4627">
        <v>9.5519999999999994E-2</v>
      </c>
    </row>
    <row r="4628" spans="1:6" x14ac:dyDescent="0.3">
      <c r="A4628" t="s">
        <v>22</v>
      </c>
      <c r="B4628" s="1">
        <v>45850</v>
      </c>
      <c r="C4628">
        <v>20</v>
      </c>
      <c r="D4628">
        <v>0.14399999999999999</v>
      </c>
      <c r="E4628" t="s">
        <v>6</v>
      </c>
      <c r="F4628">
        <v>0.11329</v>
      </c>
    </row>
    <row r="4629" spans="1:6" x14ac:dyDescent="0.3">
      <c r="A4629" t="s">
        <v>22</v>
      </c>
      <c r="B4629" s="1">
        <v>45850</v>
      </c>
      <c r="C4629">
        <v>21</v>
      </c>
      <c r="D4629">
        <v>0.23</v>
      </c>
      <c r="E4629" t="s">
        <v>6</v>
      </c>
      <c r="F4629">
        <v>0.14216999999999999</v>
      </c>
    </row>
    <row r="4630" spans="1:6" x14ac:dyDescent="0.3">
      <c r="A4630" t="s">
        <v>22</v>
      </c>
      <c r="B4630" s="1">
        <v>45850</v>
      </c>
      <c r="C4630">
        <v>22</v>
      </c>
      <c r="D4630">
        <v>0.48799999999999999</v>
      </c>
      <c r="E4630" t="s">
        <v>6</v>
      </c>
      <c r="F4630">
        <v>0.16383</v>
      </c>
    </row>
    <row r="4631" spans="1:6" x14ac:dyDescent="0.3">
      <c r="A4631" t="s">
        <v>22</v>
      </c>
      <c r="B4631" s="1">
        <v>45850</v>
      </c>
      <c r="C4631">
        <v>23</v>
      </c>
      <c r="D4631">
        <v>0.71699999999999997</v>
      </c>
      <c r="E4631" t="s">
        <v>6</v>
      </c>
      <c r="F4631">
        <v>0.17244000000000001</v>
      </c>
    </row>
    <row r="4632" spans="1:6" x14ac:dyDescent="0.3">
      <c r="A4632" t="s">
        <v>22</v>
      </c>
      <c r="B4632" s="1">
        <v>45850</v>
      </c>
      <c r="C4632">
        <v>24</v>
      </c>
      <c r="D4632">
        <v>0.54700000000000004</v>
      </c>
      <c r="E4632" t="s">
        <v>6</v>
      </c>
      <c r="F4632">
        <v>0.15981999999999999</v>
      </c>
    </row>
    <row r="4633" spans="1:6" x14ac:dyDescent="0.3">
      <c r="A4633" t="s">
        <v>22</v>
      </c>
      <c r="B4633" s="1">
        <v>45851</v>
      </c>
      <c r="C4633">
        <v>1</v>
      </c>
      <c r="D4633">
        <v>0.45200000000000001</v>
      </c>
      <c r="E4633" t="s">
        <v>6</v>
      </c>
      <c r="F4633">
        <v>0.1613</v>
      </c>
    </row>
    <row r="4634" spans="1:6" x14ac:dyDescent="0.3">
      <c r="A4634" t="s">
        <v>22</v>
      </c>
      <c r="B4634" s="1">
        <v>45851</v>
      </c>
      <c r="C4634">
        <v>2</v>
      </c>
      <c r="D4634">
        <v>0.41099999999999998</v>
      </c>
      <c r="E4634" t="s">
        <v>6</v>
      </c>
      <c r="F4634">
        <v>0.15940000000000001</v>
      </c>
    </row>
    <row r="4635" spans="1:6" x14ac:dyDescent="0.3">
      <c r="A4635" t="s">
        <v>22</v>
      </c>
      <c r="B4635" s="1">
        <v>45851</v>
      </c>
      <c r="C4635">
        <v>3</v>
      </c>
      <c r="D4635">
        <v>0.35299999999999998</v>
      </c>
      <c r="E4635" t="s">
        <v>6</v>
      </c>
      <c r="F4635">
        <v>0.15672</v>
      </c>
    </row>
    <row r="4636" spans="1:6" x14ac:dyDescent="0.3">
      <c r="A4636" t="s">
        <v>22</v>
      </c>
      <c r="B4636" s="1">
        <v>45851</v>
      </c>
      <c r="C4636">
        <v>4</v>
      </c>
      <c r="D4636">
        <v>0.376</v>
      </c>
      <c r="E4636" t="s">
        <v>6</v>
      </c>
      <c r="F4636">
        <v>0.15803</v>
      </c>
    </row>
    <row r="4637" spans="1:6" x14ac:dyDescent="0.3">
      <c r="A4637" t="s">
        <v>22</v>
      </c>
      <c r="B4637" s="1">
        <v>45851</v>
      </c>
      <c r="C4637">
        <v>5</v>
      </c>
      <c r="D4637">
        <v>0.33</v>
      </c>
      <c r="E4637" t="s">
        <v>6</v>
      </c>
      <c r="F4637">
        <v>0.15218999999999999</v>
      </c>
    </row>
    <row r="4638" spans="1:6" x14ac:dyDescent="0.3">
      <c r="A4638" t="s">
        <v>22</v>
      </c>
      <c r="B4638" s="1">
        <v>45851</v>
      </c>
      <c r="C4638">
        <v>6</v>
      </c>
      <c r="D4638">
        <v>0.39</v>
      </c>
      <c r="E4638" t="s">
        <v>6</v>
      </c>
      <c r="F4638">
        <v>0.14792</v>
      </c>
    </row>
    <row r="4639" spans="1:6" x14ac:dyDescent="0.3">
      <c r="A4639" t="s">
        <v>22</v>
      </c>
      <c r="B4639" s="1">
        <v>45851</v>
      </c>
      <c r="C4639">
        <v>7</v>
      </c>
      <c r="D4639">
        <v>0.32600000000000001</v>
      </c>
      <c r="E4639" t="s">
        <v>6</v>
      </c>
      <c r="F4639">
        <v>0.14939</v>
      </c>
    </row>
    <row r="4640" spans="1:6" x14ac:dyDescent="0.3">
      <c r="A4640" t="s">
        <v>22</v>
      </c>
      <c r="B4640" s="1">
        <v>45851</v>
      </c>
      <c r="C4640">
        <v>8</v>
      </c>
      <c r="D4640">
        <v>5.8000000000000003E-2</v>
      </c>
      <c r="E4640" t="s">
        <v>6</v>
      </c>
      <c r="F4640">
        <v>0.15305000000000002</v>
      </c>
    </row>
    <row r="4641" spans="1:6" x14ac:dyDescent="0.3">
      <c r="A4641" t="s">
        <v>22</v>
      </c>
      <c r="B4641" s="1">
        <v>45851</v>
      </c>
      <c r="C4641">
        <v>9</v>
      </c>
      <c r="D4641">
        <v>0</v>
      </c>
      <c r="E4641" t="s">
        <v>6</v>
      </c>
      <c r="F4641">
        <v>0.10396</v>
      </c>
    </row>
    <row r="4642" spans="1:6" x14ac:dyDescent="0.3">
      <c r="A4642" t="s">
        <v>22</v>
      </c>
      <c r="B4642" s="1">
        <v>45851</v>
      </c>
      <c r="C4642">
        <v>10</v>
      </c>
      <c r="D4642">
        <v>0</v>
      </c>
      <c r="E4642" t="s">
        <v>6</v>
      </c>
      <c r="F4642">
        <v>5.7479999999999996E-2</v>
      </c>
    </row>
    <row r="4643" spans="1:6" x14ac:dyDescent="0.3">
      <c r="A4643" t="s">
        <v>22</v>
      </c>
      <c r="B4643" s="1">
        <v>45851</v>
      </c>
      <c r="C4643">
        <v>11</v>
      </c>
      <c r="D4643">
        <v>0</v>
      </c>
      <c r="E4643" t="s">
        <v>6</v>
      </c>
      <c r="F4643">
        <v>4.1090000000000002E-2</v>
      </c>
    </row>
    <row r="4644" spans="1:6" x14ac:dyDescent="0.3">
      <c r="A4644" t="s">
        <v>22</v>
      </c>
      <c r="B4644" s="1">
        <v>45851</v>
      </c>
      <c r="C4644">
        <v>12</v>
      </c>
      <c r="D4644">
        <v>0</v>
      </c>
      <c r="E4644" t="s">
        <v>6</v>
      </c>
      <c r="F4644">
        <v>3.5610000000000003E-2</v>
      </c>
    </row>
    <row r="4645" spans="1:6" x14ac:dyDescent="0.3">
      <c r="A4645" t="s">
        <v>22</v>
      </c>
      <c r="B4645" s="1">
        <v>45851</v>
      </c>
      <c r="C4645">
        <v>13</v>
      </c>
      <c r="D4645">
        <v>1.0620000000000001</v>
      </c>
      <c r="E4645" t="s">
        <v>6</v>
      </c>
      <c r="F4645">
        <v>3.4770000000000002E-2</v>
      </c>
    </row>
    <row r="4646" spans="1:6" x14ac:dyDescent="0.3">
      <c r="A4646" t="s">
        <v>22</v>
      </c>
      <c r="B4646" s="1">
        <v>45851</v>
      </c>
      <c r="C4646">
        <v>14</v>
      </c>
      <c r="D4646">
        <v>1.5880000000000001</v>
      </c>
      <c r="E4646" t="s">
        <v>6</v>
      </c>
      <c r="F4646">
        <v>3.4049999999999997E-2</v>
      </c>
    </row>
    <row r="4647" spans="1:6" x14ac:dyDescent="0.3">
      <c r="A4647" t="s">
        <v>22</v>
      </c>
      <c r="B4647" s="1">
        <v>45851</v>
      </c>
      <c r="C4647">
        <v>15</v>
      </c>
      <c r="D4647">
        <v>0</v>
      </c>
      <c r="E4647" t="s">
        <v>6</v>
      </c>
      <c r="F4647">
        <v>3.356E-2</v>
      </c>
    </row>
    <row r="4648" spans="1:6" x14ac:dyDescent="0.3">
      <c r="A4648" t="s">
        <v>22</v>
      </c>
      <c r="B4648" s="1">
        <v>45851</v>
      </c>
      <c r="C4648">
        <v>16</v>
      </c>
      <c r="D4648">
        <v>0</v>
      </c>
      <c r="E4648" t="s">
        <v>6</v>
      </c>
      <c r="F4648">
        <v>3.3960000000000004E-2</v>
      </c>
    </row>
    <row r="4649" spans="1:6" x14ac:dyDescent="0.3">
      <c r="A4649" t="s">
        <v>22</v>
      </c>
      <c r="B4649" s="1">
        <v>45851</v>
      </c>
      <c r="C4649">
        <v>17</v>
      </c>
      <c r="D4649">
        <v>0</v>
      </c>
      <c r="E4649" t="s">
        <v>6</v>
      </c>
      <c r="F4649">
        <v>3.5499999999999997E-2</v>
      </c>
    </row>
    <row r="4650" spans="1:6" x14ac:dyDescent="0.3">
      <c r="A4650" t="s">
        <v>22</v>
      </c>
      <c r="B4650" s="1">
        <v>45851</v>
      </c>
      <c r="C4650">
        <v>18</v>
      </c>
      <c r="D4650">
        <v>0</v>
      </c>
      <c r="E4650" t="s">
        <v>6</v>
      </c>
      <c r="F4650">
        <v>4.0989999999999999E-2</v>
      </c>
    </row>
    <row r="4651" spans="1:6" x14ac:dyDescent="0.3">
      <c r="A4651" t="s">
        <v>22</v>
      </c>
      <c r="B4651" s="1">
        <v>45851</v>
      </c>
      <c r="C4651">
        <v>19</v>
      </c>
      <c r="D4651">
        <v>0.99099999999999999</v>
      </c>
      <c r="E4651" t="s">
        <v>6</v>
      </c>
      <c r="F4651">
        <v>6.9989999999999997E-2</v>
      </c>
    </row>
    <row r="4652" spans="1:6" x14ac:dyDescent="0.3">
      <c r="A4652" t="s">
        <v>22</v>
      </c>
      <c r="B4652" s="1">
        <v>45851</v>
      </c>
      <c r="C4652">
        <v>20</v>
      </c>
      <c r="D4652">
        <v>1.3540000000000001</v>
      </c>
      <c r="E4652" t="s">
        <v>6</v>
      </c>
      <c r="F4652">
        <v>0.11537</v>
      </c>
    </row>
    <row r="4653" spans="1:6" x14ac:dyDescent="0.3">
      <c r="A4653" t="s">
        <v>22</v>
      </c>
      <c r="B4653" s="1">
        <v>45851</v>
      </c>
      <c r="C4653">
        <v>21</v>
      </c>
      <c r="D4653">
        <v>2.2719999999999998</v>
      </c>
      <c r="E4653" t="s">
        <v>6</v>
      </c>
      <c r="F4653">
        <v>0.15465000000000001</v>
      </c>
    </row>
    <row r="4654" spans="1:6" x14ac:dyDescent="0.3">
      <c r="A4654" t="s">
        <v>22</v>
      </c>
      <c r="B4654" s="1">
        <v>45851</v>
      </c>
      <c r="C4654">
        <v>22</v>
      </c>
      <c r="D4654">
        <v>1.3089999999999999</v>
      </c>
      <c r="E4654" t="s">
        <v>6</v>
      </c>
      <c r="F4654">
        <v>0.17227999999999999</v>
      </c>
    </row>
    <row r="4655" spans="1:6" x14ac:dyDescent="0.3">
      <c r="A4655" t="s">
        <v>22</v>
      </c>
      <c r="B4655" s="1">
        <v>45851</v>
      </c>
      <c r="C4655">
        <v>23</v>
      </c>
      <c r="D4655">
        <v>0.78200000000000003</v>
      </c>
      <c r="E4655" t="s">
        <v>6</v>
      </c>
      <c r="F4655">
        <v>0.17890999999999999</v>
      </c>
    </row>
    <row r="4656" spans="1:6" x14ac:dyDescent="0.3">
      <c r="A4656" t="s">
        <v>22</v>
      </c>
      <c r="B4656" s="1">
        <v>45851</v>
      </c>
      <c r="C4656">
        <v>24</v>
      </c>
      <c r="D4656">
        <v>1.4530000000000001</v>
      </c>
      <c r="E4656" t="s">
        <v>6</v>
      </c>
      <c r="F4656">
        <v>0.16502</v>
      </c>
    </row>
    <row r="4657" spans="1:6" x14ac:dyDescent="0.3">
      <c r="A4657" t="s">
        <v>22</v>
      </c>
      <c r="B4657" s="1">
        <v>45852</v>
      </c>
      <c r="C4657">
        <v>1</v>
      </c>
      <c r="D4657">
        <v>0.50600000000000001</v>
      </c>
      <c r="E4657" t="s">
        <v>6</v>
      </c>
      <c r="F4657">
        <v>0.15106</v>
      </c>
    </row>
    <row r="4658" spans="1:6" x14ac:dyDescent="0.3">
      <c r="A4658" t="s">
        <v>22</v>
      </c>
      <c r="B4658" s="1">
        <v>45852</v>
      </c>
      <c r="C4658">
        <v>2</v>
      </c>
      <c r="D4658">
        <v>0.379</v>
      </c>
      <c r="E4658" t="s">
        <v>6</v>
      </c>
      <c r="F4658">
        <v>0.14549000000000001</v>
      </c>
    </row>
    <row r="4659" spans="1:6" x14ac:dyDescent="0.3">
      <c r="A4659" t="s">
        <v>22</v>
      </c>
      <c r="B4659" s="1">
        <v>45852</v>
      </c>
      <c r="C4659">
        <v>3</v>
      </c>
      <c r="D4659">
        <v>0.48099999999999998</v>
      </c>
      <c r="E4659" t="s">
        <v>6</v>
      </c>
      <c r="F4659">
        <v>0.14318999999999998</v>
      </c>
    </row>
    <row r="4660" spans="1:6" x14ac:dyDescent="0.3">
      <c r="A4660" t="s">
        <v>22</v>
      </c>
      <c r="B4660" s="1">
        <v>45852</v>
      </c>
      <c r="C4660">
        <v>4</v>
      </c>
      <c r="D4660">
        <v>0.41799999999999998</v>
      </c>
      <c r="E4660" t="s">
        <v>6</v>
      </c>
      <c r="F4660">
        <v>0.14271999999999999</v>
      </c>
    </row>
    <row r="4661" spans="1:6" x14ac:dyDescent="0.3">
      <c r="A4661" t="s">
        <v>22</v>
      </c>
      <c r="B4661" s="1">
        <v>45852</v>
      </c>
      <c r="C4661">
        <v>5</v>
      </c>
      <c r="D4661">
        <v>0.36899999999999999</v>
      </c>
      <c r="E4661" t="s">
        <v>6</v>
      </c>
      <c r="F4661">
        <v>0.14258999999999999</v>
      </c>
    </row>
    <row r="4662" spans="1:6" x14ac:dyDescent="0.3">
      <c r="A4662" t="s">
        <v>22</v>
      </c>
      <c r="B4662" s="1">
        <v>45852</v>
      </c>
      <c r="C4662">
        <v>6</v>
      </c>
      <c r="D4662">
        <v>0.49199999999999999</v>
      </c>
      <c r="E4662" t="s">
        <v>6</v>
      </c>
      <c r="F4662">
        <v>0.14316999999999999</v>
      </c>
    </row>
    <row r="4663" spans="1:6" x14ac:dyDescent="0.3">
      <c r="A4663" t="s">
        <v>22</v>
      </c>
      <c r="B4663" s="1">
        <v>45852</v>
      </c>
      <c r="C4663">
        <v>7</v>
      </c>
      <c r="D4663">
        <v>0.36599999999999999</v>
      </c>
      <c r="E4663" t="s">
        <v>6</v>
      </c>
      <c r="F4663">
        <v>0.15272999999999998</v>
      </c>
    </row>
    <row r="4664" spans="1:6" x14ac:dyDescent="0.3">
      <c r="A4664" t="s">
        <v>22</v>
      </c>
      <c r="B4664" s="1">
        <v>45852</v>
      </c>
      <c r="C4664">
        <v>8</v>
      </c>
      <c r="D4664">
        <v>0.254</v>
      </c>
      <c r="E4664" t="s">
        <v>6</v>
      </c>
      <c r="F4664">
        <v>0.15661000000000003</v>
      </c>
    </row>
    <row r="4665" spans="1:6" x14ac:dyDescent="0.3">
      <c r="A4665" t="s">
        <v>22</v>
      </c>
      <c r="B4665" s="1">
        <v>45852</v>
      </c>
      <c r="C4665">
        <v>9</v>
      </c>
      <c r="D4665">
        <v>0</v>
      </c>
      <c r="E4665" t="s">
        <v>6</v>
      </c>
      <c r="F4665">
        <v>0.17185</v>
      </c>
    </row>
    <row r="4666" spans="1:6" x14ac:dyDescent="0.3">
      <c r="A4666" t="s">
        <v>22</v>
      </c>
      <c r="B4666" s="1">
        <v>45852</v>
      </c>
      <c r="C4666">
        <v>10</v>
      </c>
      <c r="D4666">
        <v>0</v>
      </c>
      <c r="E4666" t="s">
        <v>6</v>
      </c>
      <c r="F4666">
        <v>0.12872999999999998</v>
      </c>
    </row>
    <row r="4667" spans="1:6" x14ac:dyDescent="0.3">
      <c r="A4667" t="s">
        <v>22</v>
      </c>
      <c r="B4667" s="1">
        <v>45852</v>
      </c>
      <c r="C4667">
        <v>11</v>
      </c>
      <c r="D4667">
        <v>0</v>
      </c>
      <c r="E4667" t="s">
        <v>6</v>
      </c>
      <c r="F4667">
        <v>0.18062999999999999</v>
      </c>
    </row>
    <row r="4668" spans="1:6" x14ac:dyDescent="0.3">
      <c r="A4668" t="s">
        <v>22</v>
      </c>
      <c r="B4668" s="1">
        <v>45852</v>
      </c>
      <c r="C4668">
        <v>12</v>
      </c>
      <c r="D4668">
        <v>0</v>
      </c>
      <c r="E4668" t="s">
        <v>6</v>
      </c>
      <c r="F4668">
        <v>0.14609</v>
      </c>
    </row>
    <row r="4669" spans="1:6" x14ac:dyDescent="0.3">
      <c r="A4669" t="s">
        <v>22</v>
      </c>
      <c r="B4669" s="1">
        <v>45852</v>
      </c>
      <c r="C4669">
        <v>13</v>
      </c>
      <c r="D4669">
        <v>0</v>
      </c>
      <c r="E4669" t="s">
        <v>6</v>
      </c>
      <c r="F4669">
        <v>0.14596999999999999</v>
      </c>
    </row>
    <row r="4670" spans="1:6" x14ac:dyDescent="0.3">
      <c r="A4670" t="s">
        <v>22</v>
      </c>
      <c r="B4670" s="1">
        <v>45852</v>
      </c>
      <c r="C4670">
        <v>14</v>
      </c>
      <c r="D4670">
        <v>0</v>
      </c>
      <c r="E4670" t="s">
        <v>6</v>
      </c>
      <c r="F4670">
        <v>0.14853</v>
      </c>
    </row>
    <row r="4671" spans="1:6" x14ac:dyDescent="0.3">
      <c r="A4671" t="s">
        <v>22</v>
      </c>
      <c r="B4671" s="1">
        <v>45852</v>
      </c>
      <c r="C4671">
        <v>15</v>
      </c>
      <c r="D4671">
        <v>0</v>
      </c>
      <c r="E4671" t="s">
        <v>6</v>
      </c>
      <c r="F4671">
        <v>7.5420000000000001E-2</v>
      </c>
    </row>
    <row r="4672" spans="1:6" x14ac:dyDescent="0.3">
      <c r="A4672" t="s">
        <v>22</v>
      </c>
      <c r="B4672" s="1">
        <v>45852</v>
      </c>
      <c r="C4672">
        <v>16</v>
      </c>
      <c r="D4672">
        <v>0</v>
      </c>
      <c r="E4672" t="s">
        <v>6</v>
      </c>
      <c r="F4672">
        <v>6.1069999999999999E-2</v>
      </c>
    </row>
    <row r="4673" spans="1:6" x14ac:dyDescent="0.3">
      <c r="A4673" t="s">
        <v>22</v>
      </c>
      <c r="B4673" s="1">
        <v>45852</v>
      </c>
      <c r="C4673">
        <v>17</v>
      </c>
      <c r="D4673">
        <v>0</v>
      </c>
      <c r="E4673" t="s">
        <v>6</v>
      </c>
      <c r="F4673">
        <v>7.0970000000000005E-2</v>
      </c>
    </row>
    <row r="4674" spans="1:6" x14ac:dyDescent="0.3">
      <c r="A4674" t="s">
        <v>22</v>
      </c>
      <c r="B4674" s="1">
        <v>45852</v>
      </c>
      <c r="C4674">
        <v>18</v>
      </c>
      <c r="D4674">
        <v>0</v>
      </c>
      <c r="E4674" t="s">
        <v>6</v>
      </c>
      <c r="F4674">
        <v>9.3150000000000011E-2</v>
      </c>
    </row>
    <row r="4675" spans="1:6" x14ac:dyDescent="0.3">
      <c r="A4675" t="s">
        <v>22</v>
      </c>
      <c r="B4675" s="1">
        <v>45852</v>
      </c>
      <c r="C4675">
        <v>19</v>
      </c>
      <c r="D4675">
        <v>0</v>
      </c>
      <c r="E4675" t="s">
        <v>6</v>
      </c>
      <c r="F4675">
        <v>0.17596000000000001</v>
      </c>
    </row>
    <row r="4676" spans="1:6" x14ac:dyDescent="0.3">
      <c r="A4676" t="s">
        <v>22</v>
      </c>
      <c r="B4676" s="1">
        <v>45852</v>
      </c>
      <c r="C4676">
        <v>20</v>
      </c>
      <c r="D4676">
        <v>0.14399999999999999</v>
      </c>
      <c r="E4676" t="s">
        <v>6</v>
      </c>
      <c r="F4676">
        <v>0.19716</v>
      </c>
    </row>
    <row r="4677" spans="1:6" x14ac:dyDescent="0.3">
      <c r="A4677" t="s">
        <v>22</v>
      </c>
      <c r="B4677" s="1">
        <v>45852</v>
      </c>
      <c r="C4677">
        <v>21</v>
      </c>
      <c r="D4677">
        <v>0.45600000000000002</v>
      </c>
      <c r="E4677" t="s">
        <v>6</v>
      </c>
      <c r="F4677">
        <v>0.23905000000000001</v>
      </c>
    </row>
    <row r="4678" spans="1:6" x14ac:dyDescent="0.3">
      <c r="A4678" t="s">
        <v>22</v>
      </c>
      <c r="B4678" s="1">
        <v>45852</v>
      </c>
      <c r="C4678">
        <v>22</v>
      </c>
      <c r="D4678">
        <v>1.444</v>
      </c>
      <c r="E4678" t="s">
        <v>6</v>
      </c>
      <c r="F4678">
        <v>0.25314999999999999</v>
      </c>
    </row>
    <row r="4679" spans="1:6" x14ac:dyDescent="0.3">
      <c r="A4679" t="s">
        <v>22</v>
      </c>
      <c r="B4679" s="1">
        <v>45852</v>
      </c>
      <c r="C4679">
        <v>23</v>
      </c>
      <c r="D4679">
        <v>0.71699999999999997</v>
      </c>
      <c r="E4679" t="s">
        <v>6</v>
      </c>
      <c r="F4679">
        <v>0.18565999999999999</v>
      </c>
    </row>
    <row r="4680" spans="1:6" x14ac:dyDescent="0.3">
      <c r="A4680" t="s">
        <v>22</v>
      </c>
      <c r="B4680" s="1">
        <v>45852</v>
      </c>
      <c r="C4680">
        <v>24</v>
      </c>
      <c r="D4680">
        <v>0.55500000000000005</v>
      </c>
      <c r="E4680" t="s">
        <v>6</v>
      </c>
      <c r="F4680">
        <v>0.17996000000000001</v>
      </c>
    </row>
    <row r="4681" spans="1:6" x14ac:dyDescent="0.3">
      <c r="A4681" t="s">
        <v>22</v>
      </c>
      <c r="B4681" s="1">
        <v>45853</v>
      </c>
      <c r="C4681">
        <v>1</v>
      </c>
      <c r="D4681">
        <v>0.56999999999999995</v>
      </c>
      <c r="E4681" t="s">
        <v>6</v>
      </c>
      <c r="F4681">
        <v>0.14818000000000001</v>
      </c>
    </row>
    <row r="4682" spans="1:6" x14ac:dyDescent="0.3">
      <c r="A4682" t="s">
        <v>22</v>
      </c>
      <c r="B4682" s="1">
        <v>45853</v>
      </c>
      <c r="C4682">
        <v>2</v>
      </c>
      <c r="D4682">
        <v>0.52500000000000002</v>
      </c>
      <c r="E4682" t="s">
        <v>6</v>
      </c>
      <c r="F4682">
        <v>0.14537</v>
      </c>
    </row>
    <row r="4683" spans="1:6" x14ac:dyDescent="0.3">
      <c r="A4683" t="s">
        <v>22</v>
      </c>
      <c r="B4683" s="1">
        <v>45853</v>
      </c>
      <c r="C4683">
        <v>3</v>
      </c>
      <c r="D4683">
        <v>0.49199999999999999</v>
      </c>
      <c r="E4683" t="s">
        <v>6</v>
      </c>
      <c r="F4683">
        <v>0.14318</v>
      </c>
    </row>
    <row r="4684" spans="1:6" x14ac:dyDescent="0.3">
      <c r="A4684" t="s">
        <v>22</v>
      </c>
      <c r="B4684" s="1">
        <v>45853</v>
      </c>
      <c r="C4684">
        <v>4</v>
      </c>
      <c r="D4684">
        <v>0.48</v>
      </c>
      <c r="E4684" t="s">
        <v>6</v>
      </c>
      <c r="F4684">
        <v>0.14043</v>
      </c>
    </row>
    <row r="4685" spans="1:6" x14ac:dyDescent="0.3">
      <c r="A4685" t="s">
        <v>22</v>
      </c>
      <c r="B4685" s="1">
        <v>45853</v>
      </c>
      <c r="C4685">
        <v>5</v>
      </c>
      <c r="D4685">
        <v>0.47299999999999998</v>
      </c>
      <c r="E4685" t="s">
        <v>6</v>
      </c>
      <c r="F4685">
        <v>0.13836999999999999</v>
      </c>
    </row>
    <row r="4686" spans="1:6" x14ac:dyDescent="0.3">
      <c r="A4686" t="s">
        <v>22</v>
      </c>
      <c r="B4686" s="1">
        <v>45853</v>
      </c>
      <c r="C4686">
        <v>6</v>
      </c>
      <c r="D4686">
        <v>0.48099999999999998</v>
      </c>
      <c r="E4686" t="s">
        <v>6</v>
      </c>
      <c r="F4686">
        <v>0.14008999999999999</v>
      </c>
    </row>
    <row r="4687" spans="1:6" x14ac:dyDescent="0.3">
      <c r="A4687" t="s">
        <v>22</v>
      </c>
      <c r="B4687" s="1">
        <v>45853</v>
      </c>
      <c r="C4687">
        <v>7</v>
      </c>
      <c r="D4687">
        <v>0.48299999999999998</v>
      </c>
      <c r="E4687" t="s">
        <v>6</v>
      </c>
      <c r="F4687">
        <v>0.14884</v>
      </c>
    </row>
    <row r="4688" spans="1:6" x14ac:dyDescent="0.3">
      <c r="A4688" t="s">
        <v>22</v>
      </c>
      <c r="B4688" s="1">
        <v>45853</v>
      </c>
      <c r="C4688">
        <v>8</v>
      </c>
      <c r="D4688">
        <v>0.372</v>
      </c>
      <c r="E4688" t="s">
        <v>6</v>
      </c>
      <c r="F4688">
        <v>0.15471000000000001</v>
      </c>
    </row>
    <row r="4689" spans="1:6" x14ac:dyDescent="0.3">
      <c r="A4689" t="s">
        <v>22</v>
      </c>
      <c r="B4689" s="1">
        <v>45853</v>
      </c>
      <c r="C4689">
        <v>9</v>
      </c>
      <c r="D4689">
        <v>1.323</v>
      </c>
      <c r="E4689" t="s">
        <v>6</v>
      </c>
      <c r="F4689">
        <v>0.16978000000000001</v>
      </c>
    </row>
    <row r="4690" spans="1:6" x14ac:dyDescent="0.3">
      <c r="A4690" t="s">
        <v>22</v>
      </c>
      <c r="B4690" s="1">
        <v>45853</v>
      </c>
      <c r="C4690">
        <v>10</v>
      </c>
      <c r="D4690">
        <v>3.4569999999999999</v>
      </c>
      <c r="E4690" t="s">
        <v>6</v>
      </c>
      <c r="F4690">
        <v>0.13063</v>
      </c>
    </row>
    <row r="4691" spans="1:6" x14ac:dyDescent="0.3">
      <c r="A4691" t="s">
        <v>22</v>
      </c>
      <c r="B4691" s="1">
        <v>45853</v>
      </c>
      <c r="C4691">
        <v>11</v>
      </c>
      <c r="D4691">
        <v>1.7929999999999999</v>
      </c>
      <c r="E4691" t="s">
        <v>6</v>
      </c>
      <c r="F4691">
        <v>0.14749999999999999</v>
      </c>
    </row>
    <row r="4692" spans="1:6" x14ac:dyDescent="0.3">
      <c r="A4692" t="s">
        <v>22</v>
      </c>
      <c r="B4692" s="1">
        <v>45853</v>
      </c>
      <c r="C4692">
        <v>12</v>
      </c>
      <c r="D4692">
        <v>0</v>
      </c>
      <c r="E4692" t="s">
        <v>6</v>
      </c>
      <c r="F4692">
        <v>0.15975</v>
      </c>
    </row>
    <row r="4693" spans="1:6" x14ac:dyDescent="0.3">
      <c r="A4693" t="s">
        <v>22</v>
      </c>
      <c r="B4693" s="1">
        <v>45853</v>
      </c>
      <c r="C4693">
        <v>13</v>
      </c>
      <c r="D4693">
        <v>0</v>
      </c>
      <c r="E4693" t="s">
        <v>6</v>
      </c>
      <c r="F4693">
        <v>0.16678000000000001</v>
      </c>
    </row>
    <row r="4694" spans="1:6" x14ac:dyDescent="0.3">
      <c r="A4694" t="s">
        <v>22</v>
      </c>
      <c r="B4694" s="1">
        <v>45853</v>
      </c>
      <c r="C4694">
        <v>14</v>
      </c>
      <c r="D4694">
        <v>0</v>
      </c>
      <c r="E4694" t="s">
        <v>6</v>
      </c>
      <c r="F4694">
        <v>0.16316999999999998</v>
      </c>
    </row>
    <row r="4695" spans="1:6" x14ac:dyDescent="0.3">
      <c r="A4695" t="s">
        <v>22</v>
      </c>
      <c r="B4695" s="1">
        <v>45853</v>
      </c>
      <c r="C4695">
        <v>15</v>
      </c>
      <c r="D4695">
        <v>0.75</v>
      </c>
      <c r="E4695" t="s">
        <v>6</v>
      </c>
      <c r="F4695">
        <v>8.7660000000000002E-2</v>
      </c>
    </row>
    <row r="4696" spans="1:6" x14ac:dyDescent="0.3">
      <c r="A4696" t="s">
        <v>22</v>
      </c>
      <c r="B4696" s="1">
        <v>45853</v>
      </c>
      <c r="C4696">
        <v>16</v>
      </c>
      <c r="D4696">
        <v>0</v>
      </c>
      <c r="E4696" t="s">
        <v>6</v>
      </c>
      <c r="F4696">
        <v>7.893E-2</v>
      </c>
    </row>
    <row r="4697" spans="1:6" x14ac:dyDescent="0.3">
      <c r="A4697" t="s">
        <v>22</v>
      </c>
      <c r="B4697" s="1">
        <v>45853</v>
      </c>
      <c r="C4697">
        <v>17</v>
      </c>
      <c r="D4697">
        <v>0</v>
      </c>
      <c r="E4697" t="s">
        <v>6</v>
      </c>
      <c r="F4697">
        <v>7.8230000000000008E-2</v>
      </c>
    </row>
    <row r="4698" spans="1:6" x14ac:dyDescent="0.3">
      <c r="A4698" t="s">
        <v>22</v>
      </c>
      <c r="B4698" s="1">
        <v>45853</v>
      </c>
      <c r="C4698">
        <v>18</v>
      </c>
      <c r="D4698">
        <v>0</v>
      </c>
      <c r="E4698" t="s">
        <v>6</v>
      </c>
      <c r="F4698">
        <v>9.894E-2</v>
      </c>
    </row>
    <row r="4699" spans="1:6" x14ac:dyDescent="0.3">
      <c r="A4699" t="s">
        <v>22</v>
      </c>
      <c r="B4699" s="1">
        <v>45853</v>
      </c>
      <c r="C4699">
        <v>19</v>
      </c>
      <c r="D4699">
        <v>0</v>
      </c>
      <c r="E4699" t="s">
        <v>6</v>
      </c>
      <c r="F4699">
        <v>0.17066999999999999</v>
      </c>
    </row>
    <row r="4700" spans="1:6" x14ac:dyDescent="0.3">
      <c r="A4700" t="s">
        <v>22</v>
      </c>
      <c r="B4700" s="1">
        <v>45853</v>
      </c>
      <c r="C4700">
        <v>20</v>
      </c>
      <c r="D4700">
        <v>0.63200000000000001</v>
      </c>
      <c r="E4700" t="s">
        <v>6</v>
      </c>
      <c r="F4700">
        <v>0.19646</v>
      </c>
    </row>
    <row r="4701" spans="1:6" x14ac:dyDescent="0.3">
      <c r="A4701" t="s">
        <v>22</v>
      </c>
      <c r="B4701" s="1">
        <v>45853</v>
      </c>
      <c r="C4701">
        <v>21</v>
      </c>
      <c r="D4701">
        <v>0.65100000000000002</v>
      </c>
      <c r="E4701" t="s">
        <v>6</v>
      </c>
      <c r="F4701">
        <v>0.23837</v>
      </c>
    </row>
    <row r="4702" spans="1:6" x14ac:dyDescent="0.3">
      <c r="A4702" t="s">
        <v>22</v>
      </c>
      <c r="B4702" s="1">
        <v>45853</v>
      </c>
      <c r="C4702">
        <v>22</v>
      </c>
      <c r="D4702">
        <v>0.63900000000000001</v>
      </c>
      <c r="E4702" t="s">
        <v>6</v>
      </c>
      <c r="F4702">
        <v>0.26833999999999997</v>
      </c>
    </row>
    <row r="4703" spans="1:6" x14ac:dyDescent="0.3">
      <c r="A4703" t="s">
        <v>22</v>
      </c>
      <c r="B4703" s="1">
        <v>45853</v>
      </c>
      <c r="C4703">
        <v>23</v>
      </c>
      <c r="D4703">
        <v>0.60899999999999999</v>
      </c>
      <c r="E4703" t="s">
        <v>6</v>
      </c>
      <c r="F4703">
        <v>0.20221</v>
      </c>
    </row>
    <row r="4704" spans="1:6" x14ac:dyDescent="0.3">
      <c r="A4704" t="s">
        <v>22</v>
      </c>
      <c r="B4704" s="1">
        <v>45853</v>
      </c>
      <c r="C4704">
        <v>24</v>
      </c>
      <c r="D4704">
        <v>0.64500000000000002</v>
      </c>
      <c r="E4704" t="s">
        <v>6</v>
      </c>
      <c r="F4704">
        <v>0.18674000000000002</v>
      </c>
    </row>
    <row r="4705" spans="1:6" x14ac:dyDescent="0.3">
      <c r="A4705" t="s">
        <v>22</v>
      </c>
      <c r="B4705" s="1">
        <v>45854</v>
      </c>
      <c r="C4705">
        <v>1</v>
      </c>
      <c r="D4705">
        <v>0.56899999999999995</v>
      </c>
      <c r="E4705" t="s">
        <v>6</v>
      </c>
      <c r="F4705">
        <v>0.13841999999999999</v>
      </c>
    </row>
    <row r="4706" spans="1:6" x14ac:dyDescent="0.3">
      <c r="A4706" t="s">
        <v>22</v>
      </c>
      <c r="B4706" s="1">
        <v>45854</v>
      </c>
      <c r="C4706">
        <v>2</v>
      </c>
      <c r="D4706">
        <v>0.498</v>
      </c>
      <c r="E4706" t="s">
        <v>6</v>
      </c>
      <c r="F4706">
        <v>0.13295999999999999</v>
      </c>
    </row>
    <row r="4707" spans="1:6" x14ac:dyDescent="0.3">
      <c r="A4707" t="s">
        <v>22</v>
      </c>
      <c r="B4707" s="1">
        <v>45854</v>
      </c>
      <c r="C4707">
        <v>3</v>
      </c>
      <c r="D4707">
        <v>0.504</v>
      </c>
      <c r="E4707" t="s">
        <v>6</v>
      </c>
      <c r="F4707">
        <v>0.13238</v>
      </c>
    </row>
    <row r="4708" spans="1:6" x14ac:dyDescent="0.3">
      <c r="A4708" t="s">
        <v>22</v>
      </c>
      <c r="B4708" s="1">
        <v>45854</v>
      </c>
      <c r="C4708">
        <v>4</v>
      </c>
      <c r="D4708">
        <v>0.46700000000000003</v>
      </c>
      <c r="E4708" t="s">
        <v>6</v>
      </c>
      <c r="F4708">
        <v>0.12859999999999999</v>
      </c>
    </row>
    <row r="4709" spans="1:6" x14ac:dyDescent="0.3">
      <c r="A4709" t="s">
        <v>22</v>
      </c>
      <c r="B4709" s="1">
        <v>45854</v>
      </c>
      <c r="C4709">
        <v>5</v>
      </c>
      <c r="D4709">
        <v>1.2130000000000001</v>
      </c>
      <c r="E4709" t="s">
        <v>6</v>
      </c>
      <c r="F4709">
        <v>0.12897999999999998</v>
      </c>
    </row>
    <row r="4710" spans="1:6" x14ac:dyDescent="0.3">
      <c r="A4710" t="s">
        <v>22</v>
      </c>
      <c r="B4710" s="1">
        <v>45854</v>
      </c>
      <c r="C4710">
        <v>6</v>
      </c>
      <c r="D4710">
        <v>0.48199999999999998</v>
      </c>
      <c r="E4710" t="s">
        <v>6</v>
      </c>
      <c r="F4710">
        <v>0.13247999999999999</v>
      </c>
    </row>
    <row r="4711" spans="1:6" x14ac:dyDescent="0.3">
      <c r="A4711" t="s">
        <v>22</v>
      </c>
      <c r="B4711" s="1">
        <v>45854</v>
      </c>
      <c r="C4711">
        <v>7</v>
      </c>
      <c r="D4711">
        <v>0.48399999999999999</v>
      </c>
      <c r="E4711" t="s">
        <v>6</v>
      </c>
      <c r="F4711">
        <v>0.14280000000000001</v>
      </c>
    </row>
    <row r="4712" spans="1:6" x14ac:dyDescent="0.3">
      <c r="A4712" t="s">
        <v>22</v>
      </c>
      <c r="B4712" s="1">
        <v>45854</v>
      </c>
      <c r="C4712">
        <v>8</v>
      </c>
      <c r="D4712">
        <v>0.26100000000000001</v>
      </c>
      <c r="E4712" t="s">
        <v>6</v>
      </c>
      <c r="F4712">
        <v>0.152</v>
      </c>
    </row>
    <row r="4713" spans="1:6" x14ac:dyDescent="0.3">
      <c r="A4713" t="s">
        <v>22</v>
      </c>
      <c r="B4713" s="1">
        <v>45854</v>
      </c>
      <c r="C4713">
        <v>9</v>
      </c>
      <c r="D4713">
        <v>0</v>
      </c>
      <c r="E4713" t="s">
        <v>6</v>
      </c>
      <c r="F4713">
        <v>0.15613999999999997</v>
      </c>
    </row>
    <row r="4714" spans="1:6" x14ac:dyDescent="0.3">
      <c r="A4714" t="s">
        <v>22</v>
      </c>
      <c r="B4714" s="1">
        <v>45854</v>
      </c>
      <c r="C4714">
        <v>10</v>
      </c>
      <c r="D4714">
        <v>0</v>
      </c>
      <c r="E4714" t="s">
        <v>6</v>
      </c>
      <c r="F4714">
        <v>0.13561000000000001</v>
      </c>
    </row>
    <row r="4715" spans="1:6" x14ac:dyDescent="0.3">
      <c r="A4715" t="s">
        <v>22</v>
      </c>
      <c r="B4715" s="1">
        <v>45854</v>
      </c>
      <c r="C4715">
        <v>11</v>
      </c>
      <c r="D4715">
        <v>0</v>
      </c>
      <c r="E4715" t="s">
        <v>6</v>
      </c>
      <c r="F4715">
        <v>0.18634000000000001</v>
      </c>
    </row>
    <row r="4716" spans="1:6" x14ac:dyDescent="0.3">
      <c r="A4716" t="s">
        <v>22</v>
      </c>
      <c r="B4716" s="1">
        <v>45854</v>
      </c>
      <c r="C4716">
        <v>12</v>
      </c>
      <c r="D4716">
        <v>0</v>
      </c>
      <c r="E4716" t="s">
        <v>6</v>
      </c>
      <c r="F4716">
        <v>0.18078</v>
      </c>
    </row>
    <row r="4717" spans="1:6" x14ac:dyDescent="0.3">
      <c r="A4717" t="s">
        <v>22</v>
      </c>
      <c r="B4717" s="1">
        <v>45854</v>
      </c>
      <c r="C4717">
        <v>13</v>
      </c>
      <c r="D4717">
        <v>0</v>
      </c>
      <c r="E4717" t="s">
        <v>6</v>
      </c>
      <c r="F4717">
        <v>0.18034</v>
      </c>
    </row>
    <row r="4718" spans="1:6" x14ac:dyDescent="0.3">
      <c r="A4718" t="s">
        <v>22</v>
      </c>
      <c r="B4718" s="1">
        <v>45854</v>
      </c>
      <c r="C4718">
        <v>14</v>
      </c>
      <c r="D4718">
        <v>0</v>
      </c>
      <c r="E4718" t="s">
        <v>6</v>
      </c>
      <c r="F4718">
        <v>0.17796000000000001</v>
      </c>
    </row>
    <row r="4719" spans="1:6" x14ac:dyDescent="0.3">
      <c r="A4719" t="s">
        <v>22</v>
      </c>
      <c r="B4719" s="1">
        <v>45854</v>
      </c>
      <c r="C4719">
        <v>15</v>
      </c>
      <c r="D4719">
        <v>0</v>
      </c>
      <c r="E4719" t="s">
        <v>6</v>
      </c>
      <c r="F4719">
        <v>0.11241</v>
      </c>
    </row>
    <row r="4720" spans="1:6" x14ac:dyDescent="0.3">
      <c r="A4720" t="s">
        <v>22</v>
      </c>
      <c r="B4720" s="1">
        <v>45854</v>
      </c>
      <c r="C4720">
        <v>16</v>
      </c>
      <c r="D4720">
        <v>0.99299999999999999</v>
      </c>
      <c r="E4720" t="s">
        <v>6</v>
      </c>
      <c r="F4720">
        <v>0.11243</v>
      </c>
    </row>
    <row r="4721" spans="1:6" x14ac:dyDescent="0.3">
      <c r="A4721" t="s">
        <v>22</v>
      </c>
      <c r="B4721" s="1">
        <v>45854</v>
      </c>
      <c r="C4721">
        <v>17</v>
      </c>
      <c r="D4721">
        <v>0</v>
      </c>
      <c r="E4721" t="s">
        <v>6</v>
      </c>
      <c r="F4721">
        <v>0.11308</v>
      </c>
    </row>
    <row r="4722" spans="1:6" x14ac:dyDescent="0.3">
      <c r="A4722" t="s">
        <v>22</v>
      </c>
      <c r="B4722" s="1">
        <v>45854</v>
      </c>
      <c r="C4722">
        <v>18</v>
      </c>
      <c r="D4722">
        <v>0</v>
      </c>
      <c r="E4722" t="s">
        <v>6</v>
      </c>
      <c r="F4722">
        <v>0.11323999999999999</v>
      </c>
    </row>
    <row r="4723" spans="1:6" x14ac:dyDescent="0.3">
      <c r="A4723" t="s">
        <v>22</v>
      </c>
      <c r="B4723" s="1">
        <v>45854</v>
      </c>
      <c r="C4723">
        <v>19</v>
      </c>
      <c r="D4723">
        <v>0</v>
      </c>
      <c r="E4723" t="s">
        <v>6</v>
      </c>
      <c r="F4723">
        <v>0.19119999999999998</v>
      </c>
    </row>
    <row r="4724" spans="1:6" x14ac:dyDescent="0.3">
      <c r="A4724" t="s">
        <v>22</v>
      </c>
      <c r="B4724" s="1">
        <v>45854</v>
      </c>
      <c r="C4724">
        <v>20</v>
      </c>
      <c r="D4724">
        <v>0.184</v>
      </c>
      <c r="E4724" t="s">
        <v>6</v>
      </c>
      <c r="F4724">
        <v>0.22518000000000002</v>
      </c>
    </row>
    <row r="4725" spans="1:6" x14ac:dyDescent="0.3">
      <c r="A4725" t="s">
        <v>22</v>
      </c>
      <c r="B4725" s="1">
        <v>45854</v>
      </c>
      <c r="C4725">
        <v>21</v>
      </c>
      <c r="D4725">
        <v>0.55300000000000005</v>
      </c>
      <c r="E4725" t="s">
        <v>6</v>
      </c>
      <c r="F4725">
        <v>0.24152999999999999</v>
      </c>
    </row>
    <row r="4726" spans="1:6" x14ac:dyDescent="0.3">
      <c r="A4726" t="s">
        <v>22</v>
      </c>
      <c r="B4726" s="1">
        <v>45854</v>
      </c>
      <c r="C4726">
        <v>22</v>
      </c>
      <c r="D4726">
        <v>1.665</v>
      </c>
      <c r="E4726" t="s">
        <v>6</v>
      </c>
      <c r="F4726">
        <v>0.30510000000000004</v>
      </c>
    </row>
    <row r="4727" spans="1:6" x14ac:dyDescent="0.3">
      <c r="A4727" t="s">
        <v>22</v>
      </c>
      <c r="B4727" s="1">
        <v>45854</v>
      </c>
      <c r="C4727">
        <v>23</v>
      </c>
      <c r="D4727">
        <v>1.5860000000000001</v>
      </c>
      <c r="E4727" t="s">
        <v>6</v>
      </c>
      <c r="F4727">
        <v>0.23191000000000001</v>
      </c>
    </row>
    <row r="4728" spans="1:6" x14ac:dyDescent="0.3">
      <c r="A4728" t="s">
        <v>22</v>
      </c>
      <c r="B4728" s="1">
        <v>45854</v>
      </c>
      <c r="C4728">
        <v>24</v>
      </c>
      <c r="D4728">
        <v>0.86899999999999999</v>
      </c>
      <c r="E4728" t="s">
        <v>6</v>
      </c>
      <c r="F4728">
        <v>0.18578999999999998</v>
      </c>
    </row>
    <row r="4729" spans="1:6" x14ac:dyDescent="0.3">
      <c r="A4729" t="s">
        <v>22</v>
      </c>
      <c r="B4729" s="1">
        <v>45855</v>
      </c>
      <c r="C4729">
        <v>1</v>
      </c>
      <c r="D4729">
        <v>0.747</v>
      </c>
      <c r="E4729" t="s">
        <v>6</v>
      </c>
      <c r="F4729">
        <v>0.1459</v>
      </c>
    </row>
    <row r="4730" spans="1:6" x14ac:dyDescent="0.3">
      <c r="A4730" t="s">
        <v>22</v>
      </c>
      <c r="B4730" s="1">
        <v>45855</v>
      </c>
      <c r="C4730">
        <v>2</v>
      </c>
      <c r="D4730">
        <v>0.54400000000000004</v>
      </c>
      <c r="E4730" t="s">
        <v>6</v>
      </c>
      <c r="F4730">
        <v>0.14091000000000001</v>
      </c>
    </row>
    <row r="4731" spans="1:6" x14ac:dyDescent="0.3">
      <c r="A4731" t="s">
        <v>22</v>
      </c>
      <c r="B4731" s="1">
        <v>45855</v>
      </c>
      <c r="C4731">
        <v>3</v>
      </c>
      <c r="D4731">
        <v>0.47899999999999998</v>
      </c>
      <c r="E4731" t="s">
        <v>6</v>
      </c>
      <c r="F4731">
        <v>0.13941000000000001</v>
      </c>
    </row>
    <row r="4732" spans="1:6" x14ac:dyDescent="0.3">
      <c r="A4732" t="s">
        <v>22</v>
      </c>
      <c r="B4732" s="1">
        <v>45855</v>
      </c>
      <c r="C4732">
        <v>4</v>
      </c>
      <c r="D4732">
        <v>0.59899999999999998</v>
      </c>
      <c r="E4732" t="s">
        <v>6</v>
      </c>
      <c r="F4732">
        <v>0.13061</v>
      </c>
    </row>
    <row r="4733" spans="1:6" x14ac:dyDescent="0.3">
      <c r="A4733" t="s">
        <v>22</v>
      </c>
      <c r="B4733" s="1">
        <v>45855</v>
      </c>
      <c r="C4733">
        <v>5</v>
      </c>
      <c r="D4733">
        <v>0.47299999999999998</v>
      </c>
      <c r="E4733" t="s">
        <v>6</v>
      </c>
      <c r="F4733">
        <v>0.13034000000000001</v>
      </c>
    </row>
    <row r="4734" spans="1:6" x14ac:dyDescent="0.3">
      <c r="A4734" t="s">
        <v>22</v>
      </c>
      <c r="B4734" s="1">
        <v>45855</v>
      </c>
      <c r="C4734">
        <v>6</v>
      </c>
      <c r="D4734">
        <v>0.46800000000000003</v>
      </c>
      <c r="E4734" t="s">
        <v>6</v>
      </c>
      <c r="F4734">
        <v>0.13556000000000001</v>
      </c>
    </row>
    <row r="4735" spans="1:6" x14ac:dyDescent="0.3">
      <c r="A4735" t="s">
        <v>22</v>
      </c>
      <c r="B4735" s="1">
        <v>45855</v>
      </c>
      <c r="C4735">
        <v>7</v>
      </c>
      <c r="D4735">
        <v>0.47099999999999997</v>
      </c>
      <c r="E4735" t="s">
        <v>6</v>
      </c>
      <c r="F4735">
        <v>0.14346</v>
      </c>
    </row>
    <row r="4736" spans="1:6" x14ac:dyDescent="0.3">
      <c r="A4736" t="s">
        <v>22</v>
      </c>
      <c r="B4736" s="1">
        <v>45855</v>
      </c>
      <c r="C4736">
        <v>8</v>
      </c>
      <c r="D4736">
        <v>0.34599999999999997</v>
      </c>
      <c r="E4736" t="s">
        <v>6</v>
      </c>
      <c r="F4736">
        <v>0.15089</v>
      </c>
    </row>
    <row r="4737" spans="1:6" x14ac:dyDescent="0.3">
      <c r="A4737" t="s">
        <v>22</v>
      </c>
      <c r="B4737" s="1">
        <v>45855</v>
      </c>
      <c r="C4737">
        <v>9</v>
      </c>
      <c r="D4737">
        <v>0.434</v>
      </c>
      <c r="E4737" t="s">
        <v>6</v>
      </c>
      <c r="F4737">
        <v>0.16316</v>
      </c>
    </row>
    <row r="4738" spans="1:6" x14ac:dyDescent="0.3">
      <c r="A4738" t="s">
        <v>22</v>
      </c>
      <c r="B4738" s="1">
        <v>45855</v>
      </c>
      <c r="C4738">
        <v>10</v>
      </c>
      <c r="D4738">
        <v>0</v>
      </c>
      <c r="E4738" t="s">
        <v>6</v>
      </c>
      <c r="F4738">
        <v>0.15252000000000002</v>
      </c>
    </row>
    <row r="4739" spans="1:6" x14ac:dyDescent="0.3">
      <c r="A4739" t="s">
        <v>22</v>
      </c>
      <c r="B4739" s="1">
        <v>45855</v>
      </c>
      <c r="C4739">
        <v>11</v>
      </c>
      <c r="D4739">
        <v>0</v>
      </c>
      <c r="E4739" t="s">
        <v>6</v>
      </c>
      <c r="F4739">
        <v>0.19681999999999999</v>
      </c>
    </row>
    <row r="4740" spans="1:6" x14ac:dyDescent="0.3">
      <c r="A4740" t="s">
        <v>22</v>
      </c>
      <c r="B4740" s="1">
        <v>45855</v>
      </c>
      <c r="C4740">
        <v>12</v>
      </c>
      <c r="D4740">
        <v>0</v>
      </c>
      <c r="E4740" t="s">
        <v>6</v>
      </c>
      <c r="F4740">
        <v>0.18956000000000001</v>
      </c>
    </row>
    <row r="4741" spans="1:6" x14ac:dyDescent="0.3">
      <c r="A4741" t="s">
        <v>22</v>
      </c>
      <c r="B4741" s="1">
        <v>45855</v>
      </c>
      <c r="C4741">
        <v>13</v>
      </c>
      <c r="D4741">
        <v>0</v>
      </c>
      <c r="E4741" t="s">
        <v>6</v>
      </c>
      <c r="F4741">
        <v>0.19075</v>
      </c>
    </row>
    <row r="4742" spans="1:6" x14ac:dyDescent="0.3">
      <c r="A4742" t="s">
        <v>22</v>
      </c>
      <c r="B4742" s="1">
        <v>45855</v>
      </c>
      <c r="C4742">
        <v>14</v>
      </c>
      <c r="D4742">
        <v>0</v>
      </c>
      <c r="E4742" t="s">
        <v>6</v>
      </c>
      <c r="F4742">
        <v>0.18831999999999999</v>
      </c>
    </row>
    <row r="4743" spans="1:6" x14ac:dyDescent="0.3">
      <c r="A4743" t="s">
        <v>22</v>
      </c>
      <c r="B4743" s="1">
        <v>45855</v>
      </c>
      <c r="C4743">
        <v>15</v>
      </c>
      <c r="D4743">
        <v>0</v>
      </c>
      <c r="E4743" t="s">
        <v>6</v>
      </c>
      <c r="F4743">
        <v>0.12127</v>
      </c>
    </row>
    <row r="4744" spans="1:6" x14ac:dyDescent="0.3">
      <c r="A4744" t="s">
        <v>22</v>
      </c>
      <c r="B4744" s="1">
        <v>45855</v>
      </c>
      <c r="C4744">
        <v>16</v>
      </c>
      <c r="D4744">
        <v>0</v>
      </c>
      <c r="E4744" t="s">
        <v>6</v>
      </c>
      <c r="F4744">
        <v>0.11878</v>
      </c>
    </row>
    <row r="4745" spans="1:6" x14ac:dyDescent="0.3">
      <c r="A4745" t="s">
        <v>22</v>
      </c>
      <c r="B4745" s="1">
        <v>45855</v>
      </c>
      <c r="C4745">
        <v>17</v>
      </c>
      <c r="D4745">
        <v>0</v>
      </c>
      <c r="E4745" t="s">
        <v>6</v>
      </c>
      <c r="F4745">
        <v>0.12358</v>
      </c>
    </row>
    <row r="4746" spans="1:6" x14ac:dyDescent="0.3">
      <c r="A4746" t="s">
        <v>22</v>
      </c>
      <c r="B4746" s="1">
        <v>45855</v>
      </c>
      <c r="C4746">
        <v>18</v>
      </c>
      <c r="D4746">
        <v>0</v>
      </c>
      <c r="E4746" t="s">
        <v>6</v>
      </c>
      <c r="F4746">
        <v>0.13091999999999998</v>
      </c>
    </row>
    <row r="4747" spans="1:6" x14ac:dyDescent="0.3">
      <c r="A4747" t="s">
        <v>22</v>
      </c>
      <c r="B4747" s="1">
        <v>45855</v>
      </c>
      <c r="C4747">
        <v>19</v>
      </c>
      <c r="D4747">
        <v>2.5169999999999999</v>
      </c>
      <c r="E4747" t="s">
        <v>6</v>
      </c>
      <c r="F4747">
        <v>0.20537</v>
      </c>
    </row>
    <row r="4748" spans="1:6" x14ac:dyDescent="0.3">
      <c r="A4748" t="s">
        <v>22</v>
      </c>
      <c r="B4748" s="1">
        <v>45855</v>
      </c>
      <c r="C4748">
        <v>20</v>
      </c>
      <c r="D4748">
        <v>3.6789999999999998</v>
      </c>
      <c r="E4748" t="s">
        <v>6</v>
      </c>
      <c r="F4748">
        <v>0.22359000000000001</v>
      </c>
    </row>
    <row r="4749" spans="1:6" x14ac:dyDescent="0.3">
      <c r="A4749" t="s">
        <v>22</v>
      </c>
      <c r="B4749" s="1">
        <v>45855</v>
      </c>
      <c r="C4749">
        <v>21</v>
      </c>
      <c r="D4749">
        <v>0.42499999999999999</v>
      </c>
      <c r="E4749" t="s">
        <v>6</v>
      </c>
      <c r="F4749">
        <v>0.23711000000000002</v>
      </c>
    </row>
    <row r="4750" spans="1:6" x14ac:dyDescent="0.3">
      <c r="A4750" t="s">
        <v>22</v>
      </c>
      <c r="B4750" s="1">
        <v>45855</v>
      </c>
      <c r="C4750">
        <v>22</v>
      </c>
      <c r="D4750">
        <v>0.58599999999999997</v>
      </c>
      <c r="E4750" t="s">
        <v>6</v>
      </c>
      <c r="F4750">
        <v>0.24668000000000001</v>
      </c>
    </row>
    <row r="4751" spans="1:6" x14ac:dyDescent="0.3">
      <c r="A4751" t="s">
        <v>22</v>
      </c>
      <c r="B4751" s="1">
        <v>45855</v>
      </c>
      <c r="C4751">
        <v>23</v>
      </c>
      <c r="D4751">
        <v>1.1830000000000001</v>
      </c>
      <c r="E4751" t="s">
        <v>6</v>
      </c>
      <c r="F4751">
        <v>0.18271000000000001</v>
      </c>
    </row>
    <row r="4752" spans="1:6" x14ac:dyDescent="0.3">
      <c r="A4752" t="s">
        <v>22</v>
      </c>
      <c r="B4752" s="1">
        <v>45855</v>
      </c>
      <c r="C4752">
        <v>24</v>
      </c>
      <c r="D4752">
        <v>0.72399999999999998</v>
      </c>
      <c r="E4752" t="s">
        <v>6</v>
      </c>
      <c r="F4752">
        <v>0.17327999999999999</v>
      </c>
    </row>
    <row r="4753" spans="1:6" x14ac:dyDescent="0.3">
      <c r="A4753" t="s">
        <v>22</v>
      </c>
      <c r="B4753" s="1">
        <v>45856</v>
      </c>
      <c r="C4753">
        <v>1</v>
      </c>
      <c r="D4753">
        <v>0.753</v>
      </c>
      <c r="E4753" t="s">
        <v>6</v>
      </c>
      <c r="F4753">
        <v>0.14177000000000001</v>
      </c>
    </row>
    <row r="4754" spans="1:6" x14ac:dyDescent="0.3">
      <c r="A4754" t="s">
        <v>22</v>
      </c>
      <c r="B4754" s="1">
        <v>45856</v>
      </c>
      <c r="C4754">
        <v>2</v>
      </c>
      <c r="D4754">
        <v>0.71499999999999997</v>
      </c>
      <c r="E4754" t="s">
        <v>6</v>
      </c>
      <c r="F4754">
        <v>0.13463</v>
      </c>
    </row>
    <row r="4755" spans="1:6" x14ac:dyDescent="0.3">
      <c r="A4755" t="s">
        <v>22</v>
      </c>
      <c r="B4755" s="1">
        <v>45856</v>
      </c>
      <c r="C4755">
        <v>3</v>
      </c>
      <c r="D4755">
        <v>1.3680000000000001</v>
      </c>
      <c r="E4755" t="s">
        <v>6</v>
      </c>
      <c r="F4755">
        <v>0.13508000000000001</v>
      </c>
    </row>
    <row r="4756" spans="1:6" x14ac:dyDescent="0.3">
      <c r="A4756" t="s">
        <v>22</v>
      </c>
      <c r="B4756" s="1">
        <v>45856</v>
      </c>
      <c r="C4756">
        <v>4</v>
      </c>
      <c r="D4756">
        <v>0.55100000000000005</v>
      </c>
      <c r="E4756" t="s">
        <v>6</v>
      </c>
      <c r="F4756">
        <v>0.13086</v>
      </c>
    </row>
    <row r="4757" spans="1:6" x14ac:dyDescent="0.3">
      <c r="A4757" t="s">
        <v>22</v>
      </c>
      <c r="B4757" s="1">
        <v>45856</v>
      </c>
      <c r="C4757">
        <v>5</v>
      </c>
      <c r="D4757">
        <v>0.54300000000000004</v>
      </c>
      <c r="E4757" t="s">
        <v>6</v>
      </c>
      <c r="F4757">
        <v>0.12934999999999999</v>
      </c>
    </row>
    <row r="4758" spans="1:6" x14ac:dyDescent="0.3">
      <c r="A4758" t="s">
        <v>22</v>
      </c>
      <c r="B4758" s="1">
        <v>45856</v>
      </c>
      <c r="C4758">
        <v>6</v>
      </c>
      <c r="D4758">
        <v>0.55100000000000005</v>
      </c>
      <c r="E4758" t="s">
        <v>6</v>
      </c>
      <c r="F4758">
        <v>0.13128999999999999</v>
      </c>
    </row>
    <row r="4759" spans="1:6" x14ac:dyDescent="0.3">
      <c r="A4759" t="s">
        <v>22</v>
      </c>
      <c r="B4759" s="1">
        <v>45856</v>
      </c>
      <c r="C4759">
        <v>7</v>
      </c>
      <c r="D4759">
        <v>0.46700000000000003</v>
      </c>
      <c r="E4759" t="s">
        <v>6</v>
      </c>
      <c r="F4759">
        <v>0.13832</v>
      </c>
    </row>
    <row r="4760" spans="1:6" x14ac:dyDescent="0.3">
      <c r="A4760" t="s">
        <v>22</v>
      </c>
      <c r="B4760" s="1">
        <v>45856</v>
      </c>
      <c r="C4760">
        <v>8</v>
      </c>
      <c r="D4760">
        <v>0.97299999999999998</v>
      </c>
      <c r="E4760" t="s">
        <v>6</v>
      </c>
      <c r="F4760">
        <v>0.14283999999999999</v>
      </c>
    </row>
    <row r="4761" spans="1:6" x14ac:dyDescent="0.3">
      <c r="A4761" t="s">
        <v>22</v>
      </c>
      <c r="B4761" s="1">
        <v>45856</v>
      </c>
      <c r="C4761">
        <v>9</v>
      </c>
      <c r="D4761">
        <v>0</v>
      </c>
      <c r="E4761" t="s">
        <v>6</v>
      </c>
      <c r="F4761">
        <v>0.15887000000000001</v>
      </c>
    </row>
    <row r="4762" spans="1:6" x14ac:dyDescent="0.3">
      <c r="A4762" t="s">
        <v>22</v>
      </c>
      <c r="B4762" s="1">
        <v>45856</v>
      </c>
      <c r="C4762">
        <v>10</v>
      </c>
      <c r="D4762">
        <v>0</v>
      </c>
      <c r="E4762" t="s">
        <v>6</v>
      </c>
      <c r="F4762">
        <v>0.14246999999999999</v>
      </c>
    </row>
    <row r="4763" spans="1:6" x14ac:dyDescent="0.3">
      <c r="A4763" t="s">
        <v>22</v>
      </c>
      <c r="B4763" s="1">
        <v>45856</v>
      </c>
      <c r="C4763">
        <v>11</v>
      </c>
      <c r="D4763">
        <v>0</v>
      </c>
      <c r="E4763" t="s">
        <v>6</v>
      </c>
      <c r="F4763">
        <v>0.19587000000000002</v>
      </c>
    </row>
    <row r="4764" spans="1:6" x14ac:dyDescent="0.3">
      <c r="A4764" t="s">
        <v>22</v>
      </c>
      <c r="B4764" s="1">
        <v>45856</v>
      </c>
      <c r="C4764">
        <v>12</v>
      </c>
      <c r="D4764">
        <v>0</v>
      </c>
      <c r="E4764" t="s">
        <v>6</v>
      </c>
      <c r="F4764">
        <v>0.19907</v>
      </c>
    </row>
    <row r="4765" spans="1:6" x14ac:dyDescent="0.3">
      <c r="A4765" t="s">
        <v>22</v>
      </c>
      <c r="B4765" s="1">
        <v>45856</v>
      </c>
      <c r="C4765">
        <v>13</v>
      </c>
      <c r="D4765">
        <v>0.64700000000000002</v>
      </c>
      <c r="E4765" t="s">
        <v>6</v>
      </c>
      <c r="F4765">
        <v>0.19652</v>
      </c>
    </row>
    <row r="4766" spans="1:6" x14ac:dyDescent="0.3">
      <c r="A4766" t="s">
        <v>22</v>
      </c>
      <c r="B4766" s="1">
        <v>45856</v>
      </c>
      <c r="C4766">
        <v>14</v>
      </c>
      <c r="D4766">
        <v>1.786</v>
      </c>
      <c r="E4766" t="s">
        <v>6</v>
      </c>
      <c r="F4766">
        <v>0.18749000000000002</v>
      </c>
    </row>
    <row r="4767" spans="1:6" x14ac:dyDescent="0.3">
      <c r="A4767" t="s">
        <v>22</v>
      </c>
      <c r="B4767" s="1">
        <v>45856</v>
      </c>
      <c r="C4767">
        <v>15</v>
      </c>
      <c r="D4767">
        <v>0.95499999999999996</v>
      </c>
      <c r="E4767" t="s">
        <v>6</v>
      </c>
      <c r="F4767">
        <v>0.11993000000000001</v>
      </c>
    </row>
    <row r="4768" spans="1:6" x14ac:dyDescent="0.3">
      <c r="A4768" t="s">
        <v>22</v>
      </c>
      <c r="B4768" s="1">
        <v>45856</v>
      </c>
      <c r="C4768">
        <v>16</v>
      </c>
      <c r="D4768">
        <v>0</v>
      </c>
      <c r="E4768" t="s">
        <v>6</v>
      </c>
      <c r="F4768">
        <v>0.12307999999999999</v>
      </c>
    </row>
    <row r="4769" spans="1:6" x14ac:dyDescent="0.3">
      <c r="A4769" t="s">
        <v>22</v>
      </c>
      <c r="B4769" s="1">
        <v>45856</v>
      </c>
      <c r="C4769">
        <v>17</v>
      </c>
      <c r="D4769">
        <v>0</v>
      </c>
      <c r="E4769" t="s">
        <v>6</v>
      </c>
      <c r="F4769">
        <v>0.12301000000000001</v>
      </c>
    </row>
    <row r="4770" spans="1:6" x14ac:dyDescent="0.3">
      <c r="A4770" t="s">
        <v>22</v>
      </c>
      <c r="B4770" s="1">
        <v>45856</v>
      </c>
      <c r="C4770">
        <v>18</v>
      </c>
      <c r="D4770">
        <v>0</v>
      </c>
      <c r="E4770" t="s">
        <v>6</v>
      </c>
      <c r="F4770">
        <v>0.12444</v>
      </c>
    </row>
    <row r="4771" spans="1:6" x14ac:dyDescent="0.3">
      <c r="A4771" t="s">
        <v>22</v>
      </c>
      <c r="B4771" s="1">
        <v>45856</v>
      </c>
      <c r="C4771">
        <v>19</v>
      </c>
      <c r="D4771">
        <v>0.70899999999999996</v>
      </c>
      <c r="E4771" t="s">
        <v>6</v>
      </c>
      <c r="F4771">
        <v>0.18865000000000001</v>
      </c>
    </row>
    <row r="4772" spans="1:6" x14ac:dyDescent="0.3">
      <c r="A4772" t="s">
        <v>22</v>
      </c>
      <c r="B4772" s="1">
        <v>45856</v>
      </c>
      <c r="C4772">
        <v>20</v>
      </c>
      <c r="D4772">
        <v>2.048</v>
      </c>
      <c r="E4772" t="s">
        <v>6</v>
      </c>
      <c r="F4772">
        <v>0.19119</v>
      </c>
    </row>
    <row r="4773" spans="1:6" x14ac:dyDescent="0.3">
      <c r="A4773" t="s">
        <v>22</v>
      </c>
      <c r="B4773" s="1">
        <v>45856</v>
      </c>
      <c r="C4773">
        <v>21</v>
      </c>
      <c r="D4773">
        <v>2.4580000000000002</v>
      </c>
      <c r="E4773" t="s">
        <v>6</v>
      </c>
      <c r="F4773">
        <v>0.22852</v>
      </c>
    </row>
    <row r="4774" spans="1:6" x14ac:dyDescent="0.3">
      <c r="A4774" t="s">
        <v>22</v>
      </c>
      <c r="B4774" s="1">
        <v>45856</v>
      </c>
      <c r="C4774">
        <v>22</v>
      </c>
      <c r="D4774">
        <v>1.5780000000000001</v>
      </c>
      <c r="E4774" t="s">
        <v>6</v>
      </c>
      <c r="F4774">
        <v>0.23958000000000002</v>
      </c>
    </row>
    <row r="4775" spans="1:6" x14ac:dyDescent="0.3">
      <c r="A4775" t="s">
        <v>22</v>
      </c>
      <c r="B4775" s="1">
        <v>45856</v>
      </c>
      <c r="C4775">
        <v>23</v>
      </c>
      <c r="D4775">
        <v>1.5229999999999999</v>
      </c>
      <c r="E4775" t="s">
        <v>6</v>
      </c>
      <c r="F4775">
        <v>0.17316000000000001</v>
      </c>
    </row>
    <row r="4776" spans="1:6" x14ac:dyDescent="0.3">
      <c r="A4776" t="s">
        <v>22</v>
      </c>
      <c r="B4776" s="1">
        <v>45856</v>
      </c>
      <c r="C4776">
        <v>24</v>
      </c>
      <c r="D4776">
        <v>0.85</v>
      </c>
      <c r="E4776" t="s">
        <v>6</v>
      </c>
      <c r="F4776">
        <v>0.16528999999999999</v>
      </c>
    </row>
    <row r="4777" spans="1:6" x14ac:dyDescent="0.3">
      <c r="A4777" t="s">
        <v>22</v>
      </c>
      <c r="B4777" s="1">
        <v>45857</v>
      </c>
      <c r="C4777">
        <v>1</v>
      </c>
      <c r="D4777">
        <v>0.57599999999999996</v>
      </c>
      <c r="E4777" t="s">
        <v>6</v>
      </c>
      <c r="F4777">
        <v>0.15098</v>
      </c>
    </row>
    <row r="4778" spans="1:6" x14ac:dyDescent="0.3">
      <c r="A4778" t="s">
        <v>22</v>
      </c>
      <c r="B4778" s="1">
        <v>45857</v>
      </c>
      <c r="C4778">
        <v>2</v>
      </c>
      <c r="D4778">
        <v>0.58599999999999997</v>
      </c>
      <c r="E4778" t="s">
        <v>6</v>
      </c>
      <c r="F4778">
        <v>0.14861000000000002</v>
      </c>
    </row>
    <row r="4779" spans="1:6" x14ac:dyDescent="0.3">
      <c r="A4779" t="s">
        <v>22</v>
      </c>
      <c r="B4779" s="1">
        <v>45857</v>
      </c>
      <c r="C4779">
        <v>3</v>
      </c>
      <c r="D4779">
        <v>0.52900000000000003</v>
      </c>
      <c r="E4779" t="s">
        <v>6</v>
      </c>
      <c r="F4779">
        <v>0.14199999999999999</v>
      </c>
    </row>
    <row r="4780" spans="1:6" x14ac:dyDescent="0.3">
      <c r="A4780" t="s">
        <v>22</v>
      </c>
      <c r="B4780" s="1">
        <v>45857</v>
      </c>
      <c r="C4780">
        <v>4</v>
      </c>
      <c r="D4780">
        <v>0.58799999999999997</v>
      </c>
      <c r="E4780" t="s">
        <v>6</v>
      </c>
      <c r="F4780">
        <v>0.13216</v>
      </c>
    </row>
    <row r="4781" spans="1:6" x14ac:dyDescent="0.3">
      <c r="A4781" t="s">
        <v>22</v>
      </c>
      <c r="B4781" s="1">
        <v>45857</v>
      </c>
      <c r="C4781">
        <v>5</v>
      </c>
      <c r="D4781">
        <v>0.61399999999999999</v>
      </c>
      <c r="E4781" t="s">
        <v>6</v>
      </c>
      <c r="F4781">
        <v>0.13000999999999999</v>
      </c>
    </row>
    <row r="4782" spans="1:6" x14ac:dyDescent="0.3">
      <c r="A4782" t="s">
        <v>22</v>
      </c>
      <c r="B4782" s="1">
        <v>45857</v>
      </c>
      <c r="C4782">
        <v>6</v>
      </c>
      <c r="D4782">
        <v>0.49099999999999999</v>
      </c>
      <c r="E4782" t="s">
        <v>6</v>
      </c>
      <c r="F4782">
        <v>0.13188999999999998</v>
      </c>
    </row>
    <row r="4783" spans="1:6" x14ac:dyDescent="0.3">
      <c r="A4783" t="s">
        <v>22</v>
      </c>
      <c r="B4783" s="1">
        <v>45857</v>
      </c>
      <c r="C4783">
        <v>7</v>
      </c>
      <c r="D4783">
        <v>1.1719999999999999</v>
      </c>
      <c r="E4783" t="s">
        <v>6</v>
      </c>
      <c r="F4783">
        <v>0.13769000000000001</v>
      </c>
    </row>
    <row r="4784" spans="1:6" x14ac:dyDescent="0.3">
      <c r="A4784" t="s">
        <v>22</v>
      </c>
      <c r="B4784" s="1">
        <v>45857</v>
      </c>
      <c r="C4784">
        <v>8</v>
      </c>
      <c r="D4784">
        <v>0.32</v>
      </c>
      <c r="E4784" t="s">
        <v>6</v>
      </c>
      <c r="F4784">
        <v>0.13991000000000001</v>
      </c>
    </row>
    <row r="4785" spans="1:6" x14ac:dyDescent="0.3">
      <c r="A4785" t="s">
        <v>22</v>
      </c>
      <c r="B4785" s="1">
        <v>45857</v>
      </c>
      <c r="C4785">
        <v>9</v>
      </c>
      <c r="D4785">
        <v>0.109</v>
      </c>
      <c r="E4785" t="s">
        <v>6</v>
      </c>
      <c r="F4785">
        <v>0.10482999999999999</v>
      </c>
    </row>
    <row r="4786" spans="1:6" x14ac:dyDescent="0.3">
      <c r="A4786" t="s">
        <v>22</v>
      </c>
      <c r="B4786" s="1">
        <v>45857</v>
      </c>
      <c r="C4786">
        <v>10</v>
      </c>
      <c r="D4786">
        <v>0</v>
      </c>
      <c r="E4786" t="s">
        <v>6</v>
      </c>
      <c r="F4786">
        <v>5.6750000000000002E-2</v>
      </c>
    </row>
    <row r="4787" spans="1:6" x14ac:dyDescent="0.3">
      <c r="A4787" t="s">
        <v>22</v>
      </c>
      <c r="B4787" s="1">
        <v>45857</v>
      </c>
      <c r="C4787">
        <v>11</v>
      </c>
      <c r="D4787">
        <v>0</v>
      </c>
      <c r="E4787" t="s">
        <v>6</v>
      </c>
      <c r="F4787">
        <v>4.7200000000000006E-2</v>
      </c>
    </row>
    <row r="4788" spans="1:6" x14ac:dyDescent="0.3">
      <c r="A4788" t="s">
        <v>22</v>
      </c>
      <c r="B4788" s="1">
        <v>45857</v>
      </c>
      <c r="C4788">
        <v>12</v>
      </c>
      <c r="D4788">
        <v>0</v>
      </c>
      <c r="E4788" t="s">
        <v>6</v>
      </c>
      <c r="F4788">
        <v>4.2520000000000002E-2</v>
      </c>
    </row>
    <row r="4789" spans="1:6" x14ac:dyDescent="0.3">
      <c r="A4789" t="s">
        <v>22</v>
      </c>
      <c r="B4789" s="1">
        <v>45857</v>
      </c>
      <c r="C4789">
        <v>13</v>
      </c>
      <c r="D4789">
        <v>0</v>
      </c>
      <c r="E4789" t="s">
        <v>6</v>
      </c>
      <c r="F4789">
        <v>4.1329999999999999E-2</v>
      </c>
    </row>
    <row r="4790" spans="1:6" x14ac:dyDescent="0.3">
      <c r="A4790" t="s">
        <v>22</v>
      </c>
      <c r="B4790" s="1">
        <v>45857</v>
      </c>
      <c r="C4790">
        <v>14</v>
      </c>
      <c r="D4790">
        <v>0</v>
      </c>
      <c r="E4790" t="s">
        <v>6</v>
      </c>
      <c r="F4790">
        <v>4.0629999999999999E-2</v>
      </c>
    </row>
    <row r="4791" spans="1:6" x14ac:dyDescent="0.3">
      <c r="A4791" t="s">
        <v>22</v>
      </c>
      <c r="B4791" s="1">
        <v>45857</v>
      </c>
      <c r="C4791">
        <v>15</v>
      </c>
      <c r="D4791">
        <v>0</v>
      </c>
      <c r="E4791" t="s">
        <v>6</v>
      </c>
      <c r="F4791">
        <v>4.0559999999999999E-2</v>
      </c>
    </row>
    <row r="4792" spans="1:6" x14ac:dyDescent="0.3">
      <c r="A4792" t="s">
        <v>22</v>
      </c>
      <c r="B4792" s="1">
        <v>45857</v>
      </c>
      <c r="C4792">
        <v>16</v>
      </c>
      <c r="D4792">
        <v>0</v>
      </c>
      <c r="E4792" t="s">
        <v>6</v>
      </c>
      <c r="F4792">
        <v>4.1390000000000003E-2</v>
      </c>
    </row>
    <row r="4793" spans="1:6" x14ac:dyDescent="0.3">
      <c r="A4793" t="s">
        <v>22</v>
      </c>
      <c r="B4793" s="1">
        <v>45857</v>
      </c>
      <c r="C4793">
        <v>17</v>
      </c>
      <c r="D4793">
        <v>0</v>
      </c>
      <c r="E4793" t="s">
        <v>6</v>
      </c>
      <c r="F4793">
        <v>4.3029999999999999E-2</v>
      </c>
    </row>
    <row r="4794" spans="1:6" x14ac:dyDescent="0.3">
      <c r="A4794" t="s">
        <v>22</v>
      </c>
      <c r="B4794" s="1">
        <v>45857</v>
      </c>
      <c r="C4794">
        <v>18</v>
      </c>
      <c r="D4794">
        <v>0.28499999999999998</v>
      </c>
      <c r="E4794" t="s">
        <v>6</v>
      </c>
      <c r="F4794">
        <v>4.2389999999999997E-2</v>
      </c>
    </row>
    <row r="4795" spans="1:6" x14ac:dyDescent="0.3">
      <c r="A4795" t="s">
        <v>22</v>
      </c>
      <c r="B4795" s="1">
        <v>45857</v>
      </c>
      <c r="C4795">
        <v>19</v>
      </c>
      <c r="D4795">
        <v>0.30499999999999999</v>
      </c>
      <c r="E4795" t="s">
        <v>6</v>
      </c>
      <c r="F4795">
        <v>4.4479999999999999E-2</v>
      </c>
    </row>
    <row r="4796" spans="1:6" x14ac:dyDescent="0.3">
      <c r="A4796" t="s">
        <v>22</v>
      </c>
      <c r="B4796" s="1">
        <v>45857</v>
      </c>
      <c r="C4796">
        <v>20</v>
      </c>
      <c r="D4796">
        <v>0.16600000000000001</v>
      </c>
      <c r="E4796" t="s">
        <v>6</v>
      </c>
      <c r="F4796">
        <v>8.6749999999999994E-2</v>
      </c>
    </row>
    <row r="4797" spans="1:6" x14ac:dyDescent="0.3">
      <c r="A4797" t="s">
        <v>22</v>
      </c>
      <c r="B4797" s="1">
        <v>45857</v>
      </c>
      <c r="C4797">
        <v>21</v>
      </c>
      <c r="D4797">
        <v>0.55500000000000005</v>
      </c>
      <c r="E4797" t="s">
        <v>6</v>
      </c>
      <c r="F4797">
        <v>0.11784</v>
      </c>
    </row>
    <row r="4798" spans="1:6" x14ac:dyDescent="0.3">
      <c r="A4798" t="s">
        <v>22</v>
      </c>
      <c r="B4798" s="1">
        <v>45857</v>
      </c>
      <c r="C4798">
        <v>22</v>
      </c>
      <c r="D4798">
        <v>1.343</v>
      </c>
      <c r="E4798" t="s">
        <v>6</v>
      </c>
      <c r="F4798">
        <v>0.15175999999999998</v>
      </c>
    </row>
    <row r="4799" spans="1:6" x14ac:dyDescent="0.3">
      <c r="A4799" t="s">
        <v>22</v>
      </c>
      <c r="B4799" s="1">
        <v>45857</v>
      </c>
      <c r="C4799">
        <v>23</v>
      </c>
      <c r="D4799">
        <v>0.53800000000000003</v>
      </c>
      <c r="E4799" t="s">
        <v>6</v>
      </c>
      <c r="F4799">
        <v>0.15908</v>
      </c>
    </row>
    <row r="4800" spans="1:6" x14ac:dyDescent="0.3">
      <c r="A4800" t="s">
        <v>22</v>
      </c>
      <c r="B4800" s="1">
        <v>45857</v>
      </c>
      <c r="C4800">
        <v>24</v>
      </c>
      <c r="D4800">
        <v>0.64500000000000002</v>
      </c>
      <c r="E4800" t="s">
        <v>6</v>
      </c>
      <c r="F4800">
        <v>0.14743000000000001</v>
      </c>
    </row>
    <row r="4801" spans="1:6" x14ac:dyDescent="0.3">
      <c r="A4801" t="s">
        <v>22</v>
      </c>
      <c r="B4801" s="1">
        <v>45858</v>
      </c>
      <c r="C4801">
        <v>1</v>
      </c>
      <c r="D4801">
        <v>0.58599999999999997</v>
      </c>
      <c r="E4801" t="s">
        <v>6</v>
      </c>
      <c r="F4801">
        <v>0.11136</v>
      </c>
    </row>
    <row r="4802" spans="1:6" x14ac:dyDescent="0.3">
      <c r="A4802" t="s">
        <v>22</v>
      </c>
      <c r="B4802" s="1">
        <v>45858</v>
      </c>
      <c r="C4802">
        <v>2</v>
      </c>
      <c r="D4802">
        <v>0.53400000000000003</v>
      </c>
      <c r="E4802" t="s">
        <v>6</v>
      </c>
      <c r="F4802">
        <v>9.8530000000000006E-2</v>
      </c>
    </row>
    <row r="4803" spans="1:6" x14ac:dyDescent="0.3">
      <c r="A4803" t="s">
        <v>22</v>
      </c>
      <c r="B4803" s="1">
        <v>45858</v>
      </c>
      <c r="C4803">
        <v>3</v>
      </c>
      <c r="D4803">
        <v>0.622</v>
      </c>
      <c r="E4803" t="s">
        <v>6</v>
      </c>
      <c r="F4803">
        <v>0.10025000000000001</v>
      </c>
    </row>
    <row r="4804" spans="1:6" x14ac:dyDescent="0.3">
      <c r="A4804" t="s">
        <v>22</v>
      </c>
      <c r="B4804" s="1">
        <v>45858</v>
      </c>
      <c r="C4804">
        <v>4</v>
      </c>
      <c r="D4804">
        <v>0.497</v>
      </c>
      <c r="E4804" t="s">
        <v>6</v>
      </c>
      <c r="F4804">
        <v>0.10136000000000001</v>
      </c>
    </row>
    <row r="4805" spans="1:6" x14ac:dyDescent="0.3">
      <c r="A4805" t="s">
        <v>22</v>
      </c>
      <c r="B4805" s="1">
        <v>45858</v>
      </c>
      <c r="C4805">
        <v>5</v>
      </c>
      <c r="D4805">
        <v>0.60399999999999998</v>
      </c>
      <c r="E4805" t="s">
        <v>6</v>
      </c>
      <c r="F4805">
        <v>0.10145999999999999</v>
      </c>
    </row>
    <row r="4806" spans="1:6" x14ac:dyDescent="0.3">
      <c r="A4806" t="s">
        <v>22</v>
      </c>
      <c r="B4806" s="1">
        <v>45858</v>
      </c>
      <c r="C4806">
        <v>6</v>
      </c>
      <c r="D4806">
        <v>0.47</v>
      </c>
      <c r="E4806" t="s">
        <v>6</v>
      </c>
      <c r="F4806">
        <v>0.10318000000000001</v>
      </c>
    </row>
    <row r="4807" spans="1:6" x14ac:dyDescent="0.3">
      <c r="A4807" t="s">
        <v>22</v>
      </c>
      <c r="B4807" s="1">
        <v>45858</v>
      </c>
      <c r="C4807">
        <v>7</v>
      </c>
      <c r="D4807">
        <v>0.60699999999999998</v>
      </c>
      <c r="E4807" t="s">
        <v>6</v>
      </c>
      <c r="F4807">
        <v>0.10893000000000001</v>
      </c>
    </row>
    <row r="4808" spans="1:6" x14ac:dyDescent="0.3">
      <c r="A4808" t="s">
        <v>22</v>
      </c>
      <c r="B4808" s="1">
        <v>45858</v>
      </c>
      <c r="C4808">
        <v>8</v>
      </c>
      <c r="D4808">
        <v>0.68700000000000006</v>
      </c>
      <c r="E4808" t="s">
        <v>6</v>
      </c>
      <c r="F4808">
        <v>0.15566999999999998</v>
      </c>
    </row>
    <row r="4809" spans="1:6" x14ac:dyDescent="0.3">
      <c r="A4809" t="s">
        <v>22</v>
      </c>
      <c r="B4809" s="1">
        <v>45858</v>
      </c>
      <c r="C4809">
        <v>9</v>
      </c>
      <c r="D4809">
        <v>0</v>
      </c>
      <c r="E4809" t="s">
        <v>6</v>
      </c>
      <c r="F4809">
        <v>8.6019999999999999E-2</v>
      </c>
    </row>
    <row r="4810" spans="1:6" x14ac:dyDescent="0.3">
      <c r="A4810" t="s">
        <v>22</v>
      </c>
      <c r="B4810" s="1">
        <v>45858</v>
      </c>
      <c r="C4810">
        <v>10</v>
      </c>
      <c r="D4810">
        <v>0</v>
      </c>
      <c r="E4810" t="s">
        <v>6</v>
      </c>
      <c r="F4810">
        <v>5.4850000000000003E-2</v>
      </c>
    </row>
    <row r="4811" spans="1:6" x14ac:dyDescent="0.3">
      <c r="A4811" t="s">
        <v>22</v>
      </c>
      <c r="B4811" s="1">
        <v>45858</v>
      </c>
      <c r="C4811">
        <v>11</v>
      </c>
      <c r="D4811">
        <v>0</v>
      </c>
      <c r="E4811" t="s">
        <v>6</v>
      </c>
      <c r="F4811">
        <v>5.7630000000000001E-2</v>
      </c>
    </row>
    <row r="4812" spans="1:6" x14ac:dyDescent="0.3">
      <c r="A4812" t="s">
        <v>22</v>
      </c>
      <c r="B4812" s="1">
        <v>45858</v>
      </c>
      <c r="C4812">
        <v>12</v>
      </c>
      <c r="D4812">
        <v>0</v>
      </c>
      <c r="E4812" t="s">
        <v>6</v>
      </c>
      <c r="F4812">
        <v>5.8389999999999997E-2</v>
      </c>
    </row>
    <row r="4813" spans="1:6" x14ac:dyDescent="0.3">
      <c r="A4813" t="s">
        <v>22</v>
      </c>
      <c r="B4813" s="1">
        <v>45858</v>
      </c>
      <c r="C4813">
        <v>13</v>
      </c>
      <c r="D4813">
        <v>0</v>
      </c>
      <c r="E4813" t="s">
        <v>6</v>
      </c>
      <c r="F4813">
        <v>5.8159999999999996E-2</v>
      </c>
    </row>
    <row r="4814" spans="1:6" x14ac:dyDescent="0.3">
      <c r="A4814" t="s">
        <v>22</v>
      </c>
      <c r="B4814" s="1">
        <v>45858</v>
      </c>
      <c r="C4814">
        <v>14</v>
      </c>
      <c r="D4814">
        <v>0</v>
      </c>
      <c r="E4814" t="s">
        <v>6</v>
      </c>
      <c r="F4814">
        <v>5.7439999999999998E-2</v>
      </c>
    </row>
    <row r="4815" spans="1:6" x14ac:dyDescent="0.3">
      <c r="A4815" t="s">
        <v>22</v>
      </c>
      <c r="B4815" s="1">
        <v>45858</v>
      </c>
      <c r="C4815">
        <v>15</v>
      </c>
      <c r="D4815">
        <v>0</v>
      </c>
      <c r="E4815" t="s">
        <v>6</v>
      </c>
      <c r="F4815">
        <v>5.6659999999999995E-2</v>
      </c>
    </row>
    <row r="4816" spans="1:6" x14ac:dyDescent="0.3">
      <c r="A4816" t="s">
        <v>22</v>
      </c>
      <c r="B4816" s="1">
        <v>45858</v>
      </c>
      <c r="C4816">
        <v>16</v>
      </c>
      <c r="D4816">
        <v>0</v>
      </c>
      <c r="E4816" t="s">
        <v>6</v>
      </c>
      <c r="F4816">
        <v>5.6240000000000005E-2</v>
      </c>
    </row>
    <row r="4817" spans="1:6" x14ac:dyDescent="0.3">
      <c r="A4817" t="s">
        <v>22</v>
      </c>
      <c r="B4817" s="1">
        <v>45858</v>
      </c>
      <c r="C4817">
        <v>17</v>
      </c>
      <c r="D4817">
        <v>0</v>
      </c>
      <c r="E4817" t="s">
        <v>6</v>
      </c>
      <c r="F4817">
        <v>5.6530000000000004E-2</v>
      </c>
    </row>
    <row r="4818" spans="1:6" x14ac:dyDescent="0.3">
      <c r="A4818" t="s">
        <v>22</v>
      </c>
      <c r="B4818" s="1">
        <v>45858</v>
      </c>
      <c r="C4818">
        <v>18</v>
      </c>
      <c r="D4818">
        <v>0</v>
      </c>
      <c r="E4818" t="s">
        <v>6</v>
      </c>
      <c r="F4818">
        <v>5.6149999999999999E-2</v>
      </c>
    </row>
    <row r="4819" spans="1:6" x14ac:dyDescent="0.3">
      <c r="A4819" t="s">
        <v>22</v>
      </c>
      <c r="B4819" s="1">
        <v>45858</v>
      </c>
      <c r="C4819">
        <v>19</v>
      </c>
      <c r="D4819">
        <v>0</v>
      </c>
      <c r="E4819" t="s">
        <v>6</v>
      </c>
      <c r="F4819">
        <v>5.6460000000000003E-2</v>
      </c>
    </row>
    <row r="4820" spans="1:6" x14ac:dyDescent="0.3">
      <c r="A4820" t="s">
        <v>22</v>
      </c>
      <c r="B4820" s="1">
        <v>45858</v>
      </c>
      <c r="C4820">
        <v>20</v>
      </c>
      <c r="D4820">
        <v>0.19500000000000001</v>
      </c>
      <c r="E4820" t="s">
        <v>6</v>
      </c>
      <c r="F4820">
        <v>6.1409999999999999E-2</v>
      </c>
    </row>
    <row r="4821" spans="1:6" x14ac:dyDescent="0.3">
      <c r="A4821" t="s">
        <v>22</v>
      </c>
      <c r="B4821" s="1">
        <v>45858</v>
      </c>
      <c r="C4821">
        <v>21</v>
      </c>
      <c r="D4821">
        <v>0.64300000000000002</v>
      </c>
      <c r="E4821" t="s">
        <v>6</v>
      </c>
      <c r="F4821">
        <v>0.10513</v>
      </c>
    </row>
    <row r="4822" spans="1:6" x14ac:dyDescent="0.3">
      <c r="A4822" t="s">
        <v>22</v>
      </c>
      <c r="B4822" s="1">
        <v>45858</v>
      </c>
      <c r="C4822">
        <v>22</v>
      </c>
      <c r="D4822">
        <v>0.73499999999999999</v>
      </c>
      <c r="E4822" t="s">
        <v>6</v>
      </c>
      <c r="F4822">
        <v>0.13293000000000002</v>
      </c>
    </row>
    <row r="4823" spans="1:6" x14ac:dyDescent="0.3">
      <c r="A4823" t="s">
        <v>22</v>
      </c>
      <c r="B4823" s="1">
        <v>45858</v>
      </c>
      <c r="C4823">
        <v>23</v>
      </c>
      <c r="D4823">
        <v>0.76800000000000002</v>
      </c>
      <c r="E4823" t="s">
        <v>6</v>
      </c>
      <c r="F4823">
        <v>0.15068000000000001</v>
      </c>
    </row>
    <row r="4824" spans="1:6" x14ac:dyDescent="0.3">
      <c r="A4824" t="s">
        <v>22</v>
      </c>
      <c r="B4824" s="1">
        <v>45858</v>
      </c>
      <c r="C4824">
        <v>24</v>
      </c>
      <c r="D4824">
        <v>0.72899999999999998</v>
      </c>
      <c r="E4824" t="s">
        <v>6</v>
      </c>
      <c r="F4824">
        <v>0.13494999999999999</v>
      </c>
    </row>
    <row r="4825" spans="1:6" x14ac:dyDescent="0.3">
      <c r="A4825" t="s">
        <v>22</v>
      </c>
      <c r="B4825" s="1">
        <v>45859</v>
      </c>
      <c r="C4825">
        <v>1</v>
      </c>
      <c r="D4825">
        <v>0.55600000000000005</v>
      </c>
      <c r="E4825" t="s">
        <v>6</v>
      </c>
      <c r="F4825">
        <v>0.10731</v>
      </c>
    </row>
    <row r="4826" spans="1:6" x14ac:dyDescent="0.3">
      <c r="A4826" t="s">
        <v>22</v>
      </c>
      <c r="B4826" s="1">
        <v>45859</v>
      </c>
      <c r="C4826">
        <v>2</v>
      </c>
      <c r="D4826">
        <v>0.629</v>
      </c>
      <c r="E4826" t="s">
        <v>6</v>
      </c>
      <c r="F4826">
        <v>9.4319999999999987E-2</v>
      </c>
    </row>
    <row r="4827" spans="1:6" x14ac:dyDescent="0.3">
      <c r="A4827" t="s">
        <v>22</v>
      </c>
      <c r="B4827" s="1">
        <v>45859</v>
      </c>
      <c r="C4827">
        <v>3</v>
      </c>
      <c r="D4827">
        <v>0.997</v>
      </c>
      <c r="E4827" t="s">
        <v>6</v>
      </c>
      <c r="F4827">
        <v>9.0639999999999998E-2</v>
      </c>
    </row>
    <row r="4828" spans="1:6" x14ac:dyDescent="0.3">
      <c r="A4828" t="s">
        <v>22</v>
      </c>
      <c r="B4828" s="1">
        <v>45859</v>
      </c>
      <c r="C4828">
        <v>4</v>
      </c>
      <c r="D4828">
        <v>0.84799999999999998</v>
      </c>
      <c r="E4828" t="s">
        <v>6</v>
      </c>
      <c r="F4828">
        <v>8.652E-2</v>
      </c>
    </row>
    <row r="4829" spans="1:6" x14ac:dyDescent="0.3">
      <c r="A4829" t="s">
        <v>22</v>
      </c>
      <c r="B4829" s="1">
        <v>45859</v>
      </c>
      <c r="C4829">
        <v>5</v>
      </c>
      <c r="D4829">
        <v>0.46500000000000002</v>
      </c>
      <c r="E4829" t="s">
        <v>6</v>
      </c>
      <c r="F4829">
        <v>6.0759999999999995E-2</v>
      </c>
    </row>
    <row r="4830" spans="1:6" x14ac:dyDescent="0.3">
      <c r="A4830" t="s">
        <v>22</v>
      </c>
      <c r="B4830" s="1">
        <v>45859</v>
      </c>
      <c r="C4830">
        <v>6</v>
      </c>
      <c r="D4830">
        <v>0.56399999999999995</v>
      </c>
      <c r="E4830" t="s">
        <v>6</v>
      </c>
      <c r="F4830">
        <v>9.3319999999999986E-2</v>
      </c>
    </row>
    <row r="4831" spans="1:6" x14ac:dyDescent="0.3">
      <c r="A4831" t="s">
        <v>22</v>
      </c>
      <c r="B4831" s="1">
        <v>45859</v>
      </c>
      <c r="C4831">
        <v>7</v>
      </c>
      <c r="D4831">
        <v>0.50900000000000001</v>
      </c>
      <c r="E4831" t="s">
        <v>6</v>
      </c>
      <c r="F4831">
        <v>0.11992</v>
      </c>
    </row>
    <row r="4832" spans="1:6" x14ac:dyDescent="0.3">
      <c r="A4832" t="s">
        <v>22</v>
      </c>
      <c r="B4832" s="1">
        <v>45859</v>
      </c>
      <c r="C4832">
        <v>8</v>
      </c>
      <c r="D4832">
        <v>0.24</v>
      </c>
      <c r="E4832" t="s">
        <v>6</v>
      </c>
      <c r="F4832">
        <v>0.15662999999999999</v>
      </c>
    </row>
    <row r="4833" spans="1:6" x14ac:dyDescent="0.3">
      <c r="A4833" t="s">
        <v>22</v>
      </c>
      <c r="B4833" s="1">
        <v>45859</v>
      </c>
      <c r="C4833">
        <v>9</v>
      </c>
      <c r="D4833">
        <v>0</v>
      </c>
      <c r="E4833" t="s">
        <v>6</v>
      </c>
      <c r="F4833">
        <v>0.14565</v>
      </c>
    </row>
    <row r="4834" spans="1:6" x14ac:dyDescent="0.3">
      <c r="A4834" t="s">
        <v>22</v>
      </c>
      <c r="B4834" s="1">
        <v>45859</v>
      </c>
      <c r="C4834">
        <v>10</v>
      </c>
      <c r="D4834">
        <v>0</v>
      </c>
      <c r="E4834" t="s">
        <v>6</v>
      </c>
      <c r="F4834">
        <v>0.10326</v>
      </c>
    </row>
    <row r="4835" spans="1:6" x14ac:dyDescent="0.3">
      <c r="A4835" t="s">
        <v>22</v>
      </c>
      <c r="B4835" s="1">
        <v>45859</v>
      </c>
      <c r="C4835">
        <v>11</v>
      </c>
      <c r="D4835">
        <v>1.958</v>
      </c>
      <c r="E4835" t="s">
        <v>6</v>
      </c>
      <c r="F4835">
        <v>0.13025</v>
      </c>
    </row>
    <row r="4836" spans="1:6" x14ac:dyDescent="0.3">
      <c r="A4836" t="s">
        <v>22</v>
      </c>
      <c r="B4836" s="1">
        <v>45859</v>
      </c>
      <c r="C4836">
        <v>12</v>
      </c>
      <c r="D4836">
        <v>0.63900000000000001</v>
      </c>
      <c r="E4836" t="s">
        <v>6</v>
      </c>
      <c r="F4836">
        <v>0.13218000000000002</v>
      </c>
    </row>
    <row r="4837" spans="1:6" x14ac:dyDescent="0.3">
      <c r="A4837" t="s">
        <v>22</v>
      </c>
      <c r="B4837" s="1">
        <v>45859</v>
      </c>
      <c r="C4837">
        <v>13</v>
      </c>
      <c r="D4837">
        <v>0</v>
      </c>
      <c r="E4837" t="s">
        <v>6</v>
      </c>
      <c r="F4837">
        <v>0.14166000000000001</v>
      </c>
    </row>
    <row r="4838" spans="1:6" x14ac:dyDescent="0.3">
      <c r="A4838" t="s">
        <v>22</v>
      </c>
      <c r="B4838" s="1">
        <v>45859</v>
      </c>
      <c r="C4838">
        <v>14</v>
      </c>
      <c r="D4838">
        <v>0</v>
      </c>
      <c r="E4838" t="s">
        <v>6</v>
      </c>
      <c r="F4838">
        <v>0.14729</v>
      </c>
    </row>
    <row r="4839" spans="1:6" x14ac:dyDescent="0.3">
      <c r="A4839" t="s">
        <v>22</v>
      </c>
      <c r="B4839" s="1">
        <v>45859</v>
      </c>
      <c r="C4839">
        <v>15</v>
      </c>
      <c r="D4839">
        <v>0</v>
      </c>
      <c r="E4839" t="s">
        <v>6</v>
      </c>
      <c r="F4839">
        <v>7.6060000000000003E-2</v>
      </c>
    </row>
    <row r="4840" spans="1:6" x14ac:dyDescent="0.3">
      <c r="A4840" t="s">
        <v>22</v>
      </c>
      <c r="B4840" s="1">
        <v>45859</v>
      </c>
      <c r="C4840">
        <v>16</v>
      </c>
      <c r="D4840">
        <v>0</v>
      </c>
      <c r="E4840" t="s">
        <v>6</v>
      </c>
      <c r="F4840">
        <v>7.492E-2</v>
      </c>
    </row>
    <row r="4841" spans="1:6" x14ac:dyDescent="0.3">
      <c r="A4841" t="s">
        <v>22</v>
      </c>
      <c r="B4841" s="1">
        <v>45859</v>
      </c>
      <c r="C4841">
        <v>17</v>
      </c>
      <c r="D4841">
        <v>0</v>
      </c>
      <c r="E4841" t="s">
        <v>6</v>
      </c>
      <c r="F4841">
        <v>6.7540000000000003E-2</v>
      </c>
    </row>
    <row r="4842" spans="1:6" x14ac:dyDescent="0.3">
      <c r="A4842" t="s">
        <v>22</v>
      </c>
      <c r="B4842" s="1">
        <v>45859</v>
      </c>
      <c r="C4842">
        <v>18</v>
      </c>
      <c r="D4842">
        <v>0</v>
      </c>
      <c r="E4842" t="s">
        <v>6</v>
      </c>
      <c r="F4842">
        <v>9.1109999999999997E-2</v>
      </c>
    </row>
    <row r="4843" spans="1:6" x14ac:dyDescent="0.3">
      <c r="A4843" t="s">
        <v>22</v>
      </c>
      <c r="B4843" s="1">
        <v>45859</v>
      </c>
      <c r="C4843">
        <v>19</v>
      </c>
      <c r="D4843">
        <v>0</v>
      </c>
      <c r="E4843" t="s">
        <v>6</v>
      </c>
      <c r="F4843">
        <v>0.17532</v>
      </c>
    </row>
    <row r="4844" spans="1:6" x14ac:dyDescent="0.3">
      <c r="A4844" t="s">
        <v>22</v>
      </c>
      <c r="B4844" s="1">
        <v>45859</v>
      </c>
      <c r="C4844">
        <v>20</v>
      </c>
      <c r="D4844">
        <v>2.2349999999999999</v>
      </c>
      <c r="E4844" t="s">
        <v>6</v>
      </c>
      <c r="F4844">
        <v>0.20855000000000001</v>
      </c>
    </row>
    <row r="4845" spans="1:6" x14ac:dyDescent="0.3">
      <c r="A4845" t="s">
        <v>22</v>
      </c>
      <c r="B4845" s="1">
        <v>45859</v>
      </c>
      <c r="C4845">
        <v>21</v>
      </c>
      <c r="D4845">
        <v>1.472</v>
      </c>
      <c r="E4845" t="s">
        <v>6</v>
      </c>
      <c r="F4845">
        <v>0.25119999999999998</v>
      </c>
    </row>
    <row r="4846" spans="1:6" x14ac:dyDescent="0.3">
      <c r="A4846" t="s">
        <v>22</v>
      </c>
      <c r="B4846" s="1">
        <v>45859</v>
      </c>
      <c r="C4846">
        <v>22</v>
      </c>
      <c r="D4846">
        <v>1.4770000000000001</v>
      </c>
      <c r="E4846" t="s">
        <v>6</v>
      </c>
      <c r="F4846">
        <v>0.31262000000000001</v>
      </c>
    </row>
    <row r="4847" spans="1:6" x14ac:dyDescent="0.3">
      <c r="A4847" t="s">
        <v>22</v>
      </c>
      <c r="B4847" s="1">
        <v>45859</v>
      </c>
      <c r="C4847">
        <v>23</v>
      </c>
      <c r="D4847">
        <v>0.91400000000000003</v>
      </c>
      <c r="E4847" t="s">
        <v>6</v>
      </c>
      <c r="F4847">
        <v>0.24309</v>
      </c>
    </row>
    <row r="4848" spans="1:6" x14ac:dyDescent="0.3">
      <c r="A4848" t="s">
        <v>22</v>
      </c>
      <c r="B4848" s="1">
        <v>45859</v>
      </c>
      <c r="C4848">
        <v>24</v>
      </c>
      <c r="D4848">
        <v>1.516</v>
      </c>
      <c r="E4848" t="s">
        <v>6</v>
      </c>
      <c r="F4848">
        <v>0.19256000000000001</v>
      </c>
    </row>
    <row r="4849" spans="1:6" x14ac:dyDescent="0.3">
      <c r="A4849" t="s">
        <v>22</v>
      </c>
      <c r="B4849" s="1">
        <v>45860</v>
      </c>
      <c r="C4849">
        <v>1</v>
      </c>
      <c r="D4849">
        <v>0.60799999999999998</v>
      </c>
      <c r="E4849" t="s">
        <v>6</v>
      </c>
      <c r="F4849">
        <v>0.15153999999999998</v>
      </c>
    </row>
    <row r="4850" spans="1:6" x14ac:dyDescent="0.3">
      <c r="A4850" t="s">
        <v>22</v>
      </c>
      <c r="B4850" s="1">
        <v>45860</v>
      </c>
      <c r="C4850">
        <v>2</v>
      </c>
      <c r="D4850">
        <v>0.45800000000000002</v>
      </c>
      <c r="E4850" t="s">
        <v>6</v>
      </c>
      <c r="F4850">
        <v>0.14767</v>
      </c>
    </row>
    <row r="4851" spans="1:6" x14ac:dyDescent="0.3">
      <c r="A4851" t="s">
        <v>22</v>
      </c>
      <c r="B4851" s="1">
        <v>45860</v>
      </c>
      <c r="C4851">
        <v>3</v>
      </c>
      <c r="D4851">
        <v>0.54500000000000004</v>
      </c>
      <c r="E4851" t="s">
        <v>6</v>
      </c>
      <c r="F4851">
        <v>0.13322000000000001</v>
      </c>
    </row>
    <row r="4852" spans="1:6" x14ac:dyDescent="0.3">
      <c r="A4852" t="s">
        <v>22</v>
      </c>
      <c r="B4852" s="1">
        <v>45860</v>
      </c>
      <c r="C4852">
        <v>4</v>
      </c>
      <c r="D4852">
        <v>0.50600000000000001</v>
      </c>
      <c r="E4852" t="s">
        <v>6</v>
      </c>
      <c r="F4852">
        <v>0.13112000000000001</v>
      </c>
    </row>
    <row r="4853" spans="1:6" x14ac:dyDescent="0.3">
      <c r="A4853" t="s">
        <v>22</v>
      </c>
      <c r="B4853" s="1">
        <v>45860</v>
      </c>
      <c r="C4853">
        <v>5</v>
      </c>
      <c r="D4853">
        <v>0.53500000000000003</v>
      </c>
      <c r="E4853" t="s">
        <v>6</v>
      </c>
      <c r="F4853">
        <v>0.13025999999999999</v>
      </c>
    </row>
    <row r="4854" spans="1:6" x14ac:dyDescent="0.3">
      <c r="A4854" t="s">
        <v>22</v>
      </c>
      <c r="B4854" s="1">
        <v>45860</v>
      </c>
      <c r="C4854">
        <v>6</v>
      </c>
      <c r="D4854">
        <v>0.45200000000000001</v>
      </c>
      <c r="E4854" t="s">
        <v>6</v>
      </c>
      <c r="F4854">
        <v>0.13825000000000001</v>
      </c>
    </row>
    <row r="4855" spans="1:6" x14ac:dyDescent="0.3">
      <c r="A4855" t="s">
        <v>22</v>
      </c>
      <c r="B4855" s="1">
        <v>45860</v>
      </c>
      <c r="C4855">
        <v>7</v>
      </c>
      <c r="D4855">
        <v>0.45600000000000002</v>
      </c>
      <c r="E4855" t="s">
        <v>6</v>
      </c>
      <c r="F4855">
        <v>0.14880000000000002</v>
      </c>
    </row>
    <row r="4856" spans="1:6" x14ac:dyDescent="0.3">
      <c r="A4856" t="s">
        <v>22</v>
      </c>
      <c r="B4856" s="1">
        <v>45860</v>
      </c>
      <c r="C4856">
        <v>8</v>
      </c>
      <c r="D4856">
        <v>0.33300000000000002</v>
      </c>
      <c r="E4856" t="s">
        <v>6</v>
      </c>
      <c r="F4856">
        <v>0.15491999999999997</v>
      </c>
    </row>
    <row r="4857" spans="1:6" x14ac:dyDescent="0.3">
      <c r="A4857" t="s">
        <v>22</v>
      </c>
      <c r="B4857" s="1">
        <v>45860</v>
      </c>
      <c r="C4857">
        <v>9</v>
      </c>
      <c r="D4857">
        <v>0</v>
      </c>
      <c r="E4857" t="s">
        <v>6</v>
      </c>
      <c r="F4857">
        <v>0.16087000000000001</v>
      </c>
    </row>
    <row r="4858" spans="1:6" x14ac:dyDescent="0.3">
      <c r="A4858" t="s">
        <v>22</v>
      </c>
      <c r="B4858" s="1">
        <v>45860</v>
      </c>
      <c r="C4858">
        <v>10</v>
      </c>
      <c r="D4858">
        <v>0</v>
      </c>
      <c r="E4858" t="s">
        <v>6</v>
      </c>
      <c r="F4858">
        <v>0.12498000000000001</v>
      </c>
    </row>
    <row r="4859" spans="1:6" x14ac:dyDescent="0.3">
      <c r="A4859" t="s">
        <v>22</v>
      </c>
      <c r="B4859" s="1">
        <v>45860</v>
      </c>
      <c r="C4859">
        <v>11</v>
      </c>
      <c r="D4859">
        <v>0</v>
      </c>
      <c r="E4859" t="s">
        <v>6</v>
      </c>
      <c r="F4859">
        <v>0.15633000000000002</v>
      </c>
    </row>
    <row r="4860" spans="1:6" x14ac:dyDescent="0.3">
      <c r="A4860" t="s">
        <v>22</v>
      </c>
      <c r="B4860" s="1">
        <v>45860</v>
      </c>
      <c r="C4860">
        <v>12</v>
      </c>
      <c r="D4860">
        <v>0</v>
      </c>
      <c r="E4860" t="s">
        <v>6</v>
      </c>
      <c r="F4860">
        <v>0.15490999999999999</v>
      </c>
    </row>
    <row r="4861" spans="1:6" x14ac:dyDescent="0.3">
      <c r="A4861" t="s">
        <v>22</v>
      </c>
      <c r="B4861" s="1">
        <v>45860</v>
      </c>
      <c r="C4861">
        <v>13</v>
      </c>
      <c r="D4861">
        <v>0</v>
      </c>
      <c r="E4861" t="s">
        <v>6</v>
      </c>
      <c r="F4861">
        <v>0.15584000000000001</v>
      </c>
    </row>
    <row r="4862" spans="1:6" x14ac:dyDescent="0.3">
      <c r="A4862" t="s">
        <v>22</v>
      </c>
      <c r="B4862" s="1">
        <v>45860</v>
      </c>
      <c r="C4862">
        <v>14</v>
      </c>
      <c r="D4862">
        <v>1.06</v>
      </c>
      <c r="E4862" t="s">
        <v>6</v>
      </c>
      <c r="F4862">
        <v>0.15353999999999998</v>
      </c>
    </row>
    <row r="4863" spans="1:6" x14ac:dyDescent="0.3">
      <c r="A4863" t="s">
        <v>22</v>
      </c>
      <c r="B4863" s="1">
        <v>45860</v>
      </c>
      <c r="C4863">
        <v>15</v>
      </c>
      <c r="D4863">
        <v>2.4319999999999999</v>
      </c>
      <c r="E4863" t="s">
        <v>6</v>
      </c>
      <c r="F4863">
        <v>8.7760000000000005E-2</v>
      </c>
    </row>
    <row r="4864" spans="1:6" x14ac:dyDescent="0.3">
      <c r="A4864" t="s">
        <v>22</v>
      </c>
      <c r="B4864" s="1">
        <v>45860</v>
      </c>
      <c r="C4864">
        <v>16</v>
      </c>
      <c r="D4864">
        <v>1.125</v>
      </c>
      <c r="E4864" t="s">
        <v>6</v>
      </c>
      <c r="F4864">
        <v>8.4099999999999994E-2</v>
      </c>
    </row>
    <row r="4865" spans="1:6" x14ac:dyDescent="0.3">
      <c r="A4865" t="s">
        <v>22</v>
      </c>
      <c r="B4865" s="1">
        <v>45860</v>
      </c>
      <c r="C4865">
        <v>17</v>
      </c>
      <c r="D4865">
        <v>0</v>
      </c>
      <c r="E4865" t="s">
        <v>6</v>
      </c>
      <c r="F4865">
        <v>8.3379999999999996E-2</v>
      </c>
    </row>
    <row r="4866" spans="1:6" x14ac:dyDescent="0.3">
      <c r="A4866" t="s">
        <v>22</v>
      </c>
      <c r="B4866" s="1">
        <v>45860</v>
      </c>
      <c r="C4866">
        <v>18</v>
      </c>
      <c r="D4866">
        <v>0</v>
      </c>
      <c r="E4866" t="s">
        <v>6</v>
      </c>
      <c r="F4866">
        <v>8.7249999999999994E-2</v>
      </c>
    </row>
    <row r="4867" spans="1:6" x14ac:dyDescent="0.3">
      <c r="A4867" t="s">
        <v>22</v>
      </c>
      <c r="B4867" s="1">
        <v>45860</v>
      </c>
      <c r="C4867">
        <v>19</v>
      </c>
      <c r="D4867">
        <v>0.65600000000000003</v>
      </c>
      <c r="E4867" t="s">
        <v>6</v>
      </c>
      <c r="F4867">
        <v>0.17196</v>
      </c>
    </row>
    <row r="4868" spans="1:6" x14ac:dyDescent="0.3">
      <c r="A4868" t="s">
        <v>22</v>
      </c>
      <c r="B4868" s="1">
        <v>45860</v>
      </c>
      <c r="C4868">
        <v>20</v>
      </c>
      <c r="D4868">
        <v>0.48899999999999999</v>
      </c>
      <c r="E4868" t="s">
        <v>6</v>
      </c>
      <c r="F4868">
        <v>0.20971999999999999</v>
      </c>
    </row>
    <row r="4869" spans="1:6" x14ac:dyDescent="0.3">
      <c r="A4869" t="s">
        <v>22</v>
      </c>
      <c r="B4869" s="1">
        <v>45860</v>
      </c>
      <c r="C4869">
        <v>21</v>
      </c>
      <c r="D4869">
        <v>0.71199999999999997</v>
      </c>
      <c r="E4869" t="s">
        <v>6</v>
      </c>
      <c r="F4869">
        <v>0.23838999999999999</v>
      </c>
    </row>
    <row r="4870" spans="1:6" x14ac:dyDescent="0.3">
      <c r="A4870" t="s">
        <v>22</v>
      </c>
      <c r="B4870" s="1">
        <v>45860</v>
      </c>
      <c r="C4870">
        <v>22</v>
      </c>
      <c r="D4870">
        <v>0.55500000000000005</v>
      </c>
      <c r="E4870" t="s">
        <v>6</v>
      </c>
      <c r="F4870">
        <v>0.26629000000000003</v>
      </c>
    </row>
    <row r="4871" spans="1:6" x14ac:dyDescent="0.3">
      <c r="A4871" t="s">
        <v>22</v>
      </c>
      <c r="B4871" s="1">
        <v>45860</v>
      </c>
      <c r="C4871">
        <v>23</v>
      </c>
      <c r="D4871">
        <v>0.65300000000000002</v>
      </c>
      <c r="E4871" t="s">
        <v>6</v>
      </c>
      <c r="F4871">
        <v>0.19703999999999999</v>
      </c>
    </row>
    <row r="4872" spans="1:6" x14ac:dyDescent="0.3">
      <c r="A4872" t="s">
        <v>22</v>
      </c>
      <c r="B4872" s="1">
        <v>45860</v>
      </c>
      <c r="C4872">
        <v>24</v>
      </c>
      <c r="D4872">
        <v>0.66200000000000003</v>
      </c>
      <c r="E4872" t="s">
        <v>6</v>
      </c>
      <c r="F4872">
        <v>0.17580999999999999</v>
      </c>
    </row>
    <row r="4873" spans="1:6" x14ac:dyDescent="0.3">
      <c r="A4873" t="s">
        <v>22</v>
      </c>
      <c r="B4873" s="1">
        <v>45861</v>
      </c>
      <c r="C4873">
        <v>1</v>
      </c>
      <c r="D4873">
        <v>0.51</v>
      </c>
      <c r="E4873" t="s">
        <v>6</v>
      </c>
      <c r="F4873">
        <v>0.14587999999999998</v>
      </c>
    </row>
    <row r="4874" spans="1:6" x14ac:dyDescent="0.3">
      <c r="A4874" t="s">
        <v>22</v>
      </c>
      <c r="B4874" s="1">
        <v>45861</v>
      </c>
      <c r="C4874">
        <v>2</v>
      </c>
      <c r="D4874">
        <v>0.52300000000000002</v>
      </c>
      <c r="E4874" t="s">
        <v>6</v>
      </c>
      <c r="F4874">
        <v>0.13925000000000001</v>
      </c>
    </row>
    <row r="4875" spans="1:6" x14ac:dyDescent="0.3">
      <c r="A4875" t="s">
        <v>22</v>
      </c>
      <c r="B4875" s="1">
        <v>45861</v>
      </c>
      <c r="C4875">
        <v>3</v>
      </c>
      <c r="D4875">
        <v>0.54500000000000004</v>
      </c>
      <c r="E4875" t="s">
        <v>6</v>
      </c>
      <c r="F4875">
        <v>0.13270999999999999</v>
      </c>
    </row>
    <row r="4876" spans="1:6" x14ac:dyDescent="0.3">
      <c r="A4876" t="s">
        <v>22</v>
      </c>
      <c r="B4876" s="1">
        <v>45861</v>
      </c>
      <c r="C4876">
        <v>4</v>
      </c>
      <c r="D4876">
        <v>0.51700000000000002</v>
      </c>
      <c r="E4876" t="s">
        <v>6</v>
      </c>
      <c r="F4876">
        <v>0.12956000000000001</v>
      </c>
    </row>
    <row r="4877" spans="1:6" x14ac:dyDescent="0.3">
      <c r="A4877" t="s">
        <v>22</v>
      </c>
      <c r="B4877" s="1">
        <v>45861</v>
      </c>
      <c r="C4877">
        <v>5</v>
      </c>
      <c r="D4877">
        <v>0.47299999999999998</v>
      </c>
      <c r="E4877" t="s">
        <v>6</v>
      </c>
      <c r="F4877">
        <v>0.13027</v>
      </c>
    </row>
    <row r="4878" spans="1:6" x14ac:dyDescent="0.3">
      <c r="A4878" t="s">
        <v>22</v>
      </c>
      <c r="B4878" s="1">
        <v>45861</v>
      </c>
      <c r="C4878">
        <v>6</v>
      </c>
      <c r="D4878">
        <v>0.89</v>
      </c>
      <c r="E4878" t="s">
        <v>6</v>
      </c>
      <c r="F4878">
        <v>0.12966</v>
      </c>
    </row>
    <row r="4879" spans="1:6" x14ac:dyDescent="0.3">
      <c r="A4879" t="s">
        <v>22</v>
      </c>
      <c r="B4879" s="1">
        <v>45861</v>
      </c>
      <c r="C4879">
        <v>7</v>
      </c>
      <c r="D4879">
        <v>0.77400000000000002</v>
      </c>
      <c r="E4879" t="s">
        <v>6</v>
      </c>
      <c r="F4879">
        <v>0.13722999999999999</v>
      </c>
    </row>
    <row r="4880" spans="1:6" x14ac:dyDescent="0.3">
      <c r="A4880" t="s">
        <v>22</v>
      </c>
      <c r="B4880" s="1">
        <v>45861</v>
      </c>
      <c r="C4880">
        <v>8</v>
      </c>
      <c r="D4880">
        <v>0.39100000000000001</v>
      </c>
      <c r="E4880" t="s">
        <v>6</v>
      </c>
      <c r="F4880">
        <v>0.14757000000000001</v>
      </c>
    </row>
    <row r="4881" spans="1:6" x14ac:dyDescent="0.3">
      <c r="A4881" t="s">
        <v>22</v>
      </c>
      <c r="B4881" s="1">
        <v>45861</v>
      </c>
      <c r="C4881">
        <v>9</v>
      </c>
      <c r="D4881">
        <v>2.02</v>
      </c>
      <c r="E4881" t="s">
        <v>6</v>
      </c>
      <c r="F4881">
        <v>0.15231</v>
      </c>
    </row>
    <row r="4882" spans="1:6" x14ac:dyDescent="0.3">
      <c r="A4882" t="s">
        <v>22</v>
      </c>
      <c r="B4882" s="1">
        <v>45861</v>
      </c>
      <c r="C4882">
        <v>10</v>
      </c>
      <c r="D4882">
        <v>1.2490000000000001</v>
      </c>
      <c r="E4882" t="s">
        <v>6</v>
      </c>
      <c r="F4882">
        <v>0.13880000000000001</v>
      </c>
    </row>
    <row r="4883" spans="1:6" x14ac:dyDescent="0.3">
      <c r="A4883" t="s">
        <v>22</v>
      </c>
      <c r="B4883" s="1">
        <v>45861</v>
      </c>
      <c r="C4883">
        <v>11</v>
      </c>
      <c r="D4883">
        <v>1.6659999999999999</v>
      </c>
      <c r="E4883" t="s">
        <v>6</v>
      </c>
      <c r="F4883">
        <v>0.19624</v>
      </c>
    </row>
    <row r="4884" spans="1:6" x14ac:dyDescent="0.3">
      <c r="A4884" t="s">
        <v>22</v>
      </c>
      <c r="B4884" s="1">
        <v>45861</v>
      </c>
      <c r="C4884">
        <v>12</v>
      </c>
      <c r="D4884">
        <v>1.762</v>
      </c>
      <c r="E4884" t="s">
        <v>6</v>
      </c>
      <c r="F4884">
        <v>0.18790999999999999</v>
      </c>
    </row>
    <row r="4885" spans="1:6" x14ac:dyDescent="0.3">
      <c r="A4885" t="s">
        <v>22</v>
      </c>
      <c r="B4885" s="1">
        <v>45861</v>
      </c>
      <c r="C4885">
        <v>13</v>
      </c>
      <c r="D4885">
        <v>1.556</v>
      </c>
      <c r="E4885" t="s">
        <v>6</v>
      </c>
      <c r="F4885">
        <v>0.18083000000000002</v>
      </c>
    </row>
    <row r="4886" spans="1:6" x14ac:dyDescent="0.3">
      <c r="A4886" t="s">
        <v>22</v>
      </c>
      <c r="B4886" s="1">
        <v>45861</v>
      </c>
      <c r="C4886">
        <v>14</v>
      </c>
      <c r="D4886">
        <v>2.7440000000000002</v>
      </c>
      <c r="E4886" t="s">
        <v>6</v>
      </c>
      <c r="F4886">
        <v>0.16769999999999999</v>
      </c>
    </row>
    <row r="4887" spans="1:6" x14ac:dyDescent="0.3">
      <c r="A4887" t="s">
        <v>22</v>
      </c>
      <c r="B4887" s="1">
        <v>45861</v>
      </c>
      <c r="C4887">
        <v>15</v>
      </c>
      <c r="D4887">
        <v>1.837</v>
      </c>
      <c r="E4887" t="s">
        <v>6</v>
      </c>
      <c r="F4887">
        <v>9.4519999999999993E-2</v>
      </c>
    </row>
    <row r="4888" spans="1:6" x14ac:dyDescent="0.3">
      <c r="A4888" t="s">
        <v>22</v>
      </c>
      <c r="B4888" s="1">
        <v>45861</v>
      </c>
      <c r="C4888">
        <v>16</v>
      </c>
      <c r="D4888">
        <v>2.0129999999999999</v>
      </c>
      <c r="E4888" t="s">
        <v>6</v>
      </c>
      <c r="F4888">
        <v>9.7459999999999991E-2</v>
      </c>
    </row>
    <row r="4889" spans="1:6" x14ac:dyDescent="0.3">
      <c r="A4889" t="s">
        <v>22</v>
      </c>
      <c r="B4889" s="1">
        <v>45861</v>
      </c>
      <c r="C4889">
        <v>17</v>
      </c>
      <c r="D4889">
        <v>0.97599999999999998</v>
      </c>
      <c r="E4889" t="s">
        <v>6</v>
      </c>
      <c r="F4889">
        <v>9.8479999999999998E-2</v>
      </c>
    </row>
    <row r="4890" spans="1:6" x14ac:dyDescent="0.3">
      <c r="A4890" t="s">
        <v>22</v>
      </c>
      <c r="B4890" s="1">
        <v>45861</v>
      </c>
      <c r="C4890">
        <v>18</v>
      </c>
      <c r="D4890">
        <v>0.876</v>
      </c>
      <c r="E4890" t="s">
        <v>6</v>
      </c>
      <c r="F4890">
        <v>0.1036</v>
      </c>
    </row>
    <row r="4891" spans="1:6" x14ac:dyDescent="0.3">
      <c r="A4891" t="s">
        <v>22</v>
      </c>
      <c r="B4891" s="1">
        <v>45861</v>
      </c>
      <c r="C4891">
        <v>19</v>
      </c>
      <c r="D4891">
        <v>0.48299999999999998</v>
      </c>
      <c r="E4891" t="s">
        <v>6</v>
      </c>
      <c r="F4891">
        <v>0.17408000000000001</v>
      </c>
    </row>
    <row r="4892" spans="1:6" x14ac:dyDescent="0.3">
      <c r="A4892" t="s">
        <v>22</v>
      </c>
      <c r="B4892" s="1">
        <v>45861</v>
      </c>
      <c r="C4892">
        <v>20</v>
      </c>
      <c r="D4892">
        <v>0.54500000000000004</v>
      </c>
      <c r="E4892" t="s">
        <v>6</v>
      </c>
      <c r="F4892">
        <v>0.19884000000000002</v>
      </c>
    </row>
    <row r="4893" spans="1:6" x14ac:dyDescent="0.3">
      <c r="A4893" t="s">
        <v>22</v>
      </c>
      <c r="B4893" s="1">
        <v>45861</v>
      </c>
      <c r="C4893">
        <v>21</v>
      </c>
      <c r="D4893">
        <v>0.85299999999999998</v>
      </c>
      <c r="E4893" t="s">
        <v>6</v>
      </c>
      <c r="F4893">
        <v>0.22927</v>
      </c>
    </row>
    <row r="4894" spans="1:6" x14ac:dyDescent="0.3">
      <c r="A4894" t="s">
        <v>22</v>
      </c>
      <c r="B4894" s="1">
        <v>45861</v>
      </c>
      <c r="C4894">
        <v>22</v>
      </c>
      <c r="D4894">
        <v>0.501</v>
      </c>
      <c r="E4894" t="s">
        <v>6</v>
      </c>
      <c r="F4894">
        <v>0.23771999999999999</v>
      </c>
    </row>
    <row r="4895" spans="1:6" x14ac:dyDescent="0.3">
      <c r="A4895" t="s">
        <v>22</v>
      </c>
      <c r="B4895" s="1">
        <v>45861</v>
      </c>
      <c r="C4895">
        <v>23</v>
      </c>
      <c r="D4895">
        <v>0.6</v>
      </c>
      <c r="E4895" t="s">
        <v>6</v>
      </c>
      <c r="F4895">
        <v>0.17072000000000001</v>
      </c>
    </row>
    <row r="4896" spans="1:6" x14ac:dyDescent="0.3">
      <c r="A4896" t="s">
        <v>22</v>
      </c>
      <c r="B4896" s="1">
        <v>45861</v>
      </c>
      <c r="C4896">
        <v>24</v>
      </c>
      <c r="D4896">
        <v>0.61399999999999999</v>
      </c>
      <c r="E4896" t="s">
        <v>6</v>
      </c>
      <c r="F4896">
        <v>0.16156999999999999</v>
      </c>
    </row>
    <row r="4897" spans="1:6" x14ac:dyDescent="0.3">
      <c r="A4897" t="s">
        <v>22</v>
      </c>
      <c r="B4897" s="1">
        <v>45862</v>
      </c>
      <c r="C4897">
        <v>1</v>
      </c>
      <c r="D4897">
        <v>0.57499999999999996</v>
      </c>
      <c r="E4897" t="s">
        <v>6</v>
      </c>
      <c r="F4897">
        <v>0.14709999999999998</v>
      </c>
    </row>
    <row r="4898" spans="1:6" x14ac:dyDescent="0.3">
      <c r="A4898" t="s">
        <v>22</v>
      </c>
      <c r="B4898" s="1">
        <v>45862</v>
      </c>
      <c r="C4898">
        <v>2</v>
      </c>
      <c r="D4898">
        <v>0.46</v>
      </c>
      <c r="E4898" t="s">
        <v>6</v>
      </c>
      <c r="F4898">
        <v>0.13708999999999999</v>
      </c>
    </row>
    <row r="4899" spans="1:6" x14ac:dyDescent="0.3">
      <c r="A4899" t="s">
        <v>22</v>
      </c>
      <c r="B4899" s="1">
        <v>45862</v>
      </c>
      <c r="C4899">
        <v>3</v>
      </c>
      <c r="D4899">
        <v>0.45600000000000002</v>
      </c>
      <c r="E4899" t="s">
        <v>6</v>
      </c>
      <c r="F4899">
        <v>0.13463999999999998</v>
      </c>
    </row>
    <row r="4900" spans="1:6" x14ac:dyDescent="0.3">
      <c r="A4900" t="s">
        <v>22</v>
      </c>
      <c r="B4900" s="1">
        <v>45862</v>
      </c>
      <c r="C4900">
        <v>4</v>
      </c>
      <c r="D4900">
        <v>1.2709999999999999</v>
      </c>
      <c r="E4900" t="s">
        <v>6</v>
      </c>
      <c r="F4900">
        <v>0.12</v>
      </c>
    </row>
    <row r="4901" spans="1:6" x14ac:dyDescent="0.3">
      <c r="A4901" t="s">
        <v>22</v>
      </c>
      <c r="B4901" s="1">
        <v>45862</v>
      </c>
      <c r="C4901">
        <v>5</v>
      </c>
      <c r="D4901">
        <v>0.34399999999999997</v>
      </c>
      <c r="E4901" t="s">
        <v>6</v>
      </c>
      <c r="F4901">
        <v>0.11106000000000001</v>
      </c>
    </row>
    <row r="4902" spans="1:6" x14ac:dyDescent="0.3">
      <c r="A4902" t="s">
        <v>22</v>
      </c>
      <c r="B4902" s="1">
        <v>45862</v>
      </c>
      <c r="C4902">
        <v>6</v>
      </c>
      <c r="D4902">
        <v>0.38800000000000001</v>
      </c>
      <c r="E4902" t="s">
        <v>6</v>
      </c>
      <c r="F4902">
        <v>0.12938</v>
      </c>
    </row>
    <row r="4903" spans="1:6" x14ac:dyDescent="0.3">
      <c r="A4903" t="s">
        <v>22</v>
      </c>
      <c r="B4903" s="1">
        <v>45862</v>
      </c>
      <c r="C4903">
        <v>7</v>
      </c>
      <c r="D4903">
        <v>0.34</v>
      </c>
      <c r="E4903" t="s">
        <v>6</v>
      </c>
      <c r="F4903">
        <v>0.13686999999999999</v>
      </c>
    </row>
    <row r="4904" spans="1:6" x14ac:dyDescent="0.3">
      <c r="A4904" t="s">
        <v>22</v>
      </c>
      <c r="B4904" s="1">
        <v>45862</v>
      </c>
      <c r="C4904">
        <v>8</v>
      </c>
      <c r="D4904">
        <v>0.36199999999999999</v>
      </c>
      <c r="E4904" t="s">
        <v>6</v>
      </c>
      <c r="F4904">
        <v>0.14327999999999999</v>
      </c>
    </row>
    <row r="4905" spans="1:6" x14ac:dyDescent="0.3">
      <c r="A4905" t="s">
        <v>22</v>
      </c>
      <c r="B4905" s="1">
        <v>45862</v>
      </c>
      <c r="C4905">
        <v>9</v>
      </c>
      <c r="D4905">
        <v>0</v>
      </c>
      <c r="E4905" t="s">
        <v>6</v>
      </c>
      <c r="F4905">
        <v>0.13482</v>
      </c>
    </row>
    <row r="4906" spans="1:6" x14ac:dyDescent="0.3">
      <c r="A4906" t="s">
        <v>22</v>
      </c>
      <c r="B4906" s="1">
        <v>45862</v>
      </c>
      <c r="C4906">
        <v>10</v>
      </c>
      <c r="D4906">
        <v>0</v>
      </c>
      <c r="E4906" t="s">
        <v>6</v>
      </c>
      <c r="F4906">
        <v>0.10637000000000001</v>
      </c>
    </row>
    <row r="4907" spans="1:6" x14ac:dyDescent="0.3">
      <c r="A4907" t="s">
        <v>22</v>
      </c>
      <c r="B4907" s="1">
        <v>45862</v>
      </c>
      <c r="C4907">
        <v>11</v>
      </c>
      <c r="D4907">
        <v>0</v>
      </c>
      <c r="E4907" t="s">
        <v>6</v>
      </c>
      <c r="F4907">
        <v>0.1389</v>
      </c>
    </row>
    <row r="4908" spans="1:6" x14ac:dyDescent="0.3">
      <c r="A4908" t="s">
        <v>22</v>
      </c>
      <c r="B4908" s="1">
        <v>45862</v>
      </c>
      <c r="C4908">
        <v>12</v>
      </c>
      <c r="D4908">
        <v>1.331</v>
      </c>
      <c r="E4908" t="s">
        <v>6</v>
      </c>
      <c r="F4908">
        <v>0.13697999999999999</v>
      </c>
    </row>
    <row r="4909" spans="1:6" x14ac:dyDescent="0.3">
      <c r="A4909" t="s">
        <v>22</v>
      </c>
      <c r="B4909" s="1">
        <v>45862</v>
      </c>
      <c r="C4909">
        <v>13</v>
      </c>
      <c r="D4909">
        <v>0</v>
      </c>
      <c r="E4909" t="s">
        <v>6</v>
      </c>
      <c r="F4909">
        <v>0.13733000000000001</v>
      </c>
    </row>
    <row r="4910" spans="1:6" x14ac:dyDescent="0.3">
      <c r="A4910" t="s">
        <v>22</v>
      </c>
      <c r="B4910" s="1">
        <v>45862</v>
      </c>
      <c r="C4910">
        <v>14</v>
      </c>
      <c r="D4910">
        <v>0.25</v>
      </c>
      <c r="E4910" t="s">
        <v>6</v>
      </c>
      <c r="F4910">
        <v>0.13694000000000001</v>
      </c>
    </row>
    <row r="4911" spans="1:6" x14ac:dyDescent="0.3">
      <c r="A4911" t="s">
        <v>22</v>
      </c>
      <c r="B4911" s="1">
        <v>45862</v>
      </c>
      <c r="C4911">
        <v>15</v>
      </c>
      <c r="D4911">
        <v>0.25700000000000001</v>
      </c>
      <c r="E4911" t="s">
        <v>6</v>
      </c>
      <c r="F4911">
        <v>7.0709999999999995E-2</v>
      </c>
    </row>
    <row r="4912" spans="1:6" x14ac:dyDescent="0.3">
      <c r="A4912" t="s">
        <v>22</v>
      </c>
      <c r="B4912" s="1">
        <v>45862</v>
      </c>
      <c r="C4912">
        <v>16</v>
      </c>
      <c r="D4912">
        <v>0</v>
      </c>
      <c r="E4912" t="s">
        <v>6</v>
      </c>
      <c r="F4912">
        <v>6.8409999999999999E-2</v>
      </c>
    </row>
    <row r="4913" spans="1:6" x14ac:dyDescent="0.3">
      <c r="A4913" t="s">
        <v>22</v>
      </c>
      <c r="B4913" s="1">
        <v>45862</v>
      </c>
      <c r="C4913">
        <v>17</v>
      </c>
      <c r="D4913">
        <v>1.1479999999999999</v>
      </c>
      <c r="E4913" t="s">
        <v>6</v>
      </c>
      <c r="F4913">
        <v>6.7349999999999993E-2</v>
      </c>
    </row>
    <row r="4914" spans="1:6" x14ac:dyDescent="0.3">
      <c r="A4914" t="s">
        <v>22</v>
      </c>
      <c r="B4914" s="1">
        <v>45862</v>
      </c>
      <c r="C4914">
        <v>18</v>
      </c>
      <c r="D4914">
        <v>2.64</v>
      </c>
      <c r="E4914" t="s">
        <v>6</v>
      </c>
      <c r="F4914">
        <v>6.5379999999999994E-2</v>
      </c>
    </row>
    <row r="4915" spans="1:6" x14ac:dyDescent="0.3">
      <c r="A4915" t="s">
        <v>22</v>
      </c>
      <c r="B4915" s="1">
        <v>45862</v>
      </c>
      <c r="C4915">
        <v>19</v>
      </c>
      <c r="D4915">
        <v>1.696</v>
      </c>
      <c r="E4915" t="s">
        <v>6</v>
      </c>
      <c r="F4915">
        <v>0.13528999999999999</v>
      </c>
    </row>
    <row r="4916" spans="1:6" x14ac:dyDescent="0.3">
      <c r="A4916" t="s">
        <v>22</v>
      </c>
      <c r="B4916" s="1">
        <v>45862</v>
      </c>
      <c r="C4916">
        <v>20</v>
      </c>
      <c r="D4916">
        <v>0.72199999999999998</v>
      </c>
      <c r="E4916" t="s">
        <v>6</v>
      </c>
      <c r="F4916">
        <v>0.16784000000000002</v>
      </c>
    </row>
    <row r="4917" spans="1:6" x14ac:dyDescent="0.3">
      <c r="A4917" t="s">
        <v>22</v>
      </c>
      <c r="B4917" s="1">
        <v>45862</v>
      </c>
      <c r="C4917">
        <v>21</v>
      </c>
      <c r="D4917">
        <v>0.90600000000000003</v>
      </c>
      <c r="E4917" t="s">
        <v>6</v>
      </c>
      <c r="F4917">
        <v>0.19006999999999999</v>
      </c>
    </row>
    <row r="4918" spans="1:6" x14ac:dyDescent="0.3">
      <c r="A4918" t="s">
        <v>22</v>
      </c>
      <c r="B4918" s="1">
        <v>45862</v>
      </c>
      <c r="C4918">
        <v>22</v>
      </c>
      <c r="D4918">
        <v>0.56699999999999995</v>
      </c>
      <c r="E4918" t="s">
        <v>6</v>
      </c>
      <c r="F4918">
        <v>0.23436000000000001</v>
      </c>
    </row>
    <row r="4919" spans="1:6" x14ac:dyDescent="0.3">
      <c r="A4919" t="s">
        <v>22</v>
      </c>
      <c r="B4919" s="1">
        <v>45862</v>
      </c>
      <c r="C4919">
        <v>23</v>
      </c>
      <c r="D4919">
        <v>0.621</v>
      </c>
      <c r="E4919" t="s">
        <v>6</v>
      </c>
      <c r="F4919">
        <v>0.16854</v>
      </c>
    </row>
    <row r="4920" spans="1:6" x14ac:dyDescent="0.3">
      <c r="A4920" t="s">
        <v>22</v>
      </c>
      <c r="B4920" s="1">
        <v>45862</v>
      </c>
      <c r="C4920">
        <v>24</v>
      </c>
      <c r="D4920">
        <v>0.45200000000000001</v>
      </c>
      <c r="E4920" t="s">
        <v>6</v>
      </c>
      <c r="F4920">
        <v>0.14868000000000001</v>
      </c>
    </row>
    <row r="4921" spans="1:6" x14ac:dyDescent="0.3">
      <c r="A4921" t="s">
        <v>22</v>
      </c>
      <c r="B4921" s="1">
        <v>45863</v>
      </c>
      <c r="C4921">
        <v>1</v>
      </c>
      <c r="D4921">
        <v>0.40799999999999997</v>
      </c>
      <c r="E4921" t="s">
        <v>6</v>
      </c>
      <c r="F4921">
        <v>0.12655</v>
      </c>
    </row>
    <row r="4922" spans="1:6" x14ac:dyDescent="0.3">
      <c r="A4922" t="s">
        <v>22</v>
      </c>
      <c r="B4922" s="1">
        <v>45863</v>
      </c>
      <c r="C4922">
        <v>2</v>
      </c>
      <c r="D4922">
        <v>0.34300000000000003</v>
      </c>
      <c r="E4922" t="s">
        <v>6</v>
      </c>
      <c r="F4922">
        <v>0.11838</v>
      </c>
    </row>
    <row r="4923" spans="1:6" x14ac:dyDescent="0.3">
      <c r="A4923" t="s">
        <v>22</v>
      </c>
      <c r="B4923" s="1">
        <v>45863</v>
      </c>
      <c r="C4923">
        <v>3</v>
      </c>
      <c r="D4923">
        <v>0.39400000000000002</v>
      </c>
      <c r="E4923" t="s">
        <v>6</v>
      </c>
      <c r="F4923">
        <v>0.11595</v>
      </c>
    </row>
    <row r="4924" spans="1:6" x14ac:dyDescent="0.3">
      <c r="A4924" t="s">
        <v>22</v>
      </c>
      <c r="B4924" s="1">
        <v>45863</v>
      </c>
      <c r="C4924">
        <v>4</v>
      </c>
      <c r="D4924">
        <v>0.35099999999999998</v>
      </c>
      <c r="E4924" t="s">
        <v>6</v>
      </c>
      <c r="F4924">
        <v>0.10929999999999999</v>
      </c>
    </row>
    <row r="4925" spans="1:6" x14ac:dyDescent="0.3">
      <c r="A4925" t="s">
        <v>22</v>
      </c>
      <c r="B4925" s="1">
        <v>45863</v>
      </c>
      <c r="C4925">
        <v>5</v>
      </c>
      <c r="D4925">
        <v>0.34699999999999998</v>
      </c>
      <c r="E4925" t="s">
        <v>6</v>
      </c>
      <c r="F4925">
        <v>0.10310999999999999</v>
      </c>
    </row>
    <row r="4926" spans="1:6" x14ac:dyDescent="0.3">
      <c r="A4926" t="s">
        <v>22</v>
      </c>
      <c r="B4926" s="1">
        <v>45863</v>
      </c>
      <c r="C4926">
        <v>6</v>
      </c>
      <c r="D4926">
        <v>1.2050000000000001</v>
      </c>
      <c r="E4926" t="s">
        <v>6</v>
      </c>
      <c r="F4926">
        <v>0.11384</v>
      </c>
    </row>
    <row r="4927" spans="1:6" x14ac:dyDescent="0.3">
      <c r="A4927" t="s">
        <v>22</v>
      </c>
      <c r="B4927" s="1">
        <v>45863</v>
      </c>
      <c r="C4927">
        <v>7</v>
      </c>
      <c r="D4927">
        <v>0.36599999999999999</v>
      </c>
      <c r="E4927" t="s">
        <v>6</v>
      </c>
      <c r="F4927">
        <v>0.11588</v>
      </c>
    </row>
    <row r="4928" spans="1:6" x14ac:dyDescent="0.3">
      <c r="A4928" t="s">
        <v>22</v>
      </c>
      <c r="B4928" s="1">
        <v>45863</v>
      </c>
      <c r="C4928">
        <v>8</v>
      </c>
      <c r="D4928">
        <v>0.23300000000000001</v>
      </c>
      <c r="E4928" t="s">
        <v>6</v>
      </c>
      <c r="F4928">
        <v>0.12943000000000002</v>
      </c>
    </row>
    <row r="4929" spans="1:6" x14ac:dyDescent="0.3">
      <c r="A4929" t="s">
        <v>22</v>
      </c>
      <c r="B4929" s="1">
        <v>45863</v>
      </c>
      <c r="C4929">
        <v>9</v>
      </c>
      <c r="D4929">
        <v>0</v>
      </c>
      <c r="E4929" t="s">
        <v>6</v>
      </c>
      <c r="F4929">
        <v>0.13461000000000001</v>
      </c>
    </row>
    <row r="4930" spans="1:6" x14ac:dyDescent="0.3">
      <c r="A4930" t="s">
        <v>22</v>
      </c>
      <c r="B4930" s="1">
        <v>45863</v>
      </c>
      <c r="C4930">
        <v>10</v>
      </c>
      <c r="D4930">
        <v>0</v>
      </c>
      <c r="E4930" t="s">
        <v>6</v>
      </c>
      <c r="F4930">
        <v>8.4040000000000004E-2</v>
      </c>
    </row>
    <row r="4931" spans="1:6" x14ac:dyDescent="0.3">
      <c r="A4931" t="s">
        <v>22</v>
      </c>
      <c r="B4931" s="1">
        <v>45863</v>
      </c>
      <c r="C4931">
        <v>11</v>
      </c>
      <c r="D4931">
        <v>0</v>
      </c>
      <c r="E4931" t="s">
        <v>6</v>
      </c>
      <c r="F4931">
        <v>0.13768</v>
      </c>
    </row>
    <row r="4932" spans="1:6" x14ac:dyDescent="0.3">
      <c r="A4932" t="s">
        <v>22</v>
      </c>
      <c r="B4932" s="1">
        <v>45863</v>
      </c>
      <c r="C4932">
        <v>12</v>
      </c>
      <c r="D4932">
        <v>0</v>
      </c>
      <c r="E4932" t="s">
        <v>6</v>
      </c>
      <c r="F4932">
        <v>0.13696</v>
      </c>
    </row>
    <row r="4933" spans="1:6" x14ac:dyDescent="0.3">
      <c r="A4933" t="s">
        <v>22</v>
      </c>
      <c r="B4933" s="1">
        <v>45863</v>
      </c>
      <c r="C4933">
        <v>13</v>
      </c>
      <c r="D4933">
        <v>0</v>
      </c>
      <c r="E4933" t="s">
        <v>6</v>
      </c>
      <c r="F4933">
        <v>0.13808000000000001</v>
      </c>
    </row>
    <row r="4934" spans="1:6" x14ac:dyDescent="0.3">
      <c r="A4934" t="s">
        <v>22</v>
      </c>
      <c r="B4934" s="1">
        <v>45863</v>
      </c>
      <c r="C4934">
        <v>14</v>
      </c>
      <c r="D4934">
        <v>0</v>
      </c>
      <c r="E4934" t="s">
        <v>6</v>
      </c>
      <c r="F4934">
        <v>0.13830999999999999</v>
      </c>
    </row>
    <row r="4935" spans="1:6" x14ac:dyDescent="0.3">
      <c r="A4935" t="s">
        <v>22</v>
      </c>
      <c r="B4935" s="1">
        <v>45863</v>
      </c>
      <c r="C4935">
        <v>15</v>
      </c>
      <c r="D4935">
        <v>0.72899999999999998</v>
      </c>
      <c r="E4935" t="s">
        <v>6</v>
      </c>
      <c r="F4935">
        <v>7.2440000000000004E-2</v>
      </c>
    </row>
    <row r="4936" spans="1:6" x14ac:dyDescent="0.3">
      <c r="A4936" t="s">
        <v>22</v>
      </c>
      <c r="B4936" s="1">
        <v>45863</v>
      </c>
      <c r="C4936">
        <v>16</v>
      </c>
      <c r="D4936">
        <v>0</v>
      </c>
      <c r="E4936" t="s">
        <v>6</v>
      </c>
      <c r="F4936">
        <v>7.0250000000000007E-2</v>
      </c>
    </row>
    <row r="4937" spans="1:6" x14ac:dyDescent="0.3">
      <c r="A4937" t="s">
        <v>22</v>
      </c>
      <c r="B4937" s="1">
        <v>45863</v>
      </c>
      <c r="C4937">
        <v>17</v>
      </c>
      <c r="D4937">
        <v>0</v>
      </c>
      <c r="E4937" t="s">
        <v>6</v>
      </c>
      <c r="F4937">
        <v>6.9409999999999999E-2</v>
      </c>
    </row>
    <row r="4938" spans="1:6" x14ac:dyDescent="0.3">
      <c r="A4938" t="s">
        <v>22</v>
      </c>
      <c r="B4938" s="1">
        <v>45863</v>
      </c>
      <c r="C4938">
        <v>18</v>
      </c>
      <c r="D4938">
        <v>0</v>
      </c>
      <c r="E4938" t="s">
        <v>6</v>
      </c>
      <c r="F4938">
        <v>6.8970000000000004E-2</v>
      </c>
    </row>
    <row r="4939" spans="1:6" x14ac:dyDescent="0.3">
      <c r="A4939" t="s">
        <v>22</v>
      </c>
      <c r="B4939" s="1">
        <v>45863</v>
      </c>
      <c r="C4939">
        <v>19</v>
      </c>
      <c r="D4939">
        <v>0</v>
      </c>
      <c r="E4939" t="s">
        <v>6</v>
      </c>
      <c r="F4939">
        <v>0.13986000000000001</v>
      </c>
    </row>
    <row r="4940" spans="1:6" x14ac:dyDescent="0.3">
      <c r="A4940" t="s">
        <v>22</v>
      </c>
      <c r="B4940" s="1">
        <v>45863</v>
      </c>
      <c r="C4940">
        <v>20</v>
      </c>
      <c r="D4940">
        <v>0.73599999999999999</v>
      </c>
      <c r="E4940" t="s">
        <v>6</v>
      </c>
      <c r="F4940">
        <v>0.17085</v>
      </c>
    </row>
    <row r="4941" spans="1:6" x14ac:dyDescent="0.3">
      <c r="A4941" t="s">
        <v>22</v>
      </c>
      <c r="B4941" s="1">
        <v>45863</v>
      </c>
      <c r="C4941">
        <v>21</v>
      </c>
      <c r="D4941">
        <v>0.94499999999999995</v>
      </c>
      <c r="E4941" t="s">
        <v>6</v>
      </c>
      <c r="F4941">
        <v>0.23166999999999999</v>
      </c>
    </row>
    <row r="4942" spans="1:6" x14ac:dyDescent="0.3">
      <c r="A4942" t="s">
        <v>22</v>
      </c>
      <c r="B4942" s="1">
        <v>45863</v>
      </c>
      <c r="C4942">
        <v>22</v>
      </c>
      <c r="D4942">
        <v>0.83299999999999996</v>
      </c>
      <c r="E4942" t="s">
        <v>6</v>
      </c>
      <c r="F4942">
        <v>0.25717000000000001</v>
      </c>
    </row>
    <row r="4943" spans="1:6" x14ac:dyDescent="0.3">
      <c r="A4943" t="s">
        <v>22</v>
      </c>
      <c r="B4943" s="1">
        <v>45863</v>
      </c>
      <c r="C4943">
        <v>23</v>
      </c>
      <c r="D4943">
        <v>0.44900000000000001</v>
      </c>
      <c r="E4943" t="s">
        <v>6</v>
      </c>
      <c r="F4943">
        <v>0.18736000000000003</v>
      </c>
    </row>
    <row r="4944" spans="1:6" x14ac:dyDescent="0.3">
      <c r="A4944" t="s">
        <v>22</v>
      </c>
      <c r="B4944" s="1">
        <v>45863</v>
      </c>
      <c r="C4944">
        <v>24</v>
      </c>
      <c r="D4944">
        <v>0.39900000000000002</v>
      </c>
      <c r="E4944" t="s">
        <v>6</v>
      </c>
      <c r="F4944">
        <v>0.16411000000000001</v>
      </c>
    </row>
    <row r="4945" spans="1:6" x14ac:dyDescent="0.3">
      <c r="A4945" t="s">
        <v>22</v>
      </c>
      <c r="B4945" s="1">
        <v>45864</v>
      </c>
      <c r="C4945">
        <v>1</v>
      </c>
      <c r="D4945">
        <v>0.48399999999999999</v>
      </c>
      <c r="E4945" t="s">
        <v>6</v>
      </c>
      <c r="F4945">
        <v>0.14878</v>
      </c>
    </row>
    <row r="4946" spans="1:6" x14ac:dyDescent="0.3">
      <c r="A4946" t="s">
        <v>22</v>
      </c>
      <c r="B4946" s="1">
        <v>45864</v>
      </c>
      <c r="C4946">
        <v>2</v>
      </c>
      <c r="D4946">
        <v>1.4390000000000001</v>
      </c>
      <c r="E4946" t="s">
        <v>6</v>
      </c>
      <c r="F4946">
        <v>0.12931000000000001</v>
      </c>
    </row>
    <row r="4947" spans="1:6" x14ac:dyDescent="0.3">
      <c r="A4947" t="s">
        <v>22</v>
      </c>
      <c r="B4947" s="1">
        <v>45864</v>
      </c>
      <c r="C4947">
        <v>3</v>
      </c>
      <c r="D4947">
        <v>0.41099999999999998</v>
      </c>
      <c r="E4947" t="s">
        <v>6</v>
      </c>
      <c r="F4947">
        <v>0.11907</v>
      </c>
    </row>
    <row r="4948" spans="1:6" x14ac:dyDescent="0.3">
      <c r="A4948" t="s">
        <v>22</v>
      </c>
      <c r="B4948" s="1">
        <v>45864</v>
      </c>
      <c r="C4948">
        <v>4</v>
      </c>
      <c r="D4948">
        <v>0.34599999999999997</v>
      </c>
      <c r="E4948" t="s">
        <v>6</v>
      </c>
      <c r="F4948">
        <v>0.10882</v>
      </c>
    </row>
    <row r="4949" spans="1:6" x14ac:dyDescent="0.3">
      <c r="A4949" t="s">
        <v>22</v>
      </c>
      <c r="B4949" s="1">
        <v>45864</v>
      </c>
      <c r="C4949">
        <v>5</v>
      </c>
      <c r="D4949">
        <v>0.32900000000000001</v>
      </c>
      <c r="E4949" t="s">
        <v>6</v>
      </c>
      <c r="F4949">
        <v>9.7250000000000003E-2</v>
      </c>
    </row>
    <row r="4950" spans="1:6" x14ac:dyDescent="0.3">
      <c r="A4950" t="s">
        <v>22</v>
      </c>
      <c r="B4950" s="1">
        <v>45864</v>
      </c>
      <c r="C4950">
        <v>6</v>
      </c>
      <c r="D4950">
        <v>0.36299999999999999</v>
      </c>
      <c r="E4950" t="s">
        <v>6</v>
      </c>
      <c r="F4950">
        <v>0.10287</v>
      </c>
    </row>
    <row r="4951" spans="1:6" x14ac:dyDescent="0.3">
      <c r="A4951" t="s">
        <v>22</v>
      </c>
      <c r="B4951" s="1">
        <v>45864</v>
      </c>
      <c r="C4951">
        <v>7</v>
      </c>
      <c r="D4951">
        <v>0.29799999999999999</v>
      </c>
      <c r="E4951" t="s">
        <v>6</v>
      </c>
      <c r="F4951">
        <v>0.10962000000000001</v>
      </c>
    </row>
    <row r="4952" spans="1:6" x14ac:dyDescent="0.3">
      <c r="A4952" t="s">
        <v>22</v>
      </c>
      <c r="B4952" s="1">
        <v>45864</v>
      </c>
      <c r="C4952">
        <v>8</v>
      </c>
      <c r="D4952">
        <v>0.128</v>
      </c>
      <c r="E4952" t="s">
        <v>6</v>
      </c>
      <c r="F4952">
        <v>0.11423999999999999</v>
      </c>
    </row>
    <row r="4953" spans="1:6" x14ac:dyDescent="0.3">
      <c r="A4953" t="s">
        <v>22</v>
      </c>
      <c r="B4953" s="1">
        <v>45864</v>
      </c>
      <c r="C4953">
        <v>9</v>
      </c>
      <c r="D4953">
        <v>0</v>
      </c>
      <c r="E4953" t="s">
        <v>6</v>
      </c>
      <c r="F4953">
        <v>9.9780000000000008E-2</v>
      </c>
    </row>
    <row r="4954" spans="1:6" x14ac:dyDescent="0.3">
      <c r="A4954" t="s">
        <v>22</v>
      </c>
      <c r="B4954" s="1">
        <v>45864</v>
      </c>
      <c r="C4954">
        <v>10</v>
      </c>
      <c r="D4954">
        <v>0</v>
      </c>
      <c r="E4954" t="s">
        <v>6</v>
      </c>
      <c r="F4954">
        <v>5.806E-2</v>
      </c>
    </row>
    <row r="4955" spans="1:6" x14ac:dyDescent="0.3">
      <c r="A4955" t="s">
        <v>22</v>
      </c>
      <c r="B4955" s="1">
        <v>45864</v>
      </c>
      <c r="C4955">
        <v>11</v>
      </c>
      <c r="D4955">
        <v>0</v>
      </c>
      <c r="E4955" t="s">
        <v>6</v>
      </c>
      <c r="F4955">
        <v>5.3100000000000001E-2</v>
      </c>
    </row>
    <row r="4956" spans="1:6" x14ac:dyDescent="0.3">
      <c r="A4956" t="s">
        <v>22</v>
      </c>
      <c r="B4956" s="1">
        <v>45864</v>
      </c>
      <c r="C4956">
        <v>12</v>
      </c>
      <c r="D4956">
        <v>0</v>
      </c>
      <c r="E4956" t="s">
        <v>6</v>
      </c>
      <c r="F4956">
        <v>5.3249999999999999E-2</v>
      </c>
    </row>
    <row r="4957" spans="1:6" x14ac:dyDescent="0.3">
      <c r="A4957" t="s">
        <v>22</v>
      </c>
      <c r="B4957" s="1">
        <v>45864</v>
      </c>
      <c r="C4957">
        <v>13</v>
      </c>
      <c r="D4957">
        <v>0</v>
      </c>
      <c r="E4957" t="s">
        <v>6</v>
      </c>
      <c r="F4957">
        <v>5.3069999999999999E-2</v>
      </c>
    </row>
    <row r="4958" spans="1:6" x14ac:dyDescent="0.3">
      <c r="A4958" t="s">
        <v>22</v>
      </c>
      <c r="B4958" s="1">
        <v>45864</v>
      </c>
      <c r="C4958">
        <v>14</v>
      </c>
      <c r="D4958">
        <v>0.99</v>
      </c>
      <c r="E4958" t="s">
        <v>6</v>
      </c>
      <c r="F4958">
        <v>5.4030000000000002E-2</v>
      </c>
    </row>
    <row r="4959" spans="1:6" x14ac:dyDescent="0.3">
      <c r="A4959" t="s">
        <v>22</v>
      </c>
      <c r="B4959" s="1">
        <v>45864</v>
      </c>
      <c r="C4959">
        <v>15</v>
      </c>
      <c r="D4959">
        <v>0</v>
      </c>
      <c r="E4959" t="s">
        <v>6</v>
      </c>
      <c r="F4959">
        <v>5.228E-2</v>
      </c>
    </row>
    <row r="4960" spans="1:6" x14ac:dyDescent="0.3">
      <c r="A4960" t="s">
        <v>22</v>
      </c>
      <c r="B4960" s="1">
        <v>45864</v>
      </c>
      <c r="C4960">
        <v>16</v>
      </c>
      <c r="D4960">
        <v>0</v>
      </c>
      <c r="E4960" t="s">
        <v>6</v>
      </c>
      <c r="F4960">
        <v>5.1970000000000002E-2</v>
      </c>
    </row>
    <row r="4961" spans="1:6" x14ac:dyDescent="0.3">
      <c r="A4961" t="s">
        <v>22</v>
      </c>
      <c r="B4961" s="1">
        <v>45864</v>
      </c>
      <c r="C4961">
        <v>17</v>
      </c>
      <c r="D4961">
        <v>0</v>
      </c>
      <c r="E4961" t="s">
        <v>6</v>
      </c>
      <c r="F4961">
        <v>5.1970000000000002E-2</v>
      </c>
    </row>
    <row r="4962" spans="1:6" x14ac:dyDescent="0.3">
      <c r="A4962" t="s">
        <v>22</v>
      </c>
      <c r="B4962" s="1">
        <v>45864</v>
      </c>
      <c r="C4962">
        <v>18</v>
      </c>
      <c r="D4962">
        <v>0</v>
      </c>
      <c r="E4962" t="s">
        <v>6</v>
      </c>
      <c r="F4962">
        <v>5.1679999999999997E-2</v>
      </c>
    </row>
    <row r="4963" spans="1:6" x14ac:dyDescent="0.3">
      <c r="A4963" t="s">
        <v>22</v>
      </c>
      <c r="B4963" s="1">
        <v>45864</v>
      </c>
      <c r="C4963">
        <v>19</v>
      </c>
      <c r="D4963">
        <v>0</v>
      </c>
      <c r="E4963" t="s">
        <v>6</v>
      </c>
      <c r="F4963">
        <v>5.2760000000000001E-2</v>
      </c>
    </row>
    <row r="4964" spans="1:6" x14ac:dyDescent="0.3">
      <c r="A4964" t="s">
        <v>22</v>
      </c>
      <c r="B4964" s="1">
        <v>45864</v>
      </c>
      <c r="C4964">
        <v>20</v>
      </c>
      <c r="D4964">
        <v>0.109</v>
      </c>
      <c r="E4964" t="s">
        <v>6</v>
      </c>
      <c r="F4964">
        <v>7.6340000000000005E-2</v>
      </c>
    </row>
    <row r="4965" spans="1:6" x14ac:dyDescent="0.3">
      <c r="A4965" t="s">
        <v>22</v>
      </c>
      <c r="B4965" s="1">
        <v>45864</v>
      </c>
      <c r="C4965">
        <v>21</v>
      </c>
      <c r="D4965">
        <v>0.27700000000000002</v>
      </c>
      <c r="E4965" t="s">
        <v>6</v>
      </c>
      <c r="F4965">
        <v>0.11907999999999999</v>
      </c>
    </row>
    <row r="4966" spans="1:6" x14ac:dyDescent="0.3">
      <c r="A4966" t="s">
        <v>22</v>
      </c>
      <c r="B4966" s="1">
        <v>45864</v>
      </c>
      <c r="C4966">
        <v>22</v>
      </c>
      <c r="D4966">
        <v>1.502</v>
      </c>
      <c r="E4966" t="s">
        <v>6</v>
      </c>
      <c r="F4966">
        <v>0.15143999999999999</v>
      </c>
    </row>
    <row r="4967" spans="1:6" x14ac:dyDescent="0.3">
      <c r="A4967" t="s">
        <v>22</v>
      </c>
      <c r="B4967" s="1">
        <v>45864</v>
      </c>
      <c r="C4967">
        <v>23</v>
      </c>
      <c r="D4967">
        <v>0.61299999999999999</v>
      </c>
      <c r="E4967" t="s">
        <v>6</v>
      </c>
      <c r="F4967">
        <v>0.15937999999999999</v>
      </c>
    </row>
    <row r="4968" spans="1:6" x14ac:dyDescent="0.3">
      <c r="A4968" t="s">
        <v>22</v>
      </c>
      <c r="B4968" s="1">
        <v>45864</v>
      </c>
      <c r="C4968">
        <v>24</v>
      </c>
      <c r="D4968">
        <v>0.39900000000000002</v>
      </c>
      <c r="E4968" t="s">
        <v>6</v>
      </c>
      <c r="F4968">
        <v>0.14993999999999999</v>
      </c>
    </row>
    <row r="4969" spans="1:6" x14ac:dyDescent="0.3">
      <c r="A4969" t="s">
        <v>22</v>
      </c>
      <c r="B4969" s="1">
        <v>45865</v>
      </c>
      <c r="C4969">
        <v>1</v>
      </c>
      <c r="D4969">
        <v>0.45200000000000001</v>
      </c>
      <c r="E4969" t="s">
        <v>6</v>
      </c>
      <c r="F4969">
        <v>0.13021000000000002</v>
      </c>
    </row>
    <row r="4970" spans="1:6" x14ac:dyDescent="0.3">
      <c r="A4970" t="s">
        <v>22</v>
      </c>
      <c r="B4970" s="1">
        <v>45865</v>
      </c>
      <c r="C4970">
        <v>2</v>
      </c>
      <c r="D4970">
        <v>0.35699999999999998</v>
      </c>
      <c r="E4970" t="s">
        <v>6</v>
      </c>
      <c r="F4970">
        <v>0.12043000000000001</v>
      </c>
    </row>
    <row r="4971" spans="1:6" x14ac:dyDescent="0.3">
      <c r="A4971" t="s">
        <v>22</v>
      </c>
      <c r="B4971" s="1">
        <v>45865</v>
      </c>
      <c r="C4971">
        <v>3</v>
      </c>
      <c r="D4971">
        <v>0.40200000000000002</v>
      </c>
      <c r="E4971" t="s">
        <v>6</v>
      </c>
      <c r="F4971">
        <v>0.12247</v>
      </c>
    </row>
    <row r="4972" spans="1:6" x14ac:dyDescent="0.3">
      <c r="A4972" t="s">
        <v>22</v>
      </c>
      <c r="B4972" s="1">
        <v>45865</v>
      </c>
      <c r="C4972">
        <v>4</v>
      </c>
      <c r="D4972">
        <v>0.38900000000000001</v>
      </c>
      <c r="E4972" t="s">
        <v>6</v>
      </c>
      <c r="F4972">
        <v>0.12265999999999999</v>
      </c>
    </row>
    <row r="4973" spans="1:6" x14ac:dyDescent="0.3">
      <c r="A4973" t="s">
        <v>22</v>
      </c>
      <c r="B4973" s="1">
        <v>45865</v>
      </c>
      <c r="C4973">
        <v>5</v>
      </c>
      <c r="D4973">
        <v>0.37</v>
      </c>
      <c r="E4973" t="s">
        <v>6</v>
      </c>
      <c r="F4973">
        <v>0.11534</v>
      </c>
    </row>
    <row r="4974" spans="1:6" x14ac:dyDescent="0.3">
      <c r="A4974" t="s">
        <v>22</v>
      </c>
      <c r="B4974" s="1">
        <v>45865</v>
      </c>
      <c r="C4974">
        <v>6</v>
      </c>
      <c r="D4974">
        <v>0.34699999999999998</v>
      </c>
      <c r="E4974" t="s">
        <v>6</v>
      </c>
      <c r="F4974">
        <v>0.11531</v>
      </c>
    </row>
    <row r="4975" spans="1:6" x14ac:dyDescent="0.3">
      <c r="A4975" t="s">
        <v>22</v>
      </c>
      <c r="B4975" s="1">
        <v>45865</v>
      </c>
      <c r="C4975">
        <v>7</v>
      </c>
      <c r="D4975">
        <v>0.29199999999999998</v>
      </c>
      <c r="E4975" t="s">
        <v>6</v>
      </c>
      <c r="F4975">
        <v>0.11569</v>
      </c>
    </row>
    <row r="4976" spans="1:6" x14ac:dyDescent="0.3">
      <c r="A4976" t="s">
        <v>22</v>
      </c>
      <c r="B4976" s="1">
        <v>45865</v>
      </c>
      <c r="C4976">
        <v>8</v>
      </c>
      <c r="D4976">
        <v>0.31900000000000001</v>
      </c>
      <c r="E4976" t="s">
        <v>6</v>
      </c>
      <c r="F4976">
        <v>0.13593</v>
      </c>
    </row>
    <row r="4977" spans="1:6" x14ac:dyDescent="0.3">
      <c r="A4977" t="s">
        <v>22</v>
      </c>
      <c r="B4977" s="1">
        <v>45865</v>
      </c>
      <c r="C4977">
        <v>9</v>
      </c>
      <c r="D4977">
        <v>1.2470000000000001</v>
      </c>
      <c r="E4977" t="s">
        <v>6</v>
      </c>
      <c r="F4977">
        <v>0.10003000000000001</v>
      </c>
    </row>
    <row r="4978" spans="1:6" x14ac:dyDescent="0.3">
      <c r="A4978" t="s">
        <v>22</v>
      </c>
      <c r="B4978" s="1">
        <v>45865</v>
      </c>
      <c r="C4978">
        <v>10</v>
      </c>
      <c r="D4978">
        <v>0</v>
      </c>
      <c r="E4978" t="s">
        <v>6</v>
      </c>
      <c r="F4978">
        <v>6.0969999999999996E-2</v>
      </c>
    </row>
    <row r="4979" spans="1:6" x14ac:dyDescent="0.3">
      <c r="A4979" t="s">
        <v>22</v>
      </c>
      <c r="B4979" s="1">
        <v>45865</v>
      </c>
      <c r="C4979">
        <v>11</v>
      </c>
      <c r="D4979">
        <v>0</v>
      </c>
      <c r="E4979" t="s">
        <v>6</v>
      </c>
      <c r="F4979">
        <v>5.9119999999999999E-2</v>
      </c>
    </row>
    <row r="4980" spans="1:6" x14ac:dyDescent="0.3">
      <c r="A4980" t="s">
        <v>22</v>
      </c>
      <c r="B4980" s="1">
        <v>45865</v>
      </c>
      <c r="C4980">
        <v>12</v>
      </c>
      <c r="D4980">
        <v>0</v>
      </c>
      <c r="E4980" t="s">
        <v>6</v>
      </c>
      <c r="F4980">
        <v>5.842E-2</v>
      </c>
    </row>
    <row r="4981" spans="1:6" x14ac:dyDescent="0.3">
      <c r="A4981" t="s">
        <v>22</v>
      </c>
      <c r="B4981" s="1">
        <v>45865</v>
      </c>
      <c r="C4981">
        <v>13</v>
      </c>
      <c r="D4981">
        <v>0.68</v>
      </c>
      <c r="E4981" t="s">
        <v>6</v>
      </c>
      <c r="F4981">
        <v>5.7599999999999998E-2</v>
      </c>
    </row>
    <row r="4982" spans="1:6" x14ac:dyDescent="0.3">
      <c r="A4982" t="s">
        <v>22</v>
      </c>
      <c r="B4982" s="1">
        <v>45865</v>
      </c>
      <c r="C4982">
        <v>14</v>
      </c>
      <c r="D4982">
        <v>0.95799999999999996</v>
      </c>
      <c r="E4982" t="s">
        <v>6</v>
      </c>
      <c r="F4982">
        <v>5.67E-2</v>
      </c>
    </row>
    <row r="4983" spans="1:6" x14ac:dyDescent="0.3">
      <c r="A4983" t="s">
        <v>22</v>
      </c>
      <c r="B4983" s="1">
        <v>45865</v>
      </c>
      <c r="C4983">
        <v>15</v>
      </c>
      <c r="D4983">
        <v>0</v>
      </c>
      <c r="E4983" t="s">
        <v>6</v>
      </c>
      <c r="F4983">
        <v>5.6140000000000002E-2</v>
      </c>
    </row>
    <row r="4984" spans="1:6" x14ac:dyDescent="0.3">
      <c r="A4984" t="s">
        <v>22</v>
      </c>
      <c r="B4984" s="1">
        <v>45865</v>
      </c>
      <c r="C4984">
        <v>16</v>
      </c>
      <c r="D4984">
        <v>0</v>
      </c>
      <c r="E4984" t="s">
        <v>6</v>
      </c>
      <c r="F4984">
        <v>5.6229999999999995E-2</v>
      </c>
    </row>
    <row r="4985" spans="1:6" x14ac:dyDescent="0.3">
      <c r="A4985" t="s">
        <v>22</v>
      </c>
      <c r="B4985" s="1">
        <v>45865</v>
      </c>
      <c r="C4985">
        <v>17</v>
      </c>
      <c r="D4985">
        <v>0</v>
      </c>
      <c r="E4985" t="s">
        <v>6</v>
      </c>
      <c r="F4985">
        <v>5.6420000000000005E-2</v>
      </c>
    </row>
    <row r="4986" spans="1:6" x14ac:dyDescent="0.3">
      <c r="A4986" t="s">
        <v>22</v>
      </c>
      <c r="B4986" s="1">
        <v>45865</v>
      </c>
      <c r="C4986">
        <v>18</v>
      </c>
      <c r="D4986">
        <v>0</v>
      </c>
      <c r="E4986" t="s">
        <v>6</v>
      </c>
      <c r="F4986">
        <v>5.6680000000000001E-2</v>
      </c>
    </row>
    <row r="4987" spans="1:6" x14ac:dyDescent="0.3">
      <c r="A4987" t="s">
        <v>22</v>
      </c>
      <c r="B4987" s="1">
        <v>45865</v>
      </c>
      <c r="C4987">
        <v>19</v>
      </c>
      <c r="D4987">
        <v>0</v>
      </c>
      <c r="E4987" t="s">
        <v>6</v>
      </c>
      <c r="F4987">
        <v>5.6390000000000003E-2</v>
      </c>
    </row>
    <row r="4988" spans="1:6" x14ac:dyDescent="0.3">
      <c r="A4988" t="s">
        <v>22</v>
      </c>
      <c r="B4988" s="1">
        <v>45865</v>
      </c>
      <c r="C4988">
        <v>20</v>
      </c>
      <c r="D4988">
        <v>0.90100000000000002</v>
      </c>
      <c r="E4988" t="s">
        <v>6</v>
      </c>
      <c r="F4988">
        <v>6.1710000000000001E-2</v>
      </c>
    </row>
    <row r="4989" spans="1:6" x14ac:dyDescent="0.3">
      <c r="A4989" t="s">
        <v>22</v>
      </c>
      <c r="B4989" s="1">
        <v>45865</v>
      </c>
      <c r="C4989">
        <v>21</v>
      </c>
      <c r="D4989">
        <v>0.436</v>
      </c>
      <c r="E4989" t="s">
        <v>6</v>
      </c>
      <c r="F4989">
        <v>0.10051</v>
      </c>
    </row>
    <row r="4990" spans="1:6" x14ac:dyDescent="0.3">
      <c r="A4990" t="s">
        <v>22</v>
      </c>
      <c r="B4990" s="1">
        <v>45865</v>
      </c>
      <c r="C4990">
        <v>22</v>
      </c>
      <c r="D4990">
        <v>0.66500000000000004</v>
      </c>
      <c r="E4990" t="s">
        <v>6</v>
      </c>
      <c r="F4990">
        <v>0.12501000000000001</v>
      </c>
    </row>
    <row r="4991" spans="1:6" x14ac:dyDescent="0.3">
      <c r="A4991" t="s">
        <v>22</v>
      </c>
      <c r="B4991" s="1">
        <v>45865</v>
      </c>
      <c r="C4991">
        <v>23</v>
      </c>
      <c r="D4991">
        <v>0.59799999999999998</v>
      </c>
      <c r="E4991" t="s">
        <v>6</v>
      </c>
      <c r="F4991">
        <v>0.15193000000000001</v>
      </c>
    </row>
    <row r="4992" spans="1:6" x14ac:dyDescent="0.3">
      <c r="A4992" t="s">
        <v>22</v>
      </c>
      <c r="B4992" s="1">
        <v>45865</v>
      </c>
      <c r="C4992">
        <v>24</v>
      </c>
      <c r="D4992">
        <v>0.48899999999999999</v>
      </c>
      <c r="E4992" t="s">
        <v>6</v>
      </c>
      <c r="F4992">
        <v>0.13005</v>
      </c>
    </row>
    <row r="4993" spans="1:6" x14ac:dyDescent="0.3">
      <c r="A4993" t="s">
        <v>22</v>
      </c>
      <c r="B4993" s="1">
        <v>45866</v>
      </c>
      <c r="C4993">
        <v>1</v>
      </c>
      <c r="D4993">
        <v>0.56499999999999995</v>
      </c>
      <c r="E4993" t="s">
        <v>6</v>
      </c>
      <c r="F4993">
        <v>0.11913</v>
      </c>
    </row>
    <row r="4994" spans="1:6" x14ac:dyDescent="0.3">
      <c r="A4994" t="s">
        <v>22</v>
      </c>
      <c r="B4994" s="1">
        <v>45866</v>
      </c>
      <c r="C4994">
        <v>2</v>
      </c>
      <c r="D4994">
        <v>0.38700000000000001</v>
      </c>
      <c r="E4994" t="s">
        <v>6</v>
      </c>
      <c r="F4994">
        <v>0.1139</v>
      </c>
    </row>
    <row r="4995" spans="1:6" x14ac:dyDescent="0.3">
      <c r="A4995" t="s">
        <v>22</v>
      </c>
      <c r="B4995" s="1">
        <v>45866</v>
      </c>
      <c r="C4995">
        <v>3</v>
      </c>
      <c r="D4995">
        <v>0.40699999999999997</v>
      </c>
      <c r="E4995" t="s">
        <v>6</v>
      </c>
      <c r="F4995">
        <v>0.10898000000000001</v>
      </c>
    </row>
    <row r="4996" spans="1:6" x14ac:dyDescent="0.3">
      <c r="A4996" t="s">
        <v>22</v>
      </c>
      <c r="B4996" s="1">
        <v>45866</v>
      </c>
      <c r="C4996">
        <v>4</v>
      </c>
      <c r="D4996">
        <v>0.39900000000000002</v>
      </c>
      <c r="E4996" t="s">
        <v>6</v>
      </c>
      <c r="F4996">
        <v>0.10405</v>
      </c>
    </row>
    <row r="4997" spans="1:6" x14ac:dyDescent="0.3">
      <c r="A4997" t="s">
        <v>22</v>
      </c>
      <c r="B4997" s="1">
        <v>45866</v>
      </c>
      <c r="C4997">
        <v>5</v>
      </c>
      <c r="D4997">
        <v>0.36599999999999999</v>
      </c>
      <c r="E4997" t="s">
        <v>6</v>
      </c>
      <c r="F4997">
        <v>0.10170999999999999</v>
      </c>
    </row>
    <row r="4998" spans="1:6" x14ac:dyDescent="0.3">
      <c r="A4998" t="s">
        <v>22</v>
      </c>
      <c r="B4998" s="1">
        <v>45866</v>
      </c>
      <c r="C4998">
        <v>6</v>
      </c>
      <c r="D4998">
        <v>0.41299999999999998</v>
      </c>
      <c r="E4998" t="s">
        <v>6</v>
      </c>
      <c r="F4998">
        <v>0.10387</v>
      </c>
    </row>
    <row r="4999" spans="1:6" x14ac:dyDescent="0.3">
      <c r="A4999" t="s">
        <v>22</v>
      </c>
      <c r="B4999" s="1">
        <v>45866</v>
      </c>
      <c r="C4999">
        <v>7</v>
      </c>
      <c r="D4999">
        <v>0.87</v>
      </c>
      <c r="E4999" t="s">
        <v>6</v>
      </c>
      <c r="F4999">
        <v>0.11079</v>
      </c>
    </row>
    <row r="5000" spans="1:6" x14ac:dyDescent="0.3">
      <c r="A5000" t="s">
        <v>22</v>
      </c>
      <c r="B5000" s="1">
        <v>45866</v>
      </c>
      <c r="C5000">
        <v>8</v>
      </c>
      <c r="D5000">
        <v>0.996</v>
      </c>
      <c r="E5000" t="s">
        <v>6</v>
      </c>
      <c r="F5000">
        <v>0.12068000000000001</v>
      </c>
    </row>
    <row r="5001" spans="1:6" x14ac:dyDescent="0.3">
      <c r="A5001" t="s">
        <v>22</v>
      </c>
      <c r="B5001" s="1">
        <v>45866</v>
      </c>
      <c r="C5001">
        <v>9</v>
      </c>
      <c r="D5001">
        <v>0</v>
      </c>
      <c r="E5001" t="s">
        <v>6</v>
      </c>
      <c r="F5001">
        <v>0.15003</v>
      </c>
    </row>
    <row r="5002" spans="1:6" x14ac:dyDescent="0.3">
      <c r="A5002" t="s">
        <v>22</v>
      </c>
      <c r="B5002" s="1">
        <v>45866</v>
      </c>
      <c r="C5002">
        <v>10</v>
      </c>
      <c r="D5002">
        <v>0</v>
      </c>
      <c r="E5002" t="s">
        <v>6</v>
      </c>
      <c r="F5002">
        <v>0.11536</v>
      </c>
    </row>
    <row r="5003" spans="1:6" x14ac:dyDescent="0.3">
      <c r="A5003" t="s">
        <v>22</v>
      </c>
      <c r="B5003" s="1">
        <v>45866</v>
      </c>
      <c r="C5003">
        <v>11</v>
      </c>
      <c r="D5003">
        <v>0</v>
      </c>
      <c r="E5003" t="s">
        <v>6</v>
      </c>
      <c r="F5003">
        <v>0.15962999999999999</v>
      </c>
    </row>
    <row r="5004" spans="1:6" x14ac:dyDescent="0.3">
      <c r="A5004" t="s">
        <v>22</v>
      </c>
      <c r="B5004" s="1">
        <v>45866</v>
      </c>
      <c r="C5004">
        <v>12</v>
      </c>
      <c r="D5004">
        <v>0</v>
      </c>
      <c r="E5004" t="s">
        <v>6</v>
      </c>
      <c r="F5004">
        <v>0.15415999999999999</v>
      </c>
    </row>
    <row r="5005" spans="1:6" x14ac:dyDescent="0.3">
      <c r="A5005" t="s">
        <v>22</v>
      </c>
      <c r="B5005" s="1">
        <v>45866</v>
      </c>
      <c r="C5005">
        <v>13</v>
      </c>
      <c r="D5005">
        <v>0</v>
      </c>
      <c r="E5005" t="s">
        <v>6</v>
      </c>
      <c r="F5005">
        <v>0.15130000000000002</v>
      </c>
    </row>
    <row r="5006" spans="1:6" x14ac:dyDescent="0.3">
      <c r="A5006" t="s">
        <v>22</v>
      </c>
      <c r="B5006" s="1">
        <v>45866</v>
      </c>
      <c r="C5006">
        <v>14</v>
      </c>
      <c r="D5006">
        <v>0</v>
      </c>
      <c r="E5006" t="s">
        <v>6</v>
      </c>
      <c r="F5006">
        <v>0.14918999999999999</v>
      </c>
    </row>
    <row r="5007" spans="1:6" x14ac:dyDescent="0.3">
      <c r="A5007" t="s">
        <v>22</v>
      </c>
      <c r="B5007" s="1">
        <v>45866</v>
      </c>
      <c r="C5007">
        <v>15</v>
      </c>
      <c r="D5007">
        <v>0</v>
      </c>
      <c r="E5007" t="s">
        <v>6</v>
      </c>
      <c r="F5007">
        <v>8.3330000000000001E-2</v>
      </c>
    </row>
    <row r="5008" spans="1:6" x14ac:dyDescent="0.3">
      <c r="A5008" t="s">
        <v>22</v>
      </c>
      <c r="B5008" s="1">
        <v>45866</v>
      </c>
      <c r="C5008">
        <v>16</v>
      </c>
      <c r="D5008">
        <v>0.83399999999999996</v>
      </c>
      <c r="E5008" t="s">
        <v>6</v>
      </c>
      <c r="F5008">
        <v>8.1979999999999997E-2</v>
      </c>
    </row>
    <row r="5009" spans="1:6" x14ac:dyDescent="0.3">
      <c r="A5009" t="s">
        <v>22</v>
      </c>
      <c r="B5009" s="1">
        <v>45866</v>
      </c>
      <c r="C5009">
        <v>17</v>
      </c>
      <c r="D5009">
        <v>2.69</v>
      </c>
      <c r="E5009" t="s">
        <v>6</v>
      </c>
      <c r="F5009">
        <v>8.0670000000000006E-2</v>
      </c>
    </row>
    <row r="5010" spans="1:6" x14ac:dyDescent="0.3">
      <c r="A5010" t="s">
        <v>22</v>
      </c>
      <c r="B5010" s="1">
        <v>45866</v>
      </c>
      <c r="C5010">
        <v>18</v>
      </c>
      <c r="D5010">
        <v>0.77</v>
      </c>
      <c r="E5010" t="s">
        <v>6</v>
      </c>
      <c r="F5010">
        <v>8.072E-2</v>
      </c>
    </row>
    <row r="5011" spans="1:6" x14ac:dyDescent="0.3">
      <c r="A5011" t="s">
        <v>22</v>
      </c>
      <c r="B5011" s="1">
        <v>45866</v>
      </c>
      <c r="C5011">
        <v>19</v>
      </c>
      <c r="D5011">
        <v>0</v>
      </c>
      <c r="E5011" t="s">
        <v>6</v>
      </c>
      <c r="F5011">
        <v>0.15062</v>
      </c>
    </row>
    <row r="5012" spans="1:6" x14ac:dyDescent="0.3">
      <c r="A5012" t="s">
        <v>22</v>
      </c>
      <c r="B5012" s="1">
        <v>45866</v>
      </c>
      <c r="C5012">
        <v>20</v>
      </c>
      <c r="D5012">
        <v>0.36399999999999999</v>
      </c>
      <c r="E5012" t="s">
        <v>6</v>
      </c>
      <c r="F5012">
        <v>0.16503999999999999</v>
      </c>
    </row>
    <row r="5013" spans="1:6" x14ac:dyDescent="0.3">
      <c r="A5013" t="s">
        <v>22</v>
      </c>
      <c r="B5013" s="1">
        <v>45866</v>
      </c>
      <c r="C5013">
        <v>21</v>
      </c>
      <c r="D5013">
        <v>0.44500000000000001</v>
      </c>
      <c r="E5013" t="s">
        <v>6</v>
      </c>
      <c r="F5013">
        <v>0.21063999999999999</v>
      </c>
    </row>
    <row r="5014" spans="1:6" x14ac:dyDescent="0.3">
      <c r="A5014" t="s">
        <v>22</v>
      </c>
      <c r="B5014" s="1">
        <v>45866</v>
      </c>
      <c r="C5014">
        <v>22</v>
      </c>
      <c r="D5014">
        <v>0.70399999999999996</v>
      </c>
      <c r="E5014" t="s">
        <v>6</v>
      </c>
      <c r="F5014">
        <v>0.22600000000000001</v>
      </c>
    </row>
    <row r="5015" spans="1:6" x14ac:dyDescent="0.3">
      <c r="A5015" t="s">
        <v>22</v>
      </c>
      <c r="B5015" s="1">
        <v>45866</v>
      </c>
      <c r="C5015">
        <v>23</v>
      </c>
      <c r="D5015">
        <v>0.41899999999999998</v>
      </c>
      <c r="E5015" t="s">
        <v>6</v>
      </c>
      <c r="F5015">
        <v>0.17521</v>
      </c>
    </row>
    <row r="5016" spans="1:6" x14ac:dyDescent="0.3">
      <c r="A5016" t="s">
        <v>22</v>
      </c>
      <c r="B5016" s="1">
        <v>45866</v>
      </c>
      <c r="C5016">
        <v>24</v>
      </c>
      <c r="D5016">
        <v>0.98299999999999998</v>
      </c>
      <c r="E5016" t="s">
        <v>6</v>
      </c>
      <c r="F5016">
        <v>0.15081</v>
      </c>
    </row>
    <row r="5017" spans="1:6" x14ac:dyDescent="0.3">
      <c r="A5017" t="s">
        <v>22</v>
      </c>
      <c r="B5017" s="1">
        <v>45867</v>
      </c>
      <c r="C5017">
        <v>1</v>
      </c>
      <c r="D5017">
        <v>0.52300000000000002</v>
      </c>
      <c r="E5017" t="s">
        <v>6</v>
      </c>
      <c r="F5017">
        <v>0.10621</v>
      </c>
    </row>
    <row r="5018" spans="1:6" x14ac:dyDescent="0.3">
      <c r="A5018" t="s">
        <v>22</v>
      </c>
      <c r="B5018" s="1">
        <v>45867</v>
      </c>
      <c r="C5018">
        <v>2</v>
      </c>
      <c r="D5018">
        <v>0.48499999999999999</v>
      </c>
      <c r="E5018" t="s">
        <v>6</v>
      </c>
      <c r="F5018">
        <v>9.3849999999999989E-2</v>
      </c>
    </row>
    <row r="5019" spans="1:6" x14ac:dyDescent="0.3">
      <c r="A5019" t="s">
        <v>22</v>
      </c>
      <c r="B5019" s="1">
        <v>45867</v>
      </c>
      <c r="C5019">
        <v>3</v>
      </c>
      <c r="D5019">
        <v>0.45600000000000002</v>
      </c>
      <c r="E5019" t="s">
        <v>6</v>
      </c>
      <c r="F5019">
        <v>9.2530000000000001E-2</v>
      </c>
    </row>
    <row r="5020" spans="1:6" x14ac:dyDescent="0.3">
      <c r="A5020" t="s">
        <v>22</v>
      </c>
      <c r="B5020" s="1">
        <v>45867</v>
      </c>
      <c r="C5020">
        <v>4</v>
      </c>
      <c r="D5020">
        <v>0.39600000000000002</v>
      </c>
      <c r="E5020" t="s">
        <v>6</v>
      </c>
      <c r="F5020">
        <v>8.7010000000000004E-2</v>
      </c>
    </row>
    <row r="5021" spans="1:6" x14ac:dyDescent="0.3">
      <c r="A5021" t="s">
        <v>22</v>
      </c>
      <c r="B5021" s="1">
        <v>45867</v>
      </c>
      <c r="C5021">
        <v>5</v>
      </c>
      <c r="D5021">
        <v>1.357</v>
      </c>
      <c r="E5021" t="s">
        <v>6</v>
      </c>
      <c r="F5021">
        <v>8.5559999999999997E-2</v>
      </c>
    </row>
    <row r="5022" spans="1:6" x14ac:dyDescent="0.3">
      <c r="A5022" t="s">
        <v>22</v>
      </c>
      <c r="B5022" s="1">
        <v>45867</v>
      </c>
      <c r="C5022">
        <v>6</v>
      </c>
      <c r="D5022">
        <v>0.33900000000000002</v>
      </c>
      <c r="E5022" t="s">
        <v>6</v>
      </c>
      <c r="F5022">
        <v>9.0230000000000005E-2</v>
      </c>
    </row>
    <row r="5023" spans="1:6" x14ac:dyDescent="0.3">
      <c r="A5023" t="s">
        <v>22</v>
      </c>
      <c r="B5023" s="1">
        <v>45867</v>
      </c>
      <c r="C5023">
        <v>7</v>
      </c>
      <c r="D5023">
        <v>0.37</v>
      </c>
      <c r="E5023" t="s">
        <v>6</v>
      </c>
      <c r="F5023">
        <v>0.10357999999999999</v>
      </c>
    </row>
    <row r="5024" spans="1:6" x14ac:dyDescent="0.3">
      <c r="A5024" t="s">
        <v>22</v>
      </c>
      <c r="B5024" s="1">
        <v>45867</v>
      </c>
      <c r="C5024">
        <v>8</v>
      </c>
      <c r="D5024">
        <v>0.25900000000000001</v>
      </c>
      <c r="E5024" t="s">
        <v>6</v>
      </c>
      <c r="F5024">
        <v>0.10861</v>
      </c>
    </row>
    <row r="5025" spans="1:6" x14ac:dyDescent="0.3">
      <c r="A5025" t="s">
        <v>22</v>
      </c>
      <c r="B5025" s="1">
        <v>45867</v>
      </c>
      <c r="C5025">
        <v>9</v>
      </c>
      <c r="D5025">
        <v>0</v>
      </c>
      <c r="E5025" t="s">
        <v>6</v>
      </c>
      <c r="F5025">
        <v>0.13303000000000001</v>
      </c>
    </row>
    <row r="5026" spans="1:6" x14ac:dyDescent="0.3">
      <c r="A5026" t="s">
        <v>22</v>
      </c>
      <c r="B5026" s="1">
        <v>45867</v>
      </c>
      <c r="C5026">
        <v>10</v>
      </c>
      <c r="D5026">
        <v>0</v>
      </c>
      <c r="E5026" t="s">
        <v>6</v>
      </c>
      <c r="F5026">
        <v>9.323999999999999E-2</v>
      </c>
    </row>
    <row r="5027" spans="1:6" x14ac:dyDescent="0.3">
      <c r="A5027" t="s">
        <v>22</v>
      </c>
      <c r="B5027" s="1">
        <v>45867</v>
      </c>
      <c r="C5027">
        <v>11</v>
      </c>
      <c r="D5027">
        <v>0</v>
      </c>
      <c r="E5027" t="s">
        <v>6</v>
      </c>
      <c r="F5027">
        <v>0.15297999999999998</v>
      </c>
    </row>
    <row r="5028" spans="1:6" x14ac:dyDescent="0.3">
      <c r="A5028" t="s">
        <v>22</v>
      </c>
      <c r="B5028" s="1">
        <v>45867</v>
      </c>
      <c r="C5028">
        <v>12</v>
      </c>
      <c r="D5028">
        <v>0</v>
      </c>
      <c r="E5028" t="s">
        <v>6</v>
      </c>
      <c r="F5028">
        <v>0.14734999999999998</v>
      </c>
    </row>
    <row r="5029" spans="1:6" x14ac:dyDescent="0.3">
      <c r="A5029" t="s">
        <v>22</v>
      </c>
      <c r="B5029" s="1">
        <v>45867</v>
      </c>
      <c r="C5029">
        <v>13</v>
      </c>
      <c r="D5029">
        <v>0</v>
      </c>
      <c r="E5029" t="s">
        <v>6</v>
      </c>
      <c r="F5029">
        <v>0.14931</v>
      </c>
    </row>
    <row r="5030" spans="1:6" x14ac:dyDescent="0.3">
      <c r="A5030" t="s">
        <v>22</v>
      </c>
      <c r="B5030" s="1">
        <v>45867</v>
      </c>
      <c r="C5030">
        <v>14</v>
      </c>
      <c r="D5030">
        <v>0</v>
      </c>
      <c r="E5030" t="s">
        <v>6</v>
      </c>
      <c r="F5030">
        <v>0.14824999999999999</v>
      </c>
    </row>
    <row r="5031" spans="1:6" x14ac:dyDescent="0.3">
      <c r="A5031" t="s">
        <v>22</v>
      </c>
      <c r="B5031" s="1">
        <v>45867</v>
      </c>
      <c r="C5031">
        <v>15</v>
      </c>
      <c r="D5031">
        <v>0</v>
      </c>
      <c r="E5031" t="s">
        <v>6</v>
      </c>
      <c r="F5031">
        <v>8.2360000000000003E-2</v>
      </c>
    </row>
    <row r="5032" spans="1:6" x14ac:dyDescent="0.3">
      <c r="A5032" t="s">
        <v>22</v>
      </c>
      <c r="B5032" s="1">
        <v>45867</v>
      </c>
      <c r="C5032">
        <v>16</v>
      </c>
      <c r="D5032">
        <v>0</v>
      </c>
      <c r="E5032" t="s">
        <v>6</v>
      </c>
      <c r="F5032">
        <v>8.2580000000000001E-2</v>
      </c>
    </row>
    <row r="5033" spans="1:6" x14ac:dyDescent="0.3">
      <c r="A5033" t="s">
        <v>22</v>
      </c>
      <c r="B5033" s="1">
        <v>45867</v>
      </c>
      <c r="C5033">
        <v>17</v>
      </c>
      <c r="D5033">
        <v>0</v>
      </c>
      <c r="E5033" t="s">
        <v>6</v>
      </c>
      <c r="F5033">
        <v>7.9680000000000001E-2</v>
      </c>
    </row>
    <row r="5034" spans="1:6" x14ac:dyDescent="0.3">
      <c r="A5034" t="s">
        <v>22</v>
      </c>
      <c r="B5034" s="1">
        <v>45867</v>
      </c>
      <c r="C5034">
        <v>18</v>
      </c>
      <c r="D5034">
        <v>0</v>
      </c>
      <c r="E5034" t="s">
        <v>6</v>
      </c>
      <c r="F5034">
        <v>7.9560000000000006E-2</v>
      </c>
    </row>
    <row r="5035" spans="1:6" x14ac:dyDescent="0.3">
      <c r="A5035" t="s">
        <v>22</v>
      </c>
      <c r="B5035" s="1">
        <v>45867</v>
      </c>
      <c r="C5035">
        <v>19</v>
      </c>
      <c r="D5035">
        <v>0.69299999999999995</v>
      </c>
      <c r="E5035" t="s">
        <v>6</v>
      </c>
      <c r="F5035">
        <v>0.15634000000000001</v>
      </c>
    </row>
    <row r="5036" spans="1:6" x14ac:dyDescent="0.3">
      <c r="A5036" t="s">
        <v>22</v>
      </c>
      <c r="B5036" s="1">
        <v>45867</v>
      </c>
      <c r="C5036">
        <v>20</v>
      </c>
      <c r="D5036">
        <v>0.13800000000000001</v>
      </c>
      <c r="E5036" t="s">
        <v>6</v>
      </c>
      <c r="F5036">
        <v>0.18524000000000002</v>
      </c>
    </row>
    <row r="5037" spans="1:6" x14ac:dyDescent="0.3">
      <c r="A5037" t="s">
        <v>22</v>
      </c>
      <c r="B5037" s="1">
        <v>45867</v>
      </c>
      <c r="C5037">
        <v>21</v>
      </c>
      <c r="D5037">
        <v>0.41</v>
      </c>
      <c r="E5037" t="s">
        <v>6</v>
      </c>
      <c r="F5037">
        <v>0.20849000000000001</v>
      </c>
    </row>
    <row r="5038" spans="1:6" x14ac:dyDescent="0.3">
      <c r="A5038" t="s">
        <v>22</v>
      </c>
      <c r="B5038" s="1">
        <v>45867</v>
      </c>
      <c r="C5038">
        <v>22</v>
      </c>
      <c r="D5038">
        <v>0.502</v>
      </c>
      <c r="E5038" t="s">
        <v>6</v>
      </c>
      <c r="F5038">
        <v>0.25236999999999998</v>
      </c>
    </row>
    <row r="5039" spans="1:6" x14ac:dyDescent="0.3">
      <c r="A5039" t="s">
        <v>22</v>
      </c>
      <c r="B5039" s="1">
        <v>45867</v>
      </c>
      <c r="C5039">
        <v>23</v>
      </c>
      <c r="D5039">
        <v>0.66100000000000003</v>
      </c>
      <c r="E5039" t="s">
        <v>6</v>
      </c>
      <c r="F5039">
        <v>0.19306999999999999</v>
      </c>
    </row>
    <row r="5040" spans="1:6" x14ac:dyDescent="0.3">
      <c r="A5040" t="s">
        <v>22</v>
      </c>
      <c r="B5040" s="1">
        <v>45867</v>
      </c>
      <c r="C5040">
        <v>24</v>
      </c>
      <c r="D5040">
        <v>1.482</v>
      </c>
      <c r="E5040" t="s">
        <v>6</v>
      </c>
      <c r="F5040">
        <v>0.17388000000000001</v>
      </c>
    </row>
    <row r="5041" spans="1:6" x14ac:dyDescent="0.3">
      <c r="A5041" t="s">
        <v>22</v>
      </c>
      <c r="B5041" s="1">
        <v>45868</v>
      </c>
      <c r="C5041">
        <v>1</v>
      </c>
      <c r="D5041">
        <v>0.65600000000000003</v>
      </c>
      <c r="E5041" t="s">
        <v>6</v>
      </c>
      <c r="F5041">
        <v>0.12052</v>
      </c>
    </row>
    <row r="5042" spans="1:6" x14ac:dyDescent="0.3">
      <c r="A5042" t="s">
        <v>22</v>
      </c>
      <c r="B5042" s="1">
        <v>45868</v>
      </c>
      <c r="C5042">
        <v>2</v>
      </c>
      <c r="D5042">
        <v>0.48399999999999999</v>
      </c>
      <c r="E5042" t="s">
        <v>6</v>
      </c>
      <c r="F5042">
        <v>0.10327</v>
      </c>
    </row>
    <row r="5043" spans="1:6" x14ac:dyDescent="0.3">
      <c r="A5043" t="s">
        <v>22</v>
      </c>
      <c r="B5043" s="1">
        <v>45868</v>
      </c>
      <c r="C5043">
        <v>3</v>
      </c>
      <c r="D5043">
        <v>0.51500000000000001</v>
      </c>
      <c r="E5043" t="s">
        <v>6</v>
      </c>
      <c r="F5043">
        <v>9.8420000000000007E-2</v>
      </c>
    </row>
    <row r="5044" spans="1:6" x14ac:dyDescent="0.3">
      <c r="A5044" t="s">
        <v>22</v>
      </c>
      <c r="B5044" s="1">
        <v>45868</v>
      </c>
      <c r="C5044">
        <v>4</v>
      </c>
      <c r="D5044">
        <v>0.45300000000000001</v>
      </c>
      <c r="E5044" t="s">
        <v>6</v>
      </c>
      <c r="F5044">
        <v>8.8680000000000009E-2</v>
      </c>
    </row>
    <row r="5045" spans="1:6" x14ac:dyDescent="0.3">
      <c r="A5045" t="s">
        <v>22</v>
      </c>
      <c r="B5045" s="1">
        <v>45868</v>
      </c>
      <c r="C5045">
        <v>5</v>
      </c>
      <c r="D5045">
        <v>0.52100000000000002</v>
      </c>
      <c r="E5045" t="s">
        <v>6</v>
      </c>
      <c r="F5045">
        <v>8.2280000000000006E-2</v>
      </c>
    </row>
    <row r="5046" spans="1:6" x14ac:dyDescent="0.3">
      <c r="A5046" t="s">
        <v>22</v>
      </c>
      <c r="B5046" s="1">
        <v>45868</v>
      </c>
      <c r="C5046">
        <v>6</v>
      </c>
      <c r="D5046">
        <v>0.36899999999999999</v>
      </c>
      <c r="E5046" t="s">
        <v>6</v>
      </c>
      <c r="F5046">
        <v>8.8010000000000005E-2</v>
      </c>
    </row>
    <row r="5047" spans="1:6" x14ac:dyDescent="0.3">
      <c r="A5047" t="s">
        <v>22</v>
      </c>
      <c r="B5047" s="1">
        <v>45868</v>
      </c>
      <c r="C5047">
        <v>7</v>
      </c>
      <c r="D5047">
        <v>0.51800000000000002</v>
      </c>
      <c r="E5047" t="s">
        <v>6</v>
      </c>
      <c r="F5047">
        <v>9.8470000000000002E-2</v>
      </c>
    </row>
    <row r="5048" spans="1:6" x14ac:dyDescent="0.3">
      <c r="A5048" t="s">
        <v>22</v>
      </c>
      <c r="B5048" s="1">
        <v>45868</v>
      </c>
      <c r="C5048">
        <v>8</v>
      </c>
      <c r="D5048">
        <v>0.311</v>
      </c>
      <c r="E5048" t="s">
        <v>6</v>
      </c>
      <c r="F5048">
        <v>0.12875999999999999</v>
      </c>
    </row>
    <row r="5049" spans="1:6" x14ac:dyDescent="0.3">
      <c r="A5049" t="s">
        <v>22</v>
      </c>
      <c r="B5049" s="1">
        <v>45868</v>
      </c>
      <c r="C5049">
        <v>9</v>
      </c>
      <c r="D5049">
        <v>0</v>
      </c>
      <c r="E5049" t="s">
        <v>6</v>
      </c>
      <c r="F5049">
        <v>0.13869000000000001</v>
      </c>
    </row>
    <row r="5050" spans="1:6" x14ac:dyDescent="0.3">
      <c r="A5050" t="s">
        <v>22</v>
      </c>
      <c r="B5050" s="1">
        <v>45868</v>
      </c>
      <c r="C5050">
        <v>10</v>
      </c>
      <c r="D5050">
        <v>0</v>
      </c>
      <c r="E5050" t="s">
        <v>6</v>
      </c>
      <c r="F5050">
        <v>0.11403000000000001</v>
      </c>
    </row>
    <row r="5051" spans="1:6" x14ac:dyDescent="0.3">
      <c r="A5051" t="s">
        <v>22</v>
      </c>
      <c r="B5051" s="1">
        <v>45868</v>
      </c>
      <c r="C5051">
        <v>11</v>
      </c>
      <c r="D5051">
        <v>0</v>
      </c>
      <c r="E5051" t="s">
        <v>6</v>
      </c>
      <c r="F5051">
        <v>0.15953999999999999</v>
      </c>
    </row>
    <row r="5052" spans="1:6" x14ac:dyDescent="0.3">
      <c r="A5052" t="s">
        <v>22</v>
      </c>
      <c r="B5052" s="1">
        <v>45868</v>
      </c>
      <c r="C5052">
        <v>12</v>
      </c>
      <c r="D5052">
        <v>0</v>
      </c>
      <c r="E5052" t="s">
        <v>6</v>
      </c>
      <c r="F5052">
        <v>0.15234999999999999</v>
      </c>
    </row>
    <row r="5053" spans="1:6" x14ac:dyDescent="0.3">
      <c r="A5053" t="s">
        <v>22</v>
      </c>
      <c r="B5053" s="1">
        <v>45868</v>
      </c>
      <c r="C5053">
        <v>13</v>
      </c>
      <c r="D5053">
        <v>0</v>
      </c>
      <c r="E5053" t="s">
        <v>6</v>
      </c>
      <c r="F5053">
        <v>0.15505000000000002</v>
      </c>
    </row>
    <row r="5054" spans="1:6" x14ac:dyDescent="0.3">
      <c r="A5054" t="s">
        <v>22</v>
      </c>
      <c r="B5054" s="1">
        <v>45868</v>
      </c>
      <c r="C5054">
        <v>14</v>
      </c>
      <c r="D5054">
        <v>0</v>
      </c>
      <c r="E5054" t="s">
        <v>6</v>
      </c>
      <c r="F5054">
        <v>0.15215999999999999</v>
      </c>
    </row>
    <row r="5055" spans="1:6" x14ac:dyDescent="0.3">
      <c r="A5055" t="s">
        <v>22</v>
      </c>
      <c r="B5055" s="1">
        <v>45868</v>
      </c>
      <c r="C5055">
        <v>15</v>
      </c>
      <c r="D5055">
        <v>0.27200000000000002</v>
      </c>
      <c r="E5055" t="s">
        <v>6</v>
      </c>
      <c r="F5055">
        <v>8.6230000000000001E-2</v>
      </c>
    </row>
    <row r="5056" spans="1:6" x14ac:dyDescent="0.3">
      <c r="A5056" t="s">
        <v>22</v>
      </c>
      <c r="B5056" s="1">
        <v>45868</v>
      </c>
      <c r="C5056">
        <v>16</v>
      </c>
      <c r="D5056">
        <v>1.252</v>
      </c>
      <c r="E5056" t="s">
        <v>6</v>
      </c>
      <c r="F5056">
        <v>8.4239999999999995E-2</v>
      </c>
    </row>
    <row r="5057" spans="1:6" x14ac:dyDescent="0.3">
      <c r="A5057" t="s">
        <v>22</v>
      </c>
      <c r="B5057" s="1">
        <v>45868</v>
      </c>
      <c r="C5057">
        <v>17</v>
      </c>
      <c r="D5057">
        <v>3.5369999999999999</v>
      </c>
      <c r="E5057" t="s">
        <v>6</v>
      </c>
      <c r="F5057">
        <v>8.2739999999999994E-2</v>
      </c>
    </row>
    <row r="5058" spans="1:6" x14ac:dyDescent="0.3">
      <c r="A5058" t="s">
        <v>22</v>
      </c>
      <c r="B5058" s="1">
        <v>45868</v>
      </c>
      <c r="C5058">
        <v>18</v>
      </c>
      <c r="D5058">
        <v>0.34</v>
      </c>
      <c r="E5058" t="s">
        <v>6</v>
      </c>
      <c r="F5058">
        <v>8.269E-2</v>
      </c>
    </row>
    <row r="5059" spans="1:6" x14ac:dyDescent="0.3">
      <c r="A5059" t="s">
        <v>22</v>
      </c>
      <c r="B5059" s="1">
        <v>45868</v>
      </c>
      <c r="C5059">
        <v>19</v>
      </c>
      <c r="D5059">
        <v>0</v>
      </c>
      <c r="E5059" t="s">
        <v>6</v>
      </c>
      <c r="F5059">
        <v>0.17541999999999999</v>
      </c>
    </row>
    <row r="5060" spans="1:6" x14ac:dyDescent="0.3">
      <c r="A5060" t="s">
        <v>22</v>
      </c>
      <c r="B5060" s="1">
        <v>45868</v>
      </c>
      <c r="C5060">
        <v>20</v>
      </c>
      <c r="D5060">
        <v>0.33</v>
      </c>
      <c r="E5060" t="s">
        <v>6</v>
      </c>
      <c r="F5060">
        <v>0.18575</v>
      </c>
    </row>
    <row r="5061" spans="1:6" x14ac:dyDescent="0.3">
      <c r="A5061" t="s">
        <v>22</v>
      </c>
      <c r="B5061" s="1">
        <v>45868</v>
      </c>
      <c r="C5061">
        <v>21</v>
      </c>
      <c r="D5061">
        <v>0.64600000000000002</v>
      </c>
      <c r="E5061" t="s">
        <v>6</v>
      </c>
      <c r="F5061">
        <v>0.22728000000000001</v>
      </c>
    </row>
    <row r="5062" spans="1:6" x14ac:dyDescent="0.3">
      <c r="A5062" t="s">
        <v>22</v>
      </c>
      <c r="B5062" s="1">
        <v>45868</v>
      </c>
      <c r="C5062">
        <v>22</v>
      </c>
      <c r="D5062">
        <v>1.222</v>
      </c>
      <c r="E5062" t="s">
        <v>6</v>
      </c>
      <c r="F5062">
        <v>0.25162000000000001</v>
      </c>
    </row>
    <row r="5063" spans="1:6" x14ac:dyDescent="0.3">
      <c r="A5063" t="s">
        <v>22</v>
      </c>
      <c r="B5063" s="1">
        <v>45868</v>
      </c>
      <c r="C5063">
        <v>23</v>
      </c>
      <c r="D5063">
        <v>0.54800000000000004</v>
      </c>
      <c r="E5063" t="s">
        <v>6</v>
      </c>
      <c r="F5063">
        <v>0.18950999999999998</v>
      </c>
    </row>
    <row r="5064" spans="1:6" x14ac:dyDescent="0.3">
      <c r="A5064" t="s">
        <v>22</v>
      </c>
      <c r="B5064" s="1">
        <v>45868</v>
      </c>
      <c r="C5064">
        <v>24</v>
      </c>
      <c r="D5064">
        <v>1.0069999999999999</v>
      </c>
      <c r="E5064" t="s">
        <v>6</v>
      </c>
      <c r="F5064">
        <v>0.17634</v>
      </c>
    </row>
    <row r="5065" spans="1:6" x14ac:dyDescent="0.3">
      <c r="A5065" t="s">
        <v>22</v>
      </c>
      <c r="B5065" s="1">
        <v>45869</v>
      </c>
      <c r="C5065">
        <v>1</v>
      </c>
      <c r="D5065">
        <v>0.55800000000000005</v>
      </c>
      <c r="E5065" t="s">
        <v>6</v>
      </c>
      <c r="F5065">
        <v>0.13247</v>
      </c>
    </row>
    <row r="5066" spans="1:6" x14ac:dyDescent="0.3">
      <c r="A5066" t="s">
        <v>22</v>
      </c>
      <c r="B5066" s="1">
        <v>45869</v>
      </c>
      <c r="C5066">
        <v>2</v>
      </c>
      <c r="D5066">
        <v>0.495</v>
      </c>
      <c r="E5066" t="s">
        <v>6</v>
      </c>
      <c r="F5066">
        <v>0.1197</v>
      </c>
    </row>
    <row r="5067" spans="1:6" x14ac:dyDescent="0.3">
      <c r="A5067" t="s">
        <v>22</v>
      </c>
      <c r="B5067" s="1">
        <v>45869</v>
      </c>
      <c r="C5067">
        <v>3</v>
      </c>
      <c r="D5067">
        <v>0.42299999999999999</v>
      </c>
      <c r="E5067" t="s">
        <v>6</v>
      </c>
      <c r="F5067">
        <v>0.11411</v>
      </c>
    </row>
    <row r="5068" spans="1:6" x14ac:dyDescent="0.3">
      <c r="A5068" t="s">
        <v>22</v>
      </c>
      <c r="B5068" s="1">
        <v>45869</v>
      </c>
      <c r="C5068">
        <v>4</v>
      </c>
      <c r="D5068">
        <v>0.47</v>
      </c>
      <c r="E5068" t="s">
        <v>6</v>
      </c>
      <c r="F5068">
        <v>9.6840000000000009E-2</v>
      </c>
    </row>
    <row r="5069" spans="1:6" x14ac:dyDescent="0.3">
      <c r="A5069" t="s">
        <v>22</v>
      </c>
      <c r="B5069" s="1">
        <v>45869</v>
      </c>
      <c r="C5069">
        <v>5</v>
      </c>
      <c r="D5069">
        <v>0.51</v>
      </c>
      <c r="E5069" t="s">
        <v>6</v>
      </c>
      <c r="F5069">
        <v>9.6189999999999998E-2</v>
      </c>
    </row>
    <row r="5070" spans="1:6" x14ac:dyDescent="0.3">
      <c r="A5070" t="s">
        <v>22</v>
      </c>
      <c r="B5070" s="1">
        <v>45869</v>
      </c>
      <c r="C5070">
        <v>6</v>
      </c>
      <c r="D5070">
        <v>0.42599999999999999</v>
      </c>
      <c r="E5070" t="s">
        <v>6</v>
      </c>
      <c r="F5070">
        <v>9.759000000000001E-2</v>
      </c>
    </row>
    <row r="5071" spans="1:6" x14ac:dyDescent="0.3">
      <c r="A5071" t="s">
        <v>22</v>
      </c>
      <c r="B5071" s="1">
        <v>45869</v>
      </c>
      <c r="C5071">
        <v>7</v>
      </c>
      <c r="D5071">
        <v>0.42199999999999999</v>
      </c>
      <c r="E5071" t="s">
        <v>6</v>
      </c>
      <c r="F5071">
        <v>0.12544</v>
      </c>
    </row>
    <row r="5072" spans="1:6" x14ac:dyDescent="0.3">
      <c r="A5072" t="s">
        <v>22</v>
      </c>
      <c r="B5072" s="1">
        <v>45869</v>
      </c>
      <c r="C5072">
        <v>8</v>
      </c>
      <c r="D5072">
        <v>0.33200000000000002</v>
      </c>
      <c r="E5072" t="s">
        <v>6</v>
      </c>
      <c r="F5072">
        <v>0.14602000000000001</v>
      </c>
    </row>
    <row r="5073" spans="1:6" x14ac:dyDescent="0.3">
      <c r="A5073" t="s">
        <v>22</v>
      </c>
      <c r="B5073" s="1">
        <v>45869</v>
      </c>
      <c r="C5073">
        <v>9</v>
      </c>
      <c r="D5073">
        <v>1.4450000000000001</v>
      </c>
      <c r="E5073" t="s">
        <v>6</v>
      </c>
      <c r="F5073">
        <v>0.15796000000000002</v>
      </c>
    </row>
    <row r="5074" spans="1:6" x14ac:dyDescent="0.3">
      <c r="A5074" t="s">
        <v>22</v>
      </c>
      <c r="B5074" s="1">
        <v>45869</v>
      </c>
      <c r="C5074">
        <v>10</v>
      </c>
      <c r="D5074">
        <v>0</v>
      </c>
      <c r="E5074" t="s">
        <v>6</v>
      </c>
      <c r="F5074">
        <v>0.11778</v>
      </c>
    </row>
    <row r="5075" spans="1:6" x14ac:dyDescent="0.3">
      <c r="A5075" t="s">
        <v>22</v>
      </c>
      <c r="B5075" s="1">
        <v>45869</v>
      </c>
      <c r="C5075">
        <v>11</v>
      </c>
      <c r="D5075">
        <v>0</v>
      </c>
      <c r="E5075" t="s">
        <v>6</v>
      </c>
      <c r="F5075">
        <v>0.16256000000000001</v>
      </c>
    </row>
    <row r="5076" spans="1:6" x14ac:dyDescent="0.3">
      <c r="A5076" t="s">
        <v>22</v>
      </c>
      <c r="B5076" s="1">
        <v>45869</v>
      </c>
      <c r="C5076">
        <v>12</v>
      </c>
      <c r="D5076">
        <v>0</v>
      </c>
      <c r="E5076" t="s">
        <v>6</v>
      </c>
      <c r="F5076">
        <v>0.15590999999999999</v>
      </c>
    </row>
    <row r="5077" spans="1:6" x14ac:dyDescent="0.3">
      <c r="A5077" t="s">
        <v>22</v>
      </c>
      <c r="B5077" s="1">
        <v>45869</v>
      </c>
      <c r="C5077">
        <v>13</v>
      </c>
      <c r="D5077">
        <v>0</v>
      </c>
      <c r="E5077" t="s">
        <v>6</v>
      </c>
      <c r="F5077">
        <v>0.16369999999999998</v>
      </c>
    </row>
    <row r="5078" spans="1:6" x14ac:dyDescent="0.3">
      <c r="A5078" t="s">
        <v>22</v>
      </c>
      <c r="B5078" s="1">
        <v>45869</v>
      </c>
      <c r="C5078">
        <v>14</v>
      </c>
      <c r="D5078">
        <v>0</v>
      </c>
      <c r="E5078" t="s">
        <v>6</v>
      </c>
      <c r="F5078">
        <v>0.15422999999999998</v>
      </c>
    </row>
    <row r="5079" spans="1:6" x14ac:dyDescent="0.3">
      <c r="A5079" t="s">
        <v>22</v>
      </c>
      <c r="B5079" s="1">
        <v>45869</v>
      </c>
      <c r="C5079">
        <v>15</v>
      </c>
      <c r="D5079">
        <v>0</v>
      </c>
      <c r="E5079" t="s">
        <v>6</v>
      </c>
      <c r="F5079">
        <v>9.0950000000000003E-2</v>
      </c>
    </row>
    <row r="5080" spans="1:6" x14ac:dyDescent="0.3">
      <c r="A5080" t="s">
        <v>22</v>
      </c>
      <c r="B5080" s="1">
        <v>45869</v>
      </c>
      <c r="C5080">
        <v>16</v>
      </c>
      <c r="D5080">
        <v>0</v>
      </c>
      <c r="E5080" t="s">
        <v>6</v>
      </c>
      <c r="F5080">
        <v>9.1480000000000006E-2</v>
      </c>
    </row>
    <row r="5081" spans="1:6" x14ac:dyDescent="0.3">
      <c r="A5081" t="s">
        <v>22</v>
      </c>
      <c r="B5081" s="1">
        <v>45869</v>
      </c>
      <c r="C5081">
        <v>17</v>
      </c>
      <c r="D5081">
        <v>0</v>
      </c>
      <c r="E5081" t="s">
        <v>6</v>
      </c>
      <c r="F5081">
        <v>9.1560000000000002E-2</v>
      </c>
    </row>
    <row r="5082" spans="1:6" x14ac:dyDescent="0.3">
      <c r="A5082" t="s">
        <v>22</v>
      </c>
      <c r="B5082" s="1">
        <v>45869</v>
      </c>
      <c r="C5082">
        <v>18</v>
      </c>
      <c r="D5082">
        <v>0</v>
      </c>
      <c r="E5082" t="s">
        <v>6</v>
      </c>
      <c r="F5082">
        <v>0.10128</v>
      </c>
    </row>
    <row r="5083" spans="1:6" x14ac:dyDescent="0.3">
      <c r="A5083" t="s">
        <v>22</v>
      </c>
      <c r="B5083" s="1">
        <v>45869</v>
      </c>
      <c r="C5083">
        <v>19</v>
      </c>
      <c r="D5083">
        <v>0</v>
      </c>
      <c r="E5083" t="s">
        <v>6</v>
      </c>
      <c r="F5083">
        <v>0.18628999999999998</v>
      </c>
    </row>
    <row r="5084" spans="1:6" x14ac:dyDescent="0.3">
      <c r="A5084" t="s">
        <v>22</v>
      </c>
      <c r="B5084" s="1">
        <v>45869</v>
      </c>
      <c r="C5084">
        <v>20</v>
      </c>
      <c r="D5084">
        <v>0.21</v>
      </c>
      <c r="E5084" t="s">
        <v>6</v>
      </c>
      <c r="F5084">
        <v>0.22208</v>
      </c>
    </row>
    <row r="5085" spans="1:6" x14ac:dyDescent="0.3">
      <c r="A5085" t="s">
        <v>22</v>
      </c>
      <c r="B5085" s="1">
        <v>45869</v>
      </c>
      <c r="C5085">
        <v>21</v>
      </c>
      <c r="D5085">
        <v>0.39</v>
      </c>
      <c r="E5085" t="s">
        <v>6</v>
      </c>
      <c r="F5085">
        <v>0.24263999999999999</v>
      </c>
    </row>
    <row r="5086" spans="1:6" x14ac:dyDescent="0.3">
      <c r="A5086" t="s">
        <v>22</v>
      </c>
      <c r="B5086" s="1">
        <v>45869</v>
      </c>
      <c r="C5086">
        <v>22</v>
      </c>
      <c r="D5086">
        <v>0.76600000000000001</v>
      </c>
      <c r="E5086" t="s">
        <v>6</v>
      </c>
      <c r="F5086">
        <v>0.25119000000000002</v>
      </c>
    </row>
    <row r="5087" spans="1:6" x14ac:dyDescent="0.3">
      <c r="A5087" t="s">
        <v>22</v>
      </c>
      <c r="B5087" s="1">
        <v>45869</v>
      </c>
      <c r="C5087">
        <v>23</v>
      </c>
      <c r="D5087">
        <v>1.06</v>
      </c>
      <c r="E5087" t="s">
        <v>6</v>
      </c>
      <c r="F5087">
        <v>0.18149000000000001</v>
      </c>
    </row>
    <row r="5088" spans="1:6" x14ac:dyDescent="0.3">
      <c r="A5088" t="s">
        <v>22</v>
      </c>
      <c r="B5088" s="1">
        <v>45869</v>
      </c>
      <c r="C5088">
        <v>24</v>
      </c>
      <c r="D5088">
        <v>0.67</v>
      </c>
      <c r="E5088" t="s">
        <v>6</v>
      </c>
      <c r="F5088">
        <v>0.16974</v>
      </c>
    </row>
    <row r="5089" spans="1:6" x14ac:dyDescent="0.3">
      <c r="A5089" t="s">
        <v>22</v>
      </c>
      <c r="B5089" s="1">
        <v>45870</v>
      </c>
      <c r="C5089">
        <v>1</v>
      </c>
      <c r="D5089">
        <v>0.50900000000000001</v>
      </c>
      <c r="E5089" t="s">
        <v>6</v>
      </c>
      <c r="F5089">
        <v>0.14480000000000001</v>
      </c>
    </row>
    <row r="5090" spans="1:6" x14ac:dyDescent="0.3">
      <c r="A5090" t="s">
        <v>22</v>
      </c>
      <c r="B5090" s="1">
        <v>45870</v>
      </c>
      <c r="C5090">
        <v>2</v>
      </c>
      <c r="D5090">
        <v>0.48199999999999998</v>
      </c>
      <c r="E5090" t="s">
        <v>6</v>
      </c>
      <c r="F5090">
        <v>0.13650000000000001</v>
      </c>
    </row>
    <row r="5091" spans="1:6" x14ac:dyDescent="0.3">
      <c r="A5091" t="s">
        <v>22</v>
      </c>
      <c r="B5091" s="1">
        <v>45870</v>
      </c>
      <c r="C5091">
        <v>3</v>
      </c>
      <c r="D5091">
        <v>1.268</v>
      </c>
      <c r="E5091" t="s">
        <v>6</v>
      </c>
      <c r="F5091">
        <v>0.12443000000000001</v>
      </c>
    </row>
    <row r="5092" spans="1:6" x14ac:dyDescent="0.3">
      <c r="A5092" t="s">
        <v>22</v>
      </c>
      <c r="B5092" s="1">
        <v>45870</v>
      </c>
      <c r="C5092">
        <v>4</v>
      </c>
      <c r="D5092">
        <v>0.501</v>
      </c>
      <c r="E5092" t="s">
        <v>6</v>
      </c>
      <c r="F5092">
        <v>0.11226999999999999</v>
      </c>
    </row>
    <row r="5093" spans="1:6" x14ac:dyDescent="0.3">
      <c r="A5093" t="s">
        <v>22</v>
      </c>
      <c r="B5093" s="1">
        <v>45870</v>
      </c>
      <c r="C5093">
        <v>5</v>
      </c>
      <c r="D5093">
        <v>0.47899999999999998</v>
      </c>
      <c r="E5093" t="s">
        <v>6</v>
      </c>
      <c r="F5093">
        <v>0.10357999999999999</v>
      </c>
    </row>
    <row r="5094" spans="1:6" x14ac:dyDescent="0.3">
      <c r="A5094" t="s">
        <v>22</v>
      </c>
      <c r="B5094" s="1">
        <v>45870</v>
      </c>
      <c r="C5094">
        <v>6</v>
      </c>
      <c r="D5094">
        <v>0.45100000000000001</v>
      </c>
      <c r="E5094" t="s">
        <v>6</v>
      </c>
      <c r="F5094">
        <v>0.11333</v>
      </c>
    </row>
    <row r="5095" spans="1:6" x14ac:dyDescent="0.3">
      <c r="A5095" t="s">
        <v>22</v>
      </c>
      <c r="B5095" s="1">
        <v>45870</v>
      </c>
      <c r="C5095">
        <v>7</v>
      </c>
      <c r="D5095">
        <v>0.53200000000000003</v>
      </c>
      <c r="E5095" t="s">
        <v>6</v>
      </c>
      <c r="F5095">
        <v>0.12454000000000001</v>
      </c>
    </row>
    <row r="5096" spans="1:6" x14ac:dyDescent="0.3">
      <c r="A5096" t="s">
        <v>22</v>
      </c>
      <c r="B5096" s="1">
        <v>45870</v>
      </c>
      <c r="C5096">
        <v>8</v>
      </c>
      <c r="D5096">
        <v>0.34499999999999997</v>
      </c>
      <c r="E5096" t="s">
        <v>6</v>
      </c>
      <c r="F5096">
        <v>0.14377999999999999</v>
      </c>
    </row>
    <row r="5097" spans="1:6" x14ac:dyDescent="0.3">
      <c r="A5097" t="s">
        <v>22</v>
      </c>
      <c r="B5097" s="1">
        <v>45870</v>
      </c>
      <c r="C5097">
        <v>9</v>
      </c>
      <c r="D5097">
        <v>4.4999999999999998E-2</v>
      </c>
      <c r="E5097" t="s">
        <v>6</v>
      </c>
      <c r="F5097">
        <v>0.16755</v>
      </c>
    </row>
    <row r="5098" spans="1:6" x14ac:dyDescent="0.3">
      <c r="A5098" t="s">
        <v>22</v>
      </c>
      <c r="B5098" s="1">
        <v>45870</v>
      </c>
      <c r="C5098">
        <v>10</v>
      </c>
      <c r="D5098">
        <v>0</v>
      </c>
      <c r="E5098" t="s">
        <v>6</v>
      </c>
      <c r="F5098">
        <v>0.13194</v>
      </c>
    </row>
    <row r="5099" spans="1:6" x14ac:dyDescent="0.3">
      <c r="A5099" t="s">
        <v>22</v>
      </c>
      <c r="B5099" s="1">
        <v>45870</v>
      </c>
      <c r="C5099">
        <v>11</v>
      </c>
      <c r="D5099">
        <v>0</v>
      </c>
      <c r="E5099" t="s">
        <v>6</v>
      </c>
      <c r="F5099">
        <v>0.17976</v>
      </c>
    </row>
    <row r="5100" spans="1:6" x14ac:dyDescent="0.3">
      <c r="A5100" t="s">
        <v>22</v>
      </c>
      <c r="B5100" s="1">
        <v>45870</v>
      </c>
      <c r="C5100">
        <v>12</v>
      </c>
      <c r="D5100">
        <v>0</v>
      </c>
      <c r="E5100" t="s">
        <v>6</v>
      </c>
      <c r="F5100">
        <v>0.16782</v>
      </c>
    </row>
    <row r="5101" spans="1:6" x14ac:dyDescent="0.3">
      <c r="A5101" t="s">
        <v>22</v>
      </c>
      <c r="B5101" s="1">
        <v>45870</v>
      </c>
      <c r="C5101">
        <v>13</v>
      </c>
      <c r="D5101">
        <v>0</v>
      </c>
      <c r="E5101" t="s">
        <v>6</v>
      </c>
      <c r="F5101">
        <v>0.16415000000000002</v>
      </c>
    </row>
    <row r="5102" spans="1:6" x14ac:dyDescent="0.3">
      <c r="A5102" t="s">
        <v>22</v>
      </c>
      <c r="B5102" s="1">
        <v>45870</v>
      </c>
      <c r="C5102">
        <v>14</v>
      </c>
      <c r="D5102">
        <v>0</v>
      </c>
      <c r="E5102" t="s">
        <v>6</v>
      </c>
      <c r="F5102">
        <v>0.15408000000000002</v>
      </c>
    </row>
    <row r="5103" spans="1:6" x14ac:dyDescent="0.3">
      <c r="A5103" t="s">
        <v>22</v>
      </c>
      <c r="B5103" s="1">
        <v>45870</v>
      </c>
      <c r="C5103">
        <v>15</v>
      </c>
      <c r="D5103">
        <v>0</v>
      </c>
      <c r="E5103" t="s">
        <v>6</v>
      </c>
      <c r="F5103">
        <v>8.3080000000000001E-2</v>
      </c>
    </row>
    <row r="5104" spans="1:6" x14ac:dyDescent="0.3">
      <c r="A5104" t="s">
        <v>22</v>
      </c>
      <c r="B5104" s="1">
        <v>45870</v>
      </c>
      <c r="C5104">
        <v>16</v>
      </c>
      <c r="D5104">
        <v>0</v>
      </c>
      <c r="E5104" t="s">
        <v>6</v>
      </c>
      <c r="F5104">
        <v>7.5859999999999997E-2</v>
      </c>
    </row>
    <row r="5105" spans="1:6" x14ac:dyDescent="0.3">
      <c r="A5105" t="s">
        <v>22</v>
      </c>
      <c r="B5105" s="1">
        <v>45870</v>
      </c>
      <c r="C5105">
        <v>17</v>
      </c>
      <c r="D5105">
        <v>2.2789999999999999</v>
      </c>
      <c r="E5105" t="s">
        <v>6</v>
      </c>
      <c r="F5105">
        <v>7.9280000000000003E-2</v>
      </c>
    </row>
    <row r="5106" spans="1:6" x14ac:dyDescent="0.3">
      <c r="A5106" t="s">
        <v>22</v>
      </c>
      <c r="B5106" s="1">
        <v>45870</v>
      </c>
      <c r="C5106">
        <v>18</v>
      </c>
      <c r="D5106">
        <v>1.6160000000000001</v>
      </c>
      <c r="E5106" t="s">
        <v>6</v>
      </c>
      <c r="F5106">
        <v>9.0490000000000001E-2</v>
      </c>
    </row>
    <row r="5107" spans="1:6" x14ac:dyDescent="0.3">
      <c r="A5107" t="s">
        <v>22</v>
      </c>
      <c r="B5107" s="1">
        <v>45870</v>
      </c>
      <c r="C5107">
        <v>19</v>
      </c>
      <c r="D5107">
        <v>0.29799999999999999</v>
      </c>
      <c r="E5107" t="s">
        <v>6</v>
      </c>
      <c r="F5107">
        <v>0.18065000000000001</v>
      </c>
    </row>
    <row r="5108" spans="1:6" x14ac:dyDescent="0.3">
      <c r="A5108" t="s">
        <v>22</v>
      </c>
      <c r="B5108" s="1">
        <v>45870</v>
      </c>
      <c r="C5108">
        <v>20</v>
      </c>
      <c r="D5108">
        <v>0.13</v>
      </c>
      <c r="E5108" t="s">
        <v>6</v>
      </c>
      <c r="F5108">
        <v>0.20657</v>
      </c>
    </row>
    <row r="5109" spans="1:6" x14ac:dyDescent="0.3">
      <c r="A5109" t="s">
        <v>22</v>
      </c>
      <c r="B5109" s="1">
        <v>45870</v>
      </c>
      <c r="C5109">
        <v>21</v>
      </c>
      <c r="D5109">
        <v>0.55100000000000005</v>
      </c>
      <c r="E5109" t="s">
        <v>6</v>
      </c>
      <c r="F5109">
        <v>0.22208</v>
      </c>
    </row>
    <row r="5110" spans="1:6" x14ac:dyDescent="0.3">
      <c r="A5110" t="s">
        <v>22</v>
      </c>
      <c r="B5110" s="1">
        <v>45870</v>
      </c>
      <c r="C5110">
        <v>22</v>
      </c>
      <c r="D5110">
        <v>0.66400000000000003</v>
      </c>
      <c r="E5110" t="s">
        <v>6</v>
      </c>
      <c r="F5110">
        <v>0.23804</v>
      </c>
    </row>
    <row r="5111" spans="1:6" x14ac:dyDescent="0.3">
      <c r="A5111" t="s">
        <v>22</v>
      </c>
      <c r="B5111" s="1">
        <v>45870</v>
      </c>
      <c r="C5111">
        <v>23</v>
      </c>
      <c r="D5111">
        <v>1.518</v>
      </c>
      <c r="E5111" t="s">
        <v>6</v>
      </c>
      <c r="F5111">
        <v>0.17280000000000001</v>
      </c>
    </row>
    <row r="5112" spans="1:6" x14ac:dyDescent="0.3">
      <c r="A5112" t="s">
        <v>22</v>
      </c>
      <c r="B5112" s="1">
        <v>45870</v>
      </c>
      <c r="C5112">
        <v>24</v>
      </c>
      <c r="D5112">
        <v>0.52500000000000002</v>
      </c>
      <c r="E5112" t="s">
        <v>6</v>
      </c>
      <c r="F5112">
        <v>0.16587000000000002</v>
      </c>
    </row>
    <row r="5113" spans="1:6" x14ac:dyDescent="0.3">
      <c r="A5113" t="s">
        <v>22</v>
      </c>
      <c r="B5113" s="1">
        <v>45871</v>
      </c>
      <c r="C5113">
        <v>1</v>
      </c>
      <c r="D5113">
        <v>0.57099999999999995</v>
      </c>
      <c r="E5113" t="s">
        <v>6</v>
      </c>
      <c r="F5113">
        <v>0.15549000000000002</v>
      </c>
    </row>
    <row r="5114" spans="1:6" x14ac:dyDescent="0.3">
      <c r="A5114" t="s">
        <v>22</v>
      </c>
      <c r="B5114" s="1">
        <v>45871</v>
      </c>
      <c r="C5114">
        <v>2</v>
      </c>
      <c r="D5114">
        <v>0.49299999999999999</v>
      </c>
      <c r="E5114" t="s">
        <v>6</v>
      </c>
      <c r="F5114">
        <v>0.13450000000000001</v>
      </c>
    </row>
    <row r="5115" spans="1:6" x14ac:dyDescent="0.3">
      <c r="A5115" t="s">
        <v>22</v>
      </c>
      <c r="B5115" s="1">
        <v>45871</v>
      </c>
      <c r="C5115">
        <v>3</v>
      </c>
      <c r="D5115">
        <v>0.46200000000000002</v>
      </c>
      <c r="E5115" t="s">
        <v>6</v>
      </c>
      <c r="F5115">
        <v>0.12297</v>
      </c>
    </row>
    <row r="5116" spans="1:6" x14ac:dyDescent="0.3">
      <c r="A5116" t="s">
        <v>22</v>
      </c>
      <c r="B5116" s="1">
        <v>45871</v>
      </c>
      <c r="C5116">
        <v>4</v>
      </c>
      <c r="D5116">
        <v>0.52400000000000002</v>
      </c>
      <c r="E5116" t="s">
        <v>6</v>
      </c>
      <c r="F5116">
        <v>0.10364</v>
      </c>
    </row>
    <row r="5117" spans="1:6" x14ac:dyDescent="0.3">
      <c r="A5117" t="s">
        <v>22</v>
      </c>
      <c r="B5117" s="1">
        <v>45871</v>
      </c>
      <c r="C5117">
        <v>5</v>
      </c>
      <c r="D5117">
        <v>0.45</v>
      </c>
      <c r="E5117" t="s">
        <v>6</v>
      </c>
      <c r="F5117">
        <v>9.7299999999999998E-2</v>
      </c>
    </row>
    <row r="5118" spans="1:6" x14ac:dyDescent="0.3">
      <c r="A5118" t="s">
        <v>22</v>
      </c>
      <c r="B5118" s="1">
        <v>45871</v>
      </c>
      <c r="C5118">
        <v>6</v>
      </c>
      <c r="D5118">
        <v>0.48599999999999999</v>
      </c>
      <c r="E5118" t="s">
        <v>6</v>
      </c>
      <c r="F5118">
        <v>9.8390000000000005E-2</v>
      </c>
    </row>
    <row r="5119" spans="1:6" x14ac:dyDescent="0.3">
      <c r="A5119" t="s">
        <v>22</v>
      </c>
      <c r="B5119" s="1">
        <v>45871</v>
      </c>
      <c r="C5119">
        <v>7</v>
      </c>
      <c r="D5119">
        <v>0.44800000000000001</v>
      </c>
      <c r="E5119" t="s">
        <v>6</v>
      </c>
      <c r="F5119">
        <v>0.10503</v>
      </c>
    </row>
    <row r="5120" spans="1:6" x14ac:dyDescent="0.3">
      <c r="A5120" t="s">
        <v>22</v>
      </c>
      <c r="B5120" s="1">
        <v>45871</v>
      </c>
      <c r="C5120">
        <v>8</v>
      </c>
      <c r="D5120">
        <v>0.33500000000000002</v>
      </c>
      <c r="E5120" t="s">
        <v>6</v>
      </c>
      <c r="F5120">
        <v>0.11031999999999999</v>
      </c>
    </row>
    <row r="5121" spans="1:6" x14ac:dyDescent="0.3">
      <c r="A5121" t="s">
        <v>22</v>
      </c>
      <c r="B5121" s="1">
        <v>45871</v>
      </c>
      <c r="C5121">
        <v>9</v>
      </c>
      <c r="D5121">
        <v>0</v>
      </c>
      <c r="E5121" t="s">
        <v>6</v>
      </c>
      <c r="F5121">
        <v>9.1950000000000004E-2</v>
      </c>
    </row>
    <row r="5122" spans="1:6" x14ac:dyDescent="0.3">
      <c r="A5122" t="s">
        <v>22</v>
      </c>
      <c r="B5122" s="1">
        <v>45871</v>
      </c>
      <c r="C5122">
        <v>10</v>
      </c>
      <c r="D5122">
        <v>0</v>
      </c>
      <c r="E5122" t="s">
        <v>6</v>
      </c>
      <c r="F5122">
        <v>6.2329999999999997E-2</v>
      </c>
    </row>
    <row r="5123" spans="1:6" x14ac:dyDescent="0.3">
      <c r="A5123" t="s">
        <v>22</v>
      </c>
      <c r="B5123" s="1">
        <v>45871</v>
      </c>
      <c r="C5123">
        <v>11</v>
      </c>
      <c r="D5123">
        <v>0</v>
      </c>
      <c r="E5123" t="s">
        <v>6</v>
      </c>
      <c r="F5123">
        <v>5.883E-2</v>
      </c>
    </row>
    <row r="5124" spans="1:6" x14ac:dyDescent="0.3">
      <c r="A5124" t="s">
        <v>22</v>
      </c>
      <c r="B5124" s="1">
        <v>45871</v>
      </c>
      <c r="C5124">
        <v>12</v>
      </c>
      <c r="D5124">
        <v>0</v>
      </c>
      <c r="E5124" t="s">
        <v>6</v>
      </c>
      <c r="F5124">
        <v>5.7579999999999999E-2</v>
      </c>
    </row>
    <row r="5125" spans="1:6" x14ac:dyDescent="0.3">
      <c r="A5125" t="s">
        <v>22</v>
      </c>
      <c r="B5125" s="1">
        <v>45871</v>
      </c>
      <c r="C5125">
        <v>13</v>
      </c>
      <c r="D5125">
        <v>1.581</v>
      </c>
      <c r="E5125" t="s">
        <v>6</v>
      </c>
      <c r="F5125">
        <v>5.7049999999999997E-2</v>
      </c>
    </row>
    <row r="5126" spans="1:6" x14ac:dyDescent="0.3">
      <c r="A5126" t="s">
        <v>22</v>
      </c>
      <c r="B5126" s="1">
        <v>45871</v>
      </c>
      <c r="C5126">
        <v>14</v>
      </c>
      <c r="D5126">
        <v>0</v>
      </c>
      <c r="E5126" t="s">
        <v>6</v>
      </c>
      <c r="F5126">
        <v>5.6030000000000003E-2</v>
      </c>
    </row>
    <row r="5127" spans="1:6" x14ac:dyDescent="0.3">
      <c r="A5127" t="s">
        <v>22</v>
      </c>
      <c r="B5127" s="1">
        <v>45871</v>
      </c>
      <c r="C5127">
        <v>15</v>
      </c>
      <c r="D5127">
        <v>0</v>
      </c>
      <c r="E5127" t="s">
        <v>6</v>
      </c>
      <c r="F5127">
        <v>5.5369999999999996E-2</v>
      </c>
    </row>
    <row r="5128" spans="1:6" x14ac:dyDescent="0.3">
      <c r="A5128" t="s">
        <v>22</v>
      </c>
      <c r="B5128" s="1">
        <v>45871</v>
      </c>
      <c r="C5128">
        <v>16</v>
      </c>
      <c r="D5128">
        <v>0</v>
      </c>
      <c r="E5128" t="s">
        <v>6</v>
      </c>
      <c r="F5128">
        <v>5.6149999999999999E-2</v>
      </c>
    </row>
    <row r="5129" spans="1:6" x14ac:dyDescent="0.3">
      <c r="A5129" t="s">
        <v>22</v>
      </c>
      <c r="B5129" s="1">
        <v>45871</v>
      </c>
      <c r="C5129">
        <v>17</v>
      </c>
      <c r="D5129">
        <v>0</v>
      </c>
      <c r="E5129" t="s">
        <v>6</v>
      </c>
      <c r="F5129">
        <v>5.6610000000000001E-2</v>
      </c>
    </row>
    <row r="5130" spans="1:6" x14ac:dyDescent="0.3">
      <c r="A5130" t="s">
        <v>22</v>
      </c>
      <c r="B5130" s="1">
        <v>45871</v>
      </c>
      <c r="C5130">
        <v>18</v>
      </c>
      <c r="D5130">
        <v>0</v>
      </c>
      <c r="E5130" t="s">
        <v>6</v>
      </c>
      <c r="F5130">
        <v>5.7659999999999996E-2</v>
      </c>
    </row>
    <row r="5131" spans="1:6" x14ac:dyDescent="0.3">
      <c r="A5131" t="s">
        <v>22</v>
      </c>
      <c r="B5131" s="1">
        <v>45871</v>
      </c>
      <c r="C5131">
        <v>19</v>
      </c>
      <c r="D5131">
        <v>0</v>
      </c>
      <c r="E5131" t="s">
        <v>6</v>
      </c>
      <c r="F5131">
        <v>6.0639999999999999E-2</v>
      </c>
    </row>
    <row r="5132" spans="1:6" x14ac:dyDescent="0.3">
      <c r="A5132" t="s">
        <v>22</v>
      </c>
      <c r="B5132" s="1">
        <v>45871</v>
      </c>
      <c r="C5132">
        <v>20</v>
      </c>
      <c r="D5132">
        <v>9.2999999999999999E-2</v>
      </c>
      <c r="E5132" t="s">
        <v>6</v>
      </c>
      <c r="F5132">
        <v>6.8830000000000002E-2</v>
      </c>
    </row>
    <row r="5133" spans="1:6" x14ac:dyDescent="0.3">
      <c r="A5133" t="s">
        <v>22</v>
      </c>
      <c r="B5133" s="1">
        <v>45871</v>
      </c>
      <c r="C5133">
        <v>21</v>
      </c>
      <c r="D5133">
        <v>0.44400000000000001</v>
      </c>
      <c r="E5133" t="s">
        <v>6</v>
      </c>
      <c r="F5133">
        <v>0.13066999999999998</v>
      </c>
    </row>
    <row r="5134" spans="1:6" x14ac:dyDescent="0.3">
      <c r="A5134" t="s">
        <v>22</v>
      </c>
      <c r="B5134" s="1">
        <v>45871</v>
      </c>
      <c r="C5134">
        <v>22</v>
      </c>
      <c r="D5134">
        <v>0.71699999999999997</v>
      </c>
      <c r="E5134" t="s">
        <v>6</v>
      </c>
      <c r="F5134">
        <v>0.16019999999999998</v>
      </c>
    </row>
    <row r="5135" spans="1:6" x14ac:dyDescent="0.3">
      <c r="A5135" t="s">
        <v>22</v>
      </c>
      <c r="B5135" s="1">
        <v>45871</v>
      </c>
      <c r="C5135">
        <v>23</v>
      </c>
      <c r="D5135">
        <v>0.69399999999999995</v>
      </c>
      <c r="E5135" t="s">
        <v>6</v>
      </c>
      <c r="F5135">
        <v>0.16078999999999999</v>
      </c>
    </row>
    <row r="5136" spans="1:6" x14ac:dyDescent="0.3">
      <c r="A5136" t="s">
        <v>22</v>
      </c>
      <c r="B5136" s="1">
        <v>45871</v>
      </c>
      <c r="C5136">
        <v>24</v>
      </c>
      <c r="D5136">
        <v>0.51700000000000002</v>
      </c>
      <c r="E5136" t="s">
        <v>6</v>
      </c>
      <c r="F5136">
        <v>0.13806000000000002</v>
      </c>
    </row>
    <row r="5137" spans="1:6" x14ac:dyDescent="0.3">
      <c r="A5137" t="s">
        <v>22</v>
      </c>
      <c r="B5137" s="1">
        <v>45872</v>
      </c>
      <c r="C5137">
        <v>1</v>
      </c>
      <c r="D5137">
        <v>0.53400000000000003</v>
      </c>
      <c r="E5137" t="s">
        <v>6</v>
      </c>
      <c r="F5137">
        <v>0.13921</v>
      </c>
    </row>
    <row r="5138" spans="1:6" x14ac:dyDescent="0.3">
      <c r="A5138" t="s">
        <v>22</v>
      </c>
      <c r="B5138" s="1">
        <v>45872</v>
      </c>
      <c r="C5138">
        <v>2</v>
      </c>
      <c r="D5138">
        <v>0.42899999999999999</v>
      </c>
      <c r="E5138" t="s">
        <v>6</v>
      </c>
      <c r="F5138">
        <v>0.12888999999999998</v>
      </c>
    </row>
    <row r="5139" spans="1:6" x14ac:dyDescent="0.3">
      <c r="A5139" t="s">
        <v>22</v>
      </c>
      <c r="B5139" s="1">
        <v>45872</v>
      </c>
      <c r="C5139">
        <v>3</v>
      </c>
      <c r="D5139">
        <v>0.439</v>
      </c>
      <c r="E5139" t="s">
        <v>6</v>
      </c>
      <c r="F5139">
        <v>0.10226</v>
      </c>
    </row>
    <row r="5140" spans="1:6" x14ac:dyDescent="0.3">
      <c r="A5140" t="s">
        <v>22</v>
      </c>
      <c r="B5140" s="1">
        <v>45872</v>
      </c>
      <c r="C5140">
        <v>4</v>
      </c>
      <c r="D5140">
        <v>0.48899999999999999</v>
      </c>
      <c r="E5140" t="s">
        <v>6</v>
      </c>
      <c r="F5140">
        <v>9.6959999999999991E-2</v>
      </c>
    </row>
    <row r="5141" spans="1:6" x14ac:dyDescent="0.3">
      <c r="A5141" t="s">
        <v>22</v>
      </c>
      <c r="B5141" s="1">
        <v>45872</v>
      </c>
      <c r="C5141">
        <v>5</v>
      </c>
      <c r="D5141">
        <v>1.296</v>
      </c>
      <c r="E5141" t="s">
        <v>6</v>
      </c>
      <c r="F5141">
        <v>8.8590000000000002E-2</v>
      </c>
    </row>
    <row r="5142" spans="1:6" x14ac:dyDescent="0.3">
      <c r="A5142" t="s">
        <v>22</v>
      </c>
      <c r="B5142" s="1">
        <v>45872</v>
      </c>
      <c r="C5142">
        <v>6</v>
      </c>
      <c r="D5142">
        <v>0.47799999999999998</v>
      </c>
      <c r="E5142" t="s">
        <v>6</v>
      </c>
      <c r="F5142">
        <v>8.9410000000000003E-2</v>
      </c>
    </row>
    <row r="5143" spans="1:6" x14ac:dyDescent="0.3">
      <c r="A5143" t="s">
        <v>22</v>
      </c>
      <c r="B5143" s="1">
        <v>45872</v>
      </c>
      <c r="C5143">
        <v>7</v>
      </c>
      <c r="D5143">
        <v>0.53300000000000003</v>
      </c>
      <c r="E5143" t="s">
        <v>6</v>
      </c>
      <c r="F5143">
        <v>9.0540000000000009E-2</v>
      </c>
    </row>
    <row r="5144" spans="1:6" x14ac:dyDescent="0.3">
      <c r="A5144" t="s">
        <v>22</v>
      </c>
      <c r="B5144" s="1">
        <v>45872</v>
      </c>
      <c r="C5144">
        <v>8</v>
      </c>
      <c r="D5144">
        <v>0.33200000000000002</v>
      </c>
      <c r="E5144" t="s">
        <v>6</v>
      </c>
      <c r="F5144">
        <v>9.6890000000000004E-2</v>
      </c>
    </row>
    <row r="5145" spans="1:6" x14ac:dyDescent="0.3">
      <c r="A5145" t="s">
        <v>22</v>
      </c>
      <c r="B5145" s="1">
        <v>45872</v>
      </c>
      <c r="C5145">
        <v>9</v>
      </c>
      <c r="D5145">
        <v>0</v>
      </c>
      <c r="E5145" t="s">
        <v>6</v>
      </c>
      <c r="F5145">
        <v>6.8569999999999992E-2</v>
      </c>
    </row>
    <row r="5146" spans="1:6" x14ac:dyDescent="0.3">
      <c r="A5146" t="s">
        <v>22</v>
      </c>
      <c r="B5146" s="1">
        <v>45872</v>
      </c>
      <c r="C5146">
        <v>10</v>
      </c>
      <c r="D5146">
        <v>0</v>
      </c>
      <c r="E5146" t="s">
        <v>6</v>
      </c>
      <c r="F5146">
        <v>5.074E-2</v>
      </c>
    </row>
    <row r="5147" spans="1:6" x14ac:dyDescent="0.3">
      <c r="A5147" t="s">
        <v>22</v>
      </c>
      <c r="B5147" s="1">
        <v>45872</v>
      </c>
      <c r="C5147">
        <v>11</v>
      </c>
      <c r="D5147">
        <v>0</v>
      </c>
      <c r="E5147" t="s">
        <v>6</v>
      </c>
      <c r="F5147">
        <v>5.5020000000000006E-2</v>
      </c>
    </row>
    <row r="5148" spans="1:6" x14ac:dyDescent="0.3">
      <c r="A5148" t="s">
        <v>22</v>
      </c>
      <c r="B5148" s="1">
        <v>45872</v>
      </c>
      <c r="C5148">
        <v>12</v>
      </c>
      <c r="D5148">
        <v>0</v>
      </c>
      <c r="E5148" t="s">
        <v>6</v>
      </c>
      <c r="F5148">
        <v>5.33E-2</v>
      </c>
    </row>
    <row r="5149" spans="1:6" x14ac:dyDescent="0.3">
      <c r="A5149" t="s">
        <v>22</v>
      </c>
      <c r="B5149" s="1">
        <v>45872</v>
      </c>
      <c r="C5149">
        <v>13</v>
      </c>
      <c r="D5149">
        <v>0</v>
      </c>
      <c r="E5149" t="s">
        <v>6</v>
      </c>
      <c r="F5149">
        <v>5.16E-2</v>
      </c>
    </row>
    <row r="5150" spans="1:6" x14ac:dyDescent="0.3">
      <c r="A5150" t="s">
        <v>22</v>
      </c>
      <c r="B5150" s="1">
        <v>45872</v>
      </c>
      <c r="C5150">
        <v>14</v>
      </c>
      <c r="D5150">
        <v>0</v>
      </c>
      <c r="E5150" t="s">
        <v>6</v>
      </c>
      <c r="F5150">
        <v>4.8479999999999995E-2</v>
      </c>
    </row>
    <row r="5151" spans="1:6" x14ac:dyDescent="0.3">
      <c r="A5151" t="s">
        <v>22</v>
      </c>
      <c r="B5151" s="1">
        <v>45872</v>
      </c>
      <c r="C5151">
        <v>15</v>
      </c>
      <c r="D5151">
        <v>0</v>
      </c>
      <c r="E5151" t="s">
        <v>6</v>
      </c>
      <c r="F5151">
        <v>4.8960000000000004E-2</v>
      </c>
    </row>
    <row r="5152" spans="1:6" x14ac:dyDescent="0.3">
      <c r="A5152" t="s">
        <v>22</v>
      </c>
      <c r="B5152" s="1">
        <v>45872</v>
      </c>
      <c r="C5152">
        <v>16</v>
      </c>
      <c r="D5152">
        <v>0</v>
      </c>
      <c r="E5152" t="s">
        <v>6</v>
      </c>
      <c r="F5152">
        <v>4.8149999999999998E-2</v>
      </c>
    </row>
    <row r="5153" spans="1:6" x14ac:dyDescent="0.3">
      <c r="A5153" t="s">
        <v>22</v>
      </c>
      <c r="B5153" s="1">
        <v>45872</v>
      </c>
      <c r="C5153">
        <v>17</v>
      </c>
      <c r="D5153">
        <v>0</v>
      </c>
      <c r="E5153" t="s">
        <v>6</v>
      </c>
      <c r="F5153">
        <v>5.2010000000000001E-2</v>
      </c>
    </row>
    <row r="5154" spans="1:6" x14ac:dyDescent="0.3">
      <c r="A5154" t="s">
        <v>22</v>
      </c>
      <c r="B5154" s="1">
        <v>45872</v>
      </c>
      <c r="C5154">
        <v>18</v>
      </c>
      <c r="D5154">
        <v>0</v>
      </c>
      <c r="E5154" t="s">
        <v>6</v>
      </c>
      <c r="F5154">
        <v>5.5200000000000006E-2</v>
      </c>
    </row>
    <row r="5155" spans="1:6" x14ac:dyDescent="0.3">
      <c r="A5155" t="s">
        <v>22</v>
      </c>
      <c r="B5155" s="1">
        <v>45872</v>
      </c>
      <c r="C5155">
        <v>19</v>
      </c>
      <c r="D5155">
        <v>0</v>
      </c>
      <c r="E5155" t="s">
        <v>6</v>
      </c>
      <c r="F5155">
        <v>4.9869999999999998E-2</v>
      </c>
    </row>
    <row r="5156" spans="1:6" x14ac:dyDescent="0.3">
      <c r="A5156" t="s">
        <v>22</v>
      </c>
      <c r="B5156" s="1">
        <v>45872</v>
      </c>
      <c r="C5156">
        <v>20</v>
      </c>
      <c r="D5156">
        <v>0</v>
      </c>
      <c r="E5156" t="s">
        <v>6</v>
      </c>
      <c r="F5156">
        <v>8.2909999999999998E-2</v>
      </c>
    </row>
    <row r="5157" spans="1:6" x14ac:dyDescent="0.3">
      <c r="A5157" t="s">
        <v>22</v>
      </c>
      <c r="B5157" s="1">
        <v>45872</v>
      </c>
      <c r="C5157">
        <v>21</v>
      </c>
      <c r="D5157">
        <v>0.47299999999999998</v>
      </c>
      <c r="E5157" t="s">
        <v>6</v>
      </c>
      <c r="F5157">
        <v>0.13589999999999999</v>
      </c>
    </row>
    <row r="5158" spans="1:6" x14ac:dyDescent="0.3">
      <c r="A5158" t="s">
        <v>22</v>
      </c>
      <c r="B5158" s="1">
        <v>45872</v>
      </c>
      <c r="C5158">
        <v>22</v>
      </c>
      <c r="D5158">
        <v>0.66300000000000003</v>
      </c>
      <c r="E5158" t="s">
        <v>6</v>
      </c>
      <c r="F5158">
        <v>0.15713999999999997</v>
      </c>
    </row>
    <row r="5159" spans="1:6" x14ac:dyDescent="0.3">
      <c r="A5159" t="s">
        <v>22</v>
      </c>
      <c r="B5159" s="1">
        <v>45872</v>
      </c>
      <c r="C5159">
        <v>23</v>
      </c>
      <c r="D5159">
        <v>0.52600000000000002</v>
      </c>
      <c r="E5159" t="s">
        <v>6</v>
      </c>
      <c r="F5159">
        <v>0.15865000000000001</v>
      </c>
    </row>
    <row r="5160" spans="1:6" x14ac:dyDescent="0.3">
      <c r="A5160" t="s">
        <v>22</v>
      </c>
      <c r="B5160" s="1">
        <v>45872</v>
      </c>
      <c r="C5160">
        <v>24</v>
      </c>
      <c r="D5160">
        <v>0.49099999999999999</v>
      </c>
      <c r="E5160" t="s">
        <v>6</v>
      </c>
      <c r="F5160">
        <v>0.14630000000000001</v>
      </c>
    </row>
    <row r="5161" spans="1:6" x14ac:dyDescent="0.3">
      <c r="A5161" t="s">
        <v>22</v>
      </c>
      <c r="B5161" s="1">
        <v>45873</v>
      </c>
      <c r="C5161">
        <v>1</v>
      </c>
      <c r="D5161">
        <v>0.52900000000000003</v>
      </c>
      <c r="E5161" t="s">
        <v>6</v>
      </c>
      <c r="F5161">
        <v>0.12248000000000001</v>
      </c>
    </row>
    <row r="5162" spans="1:6" x14ac:dyDescent="0.3">
      <c r="A5162" t="s">
        <v>22</v>
      </c>
      <c r="B5162" s="1">
        <v>45873</v>
      </c>
      <c r="C5162">
        <v>2</v>
      </c>
      <c r="D5162">
        <v>1.0900000000000001</v>
      </c>
      <c r="E5162" t="s">
        <v>6</v>
      </c>
      <c r="F5162">
        <v>0.12318999999999999</v>
      </c>
    </row>
    <row r="5163" spans="1:6" x14ac:dyDescent="0.3">
      <c r="A5163" t="s">
        <v>22</v>
      </c>
      <c r="B5163" s="1">
        <v>45873</v>
      </c>
      <c r="C5163">
        <v>3</v>
      </c>
      <c r="D5163">
        <v>0.64500000000000002</v>
      </c>
      <c r="E5163" t="s">
        <v>6</v>
      </c>
      <c r="F5163">
        <v>0.12367</v>
      </c>
    </row>
    <row r="5164" spans="1:6" x14ac:dyDescent="0.3">
      <c r="A5164" t="s">
        <v>22</v>
      </c>
      <c r="B5164" s="1">
        <v>45873</v>
      </c>
      <c r="C5164">
        <v>4</v>
      </c>
      <c r="D5164">
        <v>0.45500000000000002</v>
      </c>
      <c r="E5164" t="s">
        <v>6</v>
      </c>
      <c r="F5164">
        <v>0.12434999999999999</v>
      </c>
    </row>
    <row r="5165" spans="1:6" x14ac:dyDescent="0.3">
      <c r="A5165" t="s">
        <v>22</v>
      </c>
      <c r="B5165" s="1">
        <v>45873</v>
      </c>
      <c r="C5165">
        <v>5</v>
      </c>
      <c r="D5165">
        <v>0.5</v>
      </c>
      <c r="E5165" t="s">
        <v>6</v>
      </c>
      <c r="F5165">
        <v>0.12946000000000002</v>
      </c>
    </row>
    <row r="5166" spans="1:6" x14ac:dyDescent="0.3">
      <c r="A5166" t="s">
        <v>22</v>
      </c>
      <c r="B5166" s="1">
        <v>45873</v>
      </c>
      <c r="C5166">
        <v>6</v>
      </c>
      <c r="D5166">
        <v>0.45100000000000001</v>
      </c>
      <c r="E5166" t="s">
        <v>6</v>
      </c>
      <c r="F5166">
        <v>0.12874000000000002</v>
      </c>
    </row>
    <row r="5167" spans="1:6" x14ac:dyDescent="0.3">
      <c r="A5167" t="s">
        <v>22</v>
      </c>
      <c r="B5167" s="1">
        <v>45873</v>
      </c>
      <c r="C5167">
        <v>7</v>
      </c>
      <c r="D5167">
        <v>0.433</v>
      </c>
      <c r="E5167" t="s">
        <v>6</v>
      </c>
      <c r="F5167">
        <v>0.1401</v>
      </c>
    </row>
    <row r="5168" spans="1:6" x14ac:dyDescent="0.3">
      <c r="A5168" t="s">
        <v>22</v>
      </c>
      <c r="B5168" s="1">
        <v>45873</v>
      </c>
      <c r="C5168">
        <v>8</v>
      </c>
      <c r="D5168">
        <v>0.45</v>
      </c>
      <c r="E5168" t="s">
        <v>6</v>
      </c>
      <c r="F5168">
        <v>0.15322999999999998</v>
      </c>
    </row>
    <row r="5169" spans="1:6" x14ac:dyDescent="0.3">
      <c r="A5169" t="s">
        <v>22</v>
      </c>
      <c r="B5169" s="1">
        <v>45873</v>
      </c>
      <c r="C5169">
        <v>9</v>
      </c>
      <c r="D5169">
        <v>0</v>
      </c>
      <c r="E5169" t="s">
        <v>6</v>
      </c>
      <c r="F5169">
        <v>0.16535</v>
      </c>
    </row>
    <row r="5170" spans="1:6" x14ac:dyDescent="0.3">
      <c r="A5170" t="s">
        <v>22</v>
      </c>
      <c r="B5170" s="1">
        <v>45873</v>
      </c>
      <c r="C5170">
        <v>10</v>
      </c>
      <c r="D5170">
        <v>0.54</v>
      </c>
      <c r="E5170" t="s">
        <v>6</v>
      </c>
      <c r="F5170">
        <v>0.11957</v>
      </c>
    </row>
    <row r="5171" spans="1:6" x14ac:dyDescent="0.3">
      <c r="A5171" t="s">
        <v>22</v>
      </c>
      <c r="B5171" s="1">
        <v>45873</v>
      </c>
      <c r="C5171">
        <v>11</v>
      </c>
      <c r="D5171">
        <v>0</v>
      </c>
      <c r="E5171" t="s">
        <v>6</v>
      </c>
      <c r="F5171">
        <v>0.15769</v>
      </c>
    </row>
    <row r="5172" spans="1:6" x14ac:dyDescent="0.3">
      <c r="A5172" t="s">
        <v>22</v>
      </c>
      <c r="B5172" s="1">
        <v>45873</v>
      </c>
      <c r="C5172">
        <v>12</v>
      </c>
      <c r="D5172">
        <v>0</v>
      </c>
      <c r="E5172" t="s">
        <v>6</v>
      </c>
      <c r="F5172">
        <v>0.14046</v>
      </c>
    </row>
    <row r="5173" spans="1:6" x14ac:dyDescent="0.3">
      <c r="A5173" t="s">
        <v>22</v>
      </c>
      <c r="B5173" s="1">
        <v>45873</v>
      </c>
      <c r="C5173">
        <v>13</v>
      </c>
      <c r="D5173">
        <v>0</v>
      </c>
      <c r="E5173" t="s">
        <v>6</v>
      </c>
      <c r="F5173">
        <v>0.1328</v>
      </c>
    </row>
    <row r="5174" spans="1:6" x14ac:dyDescent="0.3">
      <c r="A5174" t="s">
        <v>22</v>
      </c>
      <c r="B5174" s="1">
        <v>45873</v>
      </c>
      <c r="C5174">
        <v>14</v>
      </c>
      <c r="D5174">
        <v>0</v>
      </c>
      <c r="E5174" t="s">
        <v>6</v>
      </c>
      <c r="F5174">
        <v>0.12734000000000001</v>
      </c>
    </row>
    <row r="5175" spans="1:6" x14ac:dyDescent="0.3">
      <c r="A5175" t="s">
        <v>22</v>
      </c>
      <c r="B5175" s="1">
        <v>45873</v>
      </c>
      <c r="C5175">
        <v>15</v>
      </c>
      <c r="D5175">
        <v>2.7250000000000001</v>
      </c>
      <c r="E5175" t="s">
        <v>6</v>
      </c>
      <c r="F5175">
        <v>6.1450000000000005E-2</v>
      </c>
    </row>
    <row r="5176" spans="1:6" x14ac:dyDescent="0.3">
      <c r="A5176" t="s">
        <v>22</v>
      </c>
      <c r="B5176" s="1">
        <v>45873</v>
      </c>
      <c r="C5176">
        <v>16</v>
      </c>
      <c r="D5176">
        <v>0</v>
      </c>
      <c r="E5176" t="s">
        <v>6</v>
      </c>
      <c r="F5176">
        <v>6.1060000000000003E-2</v>
      </c>
    </row>
    <row r="5177" spans="1:6" x14ac:dyDescent="0.3">
      <c r="A5177" t="s">
        <v>22</v>
      </c>
      <c r="B5177" s="1">
        <v>45873</v>
      </c>
      <c r="C5177">
        <v>17</v>
      </c>
      <c r="D5177">
        <v>0</v>
      </c>
      <c r="E5177" t="s">
        <v>6</v>
      </c>
      <c r="F5177">
        <v>6.3399999999999998E-2</v>
      </c>
    </row>
    <row r="5178" spans="1:6" x14ac:dyDescent="0.3">
      <c r="A5178" t="s">
        <v>22</v>
      </c>
      <c r="B5178" s="1">
        <v>45873</v>
      </c>
      <c r="C5178">
        <v>18</v>
      </c>
      <c r="D5178">
        <v>0</v>
      </c>
      <c r="E5178" t="s">
        <v>6</v>
      </c>
      <c r="F5178">
        <v>8.6499999999999994E-2</v>
      </c>
    </row>
    <row r="5179" spans="1:6" x14ac:dyDescent="0.3">
      <c r="A5179" t="s">
        <v>22</v>
      </c>
      <c r="B5179" s="1">
        <v>45873</v>
      </c>
      <c r="C5179">
        <v>19</v>
      </c>
      <c r="D5179">
        <v>0</v>
      </c>
      <c r="E5179" t="s">
        <v>6</v>
      </c>
      <c r="F5179">
        <v>0.16797999999999999</v>
      </c>
    </row>
    <row r="5180" spans="1:6" x14ac:dyDescent="0.3">
      <c r="A5180" t="s">
        <v>22</v>
      </c>
      <c r="B5180" s="1">
        <v>45873</v>
      </c>
      <c r="C5180">
        <v>20</v>
      </c>
      <c r="D5180">
        <v>0.45100000000000001</v>
      </c>
      <c r="E5180" t="s">
        <v>6</v>
      </c>
      <c r="F5180">
        <v>0.20463000000000001</v>
      </c>
    </row>
    <row r="5181" spans="1:6" x14ac:dyDescent="0.3">
      <c r="A5181" t="s">
        <v>22</v>
      </c>
      <c r="B5181" s="1">
        <v>45873</v>
      </c>
      <c r="C5181">
        <v>21</v>
      </c>
      <c r="D5181">
        <v>1.1359999999999999</v>
      </c>
      <c r="E5181" t="s">
        <v>6</v>
      </c>
      <c r="F5181">
        <v>0.24055000000000001</v>
      </c>
    </row>
    <row r="5182" spans="1:6" x14ac:dyDescent="0.3">
      <c r="A5182" t="s">
        <v>22</v>
      </c>
      <c r="B5182" s="1">
        <v>45873</v>
      </c>
      <c r="C5182">
        <v>22</v>
      </c>
      <c r="D5182">
        <v>0.748</v>
      </c>
      <c r="E5182" t="s">
        <v>6</v>
      </c>
      <c r="F5182">
        <v>0.31570999999999999</v>
      </c>
    </row>
    <row r="5183" spans="1:6" x14ac:dyDescent="0.3">
      <c r="A5183" t="s">
        <v>22</v>
      </c>
      <c r="B5183" s="1">
        <v>45873</v>
      </c>
      <c r="C5183">
        <v>23</v>
      </c>
      <c r="D5183">
        <v>0.69699999999999995</v>
      </c>
      <c r="E5183" t="s">
        <v>6</v>
      </c>
      <c r="F5183">
        <v>0.21665000000000001</v>
      </c>
    </row>
    <row r="5184" spans="1:6" x14ac:dyDescent="0.3">
      <c r="A5184" t="s">
        <v>22</v>
      </c>
      <c r="B5184" s="1">
        <v>45873</v>
      </c>
      <c r="C5184">
        <v>24</v>
      </c>
      <c r="D5184">
        <v>0.59</v>
      </c>
      <c r="E5184" t="s">
        <v>6</v>
      </c>
      <c r="F5184">
        <v>0.19178999999999999</v>
      </c>
    </row>
    <row r="5185" spans="1:6" x14ac:dyDescent="0.3">
      <c r="A5185" t="s">
        <v>22</v>
      </c>
      <c r="B5185" s="1">
        <v>45874</v>
      </c>
      <c r="C5185">
        <v>1</v>
      </c>
      <c r="D5185">
        <v>0.495</v>
      </c>
      <c r="E5185" t="s">
        <v>6</v>
      </c>
      <c r="F5185">
        <v>0.18858000000000003</v>
      </c>
    </row>
    <row r="5186" spans="1:6" x14ac:dyDescent="0.3">
      <c r="A5186" t="s">
        <v>22</v>
      </c>
      <c r="B5186" s="1">
        <v>45874</v>
      </c>
      <c r="C5186">
        <v>2</v>
      </c>
      <c r="D5186">
        <v>0.55700000000000005</v>
      </c>
      <c r="E5186" t="s">
        <v>6</v>
      </c>
      <c r="F5186">
        <v>0.15577000000000002</v>
      </c>
    </row>
    <row r="5187" spans="1:6" x14ac:dyDescent="0.3">
      <c r="A5187" t="s">
        <v>22</v>
      </c>
      <c r="B5187" s="1">
        <v>45874</v>
      </c>
      <c r="C5187">
        <v>3</v>
      </c>
      <c r="D5187">
        <v>0.54600000000000004</v>
      </c>
      <c r="E5187" t="s">
        <v>6</v>
      </c>
      <c r="F5187">
        <v>0.14343999999999998</v>
      </c>
    </row>
    <row r="5188" spans="1:6" x14ac:dyDescent="0.3">
      <c r="A5188" t="s">
        <v>22</v>
      </c>
      <c r="B5188" s="1">
        <v>45874</v>
      </c>
      <c r="C5188">
        <v>4</v>
      </c>
      <c r="D5188">
        <v>0.48099999999999998</v>
      </c>
      <c r="E5188" t="s">
        <v>6</v>
      </c>
      <c r="F5188">
        <v>0.13988</v>
      </c>
    </row>
    <row r="5189" spans="1:6" x14ac:dyDescent="0.3">
      <c r="A5189" t="s">
        <v>22</v>
      </c>
      <c r="B5189" s="1">
        <v>45874</v>
      </c>
      <c r="C5189">
        <v>5</v>
      </c>
      <c r="D5189">
        <v>0.504</v>
      </c>
      <c r="E5189" t="s">
        <v>6</v>
      </c>
      <c r="F5189">
        <v>0.13882</v>
      </c>
    </row>
    <row r="5190" spans="1:6" x14ac:dyDescent="0.3">
      <c r="A5190" t="s">
        <v>22</v>
      </c>
      <c r="B5190" s="1">
        <v>45874</v>
      </c>
      <c r="C5190">
        <v>6</v>
      </c>
      <c r="D5190">
        <v>0.44400000000000001</v>
      </c>
      <c r="E5190" t="s">
        <v>6</v>
      </c>
      <c r="F5190">
        <v>0.13485</v>
      </c>
    </row>
    <row r="5191" spans="1:6" x14ac:dyDescent="0.3">
      <c r="A5191" t="s">
        <v>22</v>
      </c>
      <c r="B5191" s="1">
        <v>45874</v>
      </c>
      <c r="C5191">
        <v>7</v>
      </c>
      <c r="D5191">
        <v>0.53900000000000003</v>
      </c>
      <c r="E5191" t="s">
        <v>6</v>
      </c>
      <c r="F5191">
        <v>0.14723</v>
      </c>
    </row>
    <row r="5192" spans="1:6" x14ac:dyDescent="0.3">
      <c r="A5192" t="s">
        <v>22</v>
      </c>
      <c r="B5192" s="1">
        <v>45874</v>
      </c>
      <c r="C5192">
        <v>8</v>
      </c>
      <c r="D5192">
        <v>1.1499999999999999</v>
      </c>
      <c r="E5192" t="s">
        <v>6</v>
      </c>
      <c r="F5192">
        <v>0.15500999999999998</v>
      </c>
    </row>
    <row r="5193" spans="1:6" x14ac:dyDescent="0.3">
      <c r="A5193" t="s">
        <v>22</v>
      </c>
      <c r="B5193" s="1">
        <v>45874</v>
      </c>
      <c r="C5193">
        <v>9</v>
      </c>
      <c r="D5193">
        <v>0</v>
      </c>
      <c r="E5193" t="s">
        <v>6</v>
      </c>
      <c r="F5193">
        <v>0.15268999999999999</v>
      </c>
    </row>
    <row r="5194" spans="1:6" x14ac:dyDescent="0.3">
      <c r="A5194" t="s">
        <v>22</v>
      </c>
      <c r="B5194" s="1">
        <v>45874</v>
      </c>
      <c r="C5194">
        <v>10</v>
      </c>
      <c r="D5194">
        <v>0</v>
      </c>
      <c r="E5194" t="s">
        <v>6</v>
      </c>
      <c r="F5194">
        <v>9.3480000000000008E-2</v>
      </c>
    </row>
    <row r="5195" spans="1:6" x14ac:dyDescent="0.3">
      <c r="A5195" t="s">
        <v>22</v>
      </c>
      <c r="B5195" s="1">
        <v>45874</v>
      </c>
      <c r="C5195">
        <v>11</v>
      </c>
      <c r="D5195">
        <v>0</v>
      </c>
      <c r="E5195" t="s">
        <v>6</v>
      </c>
      <c r="F5195">
        <v>0.12642</v>
      </c>
    </row>
    <row r="5196" spans="1:6" x14ac:dyDescent="0.3">
      <c r="A5196" t="s">
        <v>22</v>
      </c>
      <c r="B5196" s="1">
        <v>45874</v>
      </c>
      <c r="C5196">
        <v>12</v>
      </c>
      <c r="D5196">
        <v>0</v>
      </c>
      <c r="E5196" t="s">
        <v>6</v>
      </c>
      <c r="F5196">
        <v>0.12262999999999999</v>
      </c>
    </row>
    <row r="5197" spans="1:6" x14ac:dyDescent="0.3">
      <c r="A5197" t="s">
        <v>22</v>
      </c>
      <c r="B5197" s="1">
        <v>45874</v>
      </c>
      <c r="C5197">
        <v>13</v>
      </c>
      <c r="D5197">
        <v>0</v>
      </c>
      <c r="E5197" t="s">
        <v>6</v>
      </c>
      <c r="F5197">
        <v>0.12129999999999999</v>
      </c>
    </row>
    <row r="5198" spans="1:6" x14ac:dyDescent="0.3">
      <c r="A5198" t="s">
        <v>22</v>
      </c>
      <c r="B5198" s="1">
        <v>45874</v>
      </c>
      <c r="C5198">
        <v>14</v>
      </c>
      <c r="D5198">
        <v>0</v>
      </c>
      <c r="E5198" t="s">
        <v>6</v>
      </c>
      <c r="F5198">
        <v>0.11892</v>
      </c>
    </row>
    <row r="5199" spans="1:6" x14ac:dyDescent="0.3">
      <c r="A5199" t="s">
        <v>22</v>
      </c>
      <c r="B5199" s="1">
        <v>45874</v>
      </c>
      <c r="C5199">
        <v>15</v>
      </c>
      <c r="D5199">
        <v>0</v>
      </c>
      <c r="E5199" t="s">
        <v>6</v>
      </c>
      <c r="F5199">
        <v>5.3859999999999998E-2</v>
      </c>
    </row>
    <row r="5200" spans="1:6" x14ac:dyDescent="0.3">
      <c r="A5200" t="s">
        <v>22</v>
      </c>
      <c r="B5200" s="1">
        <v>45874</v>
      </c>
      <c r="C5200">
        <v>16</v>
      </c>
      <c r="D5200">
        <v>0</v>
      </c>
      <c r="E5200" t="s">
        <v>6</v>
      </c>
      <c r="F5200">
        <v>5.3850000000000002E-2</v>
      </c>
    </row>
    <row r="5201" spans="1:6" x14ac:dyDescent="0.3">
      <c r="A5201" t="s">
        <v>22</v>
      </c>
      <c r="B5201" s="1">
        <v>45874</v>
      </c>
      <c r="C5201">
        <v>17</v>
      </c>
      <c r="D5201">
        <v>0</v>
      </c>
      <c r="E5201" t="s">
        <v>6</v>
      </c>
      <c r="F5201">
        <v>5.4649999999999997E-2</v>
      </c>
    </row>
    <row r="5202" spans="1:6" x14ac:dyDescent="0.3">
      <c r="A5202" t="s">
        <v>22</v>
      </c>
      <c r="B5202" s="1">
        <v>45874</v>
      </c>
      <c r="C5202">
        <v>18</v>
      </c>
      <c r="D5202">
        <v>0</v>
      </c>
      <c r="E5202" t="s">
        <v>6</v>
      </c>
      <c r="F5202">
        <v>5.3600000000000002E-2</v>
      </c>
    </row>
    <row r="5203" spans="1:6" x14ac:dyDescent="0.3">
      <c r="A5203" t="s">
        <v>22</v>
      </c>
      <c r="B5203" s="1">
        <v>45874</v>
      </c>
      <c r="C5203">
        <v>19</v>
      </c>
      <c r="D5203">
        <v>0</v>
      </c>
      <c r="E5203" t="s">
        <v>6</v>
      </c>
      <c r="F5203">
        <v>0.12404999999999999</v>
      </c>
    </row>
    <row r="5204" spans="1:6" x14ac:dyDescent="0.3">
      <c r="A5204" t="s">
        <v>22</v>
      </c>
      <c r="B5204" s="1">
        <v>45874</v>
      </c>
      <c r="C5204">
        <v>20</v>
      </c>
      <c r="D5204">
        <v>0.58799999999999997</v>
      </c>
      <c r="E5204" t="s">
        <v>6</v>
      </c>
      <c r="F5204">
        <v>0.17736000000000002</v>
      </c>
    </row>
    <row r="5205" spans="1:6" x14ac:dyDescent="0.3">
      <c r="A5205" t="s">
        <v>22</v>
      </c>
      <c r="B5205" s="1">
        <v>45874</v>
      </c>
      <c r="C5205">
        <v>21</v>
      </c>
      <c r="D5205">
        <v>0.58099999999999996</v>
      </c>
      <c r="E5205" t="s">
        <v>6</v>
      </c>
      <c r="F5205">
        <v>0.21978</v>
      </c>
    </row>
    <row r="5206" spans="1:6" x14ac:dyDescent="0.3">
      <c r="A5206" t="s">
        <v>22</v>
      </c>
      <c r="B5206" s="1">
        <v>45874</v>
      </c>
      <c r="C5206">
        <v>22</v>
      </c>
      <c r="D5206">
        <v>1.7310000000000001</v>
      </c>
      <c r="E5206" t="s">
        <v>6</v>
      </c>
      <c r="F5206">
        <v>0.24159</v>
      </c>
    </row>
    <row r="5207" spans="1:6" x14ac:dyDescent="0.3">
      <c r="A5207" t="s">
        <v>22</v>
      </c>
      <c r="B5207" s="1">
        <v>45874</v>
      </c>
      <c r="C5207">
        <v>23</v>
      </c>
      <c r="D5207">
        <v>0.86399999999999999</v>
      </c>
      <c r="E5207" t="s">
        <v>6</v>
      </c>
      <c r="F5207">
        <v>0.17272999999999999</v>
      </c>
    </row>
    <row r="5208" spans="1:6" x14ac:dyDescent="0.3">
      <c r="A5208" t="s">
        <v>22</v>
      </c>
      <c r="B5208" s="1">
        <v>45874</v>
      </c>
      <c r="C5208">
        <v>24</v>
      </c>
      <c r="D5208">
        <v>0.66900000000000004</v>
      </c>
      <c r="E5208" t="s">
        <v>6</v>
      </c>
      <c r="F5208">
        <v>0.15844999999999998</v>
      </c>
    </row>
    <row r="5209" spans="1:6" x14ac:dyDescent="0.3">
      <c r="A5209" t="s">
        <v>22</v>
      </c>
      <c r="B5209" s="1">
        <v>45875</v>
      </c>
      <c r="C5209">
        <v>1</v>
      </c>
      <c r="D5209">
        <v>0.70599999999999996</v>
      </c>
      <c r="E5209" t="s">
        <v>6</v>
      </c>
      <c r="F5209">
        <v>0.11767</v>
      </c>
    </row>
    <row r="5210" spans="1:6" x14ac:dyDescent="0.3">
      <c r="A5210" t="s">
        <v>22</v>
      </c>
      <c r="B5210" s="1">
        <v>45875</v>
      </c>
      <c r="C5210">
        <v>2</v>
      </c>
      <c r="D5210">
        <v>0.56399999999999995</v>
      </c>
      <c r="E5210" t="s">
        <v>6</v>
      </c>
      <c r="F5210">
        <v>0.11298999999999999</v>
      </c>
    </row>
    <row r="5211" spans="1:6" x14ac:dyDescent="0.3">
      <c r="A5211" t="s">
        <v>22</v>
      </c>
      <c r="B5211" s="1">
        <v>45875</v>
      </c>
      <c r="C5211">
        <v>3</v>
      </c>
      <c r="D5211">
        <v>0.501</v>
      </c>
      <c r="E5211" t="s">
        <v>6</v>
      </c>
      <c r="F5211">
        <v>0.11871999999999999</v>
      </c>
    </row>
    <row r="5212" spans="1:6" x14ac:dyDescent="0.3">
      <c r="A5212" t="s">
        <v>22</v>
      </c>
      <c r="B5212" s="1">
        <v>45875</v>
      </c>
      <c r="C5212">
        <v>4</v>
      </c>
      <c r="D5212">
        <v>0.53700000000000003</v>
      </c>
      <c r="E5212" t="s">
        <v>6</v>
      </c>
      <c r="F5212">
        <v>0.11481999999999999</v>
      </c>
    </row>
    <row r="5213" spans="1:6" x14ac:dyDescent="0.3">
      <c r="A5213" t="s">
        <v>22</v>
      </c>
      <c r="B5213" s="1">
        <v>45875</v>
      </c>
      <c r="C5213">
        <v>5</v>
      </c>
      <c r="D5213">
        <v>0.49299999999999999</v>
      </c>
      <c r="E5213" t="s">
        <v>6</v>
      </c>
      <c r="F5213">
        <v>0.12111</v>
      </c>
    </row>
    <row r="5214" spans="1:6" x14ac:dyDescent="0.3">
      <c r="A5214" t="s">
        <v>22</v>
      </c>
      <c r="B5214" s="1">
        <v>45875</v>
      </c>
      <c r="C5214">
        <v>6</v>
      </c>
      <c r="D5214">
        <v>0.5</v>
      </c>
      <c r="E5214" t="s">
        <v>6</v>
      </c>
      <c r="F5214">
        <v>0.13213</v>
      </c>
    </row>
    <row r="5215" spans="1:6" x14ac:dyDescent="0.3">
      <c r="A5215" t="s">
        <v>22</v>
      </c>
      <c r="B5215" s="1">
        <v>45875</v>
      </c>
      <c r="C5215">
        <v>7</v>
      </c>
      <c r="D5215">
        <v>0.39700000000000002</v>
      </c>
      <c r="E5215" t="s">
        <v>6</v>
      </c>
      <c r="F5215">
        <v>0.13003999999999999</v>
      </c>
    </row>
    <row r="5216" spans="1:6" x14ac:dyDescent="0.3">
      <c r="A5216" t="s">
        <v>22</v>
      </c>
      <c r="B5216" s="1">
        <v>45875</v>
      </c>
      <c r="C5216">
        <v>8</v>
      </c>
      <c r="D5216">
        <v>0.81799999999999995</v>
      </c>
      <c r="E5216" t="s">
        <v>6</v>
      </c>
      <c r="F5216">
        <v>0.14471000000000001</v>
      </c>
    </row>
    <row r="5217" spans="1:6" x14ac:dyDescent="0.3">
      <c r="A5217" t="s">
        <v>22</v>
      </c>
      <c r="B5217" s="1">
        <v>45875</v>
      </c>
      <c r="C5217">
        <v>9</v>
      </c>
      <c r="D5217">
        <v>0</v>
      </c>
      <c r="E5217" t="s">
        <v>6</v>
      </c>
      <c r="F5217">
        <v>0.15778</v>
      </c>
    </row>
    <row r="5218" spans="1:6" x14ac:dyDescent="0.3">
      <c r="A5218" t="s">
        <v>22</v>
      </c>
      <c r="B5218" s="1">
        <v>45875</v>
      </c>
      <c r="C5218">
        <v>10</v>
      </c>
      <c r="D5218">
        <v>0</v>
      </c>
      <c r="E5218" t="s">
        <v>6</v>
      </c>
      <c r="F5218">
        <v>0.13597000000000001</v>
      </c>
    </row>
    <row r="5219" spans="1:6" x14ac:dyDescent="0.3">
      <c r="A5219" t="s">
        <v>22</v>
      </c>
      <c r="B5219" s="1">
        <v>45875</v>
      </c>
      <c r="C5219">
        <v>11</v>
      </c>
      <c r="D5219">
        <v>0</v>
      </c>
      <c r="E5219" t="s">
        <v>6</v>
      </c>
      <c r="F5219">
        <v>0.16980000000000001</v>
      </c>
    </row>
    <row r="5220" spans="1:6" x14ac:dyDescent="0.3">
      <c r="A5220" t="s">
        <v>22</v>
      </c>
      <c r="B5220" s="1">
        <v>45875</v>
      </c>
      <c r="C5220">
        <v>12</v>
      </c>
      <c r="D5220">
        <v>0</v>
      </c>
      <c r="E5220" t="s">
        <v>6</v>
      </c>
      <c r="F5220">
        <v>0.14418</v>
      </c>
    </row>
    <row r="5221" spans="1:6" x14ac:dyDescent="0.3">
      <c r="A5221" t="s">
        <v>22</v>
      </c>
      <c r="B5221" s="1">
        <v>45875</v>
      </c>
      <c r="C5221">
        <v>13</v>
      </c>
      <c r="D5221">
        <v>0</v>
      </c>
      <c r="E5221" t="s">
        <v>6</v>
      </c>
      <c r="F5221">
        <v>0.14371</v>
      </c>
    </row>
    <row r="5222" spans="1:6" x14ac:dyDescent="0.3">
      <c r="A5222" t="s">
        <v>22</v>
      </c>
      <c r="B5222" s="1">
        <v>45875</v>
      </c>
      <c r="C5222">
        <v>14</v>
      </c>
      <c r="D5222">
        <v>0</v>
      </c>
      <c r="E5222" t="s">
        <v>6</v>
      </c>
      <c r="F5222">
        <v>0.13961000000000001</v>
      </c>
    </row>
    <row r="5223" spans="1:6" x14ac:dyDescent="0.3">
      <c r="A5223" t="s">
        <v>22</v>
      </c>
      <c r="B5223" s="1">
        <v>45875</v>
      </c>
      <c r="C5223">
        <v>15</v>
      </c>
      <c r="D5223">
        <v>0</v>
      </c>
      <c r="E5223" t="s">
        <v>6</v>
      </c>
      <c r="F5223">
        <v>7.418000000000001E-2</v>
      </c>
    </row>
    <row r="5224" spans="1:6" x14ac:dyDescent="0.3">
      <c r="A5224" t="s">
        <v>22</v>
      </c>
      <c r="B5224" s="1">
        <v>45875</v>
      </c>
      <c r="C5224">
        <v>16</v>
      </c>
      <c r="D5224">
        <v>0</v>
      </c>
      <c r="E5224" t="s">
        <v>6</v>
      </c>
      <c r="F5224">
        <v>7.4469999999999995E-2</v>
      </c>
    </row>
    <row r="5225" spans="1:6" x14ac:dyDescent="0.3">
      <c r="A5225" t="s">
        <v>22</v>
      </c>
      <c r="B5225" s="1">
        <v>45875</v>
      </c>
      <c r="C5225">
        <v>17</v>
      </c>
      <c r="D5225">
        <v>0</v>
      </c>
      <c r="E5225" t="s">
        <v>6</v>
      </c>
      <c r="F5225">
        <v>7.707E-2</v>
      </c>
    </row>
    <row r="5226" spans="1:6" x14ac:dyDescent="0.3">
      <c r="A5226" t="s">
        <v>22</v>
      </c>
      <c r="B5226" s="1">
        <v>45875</v>
      </c>
      <c r="C5226">
        <v>18</v>
      </c>
      <c r="D5226">
        <v>0</v>
      </c>
      <c r="E5226" t="s">
        <v>6</v>
      </c>
      <c r="F5226">
        <v>0.10292</v>
      </c>
    </row>
    <row r="5227" spans="1:6" x14ac:dyDescent="0.3">
      <c r="A5227" t="s">
        <v>22</v>
      </c>
      <c r="B5227" s="1">
        <v>45875</v>
      </c>
      <c r="C5227">
        <v>19</v>
      </c>
      <c r="D5227">
        <v>0</v>
      </c>
      <c r="E5227" t="s">
        <v>6</v>
      </c>
      <c r="F5227">
        <v>0.20388999999999999</v>
      </c>
    </row>
    <row r="5228" spans="1:6" x14ac:dyDescent="0.3">
      <c r="A5228" t="s">
        <v>22</v>
      </c>
      <c r="B5228" s="1">
        <v>45875</v>
      </c>
      <c r="C5228">
        <v>20</v>
      </c>
      <c r="D5228">
        <v>0.104</v>
      </c>
      <c r="E5228" t="s">
        <v>6</v>
      </c>
      <c r="F5228">
        <v>0.23413999999999999</v>
      </c>
    </row>
    <row r="5229" spans="1:6" x14ac:dyDescent="0.3">
      <c r="A5229" t="s">
        <v>22</v>
      </c>
      <c r="B5229" s="1">
        <v>45875</v>
      </c>
      <c r="C5229">
        <v>21</v>
      </c>
      <c r="D5229">
        <v>0.53500000000000003</v>
      </c>
      <c r="E5229" t="s">
        <v>6</v>
      </c>
      <c r="F5229">
        <v>0.24525999999999998</v>
      </c>
    </row>
    <row r="5230" spans="1:6" x14ac:dyDescent="0.3">
      <c r="A5230" t="s">
        <v>22</v>
      </c>
      <c r="B5230" s="1">
        <v>45875</v>
      </c>
      <c r="C5230">
        <v>22</v>
      </c>
      <c r="D5230">
        <v>0.72</v>
      </c>
      <c r="E5230" t="s">
        <v>6</v>
      </c>
      <c r="F5230">
        <v>0.31016000000000005</v>
      </c>
    </row>
    <row r="5231" spans="1:6" x14ac:dyDescent="0.3">
      <c r="A5231" t="s">
        <v>22</v>
      </c>
      <c r="B5231" s="1">
        <v>45875</v>
      </c>
      <c r="C5231">
        <v>23</v>
      </c>
      <c r="D5231">
        <v>0.76600000000000001</v>
      </c>
      <c r="E5231" t="s">
        <v>6</v>
      </c>
      <c r="F5231">
        <v>0.22137999999999999</v>
      </c>
    </row>
    <row r="5232" spans="1:6" x14ac:dyDescent="0.3">
      <c r="A5232" t="s">
        <v>22</v>
      </c>
      <c r="B5232" s="1">
        <v>45875</v>
      </c>
      <c r="C5232">
        <v>24</v>
      </c>
      <c r="D5232">
        <v>0.54800000000000004</v>
      </c>
      <c r="E5232" t="s">
        <v>6</v>
      </c>
      <c r="F5232">
        <v>0.18258000000000002</v>
      </c>
    </row>
    <row r="5233" spans="1:6" x14ac:dyDescent="0.3">
      <c r="A5233" t="s">
        <v>22</v>
      </c>
      <c r="B5233" s="1">
        <v>45876</v>
      </c>
      <c r="C5233">
        <v>1</v>
      </c>
      <c r="D5233">
        <v>0.52100000000000002</v>
      </c>
      <c r="E5233" t="s">
        <v>6</v>
      </c>
      <c r="F5233">
        <v>0.15309</v>
      </c>
    </row>
    <row r="5234" spans="1:6" x14ac:dyDescent="0.3">
      <c r="A5234" t="s">
        <v>22</v>
      </c>
      <c r="B5234" s="1">
        <v>45876</v>
      </c>
      <c r="C5234">
        <v>2</v>
      </c>
      <c r="D5234">
        <v>0.45500000000000002</v>
      </c>
      <c r="E5234" t="s">
        <v>6</v>
      </c>
      <c r="F5234">
        <v>0.14308999999999999</v>
      </c>
    </row>
    <row r="5235" spans="1:6" x14ac:dyDescent="0.3">
      <c r="A5235" t="s">
        <v>22</v>
      </c>
      <c r="B5235" s="1">
        <v>45876</v>
      </c>
      <c r="C5235">
        <v>3</v>
      </c>
      <c r="D5235">
        <v>0.50700000000000001</v>
      </c>
      <c r="E5235" t="s">
        <v>6</v>
      </c>
      <c r="F5235">
        <v>0.13983000000000001</v>
      </c>
    </row>
    <row r="5236" spans="1:6" x14ac:dyDescent="0.3">
      <c r="A5236" t="s">
        <v>22</v>
      </c>
      <c r="B5236" s="1">
        <v>45876</v>
      </c>
      <c r="C5236">
        <v>4</v>
      </c>
      <c r="D5236">
        <v>1.335</v>
      </c>
      <c r="E5236" t="s">
        <v>6</v>
      </c>
      <c r="F5236">
        <v>0.14124999999999999</v>
      </c>
    </row>
    <row r="5237" spans="1:6" x14ac:dyDescent="0.3">
      <c r="A5237" t="s">
        <v>22</v>
      </c>
      <c r="B5237" s="1">
        <v>45876</v>
      </c>
      <c r="C5237">
        <v>5</v>
      </c>
      <c r="D5237">
        <v>0.50800000000000001</v>
      </c>
      <c r="E5237" t="s">
        <v>6</v>
      </c>
      <c r="F5237">
        <v>0.14055999999999999</v>
      </c>
    </row>
    <row r="5238" spans="1:6" x14ac:dyDescent="0.3">
      <c r="A5238" t="s">
        <v>22</v>
      </c>
      <c r="B5238" s="1">
        <v>45876</v>
      </c>
      <c r="C5238">
        <v>6</v>
      </c>
      <c r="D5238">
        <v>0.434</v>
      </c>
      <c r="E5238" t="s">
        <v>6</v>
      </c>
      <c r="F5238">
        <v>0.14112</v>
      </c>
    </row>
    <row r="5239" spans="1:6" x14ac:dyDescent="0.3">
      <c r="A5239" t="s">
        <v>22</v>
      </c>
      <c r="B5239" s="1">
        <v>45876</v>
      </c>
      <c r="C5239">
        <v>7</v>
      </c>
      <c r="D5239">
        <v>0.48199999999999998</v>
      </c>
      <c r="E5239" t="s">
        <v>6</v>
      </c>
      <c r="F5239">
        <v>0.15071999999999999</v>
      </c>
    </row>
    <row r="5240" spans="1:6" x14ac:dyDescent="0.3">
      <c r="A5240" t="s">
        <v>22</v>
      </c>
      <c r="B5240" s="1">
        <v>45876</v>
      </c>
      <c r="C5240">
        <v>8</v>
      </c>
      <c r="D5240">
        <v>0.27200000000000002</v>
      </c>
      <c r="E5240" t="s">
        <v>6</v>
      </c>
      <c r="F5240">
        <v>0.15793000000000001</v>
      </c>
    </row>
    <row r="5241" spans="1:6" x14ac:dyDescent="0.3">
      <c r="A5241" t="s">
        <v>22</v>
      </c>
      <c r="B5241" s="1">
        <v>45876</v>
      </c>
      <c r="C5241">
        <v>9</v>
      </c>
      <c r="D5241">
        <v>0</v>
      </c>
      <c r="E5241" t="s">
        <v>6</v>
      </c>
      <c r="F5241">
        <v>0.17796999999999999</v>
      </c>
    </row>
    <row r="5242" spans="1:6" x14ac:dyDescent="0.3">
      <c r="A5242" t="s">
        <v>22</v>
      </c>
      <c r="B5242" s="1">
        <v>45876</v>
      </c>
      <c r="C5242">
        <v>10</v>
      </c>
      <c r="D5242">
        <v>2.98</v>
      </c>
      <c r="E5242" t="s">
        <v>6</v>
      </c>
      <c r="F5242">
        <v>0.13775999999999999</v>
      </c>
    </row>
    <row r="5243" spans="1:6" x14ac:dyDescent="0.3">
      <c r="A5243" t="s">
        <v>22</v>
      </c>
      <c r="B5243" s="1">
        <v>45876</v>
      </c>
      <c r="C5243">
        <v>11</v>
      </c>
      <c r="D5243">
        <v>1.968</v>
      </c>
      <c r="E5243" t="s">
        <v>6</v>
      </c>
      <c r="F5243">
        <v>0.16797000000000001</v>
      </c>
    </row>
    <row r="5244" spans="1:6" x14ac:dyDescent="0.3">
      <c r="A5244" t="s">
        <v>22</v>
      </c>
      <c r="B5244" s="1">
        <v>45876</v>
      </c>
      <c r="C5244">
        <v>12</v>
      </c>
      <c r="D5244">
        <v>1.149</v>
      </c>
      <c r="E5244" t="s">
        <v>6</v>
      </c>
      <c r="F5244">
        <v>0.14036999999999999</v>
      </c>
    </row>
    <row r="5245" spans="1:6" x14ac:dyDescent="0.3">
      <c r="A5245" t="s">
        <v>22</v>
      </c>
      <c r="B5245" s="1">
        <v>45876</v>
      </c>
      <c r="C5245">
        <v>13</v>
      </c>
      <c r="D5245">
        <v>0</v>
      </c>
      <c r="E5245" t="s">
        <v>6</v>
      </c>
      <c r="F5245">
        <v>0.13972000000000001</v>
      </c>
    </row>
    <row r="5246" spans="1:6" x14ac:dyDescent="0.3">
      <c r="A5246" t="s">
        <v>22</v>
      </c>
      <c r="B5246" s="1">
        <v>45876</v>
      </c>
      <c r="C5246">
        <v>14</v>
      </c>
      <c r="D5246">
        <v>0</v>
      </c>
      <c r="E5246" t="s">
        <v>6</v>
      </c>
      <c r="F5246">
        <v>0.13950000000000001</v>
      </c>
    </row>
    <row r="5247" spans="1:6" x14ac:dyDescent="0.3">
      <c r="A5247" t="s">
        <v>22</v>
      </c>
      <c r="B5247" s="1">
        <v>45876</v>
      </c>
      <c r="C5247">
        <v>15</v>
      </c>
      <c r="D5247">
        <v>0</v>
      </c>
      <c r="E5247" t="s">
        <v>6</v>
      </c>
      <c r="F5247">
        <v>7.2999999999999995E-2</v>
      </c>
    </row>
    <row r="5248" spans="1:6" x14ac:dyDescent="0.3">
      <c r="A5248" t="s">
        <v>22</v>
      </c>
      <c r="B5248" s="1">
        <v>45876</v>
      </c>
      <c r="C5248">
        <v>16</v>
      </c>
      <c r="D5248">
        <v>0</v>
      </c>
      <c r="E5248" t="s">
        <v>6</v>
      </c>
      <c r="F5248">
        <v>7.2169999999999998E-2</v>
      </c>
    </row>
    <row r="5249" spans="1:6" x14ac:dyDescent="0.3">
      <c r="A5249" t="s">
        <v>22</v>
      </c>
      <c r="B5249" s="1">
        <v>45876</v>
      </c>
      <c r="C5249">
        <v>17</v>
      </c>
      <c r="D5249">
        <v>0</v>
      </c>
      <c r="E5249" t="s">
        <v>6</v>
      </c>
      <c r="F5249">
        <v>7.3279999999999998E-2</v>
      </c>
    </row>
    <row r="5250" spans="1:6" x14ac:dyDescent="0.3">
      <c r="A5250" t="s">
        <v>22</v>
      </c>
      <c r="B5250" s="1">
        <v>45876</v>
      </c>
      <c r="C5250">
        <v>18</v>
      </c>
      <c r="D5250">
        <v>0</v>
      </c>
      <c r="E5250" t="s">
        <v>6</v>
      </c>
      <c r="F5250">
        <v>9.784000000000001E-2</v>
      </c>
    </row>
    <row r="5251" spans="1:6" x14ac:dyDescent="0.3">
      <c r="A5251" t="s">
        <v>22</v>
      </c>
      <c r="B5251" s="1">
        <v>45876</v>
      </c>
      <c r="C5251">
        <v>19</v>
      </c>
      <c r="D5251">
        <v>0.14399999999999999</v>
      </c>
      <c r="E5251" t="s">
        <v>6</v>
      </c>
      <c r="F5251">
        <v>0.18906000000000001</v>
      </c>
    </row>
    <row r="5252" spans="1:6" x14ac:dyDescent="0.3">
      <c r="A5252" t="s">
        <v>22</v>
      </c>
      <c r="B5252" s="1">
        <v>45876</v>
      </c>
      <c r="C5252">
        <v>20</v>
      </c>
      <c r="D5252">
        <v>0.996</v>
      </c>
      <c r="E5252" t="s">
        <v>6</v>
      </c>
      <c r="F5252">
        <v>0.22437000000000001</v>
      </c>
    </row>
    <row r="5253" spans="1:6" x14ac:dyDescent="0.3">
      <c r="A5253" t="s">
        <v>22</v>
      </c>
      <c r="B5253" s="1">
        <v>45876</v>
      </c>
      <c r="C5253">
        <v>21</v>
      </c>
      <c r="D5253">
        <v>1.2150000000000001</v>
      </c>
      <c r="E5253" t="s">
        <v>6</v>
      </c>
      <c r="F5253">
        <v>0.24127999999999999</v>
      </c>
    </row>
    <row r="5254" spans="1:6" x14ac:dyDescent="0.3">
      <c r="A5254" t="s">
        <v>22</v>
      </c>
      <c r="B5254" s="1">
        <v>45876</v>
      </c>
      <c r="C5254">
        <v>22</v>
      </c>
      <c r="D5254">
        <v>0.57699999999999996</v>
      </c>
      <c r="E5254" t="s">
        <v>6</v>
      </c>
      <c r="F5254">
        <v>0.27648</v>
      </c>
    </row>
    <row r="5255" spans="1:6" x14ac:dyDescent="0.3">
      <c r="A5255" t="s">
        <v>22</v>
      </c>
      <c r="B5255" s="1">
        <v>45876</v>
      </c>
      <c r="C5255">
        <v>23</v>
      </c>
      <c r="D5255">
        <v>1.5349999999999999</v>
      </c>
      <c r="E5255" t="s">
        <v>6</v>
      </c>
      <c r="F5255">
        <v>0.18802000000000002</v>
      </c>
    </row>
    <row r="5256" spans="1:6" x14ac:dyDescent="0.3">
      <c r="A5256" t="s">
        <v>22</v>
      </c>
      <c r="B5256" s="1">
        <v>45876</v>
      </c>
      <c r="C5256">
        <v>24</v>
      </c>
      <c r="D5256">
        <v>0.56999999999999995</v>
      </c>
      <c r="E5256" t="s">
        <v>6</v>
      </c>
      <c r="F5256">
        <v>0.17207</v>
      </c>
    </row>
    <row r="5257" spans="1:6" x14ac:dyDescent="0.3">
      <c r="A5257" t="s">
        <v>22</v>
      </c>
      <c r="B5257" s="1">
        <v>45877</v>
      </c>
      <c r="C5257">
        <v>1</v>
      </c>
      <c r="D5257">
        <v>0.64800000000000002</v>
      </c>
      <c r="E5257" t="s">
        <v>6</v>
      </c>
      <c r="F5257">
        <v>0.14534</v>
      </c>
    </row>
    <row r="5258" spans="1:6" x14ac:dyDescent="0.3">
      <c r="A5258" t="s">
        <v>22</v>
      </c>
      <c r="B5258" s="1">
        <v>45877</v>
      </c>
      <c r="C5258">
        <v>2</v>
      </c>
      <c r="D5258">
        <v>0.55400000000000005</v>
      </c>
      <c r="E5258" t="s">
        <v>6</v>
      </c>
      <c r="F5258">
        <v>0.14285</v>
      </c>
    </row>
    <row r="5259" spans="1:6" x14ac:dyDescent="0.3">
      <c r="A5259" t="s">
        <v>22</v>
      </c>
      <c r="B5259" s="1">
        <v>45877</v>
      </c>
      <c r="C5259">
        <v>3</v>
      </c>
      <c r="D5259">
        <v>0.45500000000000002</v>
      </c>
      <c r="E5259" t="s">
        <v>6</v>
      </c>
      <c r="F5259">
        <v>0.14443999999999999</v>
      </c>
    </row>
    <row r="5260" spans="1:6" x14ac:dyDescent="0.3">
      <c r="A5260" t="s">
        <v>22</v>
      </c>
      <c r="B5260" s="1">
        <v>45877</v>
      </c>
      <c r="C5260">
        <v>4</v>
      </c>
      <c r="D5260">
        <v>0.50800000000000001</v>
      </c>
      <c r="E5260" t="s">
        <v>6</v>
      </c>
      <c r="F5260">
        <v>0.13878000000000001</v>
      </c>
    </row>
    <row r="5261" spans="1:6" x14ac:dyDescent="0.3">
      <c r="A5261" t="s">
        <v>22</v>
      </c>
      <c r="B5261" s="1">
        <v>45877</v>
      </c>
      <c r="C5261">
        <v>5</v>
      </c>
      <c r="D5261">
        <v>0.46300000000000002</v>
      </c>
      <c r="E5261" t="s">
        <v>6</v>
      </c>
      <c r="F5261">
        <v>0.13747999999999999</v>
      </c>
    </row>
    <row r="5262" spans="1:6" x14ac:dyDescent="0.3">
      <c r="A5262" t="s">
        <v>22</v>
      </c>
      <c r="B5262" s="1">
        <v>45877</v>
      </c>
      <c r="C5262">
        <v>6</v>
      </c>
      <c r="D5262">
        <v>0.46899999999999997</v>
      </c>
      <c r="E5262" t="s">
        <v>6</v>
      </c>
      <c r="F5262">
        <v>0.13980999999999999</v>
      </c>
    </row>
    <row r="5263" spans="1:6" x14ac:dyDescent="0.3">
      <c r="A5263" t="s">
        <v>22</v>
      </c>
      <c r="B5263" s="1">
        <v>45877</v>
      </c>
      <c r="C5263">
        <v>7</v>
      </c>
      <c r="D5263">
        <v>0.51200000000000001</v>
      </c>
      <c r="E5263" t="s">
        <v>6</v>
      </c>
      <c r="F5263">
        <v>0.14332</v>
      </c>
    </row>
    <row r="5264" spans="1:6" x14ac:dyDescent="0.3">
      <c r="A5264" t="s">
        <v>22</v>
      </c>
      <c r="B5264" s="1">
        <v>45877</v>
      </c>
      <c r="C5264">
        <v>8</v>
      </c>
      <c r="D5264">
        <v>0.36799999999999999</v>
      </c>
      <c r="E5264" t="s">
        <v>6</v>
      </c>
      <c r="F5264">
        <v>0.14999000000000001</v>
      </c>
    </row>
    <row r="5265" spans="1:6" x14ac:dyDescent="0.3">
      <c r="A5265" t="s">
        <v>22</v>
      </c>
      <c r="B5265" s="1">
        <v>45877</v>
      </c>
      <c r="C5265">
        <v>9</v>
      </c>
      <c r="D5265">
        <v>0</v>
      </c>
      <c r="E5265" t="s">
        <v>6</v>
      </c>
      <c r="F5265">
        <v>0.17412</v>
      </c>
    </row>
    <row r="5266" spans="1:6" x14ac:dyDescent="0.3">
      <c r="A5266" t="s">
        <v>22</v>
      </c>
      <c r="B5266" s="1">
        <v>45877</v>
      </c>
      <c r="C5266">
        <v>10</v>
      </c>
      <c r="D5266">
        <v>0</v>
      </c>
      <c r="E5266" t="s">
        <v>6</v>
      </c>
      <c r="F5266">
        <v>0.13212000000000002</v>
      </c>
    </row>
    <row r="5267" spans="1:6" x14ac:dyDescent="0.3">
      <c r="A5267" t="s">
        <v>22</v>
      </c>
      <c r="B5267" s="1">
        <v>45877</v>
      </c>
      <c r="C5267">
        <v>11</v>
      </c>
      <c r="D5267">
        <v>0</v>
      </c>
      <c r="E5267" t="s">
        <v>6</v>
      </c>
      <c r="F5267">
        <v>0.16383</v>
      </c>
    </row>
    <row r="5268" spans="1:6" x14ac:dyDescent="0.3">
      <c r="A5268" t="s">
        <v>22</v>
      </c>
      <c r="B5268" s="1">
        <v>45877</v>
      </c>
      <c r="C5268">
        <v>12</v>
      </c>
      <c r="D5268">
        <v>0</v>
      </c>
      <c r="E5268" t="s">
        <v>6</v>
      </c>
      <c r="F5268">
        <v>0.12787999999999999</v>
      </c>
    </row>
    <row r="5269" spans="1:6" x14ac:dyDescent="0.3">
      <c r="A5269" t="s">
        <v>22</v>
      </c>
      <c r="B5269" s="1">
        <v>45877</v>
      </c>
      <c r="C5269">
        <v>13</v>
      </c>
      <c r="D5269">
        <v>0</v>
      </c>
      <c r="E5269" t="s">
        <v>6</v>
      </c>
      <c r="F5269">
        <v>0.12490000000000001</v>
      </c>
    </row>
    <row r="5270" spans="1:6" x14ac:dyDescent="0.3">
      <c r="A5270" t="s">
        <v>22</v>
      </c>
      <c r="B5270" s="1">
        <v>45877</v>
      </c>
      <c r="C5270">
        <v>14</v>
      </c>
      <c r="D5270">
        <v>0</v>
      </c>
      <c r="E5270" t="s">
        <v>6</v>
      </c>
      <c r="F5270">
        <v>0.11534</v>
      </c>
    </row>
    <row r="5271" spans="1:6" x14ac:dyDescent="0.3">
      <c r="A5271" t="s">
        <v>22</v>
      </c>
      <c r="B5271" s="1">
        <v>45877</v>
      </c>
      <c r="C5271">
        <v>15</v>
      </c>
      <c r="D5271">
        <v>0</v>
      </c>
      <c r="E5271" t="s">
        <v>6</v>
      </c>
      <c r="F5271">
        <v>4.9460000000000004E-2</v>
      </c>
    </row>
    <row r="5272" spans="1:6" x14ac:dyDescent="0.3">
      <c r="A5272" t="s">
        <v>22</v>
      </c>
      <c r="B5272" s="1">
        <v>45877</v>
      </c>
      <c r="C5272">
        <v>16</v>
      </c>
      <c r="D5272">
        <v>0</v>
      </c>
      <c r="E5272" t="s">
        <v>6</v>
      </c>
      <c r="F5272">
        <v>4.9950000000000001E-2</v>
      </c>
    </row>
    <row r="5273" spans="1:6" x14ac:dyDescent="0.3">
      <c r="A5273" t="s">
        <v>22</v>
      </c>
      <c r="B5273" s="1">
        <v>45877</v>
      </c>
      <c r="C5273">
        <v>17</v>
      </c>
      <c r="D5273">
        <v>2.8029999999999999</v>
      </c>
      <c r="E5273" t="s">
        <v>6</v>
      </c>
      <c r="F5273">
        <v>6.0159999999999998E-2</v>
      </c>
    </row>
    <row r="5274" spans="1:6" x14ac:dyDescent="0.3">
      <c r="A5274" t="s">
        <v>22</v>
      </c>
      <c r="B5274" s="1">
        <v>45877</v>
      </c>
      <c r="C5274">
        <v>18</v>
      </c>
      <c r="D5274">
        <v>2.9630000000000001</v>
      </c>
      <c r="E5274" t="s">
        <v>6</v>
      </c>
      <c r="F5274">
        <v>0.10417</v>
      </c>
    </row>
    <row r="5275" spans="1:6" x14ac:dyDescent="0.3">
      <c r="A5275" t="s">
        <v>22</v>
      </c>
      <c r="B5275" s="1">
        <v>45877</v>
      </c>
      <c r="C5275">
        <v>19</v>
      </c>
      <c r="D5275">
        <v>1.4930000000000001</v>
      </c>
      <c r="E5275" t="s">
        <v>6</v>
      </c>
      <c r="F5275">
        <v>0.19550000000000001</v>
      </c>
    </row>
    <row r="5276" spans="1:6" x14ac:dyDescent="0.3">
      <c r="A5276" t="s">
        <v>22</v>
      </c>
      <c r="B5276" s="1">
        <v>45877</v>
      </c>
      <c r="C5276">
        <v>20</v>
      </c>
      <c r="D5276">
        <v>1.599</v>
      </c>
      <c r="E5276" t="s">
        <v>6</v>
      </c>
      <c r="F5276">
        <v>0.23505000000000001</v>
      </c>
    </row>
    <row r="5277" spans="1:6" x14ac:dyDescent="0.3">
      <c r="A5277" t="s">
        <v>22</v>
      </c>
      <c r="B5277" s="1">
        <v>45877</v>
      </c>
      <c r="C5277">
        <v>21</v>
      </c>
      <c r="D5277">
        <v>1.1870000000000001</v>
      </c>
      <c r="E5277" t="s">
        <v>6</v>
      </c>
      <c r="F5277">
        <v>0.24036000000000002</v>
      </c>
    </row>
    <row r="5278" spans="1:6" x14ac:dyDescent="0.3">
      <c r="A5278" t="s">
        <v>22</v>
      </c>
      <c r="B5278" s="1">
        <v>45877</v>
      </c>
      <c r="C5278">
        <v>22</v>
      </c>
      <c r="D5278">
        <v>0.55600000000000005</v>
      </c>
      <c r="E5278" t="s">
        <v>6</v>
      </c>
      <c r="F5278">
        <v>0.27111000000000002</v>
      </c>
    </row>
    <row r="5279" spans="1:6" x14ac:dyDescent="0.3">
      <c r="A5279" t="s">
        <v>22</v>
      </c>
      <c r="B5279" s="1">
        <v>45877</v>
      </c>
      <c r="C5279">
        <v>23</v>
      </c>
      <c r="D5279">
        <v>0.59799999999999998</v>
      </c>
      <c r="E5279" t="s">
        <v>6</v>
      </c>
      <c r="F5279">
        <v>0.18174999999999999</v>
      </c>
    </row>
    <row r="5280" spans="1:6" x14ac:dyDescent="0.3">
      <c r="A5280" t="s">
        <v>22</v>
      </c>
      <c r="B5280" s="1">
        <v>45877</v>
      </c>
      <c r="C5280">
        <v>24</v>
      </c>
      <c r="D5280">
        <v>0.73199999999999998</v>
      </c>
      <c r="E5280" t="s">
        <v>6</v>
      </c>
      <c r="F5280">
        <v>0.17430999999999999</v>
      </c>
    </row>
    <row r="5281" spans="1:6" x14ac:dyDescent="0.3">
      <c r="A5281" t="s">
        <v>22</v>
      </c>
      <c r="B5281" s="1">
        <v>45878</v>
      </c>
      <c r="C5281">
        <v>1</v>
      </c>
      <c r="D5281">
        <v>0.64500000000000002</v>
      </c>
      <c r="E5281" t="s">
        <v>6</v>
      </c>
      <c r="F5281">
        <v>0.14793000000000001</v>
      </c>
    </row>
    <row r="5282" spans="1:6" x14ac:dyDescent="0.3">
      <c r="A5282" t="s">
        <v>22</v>
      </c>
      <c r="B5282" s="1">
        <v>45878</v>
      </c>
      <c r="C5282">
        <v>2</v>
      </c>
      <c r="D5282">
        <v>0.48499999999999999</v>
      </c>
      <c r="E5282" t="s">
        <v>6</v>
      </c>
      <c r="F5282">
        <v>0.14867</v>
      </c>
    </row>
    <row r="5283" spans="1:6" x14ac:dyDescent="0.3">
      <c r="A5283" t="s">
        <v>22</v>
      </c>
      <c r="B5283" s="1">
        <v>45878</v>
      </c>
      <c r="C5283">
        <v>3</v>
      </c>
      <c r="D5283">
        <v>0.52600000000000002</v>
      </c>
      <c r="E5283" t="s">
        <v>6</v>
      </c>
      <c r="F5283">
        <v>0.14949000000000001</v>
      </c>
    </row>
    <row r="5284" spans="1:6" x14ac:dyDescent="0.3">
      <c r="A5284" t="s">
        <v>22</v>
      </c>
      <c r="B5284" s="1">
        <v>45878</v>
      </c>
      <c r="C5284">
        <v>4</v>
      </c>
      <c r="D5284">
        <v>0.46800000000000003</v>
      </c>
      <c r="E5284" t="s">
        <v>6</v>
      </c>
      <c r="F5284">
        <v>0.14671000000000001</v>
      </c>
    </row>
    <row r="5285" spans="1:6" x14ac:dyDescent="0.3">
      <c r="A5285" t="s">
        <v>22</v>
      </c>
      <c r="B5285" s="1">
        <v>45878</v>
      </c>
      <c r="C5285">
        <v>5</v>
      </c>
      <c r="D5285">
        <v>1.304</v>
      </c>
      <c r="E5285" t="s">
        <v>6</v>
      </c>
      <c r="F5285">
        <v>0.14624000000000001</v>
      </c>
    </row>
    <row r="5286" spans="1:6" x14ac:dyDescent="0.3">
      <c r="A5286" t="s">
        <v>22</v>
      </c>
      <c r="B5286" s="1">
        <v>45878</v>
      </c>
      <c r="C5286">
        <v>6</v>
      </c>
      <c r="D5286">
        <v>0.47099999999999997</v>
      </c>
      <c r="E5286" t="s">
        <v>6</v>
      </c>
      <c r="F5286">
        <v>0.14604</v>
      </c>
    </row>
    <row r="5287" spans="1:6" x14ac:dyDescent="0.3">
      <c r="A5287" t="s">
        <v>22</v>
      </c>
      <c r="B5287" s="1">
        <v>45878</v>
      </c>
      <c r="C5287">
        <v>7</v>
      </c>
      <c r="D5287">
        <v>0.48799999999999999</v>
      </c>
      <c r="E5287" t="s">
        <v>6</v>
      </c>
      <c r="F5287">
        <v>0.15139</v>
      </c>
    </row>
    <row r="5288" spans="1:6" x14ac:dyDescent="0.3">
      <c r="A5288" t="s">
        <v>22</v>
      </c>
      <c r="B5288" s="1">
        <v>45878</v>
      </c>
      <c r="C5288">
        <v>8</v>
      </c>
      <c r="D5288">
        <v>0.379</v>
      </c>
      <c r="E5288" t="s">
        <v>6</v>
      </c>
      <c r="F5288">
        <v>0.15812999999999999</v>
      </c>
    </row>
    <row r="5289" spans="1:6" x14ac:dyDescent="0.3">
      <c r="A5289" t="s">
        <v>22</v>
      </c>
      <c r="B5289" s="1">
        <v>45878</v>
      </c>
      <c r="C5289">
        <v>9</v>
      </c>
      <c r="D5289">
        <v>0</v>
      </c>
      <c r="E5289" t="s">
        <v>6</v>
      </c>
      <c r="F5289">
        <v>0.14559</v>
      </c>
    </row>
    <row r="5290" spans="1:6" x14ac:dyDescent="0.3">
      <c r="A5290" t="s">
        <v>22</v>
      </c>
      <c r="B5290" s="1">
        <v>45878</v>
      </c>
      <c r="C5290">
        <v>10</v>
      </c>
      <c r="D5290">
        <v>0</v>
      </c>
      <c r="E5290" t="s">
        <v>6</v>
      </c>
      <c r="F5290">
        <v>8.4610000000000005E-2</v>
      </c>
    </row>
    <row r="5291" spans="1:6" x14ac:dyDescent="0.3">
      <c r="A5291" t="s">
        <v>22</v>
      </c>
      <c r="B5291" s="1">
        <v>45878</v>
      </c>
      <c r="C5291">
        <v>11</v>
      </c>
      <c r="D5291">
        <v>0</v>
      </c>
      <c r="E5291" t="s">
        <v>6</v>
      </c>
      <c r="F5291">
        <v>3.456E-2</v>
      </c>
    </row>
    <row r="5292" spans="1:6" x14ac:dyDescent="0.3">
      <c r="A5292" t="s">
        <v>22</v>
      </c>
      <c r="B5292" s="1">
        <v>45878</v>
      </c>
      <c r="C5292">
        <v>12</v>
      </c>
      <c r="D5292">
        <v>0</v>
      </c>
      <c r="E5292" t="s">
        <v>6</v>
      </c>
      <c r="F5292">
        <v>3.4259999999999999E-2</v>
      </c>
    </row>
    <row r="5293" spans="1:6" x14ac:dyDescent="0.3">
      <c r="A5293" t="s">
        <v>22</v>
      </c>
      <c r="B5293" s="1">
        <v>45878</v>
      </c>
      <c r="C5293">
        <v>13</v>
      </c>
      <c r="D5293">
        <v>0</v>
      </c>
      <c r="E5293" t="s">
        <v>6</v>
      </c>
      <c r="F5293">
        <v>3.4000000000000002E-2</v>
      </c>
    </row>
    <row r="5294" spans="1:6" x14ac:dyDescent="0.3">
      <c r="A5294" t="s">
        <v>22</v>
      </c>
      <c r="B5294" s="1">
        <v>45878</v>
      </c>
      <c r="C5294">
        <v>14</v>
      </c>
      <c r="D5294">
        <v>0</v>
      </c>
      <c r="E5294" t="s">
        <v>6</v>
      </c>
      <c r="F5294">
        <v>3.2960000000000003E-2</v>
      </c>
    </row>
    <row r="5295" spans="1:6" x14ac:dyDescent="0.3">
      <c r="A5295" t="s">
        <v>22</v>
      </c>
      <c r="B5295" s="1">
        <v>45878</v>
      </c>
      <c r="C5295">
        <v>15</v>
      </c>
      <c r="D5295">
        <v>0</v>
      </c>
      <c r="E5295" t="s">
        <v>6</v>
      </c>
      <c r="F5295">
        <v>3.286E-2</v>
      </c>
    </row>
    <row r="5296" spans="1:6" x14ac:dyDescent="0.3">
      <c r="A5296" t="s">
        <v>22</v>
      </c>
      <c r="B5296" s="1">
        <v>45878</v>
      </c>
      <c r="C5296">
        <v>16</v>
      </c>
      <c r="D5296">
        <v>0</v>
      </c>
      <c r="E5296" t="s">
        <v>6</v>
      </c>
      <c r="F5296">
        <v>3.3369999999999997E-2</v>
      </c>
    </row>
    <row r="5297" spans="1:6" x14ac:dyDescent="0.3">
      <c r="A5297" t="s">
        <v>22</v>
      </c>
      <c r="B5297" s="1">
        <v>45878</v>
      </c>
      <c r="C5297">
        <v>17</v>
      </c>
      <c r="D5297">
        <v>0</v>
      </c>
      <c r="E5297" t="s">
        <v>6</v>
      </c>
      <c r="F5297">
        <v>3.329E-2</v>
      </c>
    </row>
    <row r="5298" spans="1:6" x14ac:dyDescent="0.3">
      <c r="A5298" t="s">
        <v>22</v>
      </c>
      <c r="B5298" s="1">
        <v>45878</v>
      </c>
      <c r="C5298">
        <v>18</v>
      </c>
      <c r="D5298">
        <v>0</v>
      </c>
      <c r="E5298" t="s">
        <v>6</v>
      </c>
      <c r="F5298">
        <v>3.7870000000000001E-2</v>
      </c>
    </row>
    <row r="5299" spans="1:6" x14ac:dyDescent="0.3">
      <c r="A5299" t="s">
        <v>22</v>
      </c>
      <c r="B5299" s="1">
        <v>45878</v>
      </c>
      <c r="C5299">
        <v>19</v>
      </c>
      <c r="D5299">
        <v>0</v>
      </c>
      <c r="E5299" t="s">
        <v>6</v>
      </c>
      <c r="F5299">
        <v>6.8409999999999999E-2</v>
      </c>
    </row>
    <row r="5300" spans="1:6" x14ac:dyDescent="0.3">
      <c r="A5300" t="s">
        <v>22</v>
      </c>
      <c r="B5300" s="1">
        <v>45878</v>
      </c>
      <c r="C5300">
        <v>20</v>
      </c>
      <c r="D5300">
        <v>0.13200000000000001</v>
      </c>
      <c r="E5300" t="s">
        <v>6</v>
      </c>
      <c r="F5300">
        <v>0.10993</v>
      </c>
    </row>
    <row r="5301" spans="1:6" x14ac:dyDescent="0.3">
      <c r="A5301" t="s">
        <v>22</v>
      </c>
      <c r="B5301" s="1">
        <v>45878</v>
      </c>
      <c r="C5301">
        <v>21</v>
      </c>
      <c r="D5301">
        <v>0.436</v>
      </c>
      <c r="E5301" t="s">
        <v>6</v>
      </c>
      <c r="F5301">
        <v>0.13416999999999998</v>
      </c>
    </row>
    <row r="5302" spans="1:6" x14ac:dyDescent="0.3">
      <c r="A5302" t="s">
        <v>22</v>
      </c>
      <c r="B5302" s="1">
        <v>45878</v>
      </c>
      <c r="C5302">
        <v>22</v>
      </c>
      <c r="D5302">
        <v>0.55300000000000005</v>
      </c>
      <c r="E5302" t="s">
        <v>6</v>
      </c>
      <c r="F5302">
        <v>0.14493</v>
      </c>
    </row>
    <row r="5303" spans="1:6" x14ac:dyDescent="0.3">
      <c r="A5303" t="s">
        <v>22</v>
      </c>
      <c r="B5303" s="1">
        <v>45878</v>
      </c>
      <c r="C5303">
        <v>23</v>
      </c>
      <c r="D5303">
        <v>1.3049999999999999</v>
      </c>
      <c r="E5303" t="s">
        <v>6</v>
      </c>
      <c r="F5303">
        <v>0.14186000000000001</v>
      </c>
    </row>
    <row r="5304" spans="1:6" x14ac:dyDescent="0.3">
      <c r="A5304" t="s">
        <v>22</v>
      </c>
      <c r="B5304" s="1">
        <v>45878</v>
      </c>
      <c r="C5304">
        <v>24</v>
      </c>
      <c r="D5304">
        <v>0.66</v>
      </c>
      <c r="E5304" t="s">
        <v>6</v>
      </c>
      <c r="F5304">
        <v>0.14077000000000001</v>
      </c>
    </row>
    <row r="5305" spans="1:6" x14ac:dyDescent="0.3">
      <c r="A5305" t="s">
        <v>22</v>
      </c>
      <c r="B5305" s="1">
        <v>45879</v>
      </c>
      <c r="C5305">
        <v>1</v>
      </c>
      <c r="D5305">
        <v>0.52100000000000002</v>
      </c>
      <c r="E5305" t="s">
        <v>6</v>
      </c>
      <c r="F5305">
        <v>0.15077000000000002</v>
      </c>
    </row>
    <row r="5306" spans="1:6" x14ac:dyDescent="0.3">
      <c r="A5306" t="s">
        <v>22</v>
      </c>
      <c r="B5306" s="1">
        <v>45879</v>
      </c>
      <c r="C5306">
        <v>2</v>
      </c>
      <c r="D5306">
        <v>0.60599999999999998</v>
      </c>
      <c r="E5306" t="s">
        <v>6</v>
      </c>
      <c r="F5306">
        <v>0.13346</v>
      </c>
    </row>
    <row r="5307" spans="1:6" x14ac:dyDescent="0.3">
      <c r="A5307" t="s">
        <v>22</v>
      </c>
      <c r="B5307" s="1">
        <v>45879</v>
      </c>
      <c r="C5307">
        <v>3</v>
      </c>
      <c r="D5307">
        <v>0.504</v>
      </c>
      <c r="E5307" t="s">
        <v>6</v>
      </c>
      <c r="F5307">
        <v>0.12816</v>
      </c>
    </row>
    <row r="5308" spans="1:6" x14ac:dyDescent="0.3">
      <c r="A5308" t="s">
        <v>22</v>
      </c>
      <c r="B5308" s="1">
        <v>45879</v>
      </c>
      <c r="C5308">
        <v>4</v>
      </c>
      <c r="D5308">
        <v>0.57399999999999995</v>
      </c>
      <c r="E5308" t="s">
        <v>6</v>
      </c>
      <c r="F5308">
        <v>0.11481</v>
      </c>
    </row>
    <row r="5309" spans="1:6" x14ac:dyDescent="0.3">
      <c r="A5309" t="s">
        <v>22</v>
      </c>
      <c r="B5309" s="1">
        <v>45879</v>
      </c>
      <c r="C5309">
        <v>5</v>
      </c>
      <c r="D5309">
        <v>0.48399999999999999</v>
      </c>
      <c r="E5309" t="s">
        <v>6</v>
      </c>
      <c r="F5309">
        <v>0.13284000000000001</v>
      </c>
    </row>
    <row r="5310" spans="1:6" x14ac:dyDescent="0.3">
      <c r="A5310" t="s">
        <v>22</v>
      </c>
      <c r="B5310" s="1">
        <v>45879</v>
      </c>
      <c r="C5310">
        <v>6</v>
      </c>
      <c r="D5310">
        <v>0.55400000000000005</v>
      </c>
      <c r="E5310" t="s">
        <v>6</v>
      </c>
      <c r="F5310">
        <v>0.13769000000000001</v>
      </c>
    </row>
    <row r="5311" spans="1:6" x14ac:dyDescent="0.3">
      <c r="A5311" t="s">
        <v>22</v>
      </c>
      <c r="B5311" s="1">
        <v>45879</v>
      </c>
      <c r="C5311">
        <v>7</v>
      </c>
      <c r="D5311">
        <v>0.48099999999999998</v>
      </c>
      <c r="E5311" t="s">
        <v>6</v>
      </c>
      <c r="F5311">
        <v>0.14236000000000001</v>
      </c>
    </row>
    <row r="5312" spans="1:6" x14ac:dyDescent="0.3">
      <c r="A5312" t="s">
        <v>22</v>
      </c>
      <c r="B5312" s="1">
        <v>45879</v>
      </c>
      <c r="C5312">
        <v>8</v>
      </c>
      <c r="D5312">
        <v>0.36399999999999999</v>
      </c>
      <c r="E5312" t="s">
        <v>6</v>
      </c>
      <c r="F5312">
        <v>0.14279</v>
      </c>
    </row>
    <row r="5313" spans="1:6" x14ac:dyDescent="0.3">
      <c r="A5313" t="s">
        <v>22</v>
      </c>
      <c r="B5313" s="1">
        <v>45879</v>
      </c>
      <c r="C5313">
        <v>9</v>
      </c>
      <c r="D5313">
        <v>0.36099999999999999</v>
      </c>
      <c r="E5313" t="s">
        <v>6</v>
      </c>
      <c r="F5313">
        <v>0.10226</v>
      </c>
    </row>
    <row r="5314" spans="1:6" x14ac:dyDescent="0.3">
      <c r="A5314" t="s">
        <v>22</v>
      </c>
      <c r="B5314" s="1">
        <v>45879</v>
      </c>
      <c r="C5314">
        <v>10</v>
      </c>
      <c r="D5314">
        <v>0</v>
      </c>
      <c r="E5314" t="s">
        <v>6</v>
      </c>
      <c r="F5314">
        <v>3.5770000000000003E-2</v>
      </c>
    </row>
    <row r="5315" spans="1:6" x14ac:dyDescent="0.3">
      <c r="A5315" t="s">
        <v>22</v>
      </c>
      <c r="B5315" s="1">
        <v>45879</v>
      </c>
      <c r="C5315">
        <v>11</v>
      </c>
      <c r="D5315">
        <v>0</v>
      </c>
      <c r="E5315" t="s">
        <v>6</v>
      </c>
      <c r="F5315">
        <v>4.0640000000000003E-2</v>
      </c>
    </row>
    <row r="5316" spans="1:6" x14ac:dyDescent="0.3">
      <c r="A5316" t="s">
        <v>22</v>
      </c>
      <c r="B5316" s="1">
        <v>45879</v>
      </c>
      <c r="C5316">
        <v>12</v>
      </c>
      <c r="D5316">
        <v>0</v>
      </c>
      <c r="E5316" t="s">
        <v>6</v>
      </c>
      <c r="F5316">
        <v>4.0409999999999995E-2</v>
      </c>
    </row>
    <row r="5317" spans="1:6" x14ac:dyDescent="0.3">
      <c r="A5317" t="s">
        <v>22</v>
      </c>
      <c r="B5317" s="1">
        <v>45879</v>
      </c>
      <c r="C5317">
        <v>13</v>
      </c>
      <c r="D5317">
        <v>0</v>
      </c>
      <c r="E5317" t="s">
        <v>6</v>
      </c>
      <c r="F5317">
        <v>3.9609999999999999E-2</v>
      </c>
    </row>
    <row r="5318" spans="1:6" x14ac:dyDescent="0.3">
      <c r="A5318" t="s">
        <v>22</v>
      </c>
      <c r="B5318" s="1">
        <v>45879</v>
      </c>
      <c r="C5318">
        <v>14</v>
      </c>
      <c r="D5318">
        <v>0</v>
      </c>
      <c r="E5318" t="s">
        <v>6</v>
      </c>
      <c r="F5318">
        <v>3.9310000000000005E-2</v>
      </c>
    </row>
    <row r="5319" spans="1:6" x14ac:dyDescent="0.3">
      <c r="A5319" t="s">
        <v>22</v>
      </c>
      <c r="B5319" s="1">
        <v>45879</v>
      </c>
      <c r="C5319">
        <v>15</v>
      </c>
      <c r="D5319">
        <v>0</v>
      </c>
      <c r="E5319" t="s">
        <v>6</v>
      </c>
      <c r="F5319">
        <v>3.9009999999999996E-2</v>
      </c>
    </row>
    <row r="5320" spans="1:6" x14ac:dyDescent="0.3">
      <c r="A5320" t="s">
        <v>22</v>
      </c>
      <c r="B5320" s="1">
        <v>45879</v>
      </c>
      <c r="C5320">
        <v>16</v>
      </c>
      <c r="D5320">
        <v>0</v>
      </c>
      <c r="E5320" t="s">
        <v>6</v>
      </c>
      <c r="F5320">
        <v>3.8789999999999998E-2</v>
      </c>
    </row>
    <row r="5321" spans="1:6" x14ac:dyDescent="0.3">
      <c r="A5321" t="s">
        <v>22</v>
      </c>
      <c r="B5321" s="1">
        <v>45879</v>
      </c>
      <c r="C5321">
        <v>17</v>
      </c>
      <c r="D5321">
        <v>0</v>
      </c>
      <c r="E5321" t="s">
        <v>6</v>
      </c>
      <c r="F5321">
        <v>3.9140000000000001E-2</v>
      </c>
    </row>
    <row r="5322" spans="1:6" x14ac:dyDescent="0.3">
      <c r="A5322" t="s">
        <v>22</v>
      </c>
      <c r="B5322" s="1">
        <v>45879</v>
      </c>
      <c r="C5322">
        <v>18</v>
      </c>
      <c r="D5322">
        <v>5.2999999999999999E-2</v>
      </c>
      <c r="E5322" t="s">
        <v>6</v>
      </c>
      <c r="F5322">
        <v>3.5700000000000003E-2</v>
      </c>
    </row>
    <row r="5323" spans="1:6" x14ac:dyDescent="0.3">
      <c r="A5323" t="s">
        <v>22</v>
      </c>
      <c r="B5323" s="1">
        <v>45879</v>
      </c>
      <c r="C5323">
        <v>19</v>
      </c>
      <c r="D5323">
        <v>0</v>
      </c>
      <c r="E5323" t="s">
        <v>6</v>
      </c>
      <c r="F5323">
        <v>6.523000000000001E-2</v>
      </c>
    </row>
    <row r="5324" spans="1:6" x14ac:dyDescent="0.3">
      <c r="A5324" t="s">
        <v>22</v>
      </c>
      <c r="B5324" s="1">
        <v>45879</v>
      </c>
      <c r="C5324">
        <v>20</v>
      </c>
      <c r="D5324">
        <v>0.85099999999999998</v>
      </c>
      <c r="E5324" t="s">
        <v>6</v>
      </c>
      <c r="F5324">
        <v>0.12534000000000001</v>
      </c>
    </row>
    <row r="5325" spans="1:6" x14ac:dyDescent="0.3">
      <c r="A5325" t="s">
        <v>22</v>
      </c>
      <c r="B5325" s="1">
        <v>45879</v>
      </c>
      <c r="C5325">
        <v>21</v>
      </c>
      <c r="D5325">
        <v>0.55500000000000005</v>
      </c>
      <c r="E5325" t="s">
        <v>6</v>
      </c>
      <c r="F5325">
        <v>0.14168</v>
      </c>
    </row>
    <row r="5326" spans="1:6" x14ac:dyDescent="0.3">
      <c r="A5326" t="s">
        <v>22</v>
      </c>
      <c r="B5326" s="1">
        <v>45879</v>
      </c>
      <c r="C5326">
        <v>22</v>
      </c>
      <c r="D5326">
        <v>0.65500000000000003</v>
      </c>
      <c r="E5326" t="s">
        <v>6</v>
      </c>
      <c r="F5326">
        <v>0.17949000000000001</v>
      </c>
    </row>
    <row r="5327" spans="1:6" x14ac:dyDescent="0.3">
      <c r="A5327" t="s">
        <v>22</v>
      </c>
      <c r="B5327" s="1">
        <v>45879</v>
      </c>
      <c r="C5327">
        <v>23</v>
      </c>
      <c r="D5327">
        <v>0.56899999999999995</v>
      </c>
      <c r="E5327" t="s">
        <v>6</v>
      </c>
      <c r="F5327">
        <v>0.18703</v>
      </c>
    </row>
    <row r="5328" spans="1:6" x14ac:dyDescent="0.3">
      <c r="A5328" t="s">
        <v>22</v>
      </c>
      <c r="B5328" s="1">
        <v>45879</v>
      </c>
      <c r="C5328">
        <v>24</v>
      </c>
      <c r="D5328">
        <v>0.56599999999999995</v>
      </c>
      <c r="E5328" t="s">
        <v>6</v>
      </c>
      <c r="F5328">
        <v>0.16027000000000002</v>
      </c>
    </row>
    <row r="5329" spans="1:6" x14ac:dyDescent="0.3">
      <c r="A5329" t="s">
        <v>22</v>
      </c>
      <c r="B5329" s="1">
        <v>45880</v>
      </c>
      <c r="C5329">
        <v>1</v>
      </c>
      <c r="D5329">
        <v>0.63700000000000001</v>
      </c>
      <c r="E5329" t="s">
        <v>6</v>
      </c>
      <c r="F5329">
        <v>0.14313000000000001</v>
      </c>
    </row>
    <row r="5330" spans="1:6" x14ac:dyDescent="0.3">
      <c r="A5330" t="s">
        <v>22</v>
      </c>
      <c r="B5330" s="1">
        <v>45880</v>
      </c>
      <c r="C5330">
        <v>2</v>
      </c>
      <c r="D5330">
        <v>0.52100000000000002</v>
      </c>
      <c r="E5330" t="s">
        <v>6</v>
      </c>
      <c r="F5330">
        <v>0.13388999999999998</v>
      </c>
    </row>
    <row r="5331" spans="1:6" x14ac:dyDescent="0.3">
      <c r="A5331" t="s">
        <v>22</v>
      </c>
      <c r="B5331" s="1">
        <v>45880</v>
      </c>
      <c r="C5331">
        <v>3</v>
      </c>
      <c r="D5331">
        <v>0.57599999999999996</v>
      </c>
      <c r="E5331" t="s">
        <v>6</v>
      </c>
      <c r="F5331">
        <v>0.13350000000000001</v>
      </c>
    </row>
    <row r="5332" spans="1:6" x14ac:dyDescent="0.3">
      <c r="A5332" t="s">
        <v>22</v>
      </c>
      <c r="B5332" s="1">
        <v>45880</v>
      </c>
      <c r="C5332">
        <v>4</v>
      </c>
      <c r="D5332">
        <v>0.53700000000000003</v>
      </c>
      <c r="E5332" t="s">
        <v>6</v>
      </c>
      <c r="F5332">
        <v>0.13346</v>
      </c>
    </row>
    <row r="5333" spans="1:6" x14ac:dyDescent="0.3">
      <c r="A5333" t="s">
        <v>22</v>
      </c>
      <c r="B5333" s="1">
        <v>45880</v>
      </c>
      <c r="C5333">
        <v>5</v>
      </c>
      <c r="D5333">
        <v>0.53300000000000003</v>
      </c>
      <c r="E5333" t="s">
        <v>6</v>
      </c>
      <c r="F5333">
        <v>0.13388999999999998</v>
      </c>
    </row>
    <row r="5334" spans="1:6" x14ac:dyDescent="0.3">
      <c r="A5334" t="s">
        <v>22</v>
      </c>
      <c r="B5334" s="1">
        <v>45880</v>
      </c>
      <c r="C5334">
        <v>6</v>
      </c>
      <c r="D5334">
        <v>1.1819999999999999</v>
      </c>
      <c r="E5334" t="s">
        <v>6</v>
      </c>
      <c r="F5334">
        <v>0.13428999999999999</v>
      </c>
    </row>
    <row r="5335" spans="1:6" x14ac:dyDescent="0.3">
      <c r="A5335" t="s">
        <v>22</v>
      </c>
      <c r="B5335" s="1">
        <v>45880</v>
      </c>
      <c r="C5335">
        <v>7</v>
      </c>
      <c r="D5335">
        <v>0.56399999999999995</v>
      </c>
      <c r="E5335" t="s">
        <v>6</v>
      </c>
      <c r="F5335">
        <v>0.13566</v>
      </c>
    </row>
    <row r="5336" spans="1:6" x14ac:dyDescent="0.3">
      <c r="A5336" t="s">
        <v>22</v>
      </c>
      <c r="B5336" s="1">
        <v>45880</v>
      </c>
      <c r="C5336">
        <v>8</v>
      </c>
      <c r="D5336">
        <v>0.33200000000000002</v>
      </c>
      <c r="E5336" t="s">
        <v>6</v>
      </c>
      <c r="F5336">
        <v>0.14324000000000001</v>
      </c>
    </row>
    <row r="5337" spans="1:6" x14ac:dyDescent="0.3">
      <c r="A5337" t="s">
        <v>22</v>
      </c>
      <c r="B5337" s="1">
        <v>45880</v>
      </c>
      <c r="C5337">
        <v>9</v>
      </c>
      <c r="D5337">
        <v>0</v>
      </c>
      <c r="E5337" t="s">
        <v>6</v>
      </c>
      <c r="F5337">
        <v>0.16086</v>
      </c>
    </row>
    <row r="5338" spans="1:6" x14ac:dyDescent="0.3">
      <c r="A5338" t="s">
        <v>22</v>
      </c>
      <c r="B5338" s="1">
        <v>45880</v>
      </c>
      <c r="C5338">
        <v>10</v>
      </c>
      <c r="D5338">
        <v>0</v>
      </c>
      <c r="E5338" t="s">
        <v>6</v>
      </c>
      <c r="F5338">
        <v>0.12171999999999999</v>
      </c>
    </row>
    <row r="5339" spans="1:6" x14ac:dyDescent="0.3">
      <c r="A5339" t="s">
        <v>22</v>
      </c>
      <c r="B5339" s="1">
        <v>45880</v>
      </c>
      <c r="C5339">
        <v>11</v>
      </c>
      <c r="D5339">
        <v>0</v>
      </c>
      <c r="E5339" t="s">
        <v>6</v>
      </c>
      <c r="F5339">
        <v>0.16366</v>
      </c>
    </row>
    <row r="5340" spans="1:6" x14ac:dyDescent="0.3">
      <c r="A5340" t="s">
        <v>22</v>
      </c>
      <c r="B5340" s="1">
        <v>45880</v>
      </c>
      <c r="C5340">
        <v>12</v>
      </c>
      <c r="D5340">
        <v>0</v>
      </c>
      <c r="E5340" t="s">
        <v>6</v>
      </c>
      <c r="F5340">
        <v>0.13936999999999999</v>
      </c>
    </row>
    <row r="5341" spans="1:6" x14ac:dyDescent="0.3">
      <c r="A5341" t="s">
        <v>22</v>
      </c>
      <c r="B5341" s="1">
        <v>45880</v>
      </c>
      <c r="C5341">
        <v>13</v>
      </c>
      <c r="D5341">
        <v>0</v>
      </c>
      <c r="E5341" t="s">
        <v>6</v>
      </c>
      <c r="F5341">
        <v>0.13105</v>
      </c>
    </row>
    <row r="5342" spans="1:6" x14ac:dyDescent="0.3">
      <c r="A5342" t="s">
        <v>22</v>
      </c>
      <c r="B5342" s="1">
        <v>45880</v>
      </c>
      <c r="C5342">
        <v>14</v>
      </c>
      <c r="D5342">
        <v>0</v>
      </c>
      <c r="E5342" t="s">
        <v>6</v>
      </c>
      <c r="F5342">
        <v>0.12822999999999998</v>
      </c>
    </row>
    <row r="5343" spans="1:6" x14ac:dyDescent="0.3">
      <c r="A5343" t="s">
        <v>22</v>
      </c>
      <c r="B5343" s="1">
        <v>45880</v>
      </c>
      <c r="C5343">
        <v>15</v>
      </c>
      <c r="D5343">
        <v>0</v>
      </c>
      <c r="E5343" t="s">
        <v>6</v>
      </c>
      <c r="F5343">
        <v>5.7450000000000001E-2</v>
      </c>
    </row>
    <row r="5344" spans="1:6" x14ac:dyDescent="0.3">
      <c r="A5344" t="s">
        <v>22</v>
      </c>
      <c r="B5344" s="1">
        <v>45880</v>
      </c>
      <c r="C5344">
        <v>16</v>
      </c>
      <c r="D5344">
        <v>0</v>
      </c>
      <c r="E5344" t="s">
        <v>6</v>
      </c>
      <c r="F5344">
        <v>5.654E-2</v>
      </c>
    </row>
    <row r="5345" spans="1:6" x14ac:dyDescent="0.3">
      <c r="A5345" t="s">
        <v>22</v>
      </c>
      <c r="B5345" s="1">
        <v>45880</v>
      </c>
      <c r="C5345">
        <v>17</v>
      </c>
      <c r="D5345">
        <v>0</v>
      </c>
      <c r="E5345" t="s">
        <v>6</v>
      </c>
      <c r="F5345">
        <v>9.6079999999999999E-2</v>
      </c>
    </row>
    <row r="5346" spans="1:6" x14ac:dyDescent="0.3">
      <c r="A5346" t="s">
        <v>22</v>
      </c>
      <c r="B5346" s="1">
        <v>45880</v>
      </c>
      <c r="C5346">
        <v>18</v>
      </c>
      <c r="D5346">
        <v>0</v>
      </c>
      <c r="E5346" t="s">
        <v>6</v>
      </c>
      <c r="F5346">
        <v>0.11015000000000001</v>
      </c>
    </row>
    <row r="5347" spans="1:6" x14ac:dyDescent="0.3">
      <c r="A5347" t="s">
        <v>22</v>
      </c>
      <c r="B5347" s="1">
        <v>45880</v>
      </c>
      <c r="C5347">
        <v>19</v>
      </c>
      <c r="D5347">
        <v>0</v>
      </c>
      <c r="E5347" t="s">
        <v>6</v>
      </c>
      <c r="F5347">
        <v>0.2127</v>
      </c>
    </row>
    <row r="5348" spans="1:6" x14ac:dyDescent="0.3">
      <c r="A5348" t="s">
        <v>22</v>
      </c>
      <c r="B5348" s="1">
        <v>45880</v>
      </c>
      <c r="C5348">
        <v>20</v>
      </c>
      <c r="D5348">
        <v>0.499</v>
      </c>
      <c r="E5348" t="s">
        <v>6</v>
      </c>
      <c r="F5348">
        <v>0.23580999999999999</v>
      </c>
    </row>
    <row r="5349" spans="1:6" x14ac:dyDescent="0.3">
      <c r="A5349" t="s">
        <v>22</v>
      </c>
      <c r="B5349" s="1">
        <v>45880</v>
      </c>
      <c r="C5349">
        <v>21</v>
      </c>
      <c r="D5349">
        <v>0.52500000000000002</v>
      </c>
      <c r="E5349" t="s">
        <v>6</v>
      </c>
      <c r="F5349">
        <v>0.26776</v>
      </c>
    </row>
    <row r="5350" spans="1:6" x14ac:dyDescent="0.3">
      <c r="A5350" t="s">
        <v>22</v>
      </c>
      <c r="B5350" s="1">
        <v>45880</v>
      </c>
      <c r="C5350">
        <v>22</v>
      </c>
      <c r="D5350">
        <v>0.56499999999999995</v>
      </c>
      <c r="E5350" t="s">
        <v>6</v>
      </c>
      <c r="F5350">
        <v>0.27882000000000001</v>
      </c>
    </row>
    <row r="5351" spans="1:6" x14ac:dyDescent="0.3">
      <c r="A5351" t="s">
        <v>22</v>
      </c>
      <c r="B5351" s="1">
        <v>45880</v>
      </c>
      <c r="C5351">
        <v>23</v>
      </c>
      <c r="D5351">
        <v>0.623</v>
      </c>
      <c r="E5351" t="s">
        <v>6</v>
      </c>
      <c r="F5351">
        <v>0.20122000000000001</v>
      </c>
    </row>
    <row r="5352" spans="1:6" x14ac:dyDescent="0.3">
      <c r="A5352" t="s">
        <v>22</v>
      </c>
      <c r="B5352" s="1">
        <v>45880</v>
      </c>
      <c r="C5352">
        <v>24</v>
      </c>
      <c r="D5352">
        <v>0.58499999999999996</v>
      </c>
      <c r="E5352" t="s">
        <v>6</v>
      </c>
      <c r="F5352">
        <v>0.17638999999999999</v>
      </c>
    </row>
    <row r="5353" spans="1:6" x14ac:dyDescent="0.3">
      <c r="A5353" t="s">
        <v>22</v>
      </c>
      <c r="B5353" s="1">
        <v>45881</v>
      </c>
      <c r="C5353">
        <v>1</v>
      </c>
      <c r="D5353">
        <v>0.54600000000000004</v>
      </c>
      <c r="E5353" t="s">
        <v>6</v>
      </c>
      <c r="F5353">
        <v>0.14044999999999999</v>
      </c>
    </row>
    <row r="5354" spans="1:6" x14ac:dyDescent="0.3">
      <c r="A5354" t="s">
        <v>22</v>
      </c>
      <c r="B5354" s="1">
        <v>45881</v>
      </c>
      <c r="C5354">
        <v>2</v>
      </c>
      <c r="D5354">
        <v>0.59399999999999997</v>
      </c>
      <c r="E5354" t="s">
        <v>6</v>
      </c>
      <c r="F5354">
        <v>0.13061</v>
      </c>
    </row>
    <row r="5355" spans="1:6" x14ac:dyDescent="0.3">
      <c r="A5355" t="s">
        <v>22</v>
      </c>
      <c r="B5355" s="1">
        <v>45881</v>
      </c>
      <c r="C5355">
        <v>3</v>
      </c>
      <c r="D5355">
        <v>1.038</v>
      </c>
      <c r="E5355" t="s">
        <v>6</v>
      </c>
      <c r="F5355">
        <v>0.13656000000000001</v>
      </c>
    </row>
    <row r="5356" spans="1:6" x14ac:dyDescent="0.3">
      <c r="A5356" t="s">
        <v>22</v>
      </c>
      <c r="B5356" s="1">
        <v>45881</v>
      </c>
      <c r="C5356">
        <v>4</v>
      </c>
      <c r="D5356">
        <v>0.72099999999999997</v>
      </c>
      <c r="E5356" t="s">
        <v>6</v>
      </c>
      <c r="F5356">
        <v>0.13372999999999999</v>
      </c>
    </row>
    <row r="5357" spans="1:6" x14ac:dyDescent="0.3">
      <c r="A5357" t="s">
        <v>22</v>
      </c>
      <c r="B5357" s="1">
        <v>45881</v>
      </c>
      <c r="C5357">
        <v>5</v>
      </c>
      <c r="D5357">
        <v>0.54</v>
      </c>
      <c r="E5357" t="s">
        <v>6</v>
      </c>
      <c r="F5357">
        <v>0.13341</v>
      </c>
    </row>
    <row r="5358" spans="1:6" x14ac:dyDescent="0.3">
      <c r="A5358" t="s">
        <v>22</v>
      </c>
      <c r="B5358" s="1">
        <v>45881</v>
      </c>
      <c r="C5358">
        <v>6</v>
      </c>
      <c r="D5358">
        <v>0.53800000000000003</v>
      </c>
      <c r="E5358" t="s">
        <v>6</v>
      </c>
      <c r="F5358">
        <v>0.13374</v>
      </c>
    </row>
    <row r="5359" spans="1:6" x14ac:dyDescent="0.3">
      <c r="A5359" t="s">
        <v>22</v>
      </c>
      <c r="B5359" s="1">
        <v>45881</v>
      </c>
      <c r="C5359">
        <v>7</v>
      </c>
      <c r="D5359">
        <v>0.48699999999999999</v>
      </c>
      <c r="E5359" t="s">
        <v>6</v>
      </c>
      <c r="F5359">
        <v>0.13065000000000002</v>
      </c>
    </row>
    <row r="5360" spans="1:6" x14ac:dyDescent="0.3">
      <c r="A5360" t="s">
        <v>22</v>
      </c>
      <c r="B5360" s="1">
        <v>45881</v>
      </c>
      <c r="C5360">
        <v>8</v>
      </c>
      <c r="D5360">
        <v>0.41799999999999998</v>
      </c>
      <c r="E5360" t="s">
        <v>6</v>
      </c>
      <c r="F5360">
        <v>0.14427999999999999</v>
      </c>
    </row>
    <row r="5361" spans="1:6" x14ac:dyDescent="0.3">
      <c r="A5361" t="s">
        <v>22</v>
      </c>
      <c r="B5361" s="1">
        <v>45881</v>
      </c>
      <c r="C5361">
        <v>9</v>
      </c>
      <c r="D5361">
        <v>0</v>
      </c>
      <c r="E5361" t="s">
        <v>6</v>
      </c>
      <c r="F5361">
        <v>0.15594999999999998</v>
      </c>
    </row>
    <row r="5362" spans="1:6" x14ac:dyDescent="0.3">
      <c r="A5362" t="s">
        <v>22</v>
      </c>
      <c r="B5362" s="1">
        <v>45881</v>
      </c>
      <c r="C5362">
        <v>10</v>
      </c>
      <c r="D5362">
        <v>0</v>
      </c>
      <c r="E5362" t="s">
        <v>6</v>
      </c>
      <c r="F5362">
        <v>0.15178999999999998</v>
      </c>
    </row>
    <row r="5363" spans="1:6" x14ac:dyDescent="0.3">
      <c r="A5363" t="s">
        <v>22</v>
      </c>
      <c r="B5363" s="1">
        <v>45881</v>
      </c>
      <c r="C5363">
        <v>11</v>
      </c>
      <c r="D5363">
        <v>0</v>
      </c>
      <c r="E5363" t="s">
        <v>6</v>
      </c>
      <c r="F5363">
        <v>0.18362000000000001</v>
      </c>
    </row>
    <row r="5364" spans="1:6" x14ac:dyDescent="0.3">
      <c r="A5364" t="s">
        <v>22</v>
      </c>
      <c r="B5364" s="1">
        <v>45881</v>
      </c>
      <c r="C5364">
        <v>12</v>
      </c>
      <c r="D5364">
        <v>0</v>
      </c>
      <c r="E5364" t="s">
        <v>6</v>
      </c>
      <c r="F5364">
        <v>0.15533000000000002</v>
      </c>
    </row>
    <row r="5365" spans="1:6" x14ac:dyDescent="0.3">
      <c r="A5365" t="s">
        <v>22</v>
      </c>
      <c r="B5365" s="1">
        <v>45881</v>
      </c>
      <c r="C5365">
        <v>13</v>
      </c>
      <c r="D5365">
        <v>0</v>
      </c>
      <c r="E5365" t="s">
        <v>6</v>
      </c>
      <c r="F5365">
        <v>0.13871</v>
      </c>
    </row>
    <row r="5366" spans="1:6" x14ac:dyDescent="0.3">
      <c r="A5366" t="s">
        <v>22</v>
      </c>
      <c r="B5366" s="1">
        <v>45881</v>
      </c>
      <c r="C5366">
        <v>14</v>
      </c>
      <c r="D5366">
        <v>0</v>
      </c>
      <c r="E5366" t="s">
        <v>6</v>
      </c>
      <c r="F5366">
        <v>0.13541999999999998</v>
      </c>
    </row>
    <row r="5367" spans="1:6" x14ac:dyDescent="0.3">
      <c r="A5367" t="s">
        <v>22</v>
      </c>
      <c r="B5367" s="1">
        <v>45881</v>
      </c>
      <c r="C5367">
        <v>15</v>
      </c>
      <c r="D5367">
        <v>0</v>
      </c>
      <c r="E5367" t="s">
        <v>6</v>
      </c>
      <c r="F5367">
        <v>7.1569999999999995E-2</v>
      </c>
    </row>
    <row r="5368" spans="1:6" x14ac:dyDescent="0.3">
      <c r="A5368" t="s">
        <v>22</v>
      </c>
      <c r="B5368" s="1">
        <v>45881</v>
      </c>
      <c r="C5368">
        <v>16</v>
      </c>
      <c r="D5368">
        <v>0</v>
      </c>
      <c r="E5368" t="s">
        <v>6</v>
      </c>
      <c r="F5368">
        <v>8.0269999999999994E-2</v>
      </c>
    </row>
    <row r="5369" spans="1:6" x14ac:dyDescent="0.3">
      <c r="A5369" t="s">
        <v>22</v>
      </c>
      <c r="B5369" s="1">
        <v>45881</v>
      </c>
      <c r="C5369">
        <v>17</v>
      </c>
      <c r="D5369">
        <v>0</v>
      </c>
      <c r="E5369" t="s">
        <v>6</v>
      </c>
      <c r="F5369">
        <v>0.11425</v>
      </c>
    </row>
    <row r="5370" spans="1:6" x14ac:dyDescent="0.3">
      <c r="A5370" t="s">
        <v>22</v>
      </c>
      <c r="B5370" s="1">
        <v>45881</v>
      </c>
      <c r="C5370">
        <v>18</v>
      </c>
      <c r="D5370">
        <v>0</v>
      </c>
      <c r="E5370" t="s">
        <v>6</v>
      </c>
      <c r="F5370">
        <v>0.13794999999999999</v>
      </c>
    </row>
    <row r="5371" spans="1:6" x14ac:dyDescent="0.3">
      <c r="A5371" t="s">
        <v>22</v>
      </c>
      <c r="B5371" s="1">
        <v>45881</v>
      </c>
      <c r="C5371">
        <v>19</v>
      </c>
      <c r="D5371">
        <v>0</v>
      </c>
      <c r="E5371" t="s">
        <v>6</v>
      </c>
      <c r="F5371">
        <v>0.21897</v>
      </c>
    </row>
    <row r="5372" spans="1:6" x14ac:dyDescent="0.3">
      <c r="A5372" t="s">
        <v>22</v>
      </c>
      <c r="B5372" s="1">
        <v>45881</v>
      </c>
      <c r="C5372">
        <v>20</v>
      </c>
      <c r="D5372">
        <v>0.26200000000000001</v>
      </c>
      <c r="E5372" t="s">
        <v>6</v>
      </c>
      <c r="F5372">
        <v>0.24353999999999998</v>
      </c>
    </row>
    <row r="5373" spans="1:6" x14ac:dyDescent="0.3">
      <c r="A5373" t="s">
        <v>22</v>
      </c>
      <c r="B5373" s="1">
        <v>45881</v>
      </c>
      <c r="C5373">
        <v>21</v>
      </c>
      <c r="D5373">
        <v>0.58399999999999996</v>
      </c>
      <c r="E5373" t="s">
        <v>6</v>
      </c>
      <c r="F5373">
        <v>0.28949999999999998</v>
      </c>
    </row>
    <row r="5374" spans="1:6" x14ac:dyDescent="0.3">
      <c r="A5374" t="s">
        <v>22</v>
      </c>
      <c r="B5374" s="1">
        <v>45881</v>
      </c>
      <c r="C5374">
        <v>22</v>
      </c>
      <c r="D5374">
        <v>0.54700000000000004</v>
      </c>
      <c r="E5374" t="s">
        <v>6</v>
      </c>
      <c r="F5374">
        <v>0.26789999999999997</v>
      </c>
    </row>
    <row r="5375" spans="1:6" x14ac:dyDescent="0.3">
      <c r="A5375" t="s">
        <v>22</v>
      </c>
      <c r="B5375" s="1">
        <v>45881</v>
      </c>
      <c r="C5375">
        <v>23</v>
      </c>
      <c r="D5375">
        <v>0.57799999999999996</v>
      </c>
      <c r="E5375" t="s">
        <v>6</v>
      </c>
      <c r="F5375">
        <v>0.18658000000000002</v>
      </c>
    </row>
    <row r="5376" spans="1:6" x14ac:dyDescent="0.3">
      <c r="A5376" t="s">
        <v>22</v>
      </c>
      <c r="B5376" s="1">
        <v>45881</v>
      </c>
      <c r="C5376">
        <v>24</v>
      </c>
      <c r="D5376">
        <v>1.298</v>
      </c>
      <c r="E5376" t="s">
        <v>6</v>
      </c>
      <c r="F5376">
        <v>0.16894999999999999</v>
      </c>
    </row>
    <row r="5377" spans="1:6" x14ac:dyDescent="0.3">
      <c r="A5377" t="s">
        <v>22</v>
      </c>
      <c r="B5377" s="1">
        <v>45882</v>
      </c>
      <c r="C5377">
        <v>1</v>
      </c>
      <c r="D5377">
        <v>0.54200000000000004</v>
      </c>
      <c r="E5377" t="s">
        <v>6</v>
      </c>
      <c r="F5377">
        <v>0.13636000000000001</v>
      </c>
    </row>
    <row r="5378" spans="1:6" x14ac:dyDescent="0.3">
      <c r="A5378" t="s">
        <v>22</v>
      </c>
      <c r="B5378" s="1">
        <v>45882</v>
      </c>
      <c r="C5378">
        <v>2</v>
      </c>
      <c r="D5378">
        <v>0.61599999999999999</v>
      </c>
      <c r="E5378" t="s">
        <v>6</v>
      </c>
      <c r="F5378">
        <v>0.13749</v>
      </c>
    </row>
    <row r="5379" spans="1:6" x14ac:dyDescent="0.3">
      <c r="A5379" t="s">
        <v>22</v>
      </c>
      <c r="B5379" s="1">
        <v>45882</v>
      </c>
      <c r="C5379">
        <v>3</v>
      </c>
      <c r="D5379">
        <v>0.48499999999999999</v>
      </c>
      <c r="E5379" t="s">
        <v>6</v>
      </c>
      <c r="F5379">
        <v>0.13699</v>
      </c>
    </row>
    <row r="5380" spans="1:6" x14ac:dyDescent="0.3">
      <c r="A5380" t="s">
        <v>22</v>
      </c>
      <c r="B5380" s="1">
        <v>45882</v>
      </c>
      <c r="C5380">
        <v>4</v>
      </c>
      <c r="D5380">
        <v>0.623</v>
      </c>
      <c r="E5380" t="s">
        <v>6</v>
      </c>
      <c r="F5380">
        <v>0.12922999999999998</v>
      </c>
    </row>
    <row r="5381" spans="1:6" x14ac:dyDescent="0.3">
      <c r="A5381" t="s">
        <v>22</v>
      </c>
      <c r="B5381" s="1">
        <v>45882</v>
      </c>
      <c r="C5381">
        <v>5</v>
      </c>
      <c r="D5381">
        <v>0.53</v>
      </c>
      <c r="E5381" t="s">
        <v>6</v>
      </c>
      <c r="F5381">
        <v>0.12767000000000001</v>
      </c>
    </row>
    <row r="5382" spans="1:6" x14ac:dyDescent="0.3">
      <c r="A5382" t="s">
        <v>22</v>
      </c>
      <c r="B5382" s="1">
        <v>45882</v>
      </c>
      <c r="C5382">
        <v>6</v>
      </c>
      <c r="D5382">
        <v>0.51100000000000001</v>
      </c>
      <c r="E5382" t="s">
        <v>6</v>
      </c>
      <c r="F5382">
        <v>0.12720999999999999</v>
      </c>
    </row>
    <row r="5383" spans="1:6" x14ac:dyDescent="0.3">
      <c r="A5383" t="s">
        <v>22</v>
      </c>
      <c r="B5383" s="1">
        <v>45882</v>
      </c>
      <c r="C5383">
        <v>7</v>
      </c>
      <c r="D5383">
        <v>0.51100000000000001</v>
      </c>
      <c r="E5383" t="s">
        <v>6</v>
      </c>
      <c r="F5383">
        <v>0.12961</v>
      </c>
    </row>
    <row r="5384" spans="1:6" x14ac:dyDescent="0.3">
      <c r="A5384" t="s">
        <v>22</v>
      </c>
      <c r="B5384" s="1">
        <v>45882</v>
      </c>
      <c r="C5384">
        <v>8</v>
      </c>
      <c r="D5384">
        <v>0.374</v>
      </c>
      <c r="E5384" t="s">
        <v>6</v>
      </c>
      <c r="F5384">
        <v>0.14902000000000001</v>
      </c>
    </row>
    <row r="5385" spans="1:6" x14ac:dyDescent="0.3">
      <c r="A5385" t="s">
        <v>22</v>
      </c>
      <c r="B5385" s="1">
        <v>45882</v>
      </c>
      <c r="C5385">
        <v>9</v>
      </c>
      <c r="D5385">
        <v>0</v>
      </c>
      <c r="E5385" t="s">
        <v>6</v>
      </c>
      <c r="F5385">
        <v>0.16864999999999999</v>
      </c>
    </row>
    <row r="5386" spans="1:6" x14ac:dyDescent="0.3">
      <c r="A5386" t="s">
        <v>22</v>
      </c>
      <c r="B5386" s="1">
        <v>45882</v>
      </c>
      <c r="C5386">
        <v>10</v>
      </c>
      <c r="D5386">
        <v>0</v>
      </c>
      <c r="E5386" t="s">
        <v>6</v>
      </c>
      <c r="F5386">
        <v>0.14474999999999999</v>
      </c>
    </row>
    <row r="5387" spans="1:6" x14ac:dyDescent="0.3">
      <c r="A5387" t="s">
        <v>22</v>
      </c>
      <c r="B5387" s="1">
        <v>45882</v>
      </c>
      <c r="C5387">
        <v>11</v>
      </c>
      <c r="D5387">
        <v>0</v>
      </c>
      <c r="E5387" t="s">
        <v>6</v>
      </c>
      <c r="F5387">
        <v>0.20513000000000001</v>
      </c>
    </row>
    <row r="5388" spans="1:6" x14ac:dyDescent="0.3">
      <c r="A5388" t="s">
        <v>22</v>
      </c>
      <c r="B5388" s="1">
        <v>45882</v>
      </c>
      <c r="C5388">
        <v>12</v>
      </c>
      <c r="D5388">
        <v>0</v>
      </c>
      <c r="E5388" t="s">
        <v>6</v>
      </c>
      <c r="F5388">
        <v>0.18731</v>
      </c>
    </row>
    <row r="5389" spans="1:6" x14ac:dyDescent="0.3">
      <c r="A5389" t="s">
        <v>22</v>
      </c>
      <c r="B5389" s="1">
        <v>45882</v>
      </c>
      <c r="C5389">
        <v>13</v>
      </c>
      <c r="D5389">
        <v>0</v>
      </c>
      <c r="E5389" t="s">
        <v>6</v>
      </c>
      <c r="F5389">
        <v>0.17846000000000001</v>
      </c>
    </row>
    <row r="5390" spans="1:6" x14ac:dyDescent="0.3">
      <c r="A5390" t="s">
        <v>22</v>
      </c>
      <c r="B5390" s="1">
        <v>45882</v>
      </c>
      <c r="C5390">
        <v>14</v>
      </c>
      <c r="D5390">
        <v>0</v>
      </c>
      <c r="E5390" t="s">
        <v>6</v>
      </c>
      <c r="F5390">
        <v>0.17202000000000001</v>
      </c>
    </row>
    <row r="5391" spans="1:6" x14ac:dyDescent="0.3">
      <c r="A5391" t="s">
        <v>22</v>
      </c>
      <c r="B5391" s="1">
        <v>45882</v>
      </c>
      <c r="C5391">
        <v>15</v>
      </c>
      <c r="D5391">
        <v>0</v>
      </c>
      <c r="E5391" t="s">
        <v>6</v>
      </c>
      <c r="F5391">
        <v>0.11019</v>
      </c>
    </row>
    <row r="5392" spans="1:6" x14ac:dyDescent="0.3">
      <c r="A5392" t="s">
        <v>22</v>
      </c>
      <c r="B5392" s="1">
        <v>45882</v>
      </c>
      <c r="C5392">
        <v>16</v>
      </c>
      <c r="D5392">
        <v>0</v>
      </c>
      <c r="E5392" t="s">
        <v>6</v>
      </c>
      <c r="F5392">
        <v>0.11767</v>
      </c>
    </row>
    <row r="5393" spans="1:6" x14ac:dyDescent="0.3">
      <c r="A5393" t="s">
        <v>22</v>
      </c>
      <c r="B5393" s="1">
        <v>45882</v>
      </c>
      <c r="C5393">
        <v>17</v>
      </c>
      <c r="D5393">
        <v>0</v>
      </c>
      <c r="E5393" t="s">
        <v>6</v>
      </c>
      <c r="F5393">
        <v>0.13161</v>
      </c>
    </row>
    <row r="5394" spans="1:6" x14ac:dyDescent="0.3">
      <c r="A5394" t="s">
        <v>22</v>
      </c>
      <c r="B5394" s="1">
        <v>45882</v>
      </c>
      <c r="C5394">
        <v>18</v>
      </c>
      <c r="D5394">
        <v>0</v>
      </c>
      <c r="E5394" t="s">
        <v>6</v>
      </c>
      <c r="F5394">
        <v>0.14255000000000001</v>
      </c>
    </row>
    <row r="5395" spans="1:6" x14ac:dyDescent="0.3">
      <c r="A5395" t="s">
        <v>22</v>
      </c>
      <c r="B5395" s="1">
        <v>45882</v>
      </c>
      <c r="C5395">
        <v>19</v>
      </c>
      <c r="D5395">
        <v>0</v>
      </c>
      <c r="E5395" t="s">
        <v>6</v>
      </c>
      <c r="F5395">
        <v>0.22386</v>
      </c>
    </row>
    <row r="5396" spans="1:6" x14ac:dyDescent="0.3">
      <c r="A5396" t="s">
        <v>22</v>
      </c>
      <c r="B5396" s="1">
        <v>45882</v>
      </c>
      <c r="C5396">
        <v>20</v>
      </c>
      <c r="D5396">
        <v>1.145</v>
      </c>
      <c r="E5396" t="s">
        <v>6</v>
      </c>
      <c r="F5396">
        <v>0.22644999999999998</v>
      </c>
    </row>
    <row r="5397" spans="1:6" x14ac:dyDescent="0.3">
      <c r="A5397" t="s">
        <v>22</v>
      </c>
      <c r="B5397" s="1">
        <v>45882</v>
      </c>
      <c r="C5397">
        <v>21</v>
      </c>
      <c r="D5397">
        <v>0.51</v>
      </c>
      <c r="E5397" t="s">
        <v>6</v>
      </c>
      <c r="F5397">
        <v>0.2802</v>
      </c>
    </row>
    <row r="5398" spans="1:6" x14ac:dyDescent="0.3">
      <c r="A5398" t="s">
        <v>22</v>
      </c>
      <c r="B5398" s="1">
        <v>45882</v>
      </c>
      <c r="C5398">
        <v>22</v>
      </c>
      <c r="D5398">
        <v>0.74299999999999999</v>
      </c>
      <c r="E5398" t="s">
        <v>6</v>
      </c>
      <c r="F5398">
        <v>0.27556000000000003</v>
      </c>
    </row>
    <row r="5399" spans="1:6" x14ac:dyDescent="0.3">
      <c r="A5399" t="s">
        <v>22</v>
      </c>
      <c r="B5399" s="1">
        <v>45882</v>
      </c>
      <c r="C5399">
        <v>23</v>
      </c>
      <c r="D5399">
        <v>0.64100000000000001</v>
      </c>
      <c r="E5399" t="s">
        <v>6</v>
      </c>
      <c r="F5399">
        <v>0.17684</v>
      </c>
    </row>
    <row r="5400" spans="1:6" x14ac:dyDescent="0.3">
      <c r="A5400" t="s">
        <v>22</v>
      </c>
      <c r="B5400" s="1">
        <v>45882</v>
      </c>
      <c r="C5400">
        <v>24</v>
      </c>
      <c r="D5400">
        <v>0.68899999999999995</v>
      </c>
      <c r="E5400" t="s">
        <v>6</v>
      </c>
      <c r="F5400">
        <v>0.15908</v>
      </c>
    </row>
    <row r="5401" spans="1:6" x14ac:dyDescent="0.3">
      <c r="A5401" t="s">
        <v>22</v>
      </c>
      <c r="B5401" s="1">
        <v>45883</v>
      </c>
      <c r="C5401">
        <v>1</v>
      </c>
      <c r="D5401">
        <v>0.69799999999999995</v>
      </c>
      <c r="E5401" t="s">
        <v>6</v>
      </c>
      <c r="F5401">
        <v>0.15784000000000001</v>
      </c>
    </row>
    <row r="5402" spans="1:6" x14ac:dyDescent="0.3">
      <c r="A5402" t="s">
        <v>22</v>
      </c>
      <c r="B5402" s="1">
        <v>45883</v>
      </c>
      <c r="C5402">
        <v>2</v>
      </c>
      <c r="D5402">
        <v>0.57099999999999995</v>
      </c>
      <c r="E5402" t="s">
        <v>6</v>
      </c>
      <c r="F5402">
        <v>0.14433000000000001</v>
      </c>
    </row>
    <row r="5403" spans="1:6" x14ac:dyDescent="0.3">
      <c r="A5403" t="s">
        <v>22</v>
      </c>
      <c r="B5403" s="1">
        <v>45883</v>
      </c>
      <c r="C5403">
        <v>3</v>
      </c>
      <c r="D5403">
        <v>0.73099999999999998</v>
      </c>
      <c r="E5403" t="s">
        <v>6</v>
      </c>
      <c r="F5403">
        <v>0.13861999999999999</v>
      </c>
    </row>
    <row r="5404" spans="1:6" x14ac:dyDescent="0.3">
      <c r="A5404" t="s">
        <v>22</v>
      </c>
      <c r="B5404" s="1">
        <v>45883</v>
      </c>
      <c r="C5404">
        <v>4</v>
      </c>
      <c r="D5404">
        <v>0.60099999999999998</v>
      </c>
      <c r="E5404" t="s">
        <v>6</v>
      </c>
      <c r="F5404">
        <v>0.12993000000000002</v>
      </c>
    </row>
    <row r="5405" spans="1:6" x14ac:dyDescent="0.3">
      <c r="A5405" t="s">
        <v>22</v>
      </c>
      <c r="B5405" s="1">
        <v>45883</v>
      </c>
      <c r="C5405">
        <v>5</v>
      </c>
      <c r="D5405">
        <v>0.67</v>
      </c>
      <c r="E5405" t="s">
        <v>6</v>
      </c>
      <c r="F5405">
        <v>0.12623000000000001</v>
      </c>
    </row>
    <row r="5406" spans="1:6" x14ac:dyDescent="0.3">
      <c r="A5406" t="s">
        <v>22</v>
      </c>
      <c r="B5406" s="1">
        <v>45883</v>
      </c>
      <c r="C5406">
        <v>6</v>
      </c>
      <c r="D5406">
        <v>0.92700000000000005</v>
      </c>
      <c r="E5406" t="s">
        <v>6</v>
      </c>
      <c r="F5406">
        <v>0.12479000000000001</v>
      </c>
    </row>
    <row r="5407" spans="1:6" x14ac:dyDescent="0.3">
      <c r="A5407" t="s">
        <v>22</v>
      </c>
      <c r="B5407" s="1">
        <v>45883</v>
      </c>
      <c r="C5407">
        <v>7</v>
      </c>
      <c r="D5407">
        <v>0.96899999999999997</v>
      </c>
      <c r="E5407" t="s">
        <v>6</v>
      </c>
      <c r="F5407">
        <v>0.13413</v>
      </c>
    </row>
    <row r="5408" spans="1:6" x14ac:dyDescent="0.3">
      <c r="A5408" t="s">
        <v>22</v>
      </c>
      <c r="B5408" s="1">
        <v>45883</v>
      </c>
      <c r="C5408">
        <v>8</v>
      </c>
      <c r="D5408">
        <v>0.57299999999999995</v>
      </c>
      <c r="E5408" t="s">
        <v>6</v>
      </c>
      <c r="F5408">
        <v>0.1411</v>
      </c>
    </row>
    <row r="5409" spans="1:6" x14ac:dyDescent="0.3">
      <c r="A5409" t="s">
        <v>22</v>
      </c>
      <c r="B5409" s="1">
        <v>45883</v>
      </c>
      <c r="C5409">
        <v>9</v>
      </c>
      <c r="D5409">
        <v>0</v>
      </c>
      <c r="E5409" t="s">
        <v>6</v>
      </c>
      <c r="F5409">
        <v>0.15211000000000002</v>
      </c>
    </row>
    <row r="5410" spans="1:6" x14ac:dyDescent="0.3">
      <c r="A5410" t="s">
        <v>22</v>
      </c>
      <c r="B5410" s="1">
        <v>45883</v>
      </c>
      <c r="C5410">
        <v>10</v>
      </c>
      <c r="D5410">
        <v>0</v>
      </c>
      <c r="E5410" t="s">
        <v>6</v>
      </c>
      <c r="F5410">
        <v>0.14294999999999999</v>
      </c>
    </row>
    <row r="5411" spans="1:6" x14ac:dyDescent="0.3">
      <c r="A5411" t="s">
        <v>22</v>
      </c>
      <c r="B5411" s="1">
        <v>45883</v>
      </c>
      <c r="C5411">
        <v>11</v>
      </c>
      <c r="D5411">
        <v>0</v>
      </c>
      <c r="E5411" t="s">
        <v>6</v>
      </c>
      <c r="F5411">
        <v>0.19062000000000001</v>
      </c>
    </row>
    <row r="5412" spans="1:6" x14ac:dyDescent="0.3">
      <c r="A5412" t="s">
        <v>22</v>
      </c>
      <c r="B5412" s="1">
        <v>45883</v>
      </c>
      <c r="C5412">
        <v>12</v>
      </c>
      <c r="D5412">
        <v>0</v>
      </c>
      <c r="E5412" t="s">
        <v>6</v>
      </c>
      <c r="F5412">
        <v>0.18724000000000002</v>
      </c>
    </row>
    <row r="5413" spans="1:6" x14ac:dyDescent="0.3">
      <c r="A5413" t="s">
        <v>22</v>
      </c>
      <c r="B5413" s="1">
        <v>45883</v>
      </c>
      <c r="C5413">
        <v>13</v>
      </c>
      <c r="D5413">
        <v>0</v>
      </c>
      <c r="E5413" t="s">
        <v>6</v>
      </c>
      <c r="F5413">
        <v>0.17233000000000001</v>
      </c>
    </row>
    <row r="5414" spans="1:6" x14ac:dyDescent="0.3">
      <c r="A5414" t="s">
        <v>22</v>
      </c>
      <c r="B5414" s="1">
        <v>45883</v>
      </c>
      <c r="C5414">
        <v>14</v>
      </c>
      <c r="D5414">
        <v>0</v>
      </c>
      <c r="E5414" t="s">
        <v>6</v>
      </c>
      <c r="F5414">
        <v>0.15591999999999998</v>
      </c>
    </row>
    <row r="5415" spans="1:6" x14ac:dyDescent="0.3">
      <c r="A5415" t="s">
        <v>22</v>
      </c>
      <c r="B5415" s="1">
        <v>45883</v>
      </c>
      <c r="C5415">
        <v>15</v>
      </c>
      <c r="D5415">
        <v>0</v>
      </c>
      <c r="E5415" t="s">
        <v>6</v>
      </c>
      <c r="F5415">
        <v>0.10465000000000001</v>
      </c>
    </row>
    <row r="5416" spans="1:6" x14ac:dyDescent="0.3">
      <c r="A5416" t="s">
        <v>22</v>
      </c>
      <c r="B5416" s="1">
        <v>45883</v>
      </c>
      <c r="C5416">
        <v>16</v>
      </c>
      <c r="D5416">
        <v>1.0900000000000001</v>
      </c>
      <c r="E5416" t="s">
        <v>6</v>
      </c>
      <c r="F5416">
        <v>0.12168999999999999</v>
      </c>
    </row>
    <row r="5417" spans="1:6" x14ac:dyDescent="0.3">
      <c r="A5417" t="s">
        <v>22</v>
      </c>
      <c r="B5417" s="1">
        <v>45883</v>
      </c>
      <c r="C5417">
        <v>17</v>
      </c>
      <c r="D5417">
        <v>0</v>
      </c>
      <c r="E5417" t="s">
        <v>6</v>
      </c>
      <c r="F5417">
        <v>0.12379000000000001</v>
      </c>
    </row>
    <row r="5418" spans="1:6" x14ac:dyDescent="0.3">
      <c r="A5418" t="s">
        <v>22</v>
      </c>
      <c r="B5418" s="1">
        <v>45883</v>
      </c>
      <c r="C5418">
        <v>18</v>
      </c>
      <c r="D5418">
        <v>0</v>
      </c>
      <c r="E5418" t="s">
        <v>6</v>
      </c>
      <c r="F5418">
        <v>0.13243000000000002</v>
      </c>
    </row>
    <row r="5419" spans="1:6" x14ac:dyDescent="0.3">
      <c r="A5419" t="s">
        <v>22</v>
      </c>
      <c r="B5419" s="1">
        <v>45883</v>
      </c>
      <c r="C5419">
        <v>19</v>
      </c>
      <c r="D5419">
        <v>0</v>
      </c>
      <c r="E5419" t="s">
        <v>6</v>
      </c>
      <c r="F5419">
        <v>0.22084999999999999</v>
      </c>
    </row>
    <row r="5420" spans="1:6" x14ac:dyDescent="0.3">
      <c r="A5420" t="s">
        <v>22</v>
      </c>
      <c r="B5420" s="1">
        <v>45883</v>
      </c>
      <c r="C5420">
        <v>20</v>
      </c>
      <c r="D5420">
        <v>0.36</v>
      </c>
      <c r="E5420" t="s">
        <v>6</v>
      </c>
      <c r="F5420">
        <v>0.23274</v>
      </c>
    </row>
    <row r="5421" spans="1:6" x14ac:dyDescent="0.3">
      <c r="A5421" t="s">
        <v>22</v>
      </c>
      <c r="B5421" s="1">
        <v>45883</v>
      </c>
      <c r="C5421">
        <v>21</v>
      </c>
      <c r="D5421">
        <v>0.79300000000000004</v>
      </c>
      <c r="E5421" t="s">
        <v>6</v>
      </c>
      <c r="F5421">
        <v>0.2601</v>
      </c>
    </row>
    <row r="5422" spans="1:6" x14ac:dyDescent="0.3">
      <c r="A5422" t="s">
        <v>22</v>
      </c>
      <c r="B5422" s="1">
        <v>45883</v>
      </c>
      <c r="C5422">
        <v>22</v>
      </c>
      <c r="D5422">
        <v>0.67100000000000004</v>
      </c>
      <c r="E5422" t="s">
        <v>6</v>
      </c>
      <c r="F5422">
        <v>0.27343000000000001</v>
      </c>
    </row>
    <row r="5423" spans="1:6" x14ac:dyDescent="0.3">
      <c r="A5423" t="s">
        <v>22</v>
      </c>
      <c r="B5423" s="1">
        <v>45883</v>
      </c>
      <c r="C5423">
        <v>23</v>
      </c>
      <c r="D5423">
        <v>0.68500000000000005</v>
      </c>
      <c r="E5423" t="s">
        <v>6</v>
      </c>
      <c r="F5423">
        <v>0.18126</v>
      </c>
    </row>
    <row r="5424" spans="1:6" x14ac:dyDescent="0.3">
      <c r="A5424" t="s">
        <v>22</v>
      </c>
      <c r="B5424" s="1">
        <v>45883</v>
      </c>
      <c r="C5424">
        <v>24</v>
      </c>
      <c r="D5424">
        <v>0.79300000000000004</v>
      </c>
      <c r="E5424" t="s">
        <v>6</v>
      </c>
      <c r="F5424">
        <v>0.16650999999999999</v>
      </c>
    </row>
    <row r="5425" spans="1:6" x14ac:dyDescent="0.3">
      <c r="A5425" t="s">
        <v>22</v>
      </c>
      <c r="B5425" s="1">
        <v>45884</v>
      </c>
      <c r="C5425">
        <v>1</v>
      </c>
      <c r="D5425">
        <v>0.63</v>
      </c>
      <c r="E5425" t="s">
        <v>6</v>
      </c>
      <c r="F5425">
        <v>0.16237000000000001</v>
      </c>
    </row>
    <row r="5426" spans="1:6" x14ac:dyDescent="0.3">
      <c r="A5426" t="s">
        <v>22</v>
      </c>
      <c r="B5426" s="1">
        <v>45884</v>
      </c>
      <c r="C5426">
        <v>2</v>
      </c>
      <c r="D5426">
        <v>0.77</v>
      </c>
      <c r="E5426" t="s">
        <v>6</v>
      </c>
      <c r="F5426">
        <v>0.14806999999999998</v>
      </c>
    </row>
    <row r="5427" spans="1:6" x14ac:dyDescent="0.3">
      <c r="A5427" t="s">
        <v>22</v>
      </c>
      <c r="B5427" s="1">
        <v>45884</v>
      </c>
      <c r="C5427">
        <v>3</v>
      </c>
      <c r="D5427">
        <v>0.59799999999999998</v>
      </c>
      <c r="E5427" t="s">
        <v>6</v>
      </c>
      <c r="F5427">
        <v>0.14360000000000001</v>
      </c>
    </row>
    <row r="5428" spans="1:6" x14ac:dyDescent="0.3">
      <c r="A5428" t="s">
        <v>22</v>
      </c>
      <c r="B5428" s="1">
        <v>45884</v>
      </c>
      <c r="C5428">
        <v>4</v>
      </c>
      <c r="D5428">
        <v>1.421</v>
      </c>
      <c r="E5428" t="s">
        <v>6</v>
      </c>
      <c r="F5428">
        <v>0.13586999999999999</v>
      </c>
    </row>
    <row r="5429" spans="1:6" x14ac:dyDescent="0.3">
      <c r="A5429" t="s">
        <v>22</v>
      </c>
      <c r="B5429" s="1">
        <v>45884</v>
      </c>
      <c r="C5429">
        <v>5</v>
      </c>
      <c r="D5429">
        <v>0.66400000000000003</v>
      </c>
      <c r="E5429" t="s">
        <v>6</v>
      </c>
      <c r="F5429">
        <v>0.13399</v>
      </c>
    </row>
    <row r="5430" spans="1:6" x14ac:dyDescent="0.3">
      <c r="A5430" t="s">
        <v>22</v>
      </c>
      <c r="B5430" s="1">
        <v>45884</v>
      </c>
      <c r="C5430">
        <v>6</v>
      </c>
      <c r="D5430">
        <v>0.67200000000000004</v>
      </c>
      <c r="E5430" t="s">
        <v>6</v>
      </c>
      <c r="F5430">
        <v>0.13109999999999999</v>
      </c>
    </row>
    <row r="5431" spans="1:6" x14ac:dyDescent="0.3">
      <c r="A5431" t="s">
        <v>22</v>
      </c>
      <c r="B5431" s="1">
        <v>45884</v>
      </c>
      <c r="C5431">
        <v>7</v>
      </c>
      <c r="D5431">
        <v>0.60599999999999998</v>
      </c>
      <c r="E5431" t="s">
        <v>6</v>
      </c>
      <c r="F5431">
        <v>0.13833999999999999</v>
      </c>
    </row>
    <row r="5432" spans="1:6" x14ac:dyDescent="0.3">
      <c r="A5432" t="s">
        <v>22</v>
      </c>
      <c r="B5432" s="1">
        <v>45884</v>
      </c>
      <c r="C5432">
        <v>8</v>
      </c>
      <c r="D5432">
        <v>0.501</v>
      </c>
      <c r="E5432" t="s">
        <v>6</v>
      </c>
      <c r="F5432">
        <v>0.14746999999999999</v>
      </c>
    </row>
    <row r="5433" spans="1:6" x14ac:dyDescent="0.3">
      <c r="A5433" t="s">
        <v>22</v>
      </c>
      <c r="B5433" s="1">
        <v>45884</v>
      </c>
      <c r="C5433">
        <v>9</v>
      </c>
      <c r="D5433">
        <v>0</v>
      </c>
      <c r="E5433" t="s">
        <v>6</v>
      </c>
      <c r="F5433">
        <v>0.12279000000000001</v>
      </c>
    </row>
    <row r="5434" spans="1:6" x14ac:dyDescent="0.3">
      <c r="A5434" t="s">
        <v>22</v>
      </c>
      <c r="B5434" s="1">
        <v>45884</v>
      </c>
      <c r="C5434">
        <v>10</v>
      </c>
      <c r="D5434">
        <v>0</v>
      </c>
      <c r="E5434" t="s">
        <v>6</v>
      </c>
      <c r="F5434">
        <v>8.134000000000001E-2</v>
      </c>
    </row>
    <row r="5435" spans="1:6" x14ac:dyDescent="0.3">
      <c r="A5435" t="s">
        <v>22</v>
      </c>
      <c r="B5435" s="1">
        <v>45884</v>
      </c>
      <c r="C5435">
        <v>11</v>
      </c>
      <c r="D5435">
        <v>0</v>
      </c>
      <c r="E5435" t="s">
        <v>6</v>
      </c>
      <c r="F5435">
        <v>3.7880000000000004E-2</v>
      </c>
    </row>
    <row r="5436" spans="1:6" x14ac:dyDescent="0.3">
      <c r="A5436" t="s">
        <v>22</v>
      </c>
      <c r="B5436" s="1">
        <v>45884</v>
      </c>
      <c r="C5436">
        <v>12</v>
      </c>
      <c r="D5436">
        <v>0</v>
      </c>
      <c r="E5436" t="s">
        <v>6</v>
      </c>
      <c r="F5436">
        <v>3.2740000000000005E-2</v>
      </c>
    </row>
    <row r="5437" spans="1:6" x14ac:dyDescent="0.3">
      <c r="A5437" t="s">
        <v>22</v>
      </c>
      <c r="B5437" s="1">
        <v>45884</v>
      </c>
      <c r="C5437">
        <v>13</v>
      </c>
      <c r="D5437">
        <v>0</v>
      </c>
      <c r="E5437" t="s">
        <v>6</v>
      </c>
      <c r="F5437">
        <v>2.895E-2</v>
      </c>
    </row>
    <row r="5438" spans="1:6" x14ac:dyDescent="0.3">
      <c r="A5438" t="s">
        <v>22</v>
      </c>
      <c r="B5438" s="1">
        <v>45884</v>
      </c>
      <c r="C5438">
        <v>14</v>
      </c>
      <c r="D5438">
        <v>0</v>
      </c>
      <c r="E5438" t="s">
        <v>6</v>
      </c>
      <c r="F5438">
        <v>2.801E-2</v>
      </c>
    </row>
    <row r="5439" spans="1:6" x14ac:dyDescent="0.3">
      <c r="A5439" t="s">
        <v>22</v>
      </c>
      <c r="B5439" s="1">
        <v>45884</v>
      </c>
      <c r="C5439">
        <v>15</v>
      </c>
      <c r="D5439">
        <v>0</v>
      </c>
      <c r="E5439" t="s">
        <v>6</v>
      </c>
      <c r="F5439">
        <v>2.7600000000000003E-2</v>
      </c>
    </row>
    <row r="5440" spans="1:6" x14ac:dyDescent="0.3">
      <c r="A5440" t="s">
        <v>22</v>
      </c>
      <c r="B5440" s="1">
        <v>45884</v>
      </c>
      <c r="C5440">
        <v>16</v>
      </c>
      <c r="D5440">
        <v>0</v>
      </c>
      <c r="E5440" t="s">
        <v>6</v>
      </c>
      <c r="F5440">
        <v>2.9929999999999998E-2</v>
      </c>
    </row>
    <row r="5441" spans="1:6" x14ac:dyDescent="0.3">
      <c r="A5441" t="s">
        <v>22</v>
      </c>
      <c r="B5441" s="1">
        <v>45884</v>
      </c>
      <c r="C5441">
        <v>17</v>
      </c>
      <c r="D5441">
        <v>0</v>
      </c>
      <c r="E5441" t="s">
        <v>6</v>
      </c>
      <c r="F5441">
        <v>5.4979999999999994E-2</v>
      </c>
    </row>
    <row r="5442" spans="1:6" x14ac:dyDescent="0.3">
      <c r="A5442" t="s">
        <v>22</v>
      </c>
      <c r="B5442" s="1">
        <v>45884</v>
      </c>
      <c r="C5442">
        <v>18</v>
      </c>
      <c r="D5442">
        <v>0</v>
      </c>
      <c r="E5442" t="s">
        <v>6</v>
      </c>
      <c r="F5442">
        <v>6.3060000000000005E-2</v>
      </c>
    </row>
    <row r="5443" spans="1:6" x14ac:dyDescent="0.3">
      <c r="A5443" t="s">
        <v>22</v>
      </c>
      <c r="B5443" s="1">
        <v>45884</v>
      </c>
      <c r="C5443">
        <v>19</v>
      </c>
      <c r="D5443">
        <v>0</v>
      </c>
      <c r="E5443" t="s">
        <v>6</v>
      </c>
      <c r="F5443">
        <v>9.7519999999999996E-2</v>
      </c>
    </row>
    <row r="5444" spans="1:6" x14ac:dyDescent="0.3">
      <c r="A5444" t="s">
        <v>22</v>
      </c>
      <c r="B5444" s="1">
        <v>45884</v>
      </c>
      <c r="C5444">
        <v>20</v>
      </c>
      <c r="D5444">
        <v>0.24299999999999999</v>
      </c>
      <c r="E5444" t="s">
        <v>6</v>
      </c>
      <c r="F5444">
        <v>0.14545</v>
      </c>
    </row>
    <row r="5445" spans="1:6" x14ac:dyDescent="0.3">
      <c r="A5445" t="s">
        <v>22</v>
      </c>
      <c r="B5445" s="1">
        <v>45884</v>
      </c>
      <c r="C5445">
        <v>21</v>
      </c>
      <c r="D5445">
        <v>0.49</v>
      </c>
      <c r="E5445" t="s">
        <v>6</v>
      </c>
      <c r="F5445">
        <v>0.15508000000000002</v>
      </c>
    </row>
    <row r="5446" spans="1:6" x14ac:dyDescent="0.3">
      <c r="A5446" t="s">
        <v>22</v>
      </c>
      <c r="B5446" s="1">
        <v>45884</v>
      </c>
      <c r="C5446">
        <v>22</v>
      </c>
      <c r="D5446">
        <v>0.61299999999999999</v>
      </c>
      <c r="E5446" t="s">
        <v>6</v>
      </c>
      <c r="F5446">
        <v>0.19209000000000001</v>
      </c>
    </row>
    <row r="5447" spans="1:6" x14ac:dyDescent="0.3">
      <c r="A5447" t="s">
        <v>22</v>
      </c>
      <c r="B5447" s="1">
        <v>45884</v>
      </c>
      <c r="C5447">
        <v>23</v>
      </c>
      <c r="D5447">
        <v>0.59199999999999997</v>
      </c>
      <c r="E5447" t="s">
        <v>6</v>
      </c>
      <c r="F5447">
        <v>0.18944999999999998</v>
      </c>
    </row>
    <row r="5448" spans="1:6" x14ac:dyDescent="0.3">
      <c r="A5448" t="s">
        <v>22</v>
      </c>
      <c r="B5448" s="1">
        <v>45884</v>
      </c>
      <c r="C5448">
        <v>24</v>
      </c>
      <c r="D5448">
        <v>0.54300000000000004</v>
      </c>
      <c r="E5448" t="s">
        <v>6</v>
      </c>
      <c r="F5448">
        <v>0.16163999999999998</v>
      </c>
    </row>
    <row r="5449" spans="1:6" x14ac:dyDescent="0.3">
      <c r="A5449" t="s">
        <v>22</v>
      </c>
      <c r="B5449" s="1">
        <v>45885</v>
      </c>
      <c r="C5449">
        <v>1</v>
      </c>
      <c r="D5449">
        <v>1.302</v>
      </c>
      <c r="E5449" t="s">
        <v>6</v>
      </c>
      <c r="F5449">
        <v>0.15646000000000002</v>
      </c>
    </row>
    <row r="5450" spans="1:6" x14ac:dyDescent="0.3">
      <c r="A5450" t="s">
        <v>22</v>
      </c>
      <c r="B5450" s="1">
        <v>45885</v>
      </c>
      <c r="C5450">
        <v>2</v>
      </c>
      <c r="D5450">
        <v>0.56200000000000006</v>
      </c>
      <c r="E5450" t="s">
        <v>6</v>
      </c>
      <c r="F5450">
        <v>0.15218000000000001</v>
      </c>
    </row>
    <row r="5451" spans="1:6" x14ac:dyDescent="0.3">
      <c r="A5451" t="s">
        <v>22</v>
      </c>
      <c r="B5451" s="1">
        <v>45885</v>
      </c>
      <c r="C5451">
        <v>3</v>
      </c>
      <c r="D5451">
        <v>0.55100000000000005</v>
      </c>
      <c r="E5451" t="s">
        <v>6</v>
      </c>
      <c r="F5451">
        <v>0.14731</v>
      </c>
    </row>
    <row r="5452" spans="1:6" x14ac:dyDescent="0.3">
      <c r="A5452" t="s">
        <v>22</v>
      </c>
      <c r="B5452" s="1">
        <v>45885</v>
      </c>
      <c r="C5452">
        <v>4</v>
      </c>
      <c r="D5452">
        <v>0.55400000000000005</v>
      </c>
      <c r="E5452" t="s">
        <v>6</v>
      </c>
      <c r="F5452">
        <v>0.14199000000000001</v>
      </c>
    </row>
    <row r="5453" spans="1:6" x14ac:dyDescent="0.3">
      <c r="A5453" t="s">
        <v>22</v>
      </c>
      <c r="B5453" s="1">
        <v>45885</v>
      </c>
      <c r="C5453">
        <v>5</v>
      </c>
      <c r="D5453">
        <v>0.56599999999999995</v>
      </c>
      <c r="E5453" t="s">
        <v>6</v>
      </c>
      <c r="F5453">
        <v>0.14005999999999999</v>
      </c>
    </row>
    <row r="5454" spans="1:6" x14ac:dyDescent="0.3">
      <c r="A5454" t="s">
        <v>22</v>
      </c>
      <c r="B5454" s="1">
        <v>45885</v>
      </c>
      <c r="C5454">
        <v>6</v>
      </c>
      <c r="D5454">
        <v>0.48299999999999998</v>
      </c>
      <c r="E5454" t="s">
        <v>6</v>
      </c>
      <c r="F5454">
        <v>0.14138000000000001</v>
      </c>
    </row>
    <row r="5455" spans="1:6" x14ac:dyDescent="0.3">
      <c r="A5455" t="s">
        <v>22</v>
      </c>
      <c r="B5455" s="1">
        <v>45885</v>
      </c>
      <c r="C5455">
        <v>7</v>
      </c>
      <c r="D5455">
        <v>0.48599999999999999</v>
      </c>
      <c r="E5455" t="s">
        <v>6</v>
      </c>
      <c r="F5455">
        <v>0.14440999999999998</v>
      </c>
    </row>
    <row r="5456" spans="1:6" x14ac:dyDescent="0.3">
      <c r="A5456" t="s">
        <v>22</v>
      </c>
      <c r="B5456" s="1">
        <v>45885</v>
      </c>
      <c r="C5456">
        <v>8</v>
      </c>
      <c r="D5456">
        <v>0.40400000000000003</v>
      </c>
      <c r="E5456" t="s">
        <v>6</v>
      </c>
      <c r="F5456">
        <v>0.15112</v>
      </c>
    </row>
    <row r="5457" spans="1:6" x14ac:dyDescent="0.3">
      <c r="A5457" t="s">
        <v>22</v>
      </c>
      <c r="B5457" s="1">
        <v>45885</v>
      </c>
      <c r="C5457">
        <v>9</v>
      </c>
      <c r="D5457">
        <v>0</v>
      </c>
      <c r="E5457" t="s">
        <v>6</v>
      </c>
      <c r="F5457">
        <v>0.14326</v>
      </c>
    </row>
    <row r="5458" spans="1:6" x14ac:dyDescent="0.3">
      <c r="A5458" t="s">
        <v>22</v>
      </c>
      <c r="B5458" s="1">
        <v>45885</v>
      </c>
      <c r="C5458">
        <v>10</v>
      </c>
      <c r="D5458">
        <v>0</v>
      </c>
      <c r="E5458" t="s">
        <v>6</v>
      </c>
      <c r="F5458">
        <v>0.10054</v>
      </c>
    </row>
    <row r="5459" spans="1:6" x14ac:dyDescent="0.3">
      <c r="A5459" t="s">
        <v>22</v>
      </c>
      <c r="B5459" s="1">
        <v>45885</v>
      </c>
      <c r="C5459">
        <v>11</v>
      </c>
      <c r="D5459">
        <v>0</v>
      </c>
      <c r="E5459" t="s">
        <v>6</v>
      </c>
      <c r="F5459">
        <v>5.4789999999999998E-2</v>
      </c>
    </row>
    <row r="5460" spans="1:6" x14ac:dyDescent="0.3">
      <c r="A5460" t="s">
        <v>22</v>
      </c>
      <c r="B5460" s="1">
        <v>45885</v>
      </c>
      <c r="C5460">
        <v>12</v>
      </c>
      <c r="D5460">
        <v>0</v>
      </c>
      <c r="E5460" t="s">
        <v>6</v>
      </c>
      <c r="F5460">
        <v>2.7390000000000001E-2</v>
      </c>
    </row>
    <row r="5461" spans="1:6" x14ac:dyDescent="0.3">
      <c r="A5461" t="s">
        <v>22</v>
      </c>
      <c r="B5461" s="1">
        <v>45885</v>
      </c>
      <c r="C5461">
        <v>13</v>
      </c>
      <c r="D5461">
        <v>0</v>
      </c>
      <c r="E5461" t="s">
        <v>6</v>
      </c>
      <c r="F5461">
        <v>2.3519999999999999E-2</v>
      </c>
    </row>
    <row r="5462" spans="1:6" x14ac:dyDescent="0.3">
      <c r="A5462" t="s">
        <v>22</v>
      </c>
      <c r="B5462" s="1">
        <v>45885</v>
      </c>
      <c r="C5462">
        <v>14</v>
      </c>
      <c r="D5462">
        <v>0</v>
      </c>
      <c r="E5462" t="s">
        <v>6</v>
      </c>
      <c r="F5462">
        <v>2.341E-2</v>
      </c>
    </row>
    <row r="5463" spans="1:6" x14ac:dyDescent="0.3">
      <c r="A5463" t="s">
        <v>22</v>
      </c>
      <c r="B5463" s="1">
        <v>45885</v>
      </c>
      <c r="C5463">
        <v>15</v>
      </c>
      <c r="D5463">
        <v>0</v>
      </c>
      <c r="E5463" t="s">
        <v>6</v>
      </c>
      <c r="F5463">
        <v>2.2789999999999998E-2</v>
      </c>
    </row>
    <row r="5464" spans="1:6" x14ac:dyDescent="0.3">
      <c r="A5464" t="s">
        <v>22</v>
      </c>
      <c r="B5464" s="1">
        <v>45885</v>
      </c>
      <c r="C5464">
        <v>16</v>
      </c>
      <c r="D5464">
        <v>0</v>
      </c>
      <c r="E5464" t="s">
        <v>6</v>
      </c>
      <c r="F5464">
        <v>2.3149999999999997E-2</v>
      </c>
    </row>
    <row r="5465" spans="1:6" x14ac:dyDescent="0.3">
      <c r="A5465" t="s">
        <v>22</v>
      </c>
      <c r="B5465" s="1">
        <v>45885</v>
      </c>
      <c r="C5465">
        <v>17</v>
      </c>
      <c r="D5465">
        <v>0</v>
      </c>
      <c r="E5465" t="s">
        <v>6</v>
      </c>
      <c r="F5465">
        <v>2.6100000000000002E-2</v>
      </c>
    </row>
    <row r="5466" spans="1:6" x14ac:dyDescent="0.3">
      <c r="A5466" t="s">
        <v>22</v>
      </c>
      <c r="B5466" s="1">
        <v>45885</v>
      </c>
      <c r="C5466">
        <v>18</v>
      </c>
      <c r="D5466">
        <v>0</v>
      </c>
      <c r="E5466" t="s">
        <v>6</v>
      </c>
      <c r="F5466">
        <v>4.752E-2</v>
      </c>
    </row>
    <row r="5467" spans="1:6" x14ac:dyDescent="0.3">
      <c r="A5467" t="s">
        <v>22</v>
      </c>
      <c r="B5467" s="1">
        <v>45885</v>
      </c>
      <c r="C5467">
        <v>19</v>
      </c>
      <c r="D5467">
        <v>0</v>
      </c>
      <c r="E5467" t="s">
        <v>6</v>
      </c>
      <c r="F5467">
        <v>0.10304000000000001</v>
      </c>
    </row>
    <row r="5468" spans="1:6" x14ac:dyDescent="0.3">
      <c r="A5468" t="s">
        <v>22</v>
      </c>
      <c r="B5468" s="1">
        <v>45885</v>
      </c>
      <c r="C5468">
        <v>20</v>
      </c>
      <c r="D5468">
        <v>0.215</v>
      </c>
      <c r="E5468" t="s">
        <v>6</v>
      </c>
      <c r="F5468">
        <v>0.13949</v>
      </c>
    </row>
    <row r="5469" spans="1:6" x14ac:dyDescent="0.3">
      <c r="A5469" t="s">
        <v>22</v>
      </c>
      <c r="B5469" s="1">
        <v>45885</v>
      </c>
      <c r="C5469">
        <v>21</v>
      </c>
      <c r="D5469">
        <v>1.006</v>
      </c>
      <c r="E5469" t="s">
        <v>6</v>
      </c>
      <c r="F5469">
        <v>0.14774000000000001</v>
      </c>
    </row>
    <row r="5470" spans="1:6" x14ac:dyDescent="0.3">
      <c r="A5470" t="s">
        <v>22</v>
      </c>
      <c r="B5470" s="1">
        <v>45885</v>
      </c>
      <c r="C5470">
        <v>22</v>
      </c>
      <c r="D5470">
        <v>0.83699999999999997</v>
      </c>
      <c r="E5470" t="s">
        <v>6</v>
      </c>
      <c r="F5470">
        <v>0.18775999999999998</v>
      </c>
    </row>
    <row r="5471" spans="1:6" x14ac:dyDescent="0.3">
      <c r="A5471" t="s">
        <v>22</v>
      </c>
      <c r="B5471" s="1">
        <v>45885</v>
      </c>
      <c r="C5471">
        <v>23</v>
      </c>
      <c r="D5471">
        <v>0.69499999999999995</v>
      </c>
      <c r="E5471" t="s">
        <v>6</v>
      </c>
      <c r="F5471">
        <v>0.18021999999999999</v>
      </c>
    </row>
    <row r="5472" spans="1:6" x14ac:dyDescent="0.3">
      <c r="A5472" t="s">
        <v>22</v>
      </c>
      <c r="B5472" s="1">
        <v>45885</v>
      </c>
      <c r="C5472">
        <v>24</v>
      </c>
      <c r="D5472">
        <v>0.57299999999999995</v>
      </c>
      <c r="E5472" t="s">
        <v>6</v>
      </c>
      <c r="F5472">
        <v>0.15897999999999998</v>
      </c>
    </row>
    <row r="5473" spans="1:6" x14ac:dyDescent="0.3">
      <c r="A5473" t="s">
        <v>22</v>
      </c>
      <c r="B5473" s="1">
        <v>45886</v>
      </c>
      <c r="C5473">
        <v>1</v>
      </c>
      <c r="D5473">
        <v>0.59199999999999997</v>
      </c>
      <c r="E5473" t="s">
        <v>6</v>
      </c>
      <c r="F5473">
        <v>0.15913999999999998</v>
      </c>
    </row>
    <row r="5474" spans="1:6" x14ac:dyDescent="0.3">
      <c r="A5474" t="s">
        <v>22</v>
      </c>
      <c r="B5474" s="1">
        <v>45886</v>
      </c>
      <c r="C5474">
        <v>2</v>
      </c>
      <c r="D5474">
        <v>0.57399999999999995</v>
      </c>
      <c r="E5474" t="s">
        <v>6</v>
      </c>
      <c r="F5474">
        <v>0.15372</v>
      </c>
    </row>
    <row r="5475" spans="1:6" x14ac:dyDescent="0.3">
      <c r="A5475" t="s">
        <v>22</v>
      </c>
      <c r="B5475" s="1">
        <v>45886</v>
      </c>
      <c r="C5475">
        <v>3</v>
      </c>
      <c r="D5475">
        <v>0.59199999999999997</v>
      </c>
      <c r="E5475" t="s">
        <v>6</v>
      </c>
      <c r="F5475">
        <v>0.14637</v>
      </c>
    </row>
    <row r="5476" spans="1:6" x14ac:dyDescent="0.3">
      <c r="A5476" t="s">
        <v>22</v>
      </c>
      <c r="B5476" s="1">
        <v>45886</v>
      </c>
      <c r="C5476">
        <v>4</v>
      </c>
      <c r="D5476">
        <v>0.53900000000000003</v>
      </c>
      <c r="E5476" t="s">
        <v>6</v>
      </c>
      <c r="F5476">
        <v>0.1447</v>
      </c>
    </row>
    <row r="5477" spans="1:6" x14ac:dyDescent="0.3">
      <c r="A5477" t="s">
        <v>22</v>
      </c>
      <c r="B5477" s="1">
        <v>45886</v>
      </c>
      <c r="C5477">
        <v>5</v>
      </c>
      <c r="D5477">
        <v>0.58199999999999996</v>
      </c>
      <c r="E5477" t="s">
        <v>6</v>
      </c>
      <c r="F5477">
        <v>0.14454</v>
      </c>
    </row>
    <row r="5478" spans="1:6" x14ac:dyDescent="0.3">
      <c r="A5478" t="s">
        <v>22</v>
      </c>
      <c r="B5478" s="1">
        <v>45886</v>
      </c>
      <c r="C5478">
        <v>6</v>
      </c>
      <c r="D5478">
        <v>0.54500000000000004</v>
      </c>
      <c r="E5478" t="s">
        <v>6</v>
      </c>
      <c r="F5478">
        <v>0.14480000000000001</v>
      </c>
    </row>
    <row r="5479" spans="1:6" x14ac:dyDescent="0.3">
      <c r="A5479" t="s">
        <v>22</v>
      </c>
      <c r="B5479" s="1">
        <v>45886</v>
      </c>
      <c r="C5479">
        <v>7</v>
      </c>
      <c r="D5479">
        <v>0.53600000000000003</v>
      </c>
      <c r="E5479" t="s">
        <v>6</v>
      </c>
      <c r="F5479">
        <v>0.14362</v>
      </c>
    </row>
    <row r="5480" spans="1:6" x14ac:dyDescent="0.3">
      <c r="A5480" t="s">
        <v>22</v>
      </c>
      <c r="B5480" s="1">
        <v>45886</v>
      </c>
      <c r="C5480">
        <v>8</v>
      </c>
      <c r="D5480">
        <v>1.167</v>
      </c>
      <c r="E5480" t="s">
        <v>6</v>
      </c>
      <c r="F5480">
        <v>0.14086000000000001</v>
      </c>
    </row>
    <row r="5481" spans="1:6" x14ac:dyDescent="0.3">
      <c r="A5481" t="s">
        <v>22</v>
      </c>
      <c r="B5481" s="1">
        <v>45886</v>
      </c>
      <c r="C5481">
        <v>9</v>
      </c>
      <c r="D5481">
        <v>0</v>
      </c>
      <c r="E5481" t="s">
        <v>6</v>
      </c>
      <c r="F5481">
        <v>0.15028</v>
      </c>
    </row>
    <row r="5482" spans="1:6" x14ac:dyDescent="0.3">
      <c r="A5482" t="s">
        <v>22</v>
      </c>
      <c r="B5482" s="1">
        <v>45886</v>
      </c>
      <c r="C5482">
        <v>10</v>
      </c>
      <c r="D5482">
        <v>0</v>
      </c>
      <c r="E5482" t="s">
        <v>6</v>
      </c>
      <c r="F5482">
        <v>6.7339999999999997E-2</v>
      </c>
    </row>
    <row r="5483" spans="1:6" x14ac:dyDescent="0.3">
      <c r="A5483" t="s">
        <v>22</v>
      </c>
      <c r="B5483" s="1">
        <v>45886</v>
      </c>
      <c r="C5483">
        <v>11</v>
      </c>
      <c r="D5483">
        <v>0</v>
      </c>
      <c r="E5483" t="s">
        <v>6</v>
      </c>
      <c r="F5483">
        <v>4.2840000000000003E-2</v>
      </c>
    </row>
    <row r="5484" spans="1:6" x14ac:dyDescent="0.3">
      <c r="A5484" t="s">
        <v>22</v>
      </c>
      <c r="B5484" s="1">
        <v>45886</v>
      </c>
      <c r="C5484">
        <v>12</v>
      </c>
      <c r="D5484">
        <v>0</v>
      </c>
      <c r="E5484" t="s">
        <v>6</v>
      </c>
      <c r="F5484">
        <v>3.2409999999999994E-2</v>
      </c>
    </row>
    <row r="5485" spans="1:6" x14ac:dyDescent="0.3">
      <c r="A5485" t="s">
        <v>22</v>
      </c>
      <c r="B5485" s="1">
        <v>45886</v>
      </c>
      <c r="C5485">
        <v>13</v>
      </c>
      <c r="D5485">
        <v>0</v>
      </c>
      <c r="E5485" t="s">
        <v>6</v>
      </c>
      <c r="F5485">
        <v>3.1530000000000002E-2</v>
      </c>
    </row>
    <row r="5486" spans="1:6" x14ac:dyDescent="0.3">
      <c r="A5486" t="s">
        <v>22</v>
      </c>
      <c r="B5486" s="1">
        <v>45886</v>
      </c>
      <c r="C5486">
        <v>14</v>
      </c>
      <c r="D5486">
        <v>0</v>
      </c>
      <c r="E5486" t="s">
        <v>6</v>
      </c>
      <c r="F5486">
        <v>3.048E-2</v>
      </c>
    </row>
    <row r="5487" spans="1:6" x14ac:dyDescent="0.3">
      <c r="A5487" t="s">
        <v>22</v>
      </c>
      <c r="B5487" s="1">
        <v>45886</v>
      </c>
      <c r="C5487">
        <v>15</v>
      </c>
      <c r="D5487">
        <v>0</v>
      </c>
      <c r="E5487" t="s">
        <v>6</v>
      </c>
      <c r="F5487">
        <v>3.006E-2</v>
      </c>
    </row>
    <row r="5488" spans="1:6" x14ac:dyDescent="0.3">
      <c r="A5488" t="s">
        <v>22</v>
      </c>
      <c r="B5488" s="1">
        <v>45886</v>
      </c>
      <c r="C5488">
        <v>16</v>
      </c>
      <c r="D5488">
        <v>0</v>
      </c>
      <c r="E5488" t="s">
        <v>6</v>
      </c>
      <c r="F5488">
        <v>2.9989999999999999E-2</v>
      </c>
    </row>
    <row r="5489" spans="1:6" x14ac:dyDescent="0.3">
      <c r="A5489" t="s">
        <v>22</v>
      </c>
      <c r="B5489" s="1">
        <v>45886</v>
      </c>
      <c r="C5489">
        <v>17</v>
      </c>
      <c r="D5489">
        <v>0</v>
      </c>
      <c r="E5489" t="s">
        <v>6</v>
      </c>
      <c r="F5489">
        <v>3.5310000000000001E-2</v>
      </c>
    </row>
    <row r="5490" spans="1:6" x14ac:dyDescent="0.3">
      <c r="A5490" t="s">
        <v>22</v>
      </c>
      <c r="B5490" s="1">
        <v>45886</v>
      </c>
      <c r="C5490">
        <v>18</v>
      </c>
      <c r="D5490">
        <v>0</v>
      </c>
      <c r="E5490" t="s">
        <v>6</v>
      </c>
      <c r="F5490">
        <v>4.7759999999999997E-2</v>
      </c>
    </row>
    <row r="5491" spans="1:6" x14ac:dyDescent="0.3">
      <c r="A5491" t="s">
        <v>22</v>
      </c>
      <c r="B5491" s="1">
        <v>45886</v>
      </c>
      <c r="C5491">
        <v>19</v>
      </c>
      <c r="D5491">
        <v>0</v>
      </c>
      <c r="E5491" t="s">
        <v>6</v>
      </c>
      <c r="F5491">
        <v>8.929999999999999E-2</v>
      </c>
    </row>
    <row r="5492" spans="1:6" x14ac:dyDescent="0.3">
      <c r="A5492" t="s">
        <v>22</v>
      </c>
      <c r="B5492" s="1">
        <v>45886</v>
      </c>
      <c r="C5492">
        <v>20</v>
      </c>
      <c r="D5492">
        <v>0.27900000000000003</v>
      </c>
      <c r="E5492" t="s">
        <v>6</v>
      </c>
      <c r="F5492">
        <v>0.13766</v>
      </c>
    </row>
    <row r="5493" spans="1:6" x14ac:dyDescent="0.3">
      <c r="A5493" t="s">
        <v>22</v>
      </c>
      <c r="B5493" s="1">
        <v>45886</v>
      </c>
      <c r="C5493">
        <v>21</v>
      </c>
      <c r="D5493">
        <v>0.54200000000000004</v>
      </c>
      <c r="E5493" t="s">
        <v>6</v>
      </c>
      <c r="F5493">
        <v>0.15167</v>
      </c>
    </row>
    <row r="5494" spans="1:6" x14ac:dyDescent="0.3">
      <c r="A5494" t="s">
        <v>22</v>
      </c>
      <c r="B5494" s="1">
        <v>45886</v>
      </c>
      <c r="C5494">
        <v>22</v>
      </c>
      <c r="D5494">
        <v>0.60599999999999998</v>
      </c>
      <c r="E5494" t="s">
        <v>6</v>
      </c>
      <c r="F5494">
        <v>0.16694999999999999</v>
      </c>
    </row>
    <row r="5495" spans="1:6" x14ac:dyDescent="0.3">
      <c r="A5495" t="s">
        <v>22</v>
      </c>
      <c r="B5495" s="1">
        <v>45886</v>
      </c>
      <c r="C5495">
        <v>23</v>
      </c>
      <c r="D5495">
        <v>0.54</v>
      </c>
      <c r="E5495" t="s">
        <v>6</v>
      </c>
      <c r="F5495">
        <v>0.17430000000000001</v>
      </c>
    </row>
    <row r="5496" spans="1:6" x14ac:dyDescent="0.3">
      <c r="A5496" t="s">
        <v>22</v>
      </c>
      <c r="B5496" s="1">
        <v>45886</v>
      </c>
      <c r="C5496">
        <v>24</v>
      </c>
      <c r="D5496">
        <v>0.64200000000000002</v>
      </c>
      <c r="E5496" t="s">
        <v>6</v>
      </c>
      <c r="F5496">
        <v>0.15890000000000001</v>
      </c>
    </row>
    <row r="5497" spans="1:6" x14ac:dyDescent="0.3">
      <c r="A5497" t="s">
        <v>22</v>
      </c>
      <c r="B5497" s="1">
        <v>45887</v>
      </c>
      <c r="C5497">
        <v>1</v>
      </c>
      <c r="D5497">
        <v>0.57699999999999996</v>
      </c>
      <c r="E5497" t="s">
        <v>6</v>
      </c>
      <c r="F5497">
        <v>0.13708000000000001</v>
      </c>
    </row>
    <row r="5498" spans="1:6" x14ac:dyDescent="0.3">
      <c r="A5498" t="s">
        <v>22</v>
      </c>
      <c r="B5498" s="1">
        <v>45887</v>
      </c>
      <c r="C5498">
        <v>2</v>
      </c>
      <c r="D5498">
        <v>0.47799999999999998</v>
      </c>
      <c r="E5498" t="s">
        <v>6</v>
      </c>
      <c r="F5498">
        <v>0.13337000000000002</v>
      </c>
    </row>
    <row r="5499" spans="1:6" x14ac:dyDescent="0.3">
      <c r="A5499" t="s">
        <v>22</v>
      </c>
      <c r="B5499" s="1">
        <v>45887</v>
      </c>
      <c r="C5499">
        <v>3</v>
      </c>
      <c r="D5499">
        <v>0.64200000000000002</v>
      </c>
      <c r="E5499" t="s">
        <v>6</v>
      </c>
      <c r="F5499">
        <v>0.13220999999999999</v>
      </c>
    </row>
    <row r="5500" spans="1:6" x14ac:dyDescent="0.3">
      <c r="A5500" t="s">
        <v>22</v>
      </c>
      <c r="B5500" s="1">
        <v>45887</v>
      </c>
      <c r="C5500">
        <v>4</v>
      </c>
      <c r="D5500">
        <v>1.175</v>
      </c>
      <c r="E5500" t="s">
        <v>6</v>
      </c>
      <c r="F5500">
        <v>0.13049000000000002</v>
      </c>
    </row>
    <row r="5501" spans="1:6" x14ac:dyDescent="0.3">
      <c r="A5501" t="s">
        <v>22</v>
      </c>
      <c r="B5501" s="1">
        <v>45887</v>
      </c>
      <c r="C5501">
        <v>5</v>
      </c>
      <c r="D5501">
        <v>0.66500000000000004</v>
      </c>
      <c r="E5501" t="s">
        <v>6</v>
      </c>
      <c r="F5501">
        <v>0.12648000000000001</v>
      </c>
    </row>
    <row r="5502" spans="1:6" x14ac:dyDescent="0.3">
      <c r="A5502" t="s">
        <v>22</v>
      </c>
      <c r="B5502" s="1">
        <v>45887</v>
      </c>
      <c r="C5502">
        <v>6</v>
      </c>
      <c r="D5502">
        <v>0.503</v>
      </c>
      <c r="E5502" t="s">
        <v>6</v>
      </c>
      <c r="F5502">
        <v>0.12802000000000002</v>
      </c>
    </row>
    <row r="5503" spans="1:6" x14ac:dyDescent="0.3">
      <c r="A5503" t="s">
        <v>22</v>
      </c>
      <c r="B5503" s="1">
        <v>45887</v>
      </c>
      <c r="C5503">
        <v>7</v>
      </c>
      <c r="D5503">
        <v>0.52600000000000002</v>
      </c>
      <c r="E5503" t="s">
        <v>6</v>
      </c>
      <c r="F5503">
        <v>0.13437000000000002</v>
      </c>
    </row>
    <row r="5504" spans="1:6" x14ac:dyDescent="0.3">
      <c r="A5504" t="s">
        <v>22</v>
      </c>
      <c r="B5504" s="1">
        <v>45887</v>
      </c>
      <c r="C5504">
        <v>8</v>
      </c>
      <c r="D5504">
        <v>0.45700000000000002</v>
      </c>
      <c r="E5504" t="s">
        <v>6</v>
      </c>
      <c r="F5504">
        <v>0.13707</v>
      </c>
    </row>
    <row r="5505" spans="1:6" x14ac:dyDescent="0.3">
      <c r="A5505" t="s">
        <v>22</v>
      </c>
      <c r="B5505" s="1">
        <v>45887</v>
      </c>
      <c r="C5505">
        <v>9</v>
      </c>
      <c r="D5505">
        <v>0</v>
      </c>
      <c r="E5505" t="s">
        <v>6</v>
      </c>
      <c r="F5505">
        <v>0.15949000000000002</v>
      </c>
    </row>
    <row r="5506" spans="1:6" x14ac:dyDescent="0.3">
      <c r="A5506" t="s">
        <v>22</v>
      </c>
      <c r="B5506" s="1">
        <v>45887</v>
      </c>
      <c r="C5506">
        <v>10</v>
      </c>
      <c r="D5506">
        <v>0</v>
      </c>
      <c r="E5506" t="s">
        <v>6</v>
      </c>
      <c r="F5506">
        <v>0.15683000000000002</v>
      </c>
    </row>
    <row r="5507" spans="1:6" x14ac:dyDescent="0.3">
      <c r="A5507" t="s">
        <v>22</v>
      </c>
      <c r="B5507" s="1">
        <v>45887</v>
      </c>
      <c r="C5507">
        <v>11</v>
      </c>
      <c r="D5507">
        <v>0</v>
      </c>
      <c r="E5507" t="s">
        <v>6</v>
      </c>
      <c r="F5507">
        <v>0.21195</v>
      </c>
    </row>
    <row r="5508" spans="1:6" x14ac:dyDescent="0.3">
      <c r="A5508" t="s">
        <v>22</v>
      </c>
      <c r="B5508" s="1">
        <v>45887</v>
      </c>
      <c r="C5508">
        <v>12</v>
      </c>
      <c r="D5508">
        <v>0</v>
      </c>
      <c r="E5508" t="s">
        <v>6</v>
      </c>
      <c r="F5508">
        <v>0.19022999999999998</v>
      </c>
    </row>
    <row r="5509" spans="1:6" x14ac:dyDescent="0.3">
      <c r="A5509" t="s">
        <v>22</v>
      </c>
      <c r="B5509" s="1">
        <v>45887</v>
      </c>
      <c r="C5509">
        <v>13</v>
      </c>
      <c r="D5509">
        <v>0</v>
      </c>
      <c r="E5509" t="s">
        <v>6</v>
      </c>
      <c r="F5509">
        <v>0.18365000000000001</v>
      </c>
    </row>
    <row r="5510" spans="1:6" x14ac:dyDescent="0.3">
      <c r="A5510" t="s">
        <v>22</v>
      </c>
      <c r="B5510" s="1">
        <v>45887</v>
      </c>
      <c r="C5510">
        <v>14</v>
      </c>
      <c r="D5510">
        <v>0</v>
      </c>
      <c r="E5510" t="s">
        <v>6</v>
      </c>
      <c r="F5510">
        <v>0.18084999999999998</v>
      </c>
    </row>
    <row r="5511" spans="1:6" x14ac:dyDescent="0.3">
      <c r="A5511" t="s">
        <v>22</v>
      </c>
      <c r="B5511" s="1">
        <v>45887</v>
      </c>
      <c r="C5511">
        <v>15</v>
      </c>
      <c r="D5511">
        <v>0</v>
      </c>
      <c r="E5511" t="s">
        <v>6</v>
      </c>
      <c r="F5511">
        <v>0.1145</v>
      </c>
    </row>
    <row r="5512" spans="1:6" x14ac:dyDescent="0.3">
      <c r="A5512" t="s">
        <v>22</v>
      </c>
      <c r="B5512" s="1">
        <v>45887</v>
      </c>
      <c r="C5512">
        <v>16</v>
      </c>
      <c r="D5512">
        <v>0</v>
      </c>
      <c r="E5512" t="s">
        <v>6</v>
      </c>
      <c r="F5512">
        <v>0.10615000000000001</v>
      </c>
    </row>
    <row r="5513" spans="1:6" x14ac:dyDescent="0.3">
      <c r="A5513" t="s">
        <v>22</v>
      </c>
      <c r="B5513" s="1">
        <v>45887</v>
      </c>
      <c r="C5513">
        <v>17</v>
      </c>
      <c r="D5513">
        <v>0</v>
      </c>
      <c r="E5513" t="s">
        <v>6</v>
      </c>
      <c r="F5513">
        <v>0.11600000000000001</v>
      </c>
    </row>
    <row r="5514" spans="1:6" x14ac:dyDescent="0.3">
      <c r="A5514" t="s">
        <v>22</v>
      </c>
      <c r="B5514" s="1">
        <v>45887</v>
      </c>
      <c r="C5514">
        <v>18</v>
      </c>
      <c r="D5514">
        <v>0</v>
      </c>
      <c r="E5514" t="s">
        <v>6</v>
      </c>
      <c r="F5514">
        <v>0.13488999999999998</v>
      </c>
    </row>
    <row r="5515" spans="1:6" x14ac:dyDescent="0.3">
      <c r="A5515" t="s">
        <v>22</v>
      </c>
      <c r="B5515" s="1">
        <v>45887</v>
      </c>
      <c r="C5515">
        <v>19</v>
      </c>
      <c r="D5515">
        <v>5.2999999999999999E-2</v>
      </c>
      <c r="E5515" t="s">
        <v>6</v>
      </c>
      <c r="F5515">
        <v>0.22397</v>
      </c>
    </row>
    <row r="5516" spans="1:6" x14ac:dyDescent="0.3">
      <c r="A5516" t="s">
        <v>22</v>
      </c>
      <c r="B5516" s="1">
        <v>45887</v>
      </c>
      <c r="C5516">
        <v>20</v>
      </c>
      <c r="D5516">
        <v>0.42199999999999999</v>
      </c>
      <c r="E5516" t="s">
        <v>6</v>
      </c>
      <c r="F5516">
        <v>0.23322000000000001</v>
      </c>
    </row>
    <row r="5517" spans="1:6" x14ac:dyDescent="0.3">
      <c r="A5517" t="s">
        <v>22</v>
      </c>
      <c r="B5517" s="1">
        <v>45887</v>
      </c>
      <c r="C5517">
        <v>21</v>
      </c>
      <c r="D5517">
        <v>0.621</v>
      </c>
      <c r="E5517" t="s">
        <v>6</v>
      </c>
      <c r="F5517">
        <v>0.23951</v>
      </c>
    </row>
    <row r="5518" spans="1:6" x14ac:dyDescent="0.3">
      <c r="A5518" t="s">
        <v>22</v>
      </c>
      <c r="B5518" s="1">
        <v>45887</v>
      </c>
      <c r="C5518">
        <v>22</v>
      </c>
      <c r="D5518">
        <v>0.52600000000000002</v>
      </c>
      <c r="E5518" t="s">
        <v>6</v>
      </c>
      <c r="F5518">
        <v>0.24215999999999999</v>
      </c>
    </row>
    <row r="5519" spans="1:6" x14ac:dyDescent="0.3">
      <c r="A5519" t="s">
        <v>22</v>
      </c>
      <c r="B5519" s="1">
        <v>45887</v>
      </c>
      <c r="C5519">
        <v>23</v>
      </c>
      <c r="D5519">
        <v>0.58599999999999997</v>
      </c>
      <c r="E5519" t="s">
        <v>6</v>
      </c>
      <c r="F5519">
        <v>0.17005999999999999</v>
      </c>
    </row>
    <row r="5520" spans="1:6" x14ac:dyDescent="0.3">
      <c r="A5520" t="s">
        <v>22</v>
      </c>
      <c r="B5520" s="1">
        <v>45887</v>
      </c>
      <c r="C5520">
        <v>24</v>
      </c>
      <c r="D5520">
        <v>0.57399999999999995</v>
      </c>
      <c r="E5520" t="s">
        <v>6</v>
      </c>
      <c r="F5520">
        <v>0.16256999999999999</v>
      </c>
    </row>
    <row r="5521" spans="1:6" x14ac:dyDescent="0.3">
      <c r="A5521" t="s">
        <v>22</v>
      </c>
      <c r="B5521" s="1">
        <v>45888</v>
      </c>
      <c r="C5521">
        <v>1</v>
      </c>
      <c r="D5521">
        <v>0.58199999999999996</v>
      </c>
      <c r="E5521" t="s">
        <v>6</v>
      </c>
      <c r="F5521">
        <v>0.13972000000000001</v>
      </c>
    </row>
    <row r="5522" spans="1:6" x14ac:dyDescent="0.3">
      <c r="A5522" t="s">
        <v>22</v>
      </c>
      <c r="B5522" s="1">
        <v>45888</v>
      </c>
      <c r="C5522">
        <v>2</v>
      </c>
      <c r="D5522">
        <v>1.2549999999999999</v>
      </c>
      <c r="E5522" t="s">
        <v>6</v>
      </c>
      <c r="F5522">
        <v>0.13825000000000001</v>
      </c>
    </row>
    <row r="5523" spans="1:6" x14ac:dyDescent="0.3">
      <c r="A5523" t="s">
        <v>22</v>
      </c>
      <c r="B5523" s="1">
        <v>45888</v>
      </c>
      <c r="C5523">
        <v>3</v>
      </c>
      <c r="D5523">
        <v>0.52300000000000002</v>
      </c>
      <c r="E5523" t="s">
        <v>6</v>
      </c>
      <c r="F5523">
        <v>0.13596</v>
      </c>
    </row>
    <row r="5524" spans="1:6" x14ac:dyDescent="0.3">
      <c r="A5524" t="s">
        <v>22</v>
      </c>
      <c r="B5524" s="1">
        <v>45888</v>
      </c>
      <c r="C5524">
        <v>4</v>
      </c>
      <c r="D5524">
        <v>0.53800000000000003</v>
      </c>
      <c r="E5524" t="s">
        <v>6</v>
      </c>
      <c r="F5524">
        <v>0.12737999999999999</v>
      </c>
    </row>
    <row r="5525" spans="1:6" x14ac:dyDescent="0.3">
      <c r="A5525" t="s">
        <v>22</v>
      </c>
      <c r="B5525" s="1">
        <v>45888</v>
      </c>
      <c r="C5525">
        <v>5</v>
      </c>
      <c r="D5525">
        <v>0.56699999999999995</v>
      </c>
      <c r="E5525" t="s">
        <v>6</v>
      </c>
      <c r="F5525">
        <v>0.12569</v>
      </c>
    </row>
    <row r="5526" spans="1:6" x14ac:dyDescent="0.3">
      <c r="A5526" t="s">
        <v>22</v>
      </c>
      <c r="B5526" s="1">
        <v>45888</v>
      </c>
      <c r="C5526">
        <v>6</v>
      </c>
      <c r="D5526">
        <v>0.51400000000000001</v>
      </c>
      <c r="E5526" t="s">
        <v>6</v>
      </c>
      <c r="F5526">
        <v>0.12614</v>
      </c>
    </row>
    <row r="5527" spans="1:6" x14ac:dyDescent="0.3">
      <c r="A5527" t="s">
        <v>22</v>
      </c>
      <c r="B5527" s="1">
        <v>45888</v>
      </c>
      <c r="C5527">
        <v>7</v>
      </c>
      <c r="D5527">
        <v>0.54600000000000004</v>
      </c>
      <c r="E5527" t="s">
        <v>6</v>
      </c>
      <c r="F5527">
        <v>0.13708000000000001</v>
      </c>
    </row>
    <row r="5528" spans="1:6" x14ac:dyDescent="0.3">
      <c r="A5528" t="s">
        <v>22</v>
      </c>
      <c r="B5528" s="1">
        <v>45888</v>
      </c>
      <c r="C5528">
        <v>8</v>
      </c>
      <c r="D5528">
        <v>0.497</v>
      </c>
      <c r="E5528" t="s">
        <v>6</v>
      </c>
      <c r="F5528">
        <v>0.14165</v>
      </c>
    </row>
    <row r="5529" spans="1:6" x14ac:dyDescent="0.3">
      <c r="A5529" t="s">
        <v>22</v>
      </c>
      <c r="B5529" s="1">
        <v>45888</v>
      </c>
      <c r="C5529">
        <v>9</v>
      </c>
      <c r="D5529">
        <v>0.53300000000000003</v>
      </c>
      <c r="E5529" t="s">
        <v>6</v>
      </c>
      <c r="F5529">
        <v>0.15897</v>
      </c>
    </row>
    <row r="5530" spans="1:6" x14ac:dyDescent="0.3">
      <c r="A5530" t="s">
        <v>22</v>
      </c>
      <c r="B5530" s="1">
        <v>45888</v>
      </c>
      <c r="C5530">
        <v>10</v>
      </c>
      <c r="D5530">
        <v>1.298</v>
      </c>
      <c r="E5530" t="s">
        <v>6</v>
      </c>
      <c r="F5530">
        <v>0.14752999999999999</v>
      </c>
    </row>
    <row r="5531" spans="1:6" x14ac:dyDescent="0.3">
      <c r="A5531" t="s">
        <v>22</v>
      </c>
      <c r="B5531" s="1">
        <v>45888</v>
      </c>
      <c r="C5531">
        <v>11</v>
      </c>
      <c r="D5531">
        <v>1.526</v>
      </c>
      <c r="E5531" t="s">
        <v>6</v>
      </c>
      <c r="F5531">
        <v>0.19215000000000002</v>
      </c>
    </row>
    <row r="5532" spans="1:6" x14ac:dyDescent="0.3">
      <c r="A5532" t="s">
        <v>22</v>
      </c>
      <c r="B5532" s="1">
        <v>45888</v>
      </c>
      <c r="C5532">
        <v>12</v>
      </c>
      <c r="D5532">
        <v>1.4790000000000001</v>
      </c>
      <c r="E5532" t="s">
        <v>6</v>
      </c>
      <c r="F5532">
        <v>0.16631000000000001</v>
      </c>
    </row>
    <row r="5533" spans="1:6" x14ac:dyDescent="0.3">
      <c r="A5533" t="s">
        <v>22</v>
      </c>
      <c r="B5533" s="1">
        <v>45888</v>
      </c>
      <c r="C5533">
        <v>13</v>
      </c>
      <c r="D5533">
        <v>2.278</v>
      </c>
      <c r="E5533" t="s">
        <v>6</v>
      </c>
      <c r="F5533">
        <v>0.15112999999999999</v>
      </c>
    </row>
    <row r="5534" spans="1:6" x14ac:dyDescent="0.3">
      <c r="A5534" t="s">
        <v>22</v>
      </c>
      <c r="B5534" s="1">
        <v>45888</v>
      </c>
      <c r="C5534">
        <v>14</v>
      </c>
      <c r="D5534">
        <v>1.534</v>
      </c>
      <c r="E5534" t="s">
        <v>6</v>
      </c>
      <c r="F5534">
        <v>0.14671999999999999</v>
      </c>
    </row>
    <row r="5535" spans="1:6" x14ac:dyDescent="0.3">
      <c r="A5535" t="s">
        <v>22</v>
      </c>
      <c r="B5535" s="1">
        <v>45888</v>
      </c>
      <c r="C5535">
        <v>15</v>
      </c>
      <c r="D5535">
        <v>1.5149999999999999</v>
      </c>
      <c r="E5535" t="s">
        <v>6</v>
      </c>
      <c r="F5535">
        <v>8.3069999999999991E-2</v>
      </c>
    </row>
    <row r="5536" spans="1:6" x14ac:dyDescent="0.3">
      <c r="A5536" t="s">
        <v>22</v>
      </c>
      <c r="B5536" s="1">
        <v>45888</v>
      </c>
      <c r="C5536">
        <v>16</v>
      </c>
      <c r="D5536">
        <v>1.56</v>
      </c>
      <c r="E5536" t="s">
        <v>6</v>
      </c>
      <c r="F5536">
        <v>9.5769999999999994E-2</v>
      </c>
    </row>
    <row r="5537" spans="1:6" x14ac:dyDescent="0.3">
      <c r="A5537" t="s">
        <v>22</v>
      </c>
      <c r="B5537" s="1">
        <v>45888</v>
      </c>
      <c r="C5537">
        <v>17</v>
      </c>
      <c r="D5537">
        <v>0.79</v>
      </c>
      <c r="E5537" t="s">
        <v>6</v>
      </c>
      <c r="F5537">
        <v>0.10360999999999999</v>
      </c>
    </row>
    <row r="5538" spans="1:6" x14ac:dyDescent="0.3">
      <c r="A5538" t="s">
        <v>22</v>
      </c>
      <c r="B5538" s="1">
        <v>45888</v>
      </c>
      <c r="C5538">
        <v>18</v>
      </c>
      <c r="D5538">
        <v>0.624</v>
      </c>
      <c r="E5538" t="s">
        <v>6</v>
      </c>
      <c r="F5538">
        <v>0.10593999999999999</v>
      </c>
    </row>
    <row r="5539" spans="1:6" x14ac:dyDescent="0.3">
      <c r="A5539" t="s">
        <v>22</v>
      </c>
      <c r="B5539" s="1">
        <v>45888</v>
      </c>
      <c r="C5539">
        <v>19</v>
      </c>
      <c r="D5539">
        <v>0.59299999999999997</v>
      </c>
      <c r="E5539" t="s">
        <v>6</v>
      </c>
      <c r="F5539">
        <v>0.18806</v>
      </c>
    </row>
    <row r="5540" spans="1:6" x14ac:dyDescent="0.3">
      <c r="A5540" t="s">
        <v>22</v>
      </c>
      <c r="B5540" s="1">
        <v>45888</v>
      </c>
      <c r="C5540">
        <v>20</v>
      </c>
      <c r="D5540">
        <v>0.51400000000000001</v>
      </c>
      <c r="E5540" t="s">
        <v>6</v>
      </c>
      <c r="F5540">
        <v>0.21447999999999998</v>
      </c>
    </row>
    <row r="5541" spans="1:6" x14ac:dyDescent="0.3">
      <c r="A5541" t="s">
        <v>22</v>
      </c>
      <c r="B5541" s="1">
        <v>45888</v>
      </c>
      <c r="C5541">
        <v>21</v>
      </c>
      <c r="D5541">
        <v>0.48</v>
      </c>
      <c r="E5541" t="s">
        <v>6</v>
      </c>
      <c r="F5541">
        <v>0.22409000000000001</v>
      </c>
    </row>
    <row r="5542" spans="1:6" x14ac:dyDescent="0.3">
      <c r="A5542" t="s">
        <v>22</v>
      </c>
      <c r="B5542" s="1">
        <v>45888</v>
      </c>
      <c r="C5542">
        <v>22</v>
      </c>
      <c r="D5542">
        <v>0.67200000000000004</v>
      </c>
      <c r="E5542" t="s">
        <v>6</v>
      </c>
      <c r="F5542">
        <v>0.23607</v>
      </c>
    </row>
    <row r="5543" spans="1:6" x14ac:dyDescent="0.3">
      <c r="A5543" t="s">
        <v>22</v>
      </c>
      <c r="B5543" s="1">
        <v>45888</v>
      </c>
      <c r="C5543">
        <v>23</v>
      </c>
      <c r="D5543">
        <v>0.82899999999999996</v>
      </c>
      <c r="E5543" t="s">
        <v>6</v>
      </c>
      <c r="F5543">
        <v>0.17068</v>
      </c>
    </row>
    <row r="5544" spans="1:6" x14ac:dyDescent="0.3">
      <c r="A5544" t="s">
        <v>22</v>
      </c>
      <c r="B5544" s="1">
        <v>45888</v>
      </c>
      <c r="C5544">
        <v>24</v>
      </c>
      <c r="D5544">
        <v>1.4059999999999999</v>
      </c>
      <c r="E5544" t="s">
        <v>6</v>
      </c>
      <c r="F5544">
        <v>0.16388</v>
      </c>
    </row>
    <row r="5545" spans="1:6" x14ac:dyDescent="0.3">
      <c r="A5545" t="s">
        <v>22</v>
      </c>
      <c r="B5545" s="1">
        <v>45889</v>
      </c>
      <c r="C5545">
        <v>1</v>
      </c>
      <c r="D5545">
        <v>0.57299999999999995</v>
      </c>
      <c r="E5545" t="s">
        <v>6</v>
      </c>
      <c r="F5545">
        <v>0.13941000000000001</v>
      </c>
    </row>
    <row r="5546" spans="1:6" x14ac:dyDescent="0.3">
      <c r="A5546" t="s">
        <v>22</v>
      </c>
      <c r="B5546" s="1">
        <v>45889</v>
      </c>
      <c r="C5546">
        <v>2</v>
      </c>
      <c r="D5546">
        <v>0.46</v>
      </c>
      <c r="E5546" t="s">
        <v>6</v>
      </c>
      <c r="F5546">
        <v>0.13268000000000002</v>
      </c>
    </row>
    <row r="5547" spans="1:6" x14ac:dyDescent="0.3">
      <c r="A5547" t="s">
        <v>22</v>
      </c>
      <c r="B5547" s="1">
        <v>45889</v>
      </c>
      <c r="C5547">
        <v>3</v>
      </c>
      <c r="D5547">
        <v>0.57599999999999996</v>
      </c>
      <c r="E5547" t="s">
        <v>6</v>
      </c>
      <c r="F5547">
        <v>0.12872999999999998</v>
      </c>
    </row>
    <row r="5548" spans="1:6" x14ac:dyDescent="0.3">
      <c r="A5548" t="s">
        <v>22</v>
      </c>
      <c r="B5548" s="1">
        <v>45889</v>
      </c>
      <c r="C5548">
        <v>4</v>
      </c>
      <c r="D5548">
        <v>0.45800000000000002</v>
      </c>
      <c r="E5548" t="s">
        <v>6</v>
      </c>
      <c r="F5548">
        <v>0.12323000000000001</v>
      </c>
    </row>
    <row r="5549" spans="1:6" x14ac:dyDescent="0.3">
      <c r="A5549" t="s">
        <v>22</v>
      </c>
      <c r="B5549" s="1">
        <v>45889</v>
      </c>
      <c r="C5549">
        <v>5</v>
      </c>
      <c r="D5549">
        <v>0.46899999999999997</v>
      </c>
      <c r="E5549" t="s">
        <v>6</v>
      </c>
      <c r="F5549">
        <v>0.11892</v>
      </c>
    </row>
    <row r="5550" spans="1:6" x14ac:dyDescent="0.3">
      <c r="A5550" t="s">
        <v>22</v>
      </c>
      <c r="B5550" s="1">
        <v>45889</v>
      </c>
      <c r="C5550">
        <v>6</v>
      </c>
      <c r="D5550">
        <v>0.47299999999999998</v>
      </c>
      <c r="E5550" t="s">
        <v>6</v>
      </c>
      <c r="F5550">
        <v>0.12397</v>
      </c>
    </row>
    <row r="5551" spans="1:6" x14ac:dyDescent="0.3">
      <c r="A5551" t="s">
        <v>22</v>
      </c>
      <c r="B5551" s="1">
        <v>45889</v>
      </c>
      <c r="C5551">
        <v>7</v>
      </c>
      <c r="D5551">
        <v>0.44</v>
      </c>
      <c r="E5551" t="s">
        <v>6</v>
      </c>
      <c r="F5551">
        <v>0.13386000000000001</v>
      </c>
    </row>
    <row r="5552" spans="1:6" x14ac:dyDescent="0.3">
      <c r="A5552" t="s">
        <v>22</v>
      </c>
      <c r="B5552" s="1">
        <v>45889</v>
      </c>
      <c r="C5552">
        <v>8</v>
      </c>
      <c r="D5552">
        <v>0.49299999999999999</v>
      </c>
      <c r="E5552" t="s">
        <v>6</v>
      </c>
      <c r="F5552">
        <v>0.14878</v>
      </c>
    </row>
    <row r="5553" spans="1:6" x14ac:dyDescent="0.3">
      <c r="A5553" t="s">
        <v>22</v>
      </c>
      <c r="B5553" s="1">
        <v>45889</v>
      </c>
      <c r="C5553">
        <v>9</v>
      </c>
      <c r="D5553">
        <v>0.432</v>
      </c>
      <c r="E5553" t="s">
        <v>6</v>
      </c>
      <c r="F5553">
        <v>0.15887999999999999</v>
      </c>
    </row>
    <row r="5554" spans="1:6" x14ac:dyDescent="0.3">
      <c r="A5554" t="s">
        <v>22</v>
      </c>
      <c r="B5554" s="1">
        <v>45889</v>
      </c>
      <c r="C5554">
        <v>10</v>
      </c>
      <c r="D5554">
        <v>2</v>
      </c>
      <c r="E5554" t="s">
        <v>6</v>
      </c>
      <c r="F5554">
        <v>0.13633000000000001</v>
      </c>
    </row>
    <row r="5555" spans="1:6" x14ac:dyDescent="0.3">
      <c r="A5555" t="s">
        <v>22</v>
      </c>
      <c r="B5555" s="1">
        <v>45889</v>
      </c>
      <c r="C5555">
        <v>11</v>
      </c>
      <c r="D5555">
        <v>1.5249999999999999</v>
      </c>
      <c r="E5555" t="s">
        <v>6</v>
      </c>
      <c r="F5555">
        <v>0.17784</v>
      </c>
    </row>
    <row r="5556" spans="1:6" x14ac:dyDescent="0.3">
      <c r="A5556" t="s">
        <v>22</v>
      </c>
      <c r="B5556" s="1">
        <v>45889</v>
      </c>
      <c r="C5556">
        <v>12</v>
      </c>
      <c r="D5556">
        <v>1.4710000000000001</v>
      </c>
      <c r="E5556" t="s">
        <v>6</v>
      </c>
      <c r="F5556">
        <v>0.17690999999999998</v>
      </c>
    </row>
    <row r="5557" spans="1:6" x14ac:dyDescent="0.3">
      <c r="A5557" t="s">
        <v>22</v>
      </c>
      <c r="B5557" s="1">
        <v>45889</v>
      </c>
      <c r="C5557">
        <v>13</v>
      </c>
      <c r="D5557">
        <v>1.591</v>
      </c>
      <c r="E5557" t="s">
        <v>6</v>
      </c>
      <c r="F5557">
        <v>0.17574999999999999</v>
      </c>
    </row>
    <row r="5558" spans="1:6" x14ac:dyDescent="0.3">
      <c r="A5558" t="s">
        <v>22</v>
      </c>
      <c r="B5558" s="1">
        <v>45889</v>
      </c>
      <c r="C5558">
        <v>14</v>
      </c>
      <c r="D5558">
        <v>1.6990000000000001</v>
      </c>
      <c r="E5558" t="s">
        <v>6</v>
      </c>
      <c r="F5558">
        <v>0.15855000000000002</v>
      </c>
    </row>
    <row r="5559" spans="1:6" x14ac:dyDescent="0.3">
      <c r="A5559" t="s">
        <v>22</v>
      </c>
      <c r="B5559" s="1">
        <v>45889</v>
      </c>
      <c r="C5559">
        <v>15</v>
      </c>
      <c r="D5559">
        <v>1.675</v>
      </c>
      <c r="E5559" t="s">
        <v>6</v>
      </c>
      <c r="F5559">
        <v>8.9709999999999998E-2</v>
      </c>
    </row>
    <row r="5560" spans="1:6" x14ac:dyDescent="0.3">
      <c r="A5560" t="s">
        <v>22</v>
      </c>
      <c r="B5560" s="1">
        <v>45889</v>
      </c>
      <c r="C5560">
        <v>16</v>
      </c>
      <c r="D5560">
        <v>1.6439999999999999</v>
      </c>
      <c r="E5560" t="s">
        <v>6</v>
      </c>
      <c r="F5560">
        <v>8.5239999999999996E-2</v>
      </c>
    </row>
    <row r="5561" spans="1:6" x14ac:dyDescent="0.3">
      <c r="A5561" t="s">
        <v>22</v>
      </c>
      <c r="B5561" s="1">
        <v>45889</v>
      </c>
      <c r="C5561">
        <v>17</v>
      </c>
      <c r="D5561">
        <v>0.95499999999999996</v>
      </c>
      <c r="E5561" t="s">
        <v>6</v>
      </c>
      <c r="F5561">
        <v>8.591E-2</v>
      </c>
    </row>
    <row r="5562" spans="1:6" x14ac:dyDescent="0.3">
      <c r="A5562" t="s">
        <v>22</v>
      </c>
      <c r="B5562" s="1">
        <v>45889</v>
      </c>
      <c r="C5562">
        <v>18</v>
      </c>
      <c r="D5562">
        <v>0.61399999999999999</v>
      </c>
      <c r="E5562" t="s">
        <v>6</v>
      </c>
      <c r="F5562">
        <v>9.5510000000000012E-2</v>
      </c>
    </row>
    <row r="5563" spans="1:6" x14ac:dyDescent="0.3">
      <c r="A5563" t="s">
        <v>22</v>
      </c>
      <c r="B5563" s="1">
        <v>45889</v>
      </c>
      <c r="C5563">
        <v>19</v>
      </c>
      <c r="D5563">
        <v>0.66600000000000004</v>
      </c>
      <c r="E5563" t="s">
        <v>6</v>
      </c>
      <c r="F5563">
        <v>0.17831</v>
      </c>
    </row>
    <row r="5564" spans="1:6" x14ac:dyDescent="0.3">
      <c r="A5564" t="s">
        <v>22</v>
      </c>
      <c r="B5564" s="1">
        <v>45889</v>
      </c>
      <c r="C5564">
        <v>20</v>
      </c>
      <c r="D5564">
        <v>0.63200000000000001</v>
      </c>
      <c r="E5564" t="s">
        <v>6</v>
      </c>
      <c r="F5564">
        <v>0.19885</v>
      </c>
    </row>
    <row r="5565" spans="1:6" x14ac:dyDescent="0.3">
      <c r="A5565" t="s">
        <v>22</v>
      </c>
      <c r="B5565" s="1">
        <v>45889</v>
      </c>
      <c r="C5565">
        <v>21</v>
      </c>
      <c r="D5565">
        <v>1.413</v>
      </c>
      <c r="E5565" t="s">
        <v>6</v>
      </c>
      <c r="F5565">
        <v>0.20932000000000001</v>
      </c>
    </row>
    <row r="5566" spans="1:6" x14ac:dyDescent="0.3">
      <c r="A5566" t="s">
        <v>22</v>
      </c>
      <c r="B5566" s="1">
        <v>45889</v>
      </c>
      <c r="C5566">
        <v>22</v>
      </c>
      <c r="D5566">
        <v>0.66400000000000003</v>
      </c>
      <c r="E5566" t="s">
        <v>6</v>
      </c>
      <c r="F5566">
        <v>0.23235</v>
      </c>
    </row>
    <row r="5567" spans="1:6" x14ac:dyDescent="0.3">
      <c r="A5567" t="s">
        <v>22</v>
      </c>
      <c r="B5567" s="1">
        <v>45889</v>
      </c>
      <c r="C5567">
        <v>23</v>
      </c>
      <c r="D5567">
        <v>0.64300000000000002</v>
      </c>
      <c r="E5567" t="s">
        <v>6</v>
      </c>
      <c r="F5567">
        <v>0.16484000000000001</v>
      </c>
    </row>
    <row r="5568" spans="1:6" x14ac:dyDescent="0.3">
      <c r="A5568" t="s">
        <v>22</v>
      </c>
      <c r="B5568" s="1">
        <v>45889</v>
      </c>
      <c r="C5568">
        <v>24</v>
      </c>
      <c r="D5568">
        <v>0.72399999999999998</v>
      </c>
      <c r="E5568" t="s">
        <v>6</v>
      </c>
      <c r="F5568">
        <v>0.15233000000000002</v>
      </c>
    </row>
    <row r="5569" spans="1:6" x14ac:dyDescent="0.3">
      <c r="A5569" t="s">
        <v>22</v>
      </c>
      <c r="B5569" s="1">
        <v>45890</v>
      </c>
      <c r="C5569">
        <v>1</v>
      </c>
      <c r="D5569">
        <v>0.627</v>
      </c>
      <c r="E5569" t="s">
        <v>6</v>
      </c>
      <c r="F5569">
        <v>0.14446000000000001</v>
      </c>
    </row>
    <row r="5570" spans="1:6" x14ac:dyDescent="0.3">
      <c r="A5570" t="s">
        <v>22</v>
      </c>
      <c r="B5570" s="1">
        <v>45890</v>
      </c>
      <c r="C5570">
        <v>2</v>
      </c>
      <c r="D5570">
        <v>0.67300000000000004</v>
      </c>
      <c r="E5570" t="s">
        <v>6</v>
      </c>
      <c r="F5570">
        <v>0.13905000000000001</v>
      </c>
    </row>
    <row r="5571" spans="1:6" x14ac:dyDescent="0.3">
      <c r="A5571" t="s">
        <v>22</v>
      </c>
      <c r="B5571" s="1">
        <v>45890</v>
      </c>
      <c r="C5571">
        <v>3</v>
      </c>
      <c r="D5571">
        <v>0.61899999999999999</v>
      </c>
      <c r="E5571" t="s">
        <v>6</v>
      </c>
      <c r="F5571">
        <v>0.1368</v>
      </c>
    </row>
    <row r="5572" spans="1:6" x14ac:dyDescent="0.3">
      <c r="A5572" t="s">
        <v>22</v>
      </c>
      <c r="B5572" s="1">
        <v>45890</v>
      </c>
      <c r="C5572">
        <v>4</v>
      </c>
      <c r="D5572">
        <v>0.56499999999999995</v>
      </c>
      <c r="E5572" t="s">
        <v>6</v>
      </c>
      <c r="F5572">
        <v>0.13336000000000001</v>
      </c>
    </row>
    <row r="5573" spans="1:6" x14ac:dyDescent="0.3">
      <c r="A5573" t="s">
        <v>22</v>
      </c>
      <c r="B5573" s="1">
        <v>45890</v>
      </c>
      <c r="C5573">
        <v>5</v>
      </c>
      <c r="D5573">
        <v>0.56799999999999995</v>
      </c>
      <c r="E5573" t="s">
        <v>6</v>
      </c>
      <c r="F5573">
        <v>0.13231999999999999</v>
      </c>
    </row>
    <row r="5574" spans="1:6" x14ac:dyDescent="0.3">
      <c r="A5574" t="s">
        <v>22</v>
      </c>
      <c r="B5574" s="1">
        <v>45890</v>
      </c>
      <c r="C5574">
        <v>6</v>
      </c>
      <c r="D5574">
        <v>0.47199999999999998</v>
      </c>
      <c r="E5574" t="s">
        <v>6</v>
      </c>
      <c r="F5574">
        <v>0.13306000000000001</v>
      </c>
    </row>
    <row r="5575" spans="1:6" x14ac:dyDescent="0.3">
      <c r="A5575" t="s">
        <v>22</v>
      </c>
      <c r="B5575" s="1">
        <v>45890</v>
      </c>
      <c r="C5575">
        <v>7</v>
      </c>
      <c r="D5575">
        <v>1.3660000000000001</v>
      </c>
      <c r="E5575" t="s">
        <v>6</v>
      </c>
      <c r="F5575">
        <v>0.13578000000000001</v>
      </c>
    </row>
    <row r="5576" spans="1:6" x14ac:dyDescent="0.3">
      <c r="A5576" t="s">
        <v>22</v>
      </c>
      <c r="B5576" s="1">
        <v>45890</v>
      </c>
      <c r="C5576">
        <v>8</v>
      </c>
      <c r="D5576">
        <v>0.47299999999999998</v>
      </c>
      <c r="E5576" t="s">
        <v>6</v>
      </c>
      <c r="F5576">
        <v>0.14849000000000001</v>
      </c>
    </row>
    <row r="5577" spans="1:6" x14ac:dyDescent="0.3">
      <c r="A5577" t="s">
        <v>22</v>
      </c>
      <c r="B5577" s="1">
        <v>45890</v>
      </c>
      <c r="C5577">
        <v>9</v>
      </c>
      <c r="D5577">
        <v>0.52800000000000002</v>
      </c>
      <c r="E5577" t="s">
        <v>6</v>
      </c>
      <c r="F5577">
        <v>0.15831999999999999</v>
      </c>
    </row>
    <row r="5578" spans="1:6" x14ac:dyDescent="0.3">
      <c r="A5578" t="s">
        <v>22</v>
      </c>
      <c r="B5578" s="1">
        <v>45890</v>
      </c>
      <c r="C5578">
        <v>10</v>
      </c>
      <c r="D5578">
        <v>1.1619999999999999</v>
      </c>
      <c r="E5578" t="s">
        <v>6</v>
      </c>
      <c r="F5578">
        <v>0.12117</v>
      </c>
    </row>
    <row r="5579" spans="1:6" x14ac:dyDescent="0.3">
      <c r="A5579" t="s">
        <v>22</v>
      </c>
      <c r="B5579" s="1">
        <v>45890</v>
      </c>
      <c r="C5579">
        <v>11</v>
      </c>
      <c r="D5579">
        <v>0.80600000000000005</v>
      </c>
      <c r="E5579" t="s">
        <v>6</v>
      </c>
      <c r="F5579">
        <v>0.15822</v>
      </c>
    </row>
    <row r="5580" spans="1:6" x14ac:dyDescent="0.3">
      <c r="A5580" t="s">
        <v>22</v>
      </c>
      <c r="B5580" s="1">
        <v>45890</v>
      </c>
      <c r="C5580">
        <v>12</v>
      </c>
      <c r="D5580">
        <v>0.60399999999999998</v>
      </c>
      <c r="E5580" t="s">
        <v>6</v>
      </c>
      <c r="F5580">
        <v>0.14163000000000001</v>
      </c>
    </row>
    <row r="5581" spans="1:6" x14ac:dyDescent="0.3">
      <c r="A5581" t="s">
        <v>22</v>
      </c>
      <c r="B5581" s="1">
        <v>45890</v>
      </c>
      <c r="C5581">
        <v>13</v>
      </c>
      <c r="D5581">
        <v>0</v>
      </c>
      <c r="E5581" t="s">
        <v>6</v>
      </c>
      <c r="F5581">
        <v>0.13857</v>
      </c>
    </row>
    <row r="5582" spans="1:6" x14ac:dyDescent="0.3">
      <c r="A5582" t="s">
        <v>22</v>
      </c>
      <c r="B5582" s="1">
        <v>45890</v>
      </c>
      <c r="C5582">
        <v>14</v>
      </c>
      <c r="D5582">
        <v>0</v>
      </c>
      <c r="E5582" t="s">
        <v>6</v>
      </c>
      <c r="F5582">
        <v>0.13431000000000001</v>
      </c>
    </row>
    <row r="5583" spans="1:6" x14ac:dyDescent="0.3">
      <c r="A5583" t="s">
        <v>22</v>
      </c>
      <c r="B5583" s="1">
        <v>45890</v>
      </c>
      <c r="C5583">
        <v>15</v>
      </c>
      <c r="D5583">
        <v>0</v>
      </c>
      <c r="E5583" t="s">
        <v>6</v>
      </c>
      <c r="F5583">
        <v>6.9159999999999999E-2</v>
      </c>
    </row>
    <row r="5584" spans="1:6" x14ac:dyDescent="0.3">
      <c r="A5584" t="s">
        <v>22</v>
      </c>
      <c r="B5584" s="1">
        <v>45890</v>
      </c>
      <c r="C5584">
        <v>16</v>
      </c>
      <c r="D5584">
        <v>0</v>
      </c>
      <c r="E5584" t="s">
        <v>6</v>
      </c>
      <c r="F5584">
        <v>6.7970000000000003E-2</v>
      </c>
    </row>
    <row r="5585" spans="1:6" x14ac:dyDescent="0.3">
      <c r="A5585" t="s">
        <v>22</v>
      </c>
      <c r="B5585" s="1">
        <v>45890</v>
      </c>
      <c r="C5585">
        <v>17</v>
      </c>
      <c r="D5585">
        <v>0</v>
      </c>
      <c r="E5585" t="s">
        <v>6</v>
      </c>
      <c r="F5585">
        <v>7.0360000000000006E-2</v>
      </c>
    </row>
    <row r="5586" spans="1:6" x14ac:dyDescent="0.3">
      <c r="A5586" t="s">
        <v>22</v>
      </c>
      <c r="B5586" s="1">
        <v>45890</v>
      </c>
      <c r="C5586">
        <v>18</v>
      </c>
      <c r="D5586">
        <v>0</v>
      </c>
      <c r="E5586" t="s">
        <v>6</v>
      </c>
      <c r="F5586">
        <v>7.0739999999999997E-2</v>
      </c>
    </row>
    <row r="5587" spans="1:6" x14ac:dyDescent="0.3">
      <c r="A5587" t="s">
        <v>22</v>
      </c>
      <c r="B5587" s="1">
        <v>45890</v>
      </c>
      <c r="C5587">
        <v>19</v>
      </c>
      <c r="D5587">
        <v>0</v>
      </c>
      <c r="E5587" t="s">
        <v>6</v>
      </c>
      <c r="F5587">
        <v>0.1595</v>
      </c>
    </row>
    <row r="5588" spans="1:6" x14ac:dyDescent="0.3">
      <c r="A5588" t="s">
        <v>22</v>
      </c>
      <c r="B5588" s="1">
        <v>45890</v>
      </c>
      <c r="C5588">
        <v>20</v>
      </c>
      <c r="D5588">
        <v>0.32800000000000001</v>
      </c>
      <c r="E5588" t="s">
        <v>6</v>
      </c>
      <c r="F5588">
        <v>0.18675999999999998</v>
      </c>
    </row>
    <row r="5589" spans="1:6" x14ac:dyDescent="0.3">
      <c r="A5589" t="s">
        <v>22</v>
      </c>
      <c r="B5589" s="1">
        <v>45890</v>
      </c>
      <c r="C5589">
        <v>21</v>
      </c>
      <c r="D5589">
        <v>0.56399999999999995</v>
      </c>
      <c r="E5589" t="s">
        <v>6</v>
      </c>
      <c r="F5589">
        <v>0.21715999999999999</v>
      </c>
    </row>
    <row r="5590" spans="1:6" x14ac:dyDescent="0.3">
      <c r="A5590" t="s">
        <v>22</v>
      </c>
      <c r="B5590" s="1">
        <v>45890</v>
      </c>
      <c r="C5590">
        <v>22</v>
      </c>
      <c r="D5590">
        <v>0.73099999999999998</v>
      </c>
      <c r="E5590" t="s">
        <v>6</v>
      </c>
      <c r="F5590">
        <v>0.22669999999999998</v>
      </c>
    </row>
    <row r="5591" spans="1:6" x14ac:dyDescent="0.3">
      <c r="A5591" t="s">
        <v>22</v>
      </c>
      <c r="B5591" s="1">
        <v>45890</v>
      </c>
      <c r="C5591">
        <v>23</v>
      </c>
      <c r="D5591">
        <v>0.69699999999999995</v>
      </c>
      <c r="E5591" t="s">
        <v>6</v>
      </c>
      <c r="F5591">
        <v>0.15328</v>
      </c>
    </row>
    <row r="5592" spans="1:6" x14ac:dyDescent="0.3">
      <c r="A5592" t="s">
        <v>22</v>
      </c>
      <c r="B5592" s="1">
        <v>45890</v>
      </c>
      <c r="C5592">
        <v>24</v>
      </c>
      <c r="D5592">
        <v>0.55000000000000004</v>
      </c>
      <c r="E5592" t="s">
        <v>6</v>
      </c>
      <c r="F5592">
        <v>0.15218000000000001</v>
      </c>
    </row>
    <row r="5593" spans="1:6" x14ac:dyDescent="0.3">
      <c r="A5593" t="s">
        <v>22</v>
      </c>
      <c r="B5593" s="1">
        <v>45891</v>
      </c>
      <c r="C5593">
        <v>1</v>
      </c>
      <c r="D5593">
        <v>1.3080000000000001</v>
      </c>
      <c r="E5593" t="s">
        <v>6</v>
      </c>
      <c r="F5593">
        <v>0.13028999999999999</v>
      </c>
    </row>
    <row r="5594" spans="1:6" x14ac:dyDescent="0.3">
      <c r="A5594" t="s">
        <v>22</v>
      </c>
      <c r="B5594" s="1">
        <v>45891</v>
      </c>
      <c r="C5594">
        <v>2</v>
      </c>
      <c r="D5594">
        <v>0.374</v>
      </c>
      <c r="E5594" t="s">
        <v>6</v>
      </c>
      <c r="F5594">
        <v>0.12675</v>
      </c>
    </row>
    <row r="5595" spans="1:6" x14ac:dyDescent="0.3">
      <c r="A5595" t="s">
        <v>22</v>
      </c>
      <c r="B5595" s="1">
        <v>45891</v>
      </c>
      <c r="C5595">
        <v>3</v>
      </c>
      <c r="D5595">
        <v>0.315</v>
      </c>
      <c r="E5595" t="s">
        <v>6</v>
      </c>
      <c r="F5595">
        <v>0.124</v>
      </c>
    </row>
    <row r="5596" spans="1:6" x14ac:dyDescent="0.3">
      <c r="A5596" t="s">
        <v>22</v>
      </c>
      <c r="B5596" s="1">
        <v>45891</v>
      </c>
      <c r="C5596">
        <v>4</v>
      </c>
      <c r="D5596">
        <v>0.42399999999999999</v>
      </c>
      <c r="E5596" t="s">
        <v>6</v>
      </c>
      <c r="F5596">
        <v>0.11563</v>
      </c>
    </row>
    <row r="5597" spans="1:6" x14ac:dyDescent="0.3">
      <c r="A5597" t="s">
        <v>22</v>
      </c>
      <c r="B5597" s="1">
        <v>45891</v>
      </c>
      <c r="C5597">
        <v>5</v>
      </c>
      <c r="D5597">
        <v>0.32400000000000001</v>
      </c>
      <c r="E5597" t="s">
        <v>6</v>
      </c>
      <c r="F5597">
        <v>0.12143999999999999</v>
      </c>
    </row>
    <row r="5598" spans="1:6" x14ac:dyDescent="0.3">
      <c r="A5598" t="s">
        <v>22</v>
      </c>
      <c r="B5598" s="1">
        <v>45891</v>
      </c>
      <c r="C5598">
        <v>6</v>
      </c>
      <c r="D5598">
        <v>0.35699999999999998</v>
      </c>
      <c r="E5598" t="s">
        <v>6</v>
      </c>
      <c r="F5598">
        <v>0.12059</v>
      </c>
    </row>
    <row r="5599" spans="1:6" x14ac:dyDescent="0.3">
      <c r="A5599" t="s">
        <v>22</v>
      </c>
      <c r="B5599" s="1">
        <v>45891</v>
      </c>
      <c r="C5599">
        <v>7</v>
      </c>
      <c r="D5599">
        <v>0.35099999999999998</v>
      </c>
      <c r="E5599" t="s">
        <v>6</v>
      </c>
      <c r="F5599">
        <v>0.12465999999999999</v>
      </c>
    </row>
    <row r="5600" spans="1:6" x14ac:dyDescent="0.3">
      <c r="A5600" t="s">
        <v>22</v>
      </c>
      <c r="B5600" s="1">
        <v>45891</v>
      </c>
      <c r="C5600">
        <v>8</v>
      </c>
      <c r="D5600">
        <v>0.42799999999999999</v>
      </c>
      <c r="E5600" t="s">
        <v>6</v>
      </c>
      <c r="F5600">
        <v>0.13208</v>
      </c>
    </row>
    <row r="5601" spans="1:6" x14ac:dyDescent="0.3">
      <c r="A5601" t="s">
        <v>22</v>
      </c>
      <c r="B5601" s="1">
        <v>45891</v>
      </c>
      <c r="C5601">
        <v>9</v>
      </c>
      <c r="D5601">
        <v>0.64700000000000002</v>
      </c>
      <c r="E5601" t="s">
        <v>6</v>
      </c>
      <c r="F5601">
        <v>0.15331</v>
      </c>
    </row>
    <row r="5602" spans="1:6" x14ac:dyDescent="0.3">
      <c r="A5602" t="s">
        <v>22</v>
      </c>
      <c r="B5602" s="1">
        <v>45891</v>
      </c>
      <c r="C5602">
        <v>10</v>
      </c>
      <c r="D5602">
        <v>0.42899999999999999</v>
      </c>
      <c r="E5602" t="s">
        <v>6</v>
      </c>
      <c r="F5602">
        <v>0.12472</v>
      </c>
    </row>
    <row r="5603" spans="1:6" x14ac:dyDescent="0.3">
      <c r="A5603" t="s">
        <v>22</v>
      </c>
      <c r="B5603" s="1">
        <v>45891</v>
      </c>
      <c r="C5603">
        <v>11</v>
      </c>
      <c r="D5603">
        <v>0</v>
      </c>
      <c r="E5603" t="s">
        <v>6</v>
      </c>
      <c r="F5603">
        <v>0.15096999999999999</v>
      </c>
    </row>
    <row r="5604" spans="1:6" x14ac:dyDescent="0.3">
      <c r="A5604" t="s">
        <v>22</v>
      </c>
      <c r="B5604" s="1">
        <v>45891</v>
      </c>
      <c r="C5604">
        <v>12</v>
      </c>
      <c r="D5604">
        <v>0</v>
      </c>
      <c r="E5604" t="s">
        <v>6</v>
      </c>
      <c r="F5604">
        <v>0.14043</v>
      </c>
    </row>
    <row r="5605" spans="1:6" x14ac:dyDescent="0.3">
      <c r="A5605" t="s">
        <v>22</v>
      </c>
      <c r="B5605" s="1">
        <v>45891</v>
      </c>
      <c r="C5605">
        <v>13</v>
      </c>
      <c r="D5605">
        <v>0</v>
      </c>
      <c r="E5605" t="s">
        <v>6</v>
      </c>
      <c r="F5605">
        <v>0.14196</v>
      </c>
    </row>
    <row r="5606" spans="1:6" x14ac:dyDescent="0.3">
      <c r="A5606" t="s">
        <v>22</v>
      </c>
      <c r="B5606" s="1">
        <v>45891</v>
      </c>
      <c r="C5606">
        <v>14</v>
      </c>
      <c r="D5606">
        <v>0</v>
      </c>
      <c r="E5606" t="s">
        <v>6</v>
      </c>
      <c r="F5606">
        <v>0.14221999999999999</v>
      </c>
    </row>
    <row r="5607" spans="1:6" x14ac:dyDescent="0.3">
      <c r="A5607" t="s">
        <v>22</v>
      </c>
      <c r="B5607" s="1">
        <v>45891</v>
      </c>
      <c r="C5607">
        <v>15</v>
      </c>
      <c r="D5607">
        <v>1.4339999999999999</v>
      </c>
      <c r="E5607" t="s">
        <v>6</v>
      </c>
      <c r="F5607">
        <v>7.3980000000000004E-2</v>
      </c>
    </row>
    <row r="5608" spans="1:6" x14ac:dyDescent="0.3">
      <c r="A5608" t="s">
        <v>22</v>
      </c>
      <c r="B5608" s="1">
        <v>45891</v>
      </c>
      <c r="C5608">
        <v>16</v>
      </c>
      <c r="D5608">
        <v>0</v>
      </c>
      <c r="E5608" t="s">
        <v>6</v>
      </c>
      <c r="F5608">
        <v>7.3689999999999992E-2</v>
      </c>
    </row>
    <row r="5609" spans="1:6" x14ac:dyDescent="0.3">
      <c r="A5609" t="s">
        <v>22</v>
      </c>
      <c r="B5609" s="1">
        <v>45891</v>
      </c>
      <c r="C5609">
        <v>17</v>
      </c>
      <c r="D5609">
        <v>0</v>
      </c>
      <c r="E5609" t="s">
        <v>6</v>
      </c>
      <c r="F5609">
        <v>7.528E-2</v>
      </c>
    </row>
    <row r="5610" spans="1:6" x14ac:dyDescent="0.3">
      <c r="A5610" t="s">
        <v>22</v>
      </c>
      <c r="B5610" s="1">
        <v>45891</v>
      </c>
      <c r="C5610">
        <v>18</v>
      </c>
      <c r="D5610">
        <v>0</v>
      </c>
      <c r="E5610" t="s">
        <v>6</v>
      </c>
      <c r="F5610">
        <v>9.017E-2</v>
      </c>
    </row>
    <row r="5611" spans="1:6" x14ac:dyDescent="0.3">
      <c r="A5611" t="s">
        <v>22</v>
      </c>
      <c r="B5611" s="1">
        <v>45891</v>
      </c>
      <c r="C5611">
        <v>19</v>
      </c>
      <c r="D5611">
        <v>1.538</v>
      </c>
      <c r="E5611" t="s">
        <v>6</v>
      </c>
      <c r="F5611">
        <v>0.17294000000000001</v>
      </c>
    </row>
    <row r="5612" spans="1:6" x14ac:dyDescent="0.3">
      <c r="A5612" t="s">
        <v>22</v>
      </c>
      <c r="B5612" s="1">
        <v>45891</v>
      </c>
      <c r="C5612">
        <v>20</v>
      </c>
      <c r="D5612">
        <v>0.94299999999999995</v>
      </c>
      <c r="E5612" t="s">
        <v>6</v>
      </c>
      <c r="F5612">
        <v>0.22447999999999999</v>
      </c>
    </row>
    <row r="5613" spans="1:6" x14ac:dyDescent="0.3">
      <c r="A5613" t="s">
        <v>22</v>
      </c>
      <c r="B5613" s="1">
        <v>45891</v>
      </c>
      <c r="C5613">
        <v>21</v>
      </c>
      <c r="D5613">
        <v>1.4450000000000001</v>
      </c>
      <c r="E5613" t="s">
        <v>6</v>
      </c>
      <c r="F5613">
        <v>0.24625</v>
      </c>
    </row>
    <row r="5614" spans="1:6" x14ac:dyDescent="0.3">
      <c r="A5614" t="s">
        <v>22</v>
      </c>
      <c r="B5614" s="1">
        <v>45891</v>
      </c>
      <c r="C5614">
        <v>22</v>
      </c>
      <c r="D5614">
        <v>0.872</v>
      </c>
      <c r="E5614" t="s">
        <v>6</v>
      </c>
      <c r="F5614">
        <v>0.24209</v>
      </c>
    </row>
    <row r="5615" spans="1:6" x14ac:dyDescent="0.3">
      <c r="A5615" t="s">
        <v>22</v>
      </c>
      <c r="B5615" s="1">
        <v>45891</v>
      </c>
      <c r="C5615">
        <v>23</v>
      </c>
      <c r="D5615">
        <v>0.503</v>
      </c>
      <c r="E5615" t="s">
        <v>6</v>
      </c>
      <c r="F5615">
        <v>0.17496</v>
      </c>
    </row>
    <row r="5616" spans="1:6" x14ac:dyDescent="0.3">
      <c r="A5616" t="s">
        <v>22</v>
      </c>
      <c r="B5616" s="1">
        <v>45891</v>
      </c>
      <c r="C5616">
        <v>24</v>
      </c>
      <c r="D5616">
        <v>0.58299999999999996</v>
      </c>
      <c r="E5616" t="s">
        <v>6</v>
      </c>
      <c r="F5616">
        <v>0.16797000000000001</v>
      </c>
    </row>
    <row r="5617" spans="1:6" x14ac:dyDescent="0.3">
      <c r="A5617" t="s">
        <v>22</v>
      </c>
      <c r="B5617" s="1">
        <v>45892</v>
      </c>
      <c r="C5617">
        <v>1</v>
      </c>
      <c r="D5617">
        <v>1.35</v>
      </c>
      <c r="E5617" t="s">
        <v>6</v>
      </c>
      <c r="F5617">
        <v>0.14335000000000001</v>
      </c>
    </row>
    <row r="5618" spans="1:6" x14ac:dyDescent="0.3">
      <c r="A5618" t="s">
        <v>22</v>
      </c>
      <c r="B5618" s="1">
        <v>45892</v>
      </c>
      <c r="C5618">
        <v>2</v>
      </c>
      <c r="D5618">
        <v>0.61799999999999999</v>
      </c>
      <c r="E5618" t="s">
        <v>6</v>
      </c>
      <c r="F5618">
        <v>0.13824</v>
      </c>
    </row>
    <row r="5619" spans="1:6" x14ac:dyDescent="0.3">
      <c r="A5619" t="s">
        <v>22</v>
      </c>
      <c r="B5619" s="1">
        <v>45892</v>
      </c>
      <c r="C5619">
        <v>3</v>
      </c>
      <c r="D5619">
        <v>0.40699999999999997</v>
      </c>
      <c r="E5619" t="s">
        <v>6</v>
      </c>
      <c r="F5619">
        <v>0.13134000000000001</v>
      </c>
    </row>
    <row r="5620" spans="1:6" x14ac:dyDescent="0.3">
      <c r="A5620" t="s">
        <v>22</v>
      </c>
      <c r="B5620" s="1">
        <v>45892</v>
      </c>
      <c r="C5620">
        <v>4</v>
      </c>
      <c r="D5620">
        <v>0.48299999999999998</v>
      </c>
      <c r="E5620" t="s">
        <v>6</v>
      </c>
      <c r="F5620">
        <v>0.1242</v>
      </c>
    </row>
    <row r="5621" spans="1:6" x14ac:dyDescent="0.3">
      <c r="A5621" t="s">
        <v>22</v>
      </c>
      <c r="B5621" s="1">
        <v>45892</v>
      </c>
      <c r="C5621">
        <v>5</v>
      </c>
      <c r="D5621">
        <v>0.45200000000000001</v>
      </c>
      <c r="E5621" t="s">
        <v>6</v>
      </c>
      <c r="F5621">
        <v>0.12246</v>
      </c>
    </row>
    <row r="5622" spans="1:6" x14ac:dyDescent="0.3">
      <c r="A5622" t="s">
        <v>22</v>
      </c>
      <c r="B5622" s="1">
        <v>45892</v>
      </c>
      <c r="C5622">
        <v>6</v>
      </c>
      <c r="D5622">
        <v>0.44800000000000001</v>
      </c>
      <c r="E5622" t="s">
        <v>6</v>
      </c>
      <c r="F5622">
        <v>0.12568000000000001</v>
      </c>
    </row>
    <row r="5623" spans="1:6" x14ac:dyDescent="0.3">
      <c r="A5623" t="s">
        <v>22</v>
      </c>
      <c r="B5623" s="1">
        <v>45892</v>
      </c>
      <c r="C5623">
        <v>7</v>
      </c>
      <c r="D5623">
        <v>0.42699999999999999</v>
      </c>
      <c r="E5623" t="s">
        <v>6</v>
      </c>
      <c r="F5623">
        <v>0.13153999999999999</v>
      </c>
    </row>
    <row r="5624" spans="1:6" x14ac:dyDescent="0.3">
      <c r="A5624" t="s">
        <v>22</v>
      </c>
      <c r="B5624" s="1">
        <v>45892</v>
      </c>
      <c r="C5624">
        <v>8</v>
      </c>
      <c r="D5624">
        <v>0.41799999999999998</v>
      </c>
      <c r="E5624" t="s">
        <v>6</v>
      </c>
      <c r="F5624">
        <v>0.16256000000000001</v>
      </c>
    </row>
    <row r="5625" spans="1:6" x14ac:dyDescent="0.3">
      <c r="A5625" t="s">
        <v>22</v>
      </c>
      <c r="B5625" s="1">
        <v>45892</v>
      </c>
      <c r="C5625">
        <v>9</v>
      </c>
      <c r="D5625">
        <v>0</v>
      </c>
      <c r="E5625" t="s">
        <v>6</v>
      </c>
      <c r="F5625">
        <v>0.13086</v>
      </c>
    </row>
    <row r="5626" spans="1:6" x14ac:dyDescent="0.3">
      <c r="A5626" t="s">
        <v>22</v>
      </c>
      <c r="B5626" s="1">
        <v>45892</v>
      </c>
      <c r="C5626">
        <v>10</v>
      </c>
      <c r="D5626">
        <v>0</v>
      </c>
      <c r="E5626" t="s">
        <v>6</v>
      </c>
      <c r="F5626">
        <v>9.9540000000000003E-2</v>
      </c>
    </row>
    <row r="5627" spans="1:6" x14ac:dyDescent="0.3">
      <c r="A5627" t="s">
        <v>22</v>
      </c>
      <c r="B5627" s="1">
        <v>45892</v>
      </c>
      <c r="C5627">
        <v>11</v>
      </c>
      <c r="D5627">
        <v>0</v>
      </c>
      <c r="E5627" t="s">
        <v>6</v>
      </c>
      <c r="F5627">
        <v>4.9829999999999999E-2</v>
      </c>
    </row>
    <row r="5628" spans="1:6" x14ac:dyDescent="0.3">
      <c r="A5628" t="s">
        <v>22</v>
      </c>
      <c r="B5628" s="1">
        <v>45892</v>
      </c>
      <c r="C5628">
        <v>12</v>
      </c>
      <c r="D5628">
        <v>0</v>
      </c>
      <c r="E5628" t="s">
        <v>6</v>
      </c>
      <c r="F5628">
        <v>4.19E-2</v>
      </c>
    </row>
    <row r="5629" spans="1:6" x14ac:dyDescent="0.3">
      <c r="A5629" t="s">
        <v>22</v>
      </c>
      <c r="B5629" s="1">
        <v>45892</v>
      </c>
      <c r="C5629">
        <v>13</v>
      </c>
      <c r="D5629">
        <v>0</v>
      </c>
      <c r="E5629" t="s">
        <v>6</v>
      </c>
      <c r="F5629">
        <v>4.0809999999999999E-2</v>
      </c>
    </row>
    <row r="5630" spans="1:6" x14ac:dyDescent="0.3">
      <c r="A5630" t="s">
        <v>22</v>
      </c>
      <c r="B5630" s="1">
        <v>45892</v>
      </c>
      <c r="C5630">
        <v>14</v>
      </c>
      <c r="D5630">
        <v>0</v>
      </c>
      <c r="E5630" t="s">
        <v>6</v>
      </c>
      <c r="F5630">
        <v>3.9079999999999997E-2</v>
      </c>
    </row>
    <row r="5631" spans="1:6" x14ac:dyDescent="0.3">
      <c r="A5631" t="s">
        <v>22</v>
      </c>
      <c r="B5631" s="1">
        <v>45892</v>
      </c>
      <c r="C5631">
        <v>15</v>
      </c>
      <c r="D5631">
        <v>0</v>
      </c>
      <c r="E5631" t="s">
        <v>6</v>
      </c>
      <c r="F5631">
        <v>3.8729999999999994E-2</v>
      </c>
    </row>
    <row r="5632" spans="1:6" x14ac:dyDescent="0.3">
      <c r="A5632" t="s">
        <v>22</v>
      </c>
      <c r="B5632" s="1">
        <v>45892</v>
      </c>
      <c r="C5632">
        <v>16</v>
      </c>
      <c r="D5632">
        <v>0</v>
      </c>
      <c r="E5632" t="s">
        <v>6</v>
      </c>
      <c r="F5632">
        <v>4.4179999999999997E-2</v>
      </c>
    </row>
    <row r="5633" spans="1:6" x14ac:dyDescent="0.3">
      <c r="A5633" t="s">
        <v>22</v>
      </c>
      <c r="B5633" s="1">
        <v>45892</v>
      </c>
      <c r="C5633">
        <v>17</v>
      </c>
      <c r="D5633">
        <v>0</v>
      </c>
      <c r="E5633" t="s">
        <v>6</v>
      </c>
      <c r="F5633">
        <v>5.4259999999999996E-2</v>
      </c>
    </row>
    <row r="5634" spans="1:6" x14ac:dyDescent="0.3">
      <c r="A5634" t="s">
        <v>22</v>
      </c>
      <c r="B5634" s="1">
        <v>45892</v>
      </c>
      <c r="C5634">
        <v>18</v>
      </c>
      <c r="D5634">
        <v>0</v>
      </c>
      <c r="E5634" t="s">
        <v>6</v>
      </c>
      <c r="F5634">
        <v>8.3290000000000003E-2</v>
      </c>
    </row>
    <row r="5635" spans="1:6" x14ac:dyDescent="0.3">
      <c r="A5635" t="s">
        <v>22</v>
      </c>
      <c r="B5635" s="1">
        <v>45892</v>
      </c>
      <c r="C5635">
        <v>19</v>
      </c>
      <c r="D5635">
        <v>0</v>
      </c>
      <c r="E5635" t="s">
        <v>6</v>
      </c>
      <c r="F5635">
        <v>0.11181000000000001</v>
      </c>
    </row>
    <row r="5636" spans="1:6" x14ac:dyDescent="0.3">
      <c r="A5636" t="s">
        <v>22</v>
      </c>
      <c r="B5636" s="1">
        <v>45892</v>
      </c>
      <c r="C5636">
        <v>20</v>
      </c>
      <c r="D5636">
        <v>1.0469999999999999</v>
      </c>
      <c r="E5636" t="s">
        <v>6</v>
      </c>
      <c r="F5636">
        <v>0.14973</v>
      </c>
    </row>
    <row r="5637" spans="1:6" x14ac:dyDescent="0.3">
      <c r="A5637" t="s">
        <v>22</v>
      </c>
      <c r="B5637" s="1">
        <v>45892</v>
      </c>
      <c r="C5637">
        <v>21</v>
      </c>
      <c r="D5637">
        <v>1.0720000000000001</v>
      </c>
      <c r="E5637" t="s">
        <v>6</v>
      </c>
      <c r="F5637">
        <v>0.16524</v>
      </c>
    </row>
    <row r="5638" spans="1:6" x14ac:dyDescent="0.3">
      <c r="A5638" t="s">
        <v>22</v>
      </c>
      <c r="B5638" s="1">
        <v>45892</v>
      </c>
      <c r="C5638">
        <v>22</v>
      </c>
      <c r="D5638">
        <v>0.81599999999999995</v>
      </c>
      <c r="E5638" t="s">
        <v>6</v>
      </c>
      <c r="F5638">
        <v>0.17911000000000002</v>
      </c>
    </row>
    <row r="5639" spans="1:6" x14ac:dyDescent="0.3">
      <c r="A5639" t="s">
        <v>22</v>
      </c>
      <c r="B5639" s="1">
        <v>45892</v>
      </c>
      <c r="C5639">
        <v>23</v>
      </c>
      <c r="D5639">
        <v>0.95399999999999996</v>
      </c>
      <c r="E5639" t="s">
        <v>6</v>
      </c>
      <c r="F5639">
        <v>0.15788999999999997</v>
      </c>
    </row>
    <row r="5640" spans="1:6" x14ac:dyDescent="0.3">
      <c r="A5640" t="s">
        <v>22</v>
      </c>
      <c r="B5640" s="1">
        <v>45892</v>
      </c>
      <c r="C5640">
        <v>24</v>
      </c>
      <c r="D5640">
        <v>0.54600000000000004</v>
      </c>
      <c r="E5640" t="s">
        <v>6</v>
      </c>
      <c r="F5640">
        <v>0.15631</v>
      </c>
    </row>
    <row r="5641" spans="1:6" x14ac:dyDescent="0.3">
      <c r="A5641" t="s">
        <v>22</v>
      </c>
      <c r="B5641" s="1">
        <v>45893</v>
      </c>
      <c r="C5641">
        <v>1</v>
      </c>
      <c r="D5641">
        <v>0.53900000000000003</v>
      </c>
      <c r="E5641" t="s">
        <v>6</v>
      </c>
      <c r="F5641">
        <v>0.15108000000000002</v>
      </c>
    </row>
    <row r="5642" spans="1:6" x14ac:dyDescent="0.3">
      <c r="A5642" t="s">
        <v>22</v>
      </c>
      <c r="B5642" s="1">
        <v>45893</v>
      </c>
      <c r="C5642">
        <v>2</v>
      </c>
      <c r="D5642">
        <v>0.42</v>
      </c>
      <c r="E5642" t="s">
        <v>6</v>
      </c>
      <c r="F5642">
        <v>0.14851</v>
      </c>
    </row>
    <row r="5643" spans="1:6" x14ac:dyDescent="0.3">
      <c r="A5643" t="s">
        <v>22</v>
      </c>
      <c r="B5643" s="1">
        <v>45893</v>
      </c>
      <c r="C5643">
        <v>3</v>
      </c>
      <c r="D5643">
        <v>0.432</v>
      </c>
      <c r="E5643" t="s">
        <v>6</v>
      </c>
      <c r="F5643">
        <v>0.14713999999999999</v>
      </c>
    </row>
    <row r="5644" spans="1:6" x14ac:dyDescent="0.3">
      <c r="A5644" t="s">
        <v>22</v>
      </c>
      <c r="B5644" s="1">
        <v>45893</v>
      </c>
      <c r="C5644">
        <v>4</v>
      </c>
      <c r="D5644">
        <v>0.45500000000000002</v>
      </c>
      <c r="E5644" t="s">
        <v>6</v>
      </c>
      <c r="F5644">
        <v>0.14402999999999999</v>
      </c>
    </row>
    <row r="5645" spans="1:6" x14ac:dyDescent="0.3">
      <c r="A5645" t="s">
        <v>22</v>
      </c>
      <c r="B5645" s="1">
        <v>45893</v>
      </c>
      <c r="C5645">
        <v>5</v>
      </c>
      <c r="D5645">
        <v>1.0029999999999999</v>
      </c>
      <c r="E5645" t="s">
        <v>6</v>
      </c>
      <c r="F5645">
        <v>0.14349000000000001</v>
      </c>
    </row>
    <row r="5646" spans="1:6" x14ac:dyDescent="0.3">
      <c r="A5646" t="s">
        <v>22</v>
      </c>
      <c r="B5646" s="1">
        <v>45893</v>
      </c>
      <c r="C5646">
        <v>6</v>
      </c>
      <c r="D5646">
        <v>0.77600000000000002</v>
      </c>
      <c r="E5646" t="s">
        <v>6</v>
      </c>
      <c r="F5646">
        <v>0.14343</v>
      </c>
    </row>
    <row r="5647" spans="1:6" x14ac:dyDescent="0.3">
      <c r="A5647" t="s">
        <v>22</v>
      </c>
      <c r="B5647" s="1">
        <v>45893</v>
      </c>
      <c r="C5647">
        <v>7</v>
      </c>
      <c r="D5647">
        <v>0.39</v>
      </c>
      <c r="E5647" t="s">
        <v>6</v>
      </c>
      <c r="F5647">
        <v>0.14208000000000001</v>
      </c>
    </row>
    <row r="5648" spans="1:6" x14ac:dyDescent="0.3">
      <c r="A5648" t="s">
        <v>22</v>
      </c>
      <c r="B5648" s="1">
        <v>45893</v>
      </c>
      <c r="C5648">
        <v>8</v>
      </c>
      <c r="D5648">
        <v>0.42199999999999999</v>
      </c>
      <c r="E5648" t="s">
        <v>6</v>
      </c>
      <c r="F5648">
        <v>0.15828</v>
      </c>
    </row>
    <row r="5649" spans="1:6" x14ac:dyDescent="0.3">
      <c r="A5649" t="s">
        <v>22</v>
      </c>
      <c r="B5649" s="1">
        <v>45893</v>
      </c>
      <c r="C5649">
        <v>9</v>
      </c>
      <c r="D5649">
        <v>0</v>
      </c>
      <c r="E5649" t="s">
        <v>6</v>
      </c>
      <c r="F5649">
        <v>0.14113000000000001</v>
      </c>
    </row>
    <row r="5650" spans="1:6" x14ac:dyDescent="0.3">
      <c r="A5650" t="s">
        <v>22</v>
      </c>
      <c r="B5650" s="1">
        <v>45893</v>
      </c>
      <c r="C5650">
        <v>10</v>
      </c>
      <c r="D5650">
        <v>0</v>
      </c>
      <c r="E5650" t="s">
        <v>6</v>
      </c>
      <c r="F5650">
        <v>7.0480000000000001E-2</v>
      </c>
    </row>
    <row r="5651" spans="1:6" x14ac:dyDescent="0.3">
      <c r="A5651" t="s">
        <v>22</v>
      </c>
      <c r="B5651" s="1">
        <v>45893</v>
      </c>
      <c r="C5651">
        <v>11</v>
      </c>
      <c r="D5651">
        <v>0</v>
      </c>
      <c r="E5651" t="s">
        <v>6</v>
      </c>
      <c r="F5651">
        <v>3.6799999999999999E-2</v>
      </c>
    </row>
    <row r="5652" spans="1:6" x14ac:dyDescent="0.3">
      <c r="A5652" t="s">
        <v>22</v>
      </c>
      <c r="B5652" s="1">
        <v>45893</v>
      </c>
      <c r="C5652">
        <v>12</v>
      </c>
      <c r="D5652">
        <v>0</v>
      </c>
      <c r="E5652" t="s">
        <v>6</v>
      </c>
      <c r="F5652">
        <v>4.4049999999999999E-2</v>
      </c>
    </row>
    <row r="5653" spans="1:6" x14ac:dyDescent="0.3">
      <c r="A5653" t="s">
        <v>22</v>
      </c>
      <c r="B5653" s="1">
        <v>45893</v>
      </c>
      <c r="C5653">
        <v>13</v>
      </c>
      <c r="D5653">
        <v>0</v>
      </c>
      <c r="E5653" t="s">
        <v>6</v>
      </c>
      <c r="F5653">
        <v>4.2799999999999998E-2</v>
      </c>
    </row>
    <row r="5654" spans="1:6" x14ac:dyDescent="0.3">
      <c r="A5654" t="s">
        <v>22</v>
      </c>
      <c r="B5654" s="1">
        <v>45893</v>
      </c>
      <c r="C5654">
        <v>14</v>
      </c>
      <c r="D5654">
        <v>0</v>
      </c>
      <c r="E5654" t="s">
        <v>6</v>
      </c>
      <c r="F5654">
        <v>4.1960000000000004E-2</v>
      </c>
    </row>
    <row r="5655" spans="1:6" x14ac:dyDescent="0.3">
      <c r="A5655" t="s">
        <v>22</v>
      </c>
      <c r="B5655" s="1">
        <v>45893</v>
      </c>
      <c r="C5655">
        <v>15</v>
      </c>
      <c r="D5655">
        <v>1.3049999999999999</v>
      </c>
      <c r="E5655" t="s">
        <v>6</v>
      </c>
      <c r="F5655">
        <v>4.1779999999999998E-2</v>
      </c>
    </row>
    <row r="5656" spans="1:6" x14ac:dyDescent="0.3">
      <c r="A5656" t="s">
        <v>22</v>
      </c>
      <c r="B5656" s="1">
        <v>45893</v>
      </c>
      <c r="C5656">
        <v>16</v>
      </c>
      <c r="D5656">
        <v>0.34200000000000003</v>
      </c>
      <c r="E5656" t="s">
        <v>6</v>
      </c>
      <c r="F5656">
        <v>4.258E-2</v>
      </c>
    </row>
    <row r="5657" spans="1:6" x14ac:dyDescent="0.3">
      <c r="A5657" t="s">
        <v>22</v>
      </c>
      <c r="B5657" s="1">
        <v>45893</v>
      </c>
      <c r="C5657">
        <v>17</v>
      </c>
      <c r="D5657">
        <v>0</v>
      </c>
      <c r="E5657" t="s">
        <v>6</v>
      </c>
      <c r="F5657">
        <v>4.2799999999999998E-2</v>
      </c>
    </row>
    <row r="5658" spans="1:6" x14ac:dyDescent="0.3">
      <c r="A5658" t="s">
        <v>22</v>
      </c>
      <c r="B5658" s="1">
        <v>45893</v>
      </c>
      <c r="C5658">
        <v>18</v>
      </c>
      <c r="D5658">
        <v>0.48</v>
      </c>
      <c r="E5658" t="s">
        <v>6</v>
      </c>
      <c r="F5658">
        <v>5.3490000000000003E-2</v>
      </c>
    </row>
    <row r="5659" spans="1:6" x14ac:dyDescent="0.3">
      <c r="A5659" t="s">
        <v>22</v>
      </c>
      <c r="B5659" s="1">
        <v>45893</v>
      </c>
      <c r="C5659">
        <v>19</v>
      </c>
      <c r="D5659">
        <v>0.31</v>
      </c>
      <c r="E5659" t="s">
        <v>6</v>
      </c>
      <c r="F5659">
        <v>0.10879999999999999</v>
      </c>
    </row>
    <row r="5660" spans="1:6" x14ac:dyDescent="0.3">
      <c r="A5660" t="s">
        <v>22</v>
      </c>
      <c r="B5660" s="1">
        <v>45893</v>
      </c>
      <c r="C5660">
        <v>20</v>
      </c>
      <c r="D5660">
        <v>0.22800000000000001</v>
      </c>
      <c r="E5660" t="s">
        <v>6</v>
      </c>
      <c r="F5660">
        <v>0.14527999999999999</v>
      </c>
    </row>
    <row r="5661" spans="1:6" x14ac:dyDescent="0.3">
      <c r="A5661" t="s">
        <v>22</v>
      </c>
      <c r="B5661" s="1">
        <v>45893</v>
      </c>
      <c r="C5661">
        <v>21</v>
      </c>
      <c r="D5661">
        <v>0.44500000000000001</v>
      </c>
      <c r="E5661" t="s">
        <v>6</v>
      </c>
      <c r="F5661">
        <v>0.16324</v>
      </c>
    </row>
    <row r="5662" spans="1:6" x14ac:dyDescent="0.3">
      <c r="A5662" t="s">
        <v>22</v>
      </c>
      <c r="B5662" s="1">
        <v>45893</v>
      </c>
      <c r="C5662">
        <v>22</v>
      </c>
      <c r="D5662">
        <v>0.623</v>
      </c>
      <c r="E5662" t="s">
        <v>6</v>
      </c>
      <c r="F5662">
        <v>0.16097</v>
      </c>
    </row>
    <row r="5663" spans="1:6" x14ac:dyDescent="0.3">
      <c r="A5663" t="s">
        <v>22</v>
      </c>
      <c r="B5663" s="1">
        <v>45893</v>
      </c>
      <c r="C5663">
        <v>23</v>
      </c>
      <c r="D5663">
        <v>0.79600000000000004</v>
      </c>
      <c r="E5663" t="s">
        <v>6</v>
      </c>
      <c r="F5663">
        <v>0.15790999999999999</v>
      </c>
    </row>
    <row r="5664" spans="1:6" x14ac:dyDescent="0.3">
      <c r="A5664" t="s">
        <v>22</v>
      </c>
      <c r="B5664" s="1">
        <v>45893</v>
      </c>
      <c r="C5664">
        <v>24</v>
      </c>
      <c r="D5664">
        <v>1.4019999999999999</v>
      </c>
      <c r="E5664" t="s">
        <v>6</v>
      </c>
      <c r="F5664">
        <v>0.15196000000000001</v>
      </c>
    </row>
    <row r="5665" spans="1:6" x14ac:dyDescent="0.3">
      <c r="A5665" t="s">
        <v>22</v>
      </c>
      <c r="B5665" s="1">
        <v>45894</v>
      </c>
      <c r="C5665">
        <v>1</v>
      </c>
      <c r="D5665">
        <v>0.48099999999999998</v>
      </c>
      <c r="E5665" t="s">
        <v>6</v>
      </c>
      <c r="F5665">
        <v>0.14050000000000001</v>
      </c>
    </row>
    <row r="5666" spans="1:6" x14ac:dyDescent="0.3">
      <c r="A5666" t="s">
        <v>22</v>
      </c>
      <c r="B5666" s="1">
        <v>45894</v>
      </c>
      <c r="C5666">
        <v>2</v>
      </c>
      <c r="D5666">
        <v>0.432</v>
      </c>
      <c r="E5666" t="s">
        <v>6</v>
      </c>
      <c r="F5666">
        <v>0.1366</v>
      </c>
    </row>
    <row r="5667" spans="1:6" x14ac:dyDescent="0.3">
      <c r="A5667" t="s">
        <v>22</v>
      </c>
      <c r="B5667" s="1">
        <v>45894</v>
      </c>
      <c r="C5667">
        <v>3</v>
      </c>
      <c r="D5667">
        <v>0.50700000000000001</v>
      </c>
      <c r="E5667" t="s">
        <v>6</v>
      </c>
      <c r="F5667">
        <v>0.13438999999999998</v>
      </c>
    </row>
    <row r="5668" spans="1:6" x14ac:dyDescent="0.3">
      <c r="A5668" t="s">
        <v>22</v>
      </c>
      <c r="B5668" s="1">
        <v>45894</v>
      </c>
      <c r="C5668">
        <v>4</v>
      </c>
      <c r="D5668">
        <v>0.45600000000000002</v>
      </c>
      <c r="E5668" t="s">
        <v>6</v>
      </c>
      <c r="F5668">
        <v>0.13097999999999999</v>
      </c>
    </row>
    <row r="5669" spans="1:6" x14ac:dyDescent="0.3">
      <c r="A5669" t="s">
        <v>22</v>
      </c>
      <c r="B5669" s="1">
        <v>45894</v>
      </c>
      <c r="C5669">
        <v>5</v>
      </c>
      <c r="D5669">
        <v>0.502</v>
      </c>
      <c r="E5669" t="s">
        <v>6</v>
      </c>
      <c r="F5669">
        <v>0.12847</v>
      </c>
    </row>
    <row r="5670" spans="1:6" x14ac:dyDescent="0.3">
      <c r="A5670" t="s">
        <v>22</v>
      </c>
      <c r="B5670" s="1">
        <v>45894</v>
      </c>
      <c r="C5670">
        <v>6</v>
      </c>
      <c r="D5670">
        <v>0.39400000000000002</v>
      </c>
      <c r="E5670" t="s">
        <v>6</v>
      </c>
      <c r="F5670">
        <v>0.1336</v>
      </c>
    </row>
    <row r="5671" spans="1:6" x14ac:dyDescent="0.3">
      <c r="A5671" t="s">
        <v>22</v>
      </c>
      <c r="B5671" s="1">
        <v>45894</v>
      </c>
      <c r="C5671">
        <v>7</v>
      </c>
      <c r="D5671">
        <v>0.42399999999999999</v>
      </c>
      <c r="E5671" t="s">
        <v>6</v>
      </c>
      <c r="F5671">
        <v>0.14080000000000001</v>
      </c>
    </row>
    <row r="5672" spans="1:6" x14ac:dyDescent="0.3">
      <c r="A5672" t="s">
        <v>22</v>
      </c>
      <c r="B5672" s="1">
        <v>45894</v>
      </c>
      <c r="C5672">
        <v>8</v>
      </c>
      <c r="D5672">
        <v>0.38</v>
      </c>
      <c r="E5672" t="s">
        <v>6</v>
      </c>
      <c r="F5672">
        <v>0.15056999999999998</v>
      </c>
    </row>
    <row r="5673" spans="1:6" x14ac:dyDescent="0.3">
      <c r="A5673" t="s">
        <v>22</v>
      </c>
      <c r="B5673" s="1">
        <v>45894</v>
      </c>
      <c r="C5673">
        <v>9</v>
      </c>
      <c r="D5673">
        <v>0.42</v>
      </c>
      <c r="E5673" t="s">
        <v>6</v>
      </c>
      <c r="F5673">
        <v>0.17369000000000001</v>
      </c>
    </row>
    <row r="5674" spans="1:6" x14ac:dyDescent="0.3">
      <c r="A5674" t="s">
        <v>22</v>
      </c>
      <c r="B5674" s="1">
        <v>45894</v>
      </c>
      <c r="C5674">
        <v>10</v>
      </c>
      <c r="D5674">
        <v>7.6999999999999999E-2</v>
      </c>
      <c r="E5674" t="s">
        <v>6</v>
      </c>
      <c r="F5674">
        <v>0.16459000000000001</v>
      </c>
    </row>
    <row r="5675" spans="1:6" x14ac:dyDescent="0.3">
      <c r="A5675" t="s">
        <v>22</v>
      </c>
      <c r="B5675" s="1">
        <v>45894</v>
      </c>
      <c r="C5675">
        <v>11</v>
      </c>
      <c r="D5675">
        <v>0.309</v>
      </c>
      <c r="E5675" t="s">
        <v>6</v>
      </c>
      <c r="F5675">
        <v>0.20799999999999999</v>
      </c>
    </row>
    <row r="5676" spans="1:6" x14ac:dyDescent="0.3">
      <c r="A5676" t="s">
        <v>22</v>
      </c>
      <c r="B5676" s="1">
        <v>45894</v>
      </c>
      <c r="C5676">
        <v>12</v>
      </c>
      <c r="D5676">
        <v>0.17599999999999999</v>
      </c>
      <c r="E5676" t="s">
        <v>6</v>
      </c>
      <c r="F5676">
        <v>0.18042</v>
      </c>
    </row>
    <row r="5677" spans="1:6" x14ac:dyDescent="0.3">
      <c r="A5677" t="s">
        <v>22</v>
      </c>
      <c r="B5677" s="1">
        <v>45894</v>
      </c>
      <c r="C5677">
        <v>13</v>
      </c>
      <c r="D5677">
        <v>3.2010000000000001</v>
      </c>
      <c r="E5677" t="s">
        <v>6</v>
      </c>
      <c r="F5677">
        <v>0.16931000000000002</v>
      </c>
    </row>
    <row r="5678" spans="1:6" x14ac:dyDescent="0.3">
      <c r="A5678" t="s">
        <v>22</v>
      </c>
      <c r="B5678" s="1">
        <v>45894</v>
      </c>
      <c r="C5678">
        <v>14</v>
      </c>
      <c r="D5678">
        <v>3.431</v>
      </c>
      <c r="E5678" t="s">
        <v>6</v>
      </c>
      <c r="F5678">
        <v>0.14393999999999998</v>
      </c>
    </row>
    <row r="5679" spans="1:6" x14ac:dyDescent="0.3">
      <c r="A5679" t="s">
        <v>22</v>
      </c>
      <c r="B5679" s="1">
        <v>45894</v>
      </c>
      <c r="C5679">
        <v>15</v>
      </c>
      <c r="D5679">
        <v>2.7709999999999999</v>
      </c>
      <c r="E5679" t="s">
        <v>6</v>
      </c>
      <c r="F5679">
        <v>6.8209999999999993E-2</v>
      </c>
    </row>
    <row r="5680" spans="1:6" x14ac:dyDescent="0.3">
      <c r="A5680" t="s">
        <v>22</v>
      </c>
      <c r="B5680" s="1">
        <v>45894</v>
      </c>
      <c r="C5680">
        <v>16</v>
      </c>
      <c r="D5680">
        <v>1.319</v>
      </c>
      <c r="E5680" t="s">
        <v>6</v>
      </c>
      <c r="F5680">
        <v>6.8709999999999993E-2</v>
      </c>
    </row>
    <row r="5681" spans="1:6" x14ac:dyDescent="0.3">
      <c r="A5681" t="s">
        <v>22</v>
      </c>
      <c r="B5681" s="1">
        <v>45894</v>
      </c>
      <c r="C5681">
        <v>17</v>
      </c>
      <c r="D5681">
        <v>1.573</v>
      </c>
      <c r="E5681" t="s">
        <v>6</v>
      </c>
      <c r="F5681">
        <v>0.10394</v>
      </c>
    </row>
    <row r="5682" spans="1:6" x14ac:dyDescent="0.3">
      <c r="A5682" t="s">
        <v>22</v>
      </c>
      <c r="B5682" s="1">
        <v>45894</v>
      </c>
      <c r="C5682">
        <v>18</v>
      </c>
      <c r="D5682">
        <v>0.73399999999999999</v>
      </c>
      <c r="E5682" t="s">
        <v>6</v>
      </c>
      <c r="F5682">
        <v>0.12012</v>
      </c>
    </row>
    <row r="5683" spans="1:6" x14ac:dyDescent="0.3">
      <c r="A5683" t="s">
        <v>22</v>
      </c>
      <c r="B5683" s="1">
        <v>45894</v>
      </c>
      <c r="C5683">
        <v>19</v>
      </c>
      <c r="D5683">
        <v>0</v>
      </c>
      <c r="E5683" t="s">
        <v>6</v>
      </c>
      <c r="F5683">
        <v>0.21878</v>
      </c>
    </row>
    <row r="5684" spans="1:6" x14ac:dyDescent="0.3">
      <c r="A5684" t="s">
        <v>22</v>
      </c>
      <c r="B5684" s="1">
        <v>45894</v>
      </c>
      <c r="C5684">
        <v>20</v>
      </c>
      <c r="D5684">
        <v>0.23</v>
      </c>
      <c r="E5684" t="s">
        <v>6</v>
      </c>
      <c r="F5684">
        <v>0.23585</v>
      </c>
    </row>
    <row r="5685" spans="1:6" x14ac:dyDescent="0.3">
      <c r="A5685" t="s">
        <v>22</v>
      </c>
      <c r="B5685" s="1">
        <v>45894</v>
      </c>
      <c r="C5685">
        <v>21</v>
      </c>
      <c r="D5685">
        <v>0.45300000000000001</v>
      </c>
      <c r="E5685" t="s">
        <v>6</v>
      </c>
      <c r="F5685">
        <v>0.24818000000000001</v>
      </c>
    </row>
    <row r="5686" spans="1:6" x14ac:dyDescent="0.3">
      <c r="A5686" t="s">
        <v>22</v>
      </c>
      <c r="B5686" s="1">
        <v>45894</v>
      </c>
      <c r="C5686">
        <v>22</v>
      </c>
      <c r="D5686">
        <v>0.46700000000000003</v>
      </c>
      <c r="E5686" t="s">
        <v>6</v>
      </c>
      <c r="F5686">
        <v>0.26588000000000001</v>
      </c>
    </row>
    <row r="5687" spans="1:6" x14ac:dyDescent="0.3">
      <c r="A5687" t="s">
        <v>22</v>
      </c>
      <c r="B5687" s="1">
        <v>45894</v>
      </c>
      <c r="C5687">
        <v>23</v>
      </c>
      <c r="D5687">
        <v>0.442</v>
      </c>
      <c r="E5687" t="s">
        <v>6</v>
      </c>
      <c r="F5687">
        <v>0.18077000000000001</v>
      </c>
    </row>
    <row r="5688" spans="1:6" x14ac:dyDescent="0.3">
      <c r="A5688" t="s">
        <v>22</v>
      </c>
      <c r="B5688" s="1">
        <v>45894</v>
      </c>
      <c r="C5688">
        <v>24</v>
      </c>
      <c r="D5688">
        <v>0.65900000000000003</v>
      </c>
      <c r="E5688" t="s">
        <v>6</v>
      </c>
      <c r="F5688">
        <v>0.17308999999999999</v>
      </c>
    </row>
    <row r="5689" spans="1:6" x14ac:dyDescent="0.3">
      <c r="A5689" t="s">
        <v>22</v>
      </c>
      <c r="B5689" s="1">
        <v>45895</v>
      </c>
      <c r="C5689">
        <v>1</v>
      </c>
      <c r="D5689">
        <v>1.282</v>
      </c>
      <c r="E5689" t="s">
        <v>6</v>
      </c>
      <c r="F5689">
        <v>0.14221999999999999</v>
      </c>
    </row>
    <row r="5690" spans="1:6" x14ac:dyDescent="0.3">
      <c r="A5690" t="s">
        <v>22</v>
      </c>
      <c r="B5690" s="1">
        <v>45895</v>
      </c>
      <c r="C5690">
        <v>2</v>
      </c>
      <c r="D5690">
        <v>0.55200000000000005</v>
      </c>
      <c r="E5690" t="s">
        <v>6</v>
      </c>
      <c r="F5690">
        <v>0.13905999999999999</v>
      </c>
    </row>
    <row r="5691" spans="1:6" x14ac:dyDescent="0.3">
      <c r="A5691" t="s">
        <v>22</v>
      </c>
      <c r="B5691" s="1">
        <v>45895</v>
      </c>
      <c r="C5691">
        <v>3</v>
      </c>
      <c r="D5691">
        <v>0.47599999999999998</v>
      </c>
      <c r="E5691" t="s">
        <v>6</v>
      </c>
      <c r="F5691">
        <v>0.13811000000000001</v>
      </c>
    </row>
    <row r="5692" spans="1:6" x14ac:dyDescent="0.3">
      <c r="A5692" t="s">
        <v>22</v>
      </c>
      <c r="B5692" s="1">
        <v>45895</v>
      </c>
      <c r="C5692">
        <v>4</v>
      </c>
      <c r="D5692">
        <v>0.47799999999999998</v>
      </c>
      <c r="E5692" t="s">
        <v>6</v>
      </c>
      <c r="F5692">
        <v>0.13263999999999998</v>
      </c>
    </row>
    <row r="5693" spans="1:6" x14ac:dyDescent="0.3">
      <c r="A5693" t="s">
        <v>22</v>
      </c>
      <c r="B5693" s="1">
        <v>45895</v>
      </c>
      <c r="C5693">
        <v>5</v>
      </c>
      <c r="D5693">
        <v>0.495</v>
      </c>
      <c r="E5693" t="s">
        <v>6</v>
      </c>
      <c r="F5693">
        <v>0.13333</v>
      </c>
    </row>
    <row r="5694" spans="1:6" x14ac:dyDescent="0.3">
      <c r="A5694" t="s">
        <v>22</v>
      </c>
      <c r="B5694" s="1">
        <v>45895</v>
      </c>
      <c r="C5694">
        <v>6</v>
      </c>
      <c r="D5694">
        <v>0.35799999999999998</v>
      </c>
      <c r="E5694" t="s">
        <v>6</v>
      </c>
      <c r="F5694">
        <v>0.13350999999999999</v>
      </c>
    </row>
    <row r="5695" spans="1:6" x14ac:dyDescent="0.3">
      <c r="A5695" t="s">
        <v>22</v>
      </c>
      <c r="B5695" s="1">
        <v>45895</v>
      </c>
      <c r="C5695">
        <v>7</v>
      </c>
      <c r="D5695">
        <v>0.50700000000000001</v>
      </c>
      <c r="E5695" t="s">
        <v>6</v>
      </c>
      <c r="F5695">
        <v>0.14402000000000001</v>
      </c>
    </row>
    <row r="5696" spans="1:6" x14ac:dyDescent="0.3">
      <c r="A5696" t="s">
        <v>22</v>
      </c>
      <c r="B5696" s="1">
        <v>45895</v>
      </c>
      <c r="C5696">
        <v>8</v>
      </c>
      <c r="D5696">
        <v>0.375</v>
      </c>
      <c r="E5696" t="s">
        <v>6</v>
      </c>
      <c r="F5696">
        <v>0.1656</v>
      </c>
    </row>
    <row r="5697" spans="1:6" x14ac:dyDescent="0.3">
      <c r="A5697" t="s">
        <v>22</v>
      </c>
      <c r="B5697" s="1">
        <v>45895</v>
      </c>
      <c r="C5697">
        <v>9</v>
      </c>
      <c r="D5697">
        <v>0.152</v>
      </c>
      <c r="E5697" t="s">
        <v>6</v>
      </c>
      <c r="F5697">
        <v>0.17565999999999998</v>
      </c>
    </row>
    <row r="5698" spans="1:6" x14ac:dyDescent="0.3">
      <c r="A5698" t="s">
        <v>22</v>
      </c>
      <c r="B5698" s="1">
        <v>45895</v>
      </c>
      <c r="C5698">
        <v>10</v>
      </c>
      <c r="D5698">
        <v>0</v>
      </c>
      <c r="E5698" t="s">
        <v>6</v>
      </c>
      <c r="F5698">
        <v>0.158</v>
      </c>
    </row>
    <row r="5699" spans="1:6" x14ac:dyDescent="0.3">
      <c r="A5699" t="s">
        <v>22</v>
      </c>
      <c r="B5699" s="1">
        <v>45895</v>
      </c>
      <c r="C5699">
        <v>11</v>
      </c>
      <c r="D5699">
        <v>0</v>
      </c>
      <c r="E5699" t="s">
        <v>6</v>
      </c>
      <c r="F5699">
        <v>0.18809999999999999</v>
      </c>
    </row>
    <row r="5700" spans="1:6" x14ac:dyDescent="0.3">
      <c r="A5700" t="s">
        <v>22</v>
      </c>
      <c r="B5700" s="1">
        <v>45895</v>
      </c>
      <c r="C5700">
        <v>12</v>
      </c>
      <c r="D5700">
        <v>1.0740000000000001</v>
      </c>
      <c r="E5700" t="s">
        <v>6</v>
      </c>
      <c r="F5700">
        <v>0.17765999999999998</v>
      </c>
    </row>
    <row r="5701" spans="1:6" x14ac:dyDescent="0.3">
      <c r="A5701" t="s">
        <v>22</v>
      </c>
      <c r="B5701" s="1">
        <v>45895</v>
      </c>
      <c r="C5701">
        <v>13</v>
      </c>
      <c r="D5701">
        <v>1.3140000000000001</v>
      </c>
      <c r="E5701" t="s">
        <v>6</v>
      </c>
      <c r="F5701">
        <v>0.15594</v>
      </c>
    </row>
    <row r="5702" spans="1:6" x14ac:dyDescent="0.3">
      <c r="A5702" t="s">
        <v>22</v>
      </c>
      <c r="B5702" s="1">
        <v>45895</v>
      </c>
      <c r="C5702">
        <v>14</v>
      </c>
      <c r="D5702">
        <v>1.194</v>
      </c>
      <c r="E5702" t="s">
        <v>6</v>
      </c>
      <c r="F5702">
        <v>0.13644000000000001</v>
      </c>
    </row>
    <row r="5703" spans="1:6" x14ac:dyDescent="0.3">
      <c r="A5703" t="s">
        <v>22</v>
      </c>
      <c r="B5703" s="1">
        <v>45895</v>
      </c>
      <c r="C5703">
        <v>15</v>
      </c>
      <c r="D5703">
        <v>0</v>
      </c>
      <c r="E5703" t="s">
        <v>6</v>
      </c>
      <c r="F5703">
        <v>8.5029999999999994E-2</v>
      </c>
    </row>
    <row r="5704" spans="1:6" x14ac:dyDescent="0.3">
      <c r="A5704" t="s">
        <v>22</v>
      </c>
      <c r="B5704" s="1">
        <v>45895</v>
      </c>
      <c r="C5704">
        <v>16</v>
      </c>
      <c r="D5704">
        <v>0</v>
      </c>
      <c r="E5704" t="s">
        <v>6</v>
      </c>
      <c r="F5704">
        <v>9.9610000000000004E-2</v>
      </c>
    </row>
    <row r="5705" spans="1:6" x14ac:dyDescent="0.3">
      <c r="A5705" t="s">
        <v>22</v>
      </c>
      <c r="B5705" s="1">
        <v>45895</v>
      </c>
      <c r="C5705">
        <v>17</v>
      </c>
      <c r="D5705">
        <v>0</v>
      </c>
      <c r="E5705" t="s">
        <v>6</v>
      </c>
      <c r="F5705">
        <v>0.11194</v>
      </c>
    </row>
    <row r="5706" spans="1:6" x14ac:dyDescent="0.3">
      <c r="A5706" t="s">
        <v>22</v>
      </c>
      <c r="B5706" s="1">
        <v>45895</v>
      </c>
      <c r="C5706">
        <v>18</v>
      </c>
      <c r="D5706">
        <v>0</v>
      </c>
      <c r="E5706" t="s">
        <v>6</v>
      </c>
      <c r="F5706">
        <v>0.11810999999999999</v>
      </c>
    </row>
    <row r="5707" spans="1:6" x14ac:dyDescent="0.3">
      <c r="A5707" t="s">
        <v>22</v>
      </c>
      <c r="B5707" s="1">
        <v>45895</v>
      </c>
      <c r="C5707">
        <v>19</v>
      </c>
      <c r="D5707">
        <v>0</v>
      </c>
      <c r="E5707" t="s">
        <v>6</v>
      </c>
      <c r="F5707">
        <v>0.19991</v>
      </c>
    </row>
    <row r="5708" spans="1:6" x14ac:dyDescent="0.3">
      <c r="A5708" t="s">
        <v>22</v>
      </c>
      <c r="B5708" s="1">
        <v>45895</v>
      </c>
      <c r="C5708">
        <v>20</v>
      </c>
      <c r="D5708">
        <v>1.6180000000000001</v>
      </c>
      <c r="E5708" t="s">
        <v>6</v>
      </c>
      <c r="F5708">
        <v>0.22724</v>
      </c>
    </row>
    <row r="5709" spans="1:6" x14ac:dyDescent="0.3">
      <c r="A5709" t="s">
        <v>22</v>
      </c>
      <c r="B5709" s="1">
        <v>45895</v>
      </c>
      <c r="C5709">
        <v>21</v>
      </c>
      <c r="D5709">
        <v>0.621</v>
      </c>
      <c r="E5709" t="s">
        <v>6</v>
      </c>
      <c r="F5709">
        <v>0.24181999999999998</v>
      </c>
    </row>
    <row r="5710" spans="1:6" x14ac:dyDescent="0.3">
      <c r="A5710" t="s">
        <v>22</v>
      </c>
      <c r="B5710" s="1">
        <v>45895</v>
      </c>
      <c r="C5710">
        <v>22</v>
      </c>
      <c r="D5710">
        <v>0.47799999999999998</v>
      </c>
      <c r="E5710" t="s">
        <v>6</v>
      </c>
      <c r="F5710">
        <v>0.24793000000000001</v>
      </c>
    </row>
    <row r="5711" spans="1:6" x14ac:dyDescent="0.3">
      <c r="A5711" t="s">
        <v>22</v>
      </c>
      <c r="B5711" s="1">
        <v>45895</v>
      </c>
      <c r="C5711">
        <v>23</v>
      </c>
      <c r="D5711">
        <v>0.70599999999999996</v>
      </c>
      <c r="E5711" t="s">
        <v>6</v>
      </c>
      <c r="F5711">
        <v>0.17232</v>
      </c>
    </row>
    <row r="5712" spans="1:6" x14ac:dyDescent="0.3">
      <c r="A5712" t="s">
        <v>22</v>
      </c>
      <c r="B5712" s="1">
        <v>45895</v>
      </c>
      <c r="C5712">
        <v>24</v>
      </c>
      <c r="D5712">
        <v>0.54800000000000004</v>
      </c>
      <c r="E5712" t="s">
        <v>6</v>
      </c>
      <c r="F5712">
        <v>0.1671</v>
      </c>
    </row>
    <row r="5713" spans="1:6" x14ac:dyDescent="0.3">
      <c r="A5713" t="s">
        <v>22</v>
      </c>
      <c r="B5713" s="1">
        <v>45896</v>
      </c>
      <c r="C5713">
        <v>1</v>
      </c>
      <c r="D5713">
        <v>0.53</v>
      </c>
      <c r="E5713" t="s">
        <v>6</v>
      </c>
      <c r="F5713">
        <v>0.14324000000000001</v>
      </c>
    </row>
    <row r="5714" spans="1:6" x14ac:dyDescent="0.3">
      <c r="A5714" t="s">
        <v>22</v>
      </c>
      <c r="B5714" s="1">
        <v>45896</v>
      </c>
      <c r="C5714">
        <v>2</v>
      </c>
      <c r="D5714">
        <v>0.54600000000000004</v>
      </c>
      <c r="E5714" t="s">
        <v>6</v>
      </c>
      <c r="F5714">
        <v>0.13704</v>
      </c>
    </row>
    <row r="5715" spans="1:6" x14ac:dyDescent="0.3">
      <c r="A5715" t="s">
        <v>22</v>
      </c>
      <c r="B5715" s="1">
        <v>45896</v>
      </c>
      <c r="C5715">
        <v>3</v>
      </c>
      <c r="D5715">
        <v>0.48</v>
      </c>
      <c r="E5715" t="s">
        <v>6</v>
      </c>
      <c r="F5715">
        <v>0.13586000000000001</v>
      </c>
    </row>
    <row r="5716" spans="1:6" x14ac:dyDescent="0.3">
      <c r="A5716" t="s">
        <v>22</v>
      </c>
      <c r="B5716" s="1">
        <v>45896</v>
      </c>
      <c r="C5716">
        <v>4</v>
      </c>
      <c r="D5716">
        <v>0.51900000000000002</v>
      </c>
      <c r="E5716" t="s">
        <v>6</v>
      </c>
      <c r="F5716">
        <v>0.1288</v>
      </c>
    </row>
    <row r="5717" spans="1:6" x14ac:dyDescent="0.3">
      <c r="A5717" t="s">
        <v>22</v>
      </c>
      <c r="B5717" s="1">
        <v>45896</v>
      </c>
      <c r="C5717">
        <v>5</v>
      </c>
      <c r="D5717">
        <v>0.46899999999999997</v>
      </c>
      <c r="E5717" t="s">
        <v>6</v>
      </c>
      <c r="F5717">
        <v>0.12372</v>
      </c>
    </row>
    <row r="5718" spans="1:6" x14ac:dyDescent="0.3">
      <c r="A5718" t="s">
        <v>22</v>
      </c>
      <c r="B5718" s="1">
        <v>45896</v>
      </c>
      <c r="C5718">
        <v>6</v>
      </c>
      <c r="D5718">
        <v>1.0680000000000001</v>
      </c>
      <c r="E5718" t="s">
        <v>6</v>
      </c>
      <c r="F5718">
        <v>0.12304000000000001</v>
      </c>
    </row>
    <row r="5719" spans="1:6" x14ac:dyDescent="0.3">
      <c r="A5719" t="s">
        <v>22</v>
      </c>
      <c r="B5719" s="1">
        <v>45896</v>
      </c>
      <c r="C5719">
        <v>7</v>
      </c>
      <c r="D5719">
        <v>0.47399999999999998</v>
      </c>
      <c r="E5719" t="s">
        <v>6</v>
      </c>
      <c r="F5719">
        <v>0.13635</v>
      </c>
    </row>
    <row r="5720" spans="1:6" x14ac:dyDescent="0.3">
      <c r="A5720" t="s">
        <v>22</v>
      </c>
      <c r="B5720" s="1">
        <v>45896</v>
      </c>
      <c r="C5720">
        <v>8</v>
      </c>
      <c r="D5720">
        <v>0.40200000000000002</v>
      </c>
      <c r="E5720" t="s">
        <v>6</v>
      </c>
      <c r="F5720">
        <v>0.14813999999999999</v>
      </c>
    </row>
    <row r="5721" spans="1:6" x14ac:dyDescent="0.3">
      <c r="A5721" t="s">
        <v>22</v>
      </c>
      <c r="B5721" s="1">
        <v>45896</v>
      </c>
      <c r="C5721">
        <v>9</v>
      </c>
      <c r="D5721">
        <v>0.47199999999999998</v>
      </c>
      <c r="E5721" t="s">
        <v>6</v>
      </c>
      <c r="F5721">
        <v>0.1701</v>
      </c>
    </row>
    <row r="5722" spans="1:6" x14ac:dyDescent="0.3">
      <c r="A5722" t="s">
        <v>22</v>
      </c>
      <c r="B5722" s="1">
        <v>45896</v>
      </c>
      <c r="C5722">
        <v>10</v>
      </c>
      <c r="D5722">
        <v>1.5349999999999999</v>
      </c>
      <c r="E5722" t="s">
        <v>6</v>
      </c>
      <c r="F5722">
        <v>0.16322999999999999</v>
      </c>
    </row>
    <row r="5723" spans="1:6" x14ac:dyDescent="0.3">
      <c r="A5723" t="s">
        <v>22</v>
      </c>
      <c r="B5723" s="1">
        <v>45896</v>
      </c>
      <c r="C5723">
        <v>11</v>
      </c>
      <c r="D5723">
        <v>1.7010000000000001</v>
      </c>
      <c r="E5723" t="s">
        <v>6</v>
      </c>
      <c r="F5723">
        <v>0.20574999999999999</v>
      </c>
    </row>
    <row r="5724" spans="1:6" x14ac:dyDescent="0.3">
      <c r="A5724" t="s">
        <v>22</v>
      </c>
      <c r="B5724" s="1">
        <v>45896</v>
      </c>
      <c r="C5724">
        <v>12</v>
      </c>
      <c r="D5724">
        <v>1.722</v>
      </c>
      <c r="E5724" t="s">
        <v>6</v>
      </c>
      <c r="F5724">
        <v>0.19997999999999999</v>
      </c>
    </row>
    <row r="5725" spans="1:6" x14ac:dyDescent="0.3">
      <c r="A5725" t="s">
        <v>22</v>
      </c>
      <c r="B5725" s="1">
        <v>45896</v>
      </c>
      <c r="C5725">
        <v>13</v>
      </c>
      <c r="D5725">
        <v>2.1890000000000001</v>
      </c>
      <c r="E5725" t="s">
        <v>6</v>
      </c>
      <c r="F5725">
        <v>0.18447999999999998</v>
      </c>
    </row>
    <row r="5726" spans="1:6" x14ac:dyDescent="0.3">
      <c r="A5726" t="s">
        <v>22</v>
      </c>
      <c r="B5726" s="1">
        <v>45896</v>
      </c>
      <c r="C5726">
        <v>14</v>
      </c>
      <c r="D5726">
        <v>5.2850000000000001</v>
      </c>
      <c r="E5726" t="s">
        <v>6</v>
      </c>
      <c r="F5726">
        <v>0.16613</v>
      </c>
    </row>
    <row r="5727" spans="1:6" x14ac:dyDescent="0.3">
      <c r="A5727" t="s">
        <v>22</v>
      </c>
      <c r="B5727" s="1">
        <v>45896</v>
      </c>
      <c r="C5727">
        <v>15</v>
      </c>
      <c r="D5727">
        <v>6.0890000000000004</v>
      </c>
      <c r="E5727" t="s">
        <v>6</v>
      </c>
      <c r="F5727">
        <v>0.10198</v>
      </c>
    </row>
    <row r="5728" spans="1:6" x14ac:dyDescent="0.3">
      <c r="A5728" t="s">
        <v>22</v>
      </c>
      <c r="B5728" s="1">
        <v>45896</v>
      </c>
      <c r="C5728">
        <v>16</v>
      </c>
      <c r="D5728">
        <v>3.8140000000000001</v>
      </c>
      <c r="E5728" t="s">
        <v>6</v>
      </c>
      <c r="F5728">
        <v>0.10546</v>
      </c>
    </row>
    <row r="5729" spans="1:6" x14ac:dyDescent="0.3">
      <c r="A5729" t="s">
        <v>22</v>
      </c>
      <c r="B5729" s="1">
        <v>45896</v>
      </c>
      <c r="C5729">
        <v>17</v>
      </c>
      <c r="D5729">
        <v>0.85499999999999998</v>
      </c>
      <c r="E5729" t="s">
        <v>6</v>
      </c>
      <c r="F5729">
        <v>0.10665000000000001</v>
      </c>
    </row>
    <row r="5730" spans="1:6" x14ac:dyDescent="0.3">
      <c r="A5730" t="s">
        <v>22</v>
      </c>
      <c r="B5730" s="1">
        <v>45896</v>
      </c>
      <c r="C5730">
        <v>18</v>
      </c>
      <c r="D5730">
        <v>0.66300000000000003</v>
      </c>
      <c r="E5730" t="s">
        <v>6</v>
      </c>
      <c r="F5730">
        <v>0.10786</v>
      </c>
    </row>
    <row r="5731" spans="1:6" x14ac:dyDescent="0.3">
      <c r="A5731" t="s">
        <v>22</v>
      </c>
      <c r="B5731" s="1">
        <v>45896</v>
      </c>
      <c r="C5731">
        <v>19</v>
      </c>
      <c r="D5731">
        <v>0.59399999999999997</v>
      </c>
      <c r="E5731" t="s">
        <v>6</v>
      </c>
      <c r="F5731">
        <v>0.19090000000000001</v>
      </c>
    </row>
    <row r="5732" spans="1:6" x14ac:dyDescent="0.3">
      <c r="A5732" t="s">
        <v>22</v>
      </c>
      <c r="B5732" s="1">
        <v>45896</v>
      </c>
      <c r="C5732">
        <v>20</v>
      </c>
      <c r="D5732">
        <v>0.52900000000000003</v>
      </c>
      <c r="E5732" t="s">
        <v>6</v>
      </c>
      <c r="F5732">
        <v>0.22202000000000002</v>
      </c>
    </row>
    <row r="5733" spans="1:6" x14ac:dyDescent="0.3">
      <c r="A5733" t="s">
        <v>22</v>
      </c>
      <c r="B5733" s="1">
        <v>45896</v>
      </c>
      <c r="C5733">
        <v>21</v>
      </c>
      <c r="D5733">
        <v>0.56299999999999994</v>
      </c>
      <c r="E5733" t="s">
        <v>6</v>
      </c>
      <c r="F5733">
        <v>0.23257</v>
      </c>
    </row>
    <row r="5734" spans="1:6" x14ac:dyDescent="0.3">
      <c r="A5734" t="s">
        <v>22</v>
      </c>
      <c r="B5734" s="1">
        <v>45896</v>
      </c>
      <c r="C5734">
        <v>22</v>
      </c>
      <c r="D5734">
        <v>0.94</v>
      </c>
      <c r="E5734" t="s">
        <v>6</v>
      </c>
      <c r="F5734">
        <v>0.23627000000000001</v>
      </c>
    </row>
    <row r="5735" spans="1:6" x14ac:dyDescent="0.3">
      <c r="A5735" t="s">
        <v>22</v>
      </c>
      <c r="B5735" s="1">
        <v>45896</v>
      </c>
      <c r="C5735">
        <v>23</v>
      </c>
      <c r="D5735">
        <v>0.78700000000000003</v>
      </c>
      <c r="E5735" t="s">
        <v>6</v>
      </c>
      <c r="F5735">
        <v>0.17096</v>
      </c>
    </row>
    <row r="5736" spans="1:6" x14ac:dyDescent="0.3">
      <c r="A5736" t="s">
        <v>22</v>
      </c>
      <c r="B5736" s="1">
        <v>45896</v>
      </c>
      <c r="C5736">
        <v>24</v>
      </c>
      <c r="D5736">
        <v>1.486</v>
      </c>
      <c r="E5736" t="s">
        <v>6</v>
      </c>
      <c r="F5736">
        <v>0.16127</v>
      </c>
    </row>
    <row r="5737" spans="1:6" x14ac:dyDescent="0.3">
      <c r="A5737" t="s">
        <v>22</v>
      </c>
      <c r="B5737" s="1">
        <v>45897</v>
      </c>
      <c r="C5737">
        <v>1</v>
      </c>
      <c r="D5737">
        <v>1.3759999999999999</v>
      </c>
      <c r="E5737" t="s">
        <v>6</v>
      </c>
      <c r="F5737">
        <v>0.14915999999999999</v>
      </c>
    </row>
    <row r="5738" spans="1:6" x14ac:dyDescent="0.3">
      <c r="A5738" t="s">
        <v>22</v>
      </c>
      <c r="B5738" s="1">
        <v>45897</v>
      </c>
      <c r="C5738">
        <v>2</v>
      </c>
      <c r="D5738">
        <v>0.52600000000000002</v>
      </c>
      <c r="E5738" t="s">
        <v>6</v>
      </c>
      <c r="F5738">
        <v>0.14079</v>
      </c>
    </row>
    <row r="5739" spans="1:6" x14ac:dyDescent="0.3">
      <c r="A5739" t="s">
        <v>22</v>
      </c>
      <c r="B5739" s="1">
        <v>45897</v>
      </c>
      <c r="C5739">
        <v>3</v>
      </c>
      <c r="D5739">
        <v>0.5</v>
      </c>
      <c r="E5739" t="s">
        <v>6</v>
      </c>
      <c r="F5739">
        <v>0.13886000000000001</v>
      </c>
    </row>
    <row r="5740" spans="1:6" x14ac:dyDescent="0.3">
      <c r="A5740" t="s">
        <v>22</v>
      </c>
      <c r="B5740" s="1">
        <v>45897</v>
      </c>
      <c r="C5740">
        <v>4</v>
      </c>
      <c r="D5740">
        <v>0.52</v>
      </c>
      <c r="E5740" t="s">
        <v>6</v>
      </c>
      <c r="F5740">
        <v>0.12398999999999999</v>
      </c>
    </row>
    <row r="5741" spans="1:6" x14ac:dyDescent="0.3">
      <c r="A5741" t="s">
        <v>22</v>
      </c>
      <c r="B5741" s="1">
        <v>45897</v>
      </c>
      <c r="C5741">
        <v>5</v>
      </c>
      <c r="D5741">
        <v>0.46700000000000003</v>
      </c>
      <c r="E5741" t="s">
        <v>6</v>
      </c>
      <c r="F5741">
        <v>0.11965000000000001</v>
      </c>
    </row>
    <row r="5742" spans="1:6" x14ac:dyDescent="0.3">
      <c r="A5742" t="s">
        <v>22</v>
      </c>
      <c r="B5742" s="1">
        <v>45897</v>
      </c>
      <c r="C5742">
        <v>6</v>
      </c>
      <c r="D5742">
        <v>0.495</v>
      </c>
      <c r="E5742" t="s">
        <v>6</v>
      </c>
      <c r="F5742">
        <v>0.12606000000000001</v>
      </c>
    </row>
    <row r="5743" spans="1:6" x14ac:dyDescent="0.3">
      <c r="A5743" t="s">
        <v>22</v>
      </c>
      <c r="B5743" s="1">
        <v>45897</v>
      </c>
      <c r="C5743">
        <v>7</v>
      </c>
      <c r="D5743">
        <v>0.45</v>
      </c>
      <c r="E5743" t="s">
        <v>6</v>
      </c>
      <c r="F5743">
        <v>0.13561000000000001</v>
      </c>
    </row>
    <row r="5744" spans="1:6" x14ac:dyDescent="0.3">
      <c r="A5744" t="s">
        <v>22</v>
      </c>
      <c r="B5744" s="1">
        <v>45897</v>
      </c>
      <c r="C5744">
        <v>8</v>
      </c>
      <c r="D5744">
        <v>0.48099999999999998</v>
      </c>
      <c r="E5744" t="s">
        <v>6</v>
      </c>
      <c r="F5744">
        <v>0.14421</v>
      </c>
    </row>
    <row r="5745" spans="1:6" x14ac:dyDescent="0.3">
      <c r="A5745" t="s">
        <v>22</v>
      </c>
      <c r="B5745" s="1">
        <v>45897</v>
      </c>
      <c r="C5745">
        <v>9</v>
      </c>
      <c r="D5745">
        <v>0.70199999999999996</v>
      </c>
      <c r="E5745" t="s">
        <v>6</v>
      </c>
      <c r="F5745">
        <v>0.1663</v>
      </c>
    </row>
    <row r="5746" spans="1:6" x14ac:dyDescent="0.3">
      <c r="A5746" t="s">
        <v>22</v>
      </c>
      <c r="B5746" s="1">
        <v>45897</v>
      </c>
      <c r="C5746">
        <v>10</v>
      </c>
      <c r="D5746">
        <v>1.5589999999999999</v>
      </c>
      <c r="E5746" t="s">
        <v>6</v>
      </c>
      <c r="F5746">
        <v>0.14502000000000001</v>
      </c>
    </row>
    <row r="5747" spans="1:6" x14ac:dyDescent="0.3">
      <c r="A5747" t="s">
        <v>22</v>
      </c>
      <c r="B5747" s="1">
        <v>45897</v>
      </c>
      <c r="C5747">
        <v>11</v>
      </c>
      <c r="D5747">
        <v>2.23</v>
      </c>
      <c r="E5747" t="s">
        <v>6</v>
      </c>
      <c r="F5747">
        <v>0.15087</v>
      </c>
    </row>
    <row r="5748" spans="1:6" x14ac:dyDescent="0.3">
      <c r="A5748" t="s">
        <v>22</v>
      </c>
      <c r="B5748" s="1">
        <v>45897</v>
      </c>
      <c r="C5748">
        <v>12</v>
      </c>
      <c r="D5748">
        <v>2.871</v>
      </c>
      <c r="E5748" t="s">
        <v>6</v>
      </c>
      <c r="F5748">
        <v>0.13487000000000002</v>
      </c>
    </row>
    <row r="5749" spans="1:6" x14ac:dyDescent="0.3">
      <c r="A5749" t="s">
        <v>22</v>
      </c>
      <c r="B5749" s="1">
        <v>45897</v>
      </c>
      <c r="C5749">
        <v>13</v>
      </c>
      <c r="D5749">
        <v>2.0960000000000001</v>
      </c>
      <c r="E5749" t="s">
        <v>6</v>
      </c>
      <c r="F5749">
        <v>0.13256999999999999</v>
      </c>
    </row>
    <row r="5750" spans="1:6" x14ac:dyDescent="0.3">
      <c r="A5750" t="s">
        <v>22</v>
      </c>
      <c r="B5750" s="1">
        <v>45897</v>
      </c>
      <c r="C5750">
        <v>14</v>
      </c>
      <c r="D5750">
        <v>1.5089999999999999</v>
      </c>
      <c r="E5750" t="s">
        <v>6</v>
      </c>
      <c r="F5750">
        <v>0.12975</v>
      </c>
    </row>
    <row r="5751" spans="1:6" x14ac:dyDescent="0.3">
      <c r="A5751" t="s">
        <v>22</v>
      </c>
      <c r="B5751" s="1">
        <v>45897</v>
      </c>
      <c r="C5751">
        <v>15</v>
      </c>
      <c r="D5751">
        <v>1.556</v>
      </c>
      <c r="E5751" t="s">
        <v>6</v>
      </c>
      <c r="F5751">
        <v>6.3930000000000001E-2</v>
      </c>
    </row>
    <row r="5752" spans="1:6" x14ac:dyDescent="0.3">
      <c r="A5752" t="s">
        <v>22</v>
      </c>
      <c r="B5752" s="1">
        <v>45897</v>
      </c>
      <c r="C5752">
        <v>16</v>
      </c>
      <c r="D5752">
        <v>1.6990000000000001</v>
      </c>
      <c r="E5752" t="s">
        <v>6</v>
      </c>
      <c r="F5752">
        <v>6.3670000000000004E-2</v>
      </c>
    </row>
    <row r="5753" spans="1:6" x14ac:dyDescent="0.3">
      <c r="A5753" t="s">
        <v>22</v>
      </c>
      <c r="B5753" s="1">
        <v>45897</v>
      </c>
      <c r="C5753">
        <v>17</v>
      </c>
      <c r="D5753">
        <v>1.8759999999999999</v>
      </c>
      <c r="E5753" t="s">
        <v>6</v>
      </c>
      <c r="F5753">
        <v>6.4450000000000007E-2</v>
      </c>
    </row>
    <row r="5754" spans="1:6" x14ac:dyDescent="0.3">
      <c r="A5754" t="s">
        <v>22</v>
      </c>
      <c r="B5754" s="1">
        <v>45897</v>
      </c>
      <c r="C5754">
        <v>18</v>
      </c>
      <c r="D5754">
        <v>2.2360000000000002</v>
      </c>
      <c r="E5754" t="s">
        <v>6</v>
      </c>
      <c r="F5754">
        <v>6.5250000000000002E-2</v>
      </c>
    </row>
    <row r="5755" spans="1:6" x14ac:dyDescent="0.3">
      <c r="A5755" t="s">
        <v>22</v>
      </c>
      <c r="B5755" s="1">
        <v>45897</v>
      </c>
      <c r="C5755">
        <v>19</v>
      </c>
      <c r="D5755">
        <v>5.5119999999999996</v>
      </c>
      <c r="E5755" t="s">
        <v>6</v>
      </c>
      <c r="F5755">
        <v>0.13813999999999999</v>
      </c>
    </row>
    <row r="5756" spans="1:6" x14ac:dyDescent="0.3">
      <c r="A5756" t="s">
        <v>22</v>
      </c>
      <c r="B5756" s="1">
        <v>45897</v>
      </c>
      <c r="C5756">
        <v>20</v>
      </c>
      <c r="D5756">
        <v>3.3809999999999998</v>
      </c>
      <c r="E5756" t="s">
        <v>6</v>
      </c>
      <c r="F5756">
        <v>0.20805000000000001</v>
      </c>
    </row>
    <row r="5757" spans="1:6" x14ac:dyDescent="0.3">
      <c r="A5757" t="s">
        <v>22</v>
      </c>
      <c r="B5757" s="1">
        <v>45897</v>
      </c>
      <c r="C5757">
        <v>21</v>
      </c>
      <c r="D5757">
        <v>0.70599999999999996</v>
      </c>
      <c r="E5757" t="s">
        <v>6</v>
      </c>
      <c r="F5757">
        <v>0.23555999999999999</v>
      </c>
    </row>
    <row r="5758" spans="1:6" x14ac:dyDescent="0.3">
      <c r="A5758" t="s">
        <v>22</v>
      </c>
      <c r="B5758" s="1">
        <v>45897</v>
      </c>
      <c r="C5758">
        <v>22</v>
      </c>
      <c r="D5758">
        <v>1.5009999999999999</v>
      </c>
      <c r="E5758" t="s">
        <v>6</v>
      </c>
      <c r="F5758">
        <v>0.23466000000000001</v>
      </c>
    </row>
    <row r="5759" spans="1:6" x14ac:dyDescent="0.3">
      <c r="A5759" t="s">
        <v>22</v>
      </c>
      <c r="B5759" s="1">
        <v>45897</v>
      </c>
      <c r="C5759">
        <v>23</v>
      </c>
      <c r="D5759">
        <v>0.65100000000000002</v>
      </c>
      <c r="E5759" t="s">
        <v>6</v>
      </c>
      <c r="F5759">
        <v>0.16647999999999999</v>
      </c>
    </row>
    <row r="5760" spans="1:6" x14ac:dyDescent="0.3">
      <c r="A5760" t="s">
        <v>22</v>
      </c>
      <c r="B5760" s="1">
        <v>45897</v>
      </c>
      <c r="C5760">
        <v>24</v>
      </c>
      <c r="D5760">
        <v>0.52900000000000003</v>
      </c>
      <c r="E5760" t="s">
        <v>6</v>
      </c>
      <c r="F5760">
        <v>0.16296000000000002</v>
      </c>
    </row>
    <row r="5761" spans="1:6" x14ac:dyDescent="0.3">
      <c r="A5761" t="s">
        <v>22</v>
      </c>
      <c r="B5761" s="1">
        <v>45898</v>
      </c>
      <c r="C5761">
        <v>1</v>
      </c>
      <c r="D5761">
        <v>0.58499999999999996</v>
      </c>
      <c r="E5761" t="s">
        <v>6</v>
      </c>
      <c r="F5761">
        <v>0.13835</v>
      </c>
    </row>
    <row r="5762" spans="1:6" x14ac:dyDescent="0.3">
      <c r="A5762" t="s">
        <v>22</v>
      </c>
      <c r="B5762" s="1">
        <v>45898</v>
      </c>
      <c r="C5762">
        <v>2</v>
      </c>
      <c r="D5762">
        <v>1.304</v>
      </c>
      <c r="E5762" t="s">
        <v>6</v>
      </c>
      <c r="F5762">
        <v>0.13516999999999998</v>
      </c>
    </row>
    <row r="5763" spans="1:6" x14ac:dyDescent="0.3">
      <c r="A5763" t="s">
        <v>22</v>
      </c>
      <c r="B5763" s="1">
        <v>45898</v>
      </c>
      <c r="C5763">
        <v>3</v>
      </c>
      <c r="D5763">
        <v>0.36</v>
      </c>
      <c r="E5763" t="s">
        <v>6</v>
      </c>
      <c r="F5763">
        <v>0.12968000000000002</v>
      </c>
    </row>
    <row r="5764" spans="1:6" x14ac:dyDescent="0.3">
      <c r="A5764" t="s">
        <v>22</v>
      </c>
      <c r="B5764" s="1">
        <v>45898</v>
      </c>
      <c r="C5764">
        <v>4</v>
      </c>
      <c r="D5764">
        <v>0.33500000000000002</v>
      </c>
      <c r="E5764" t="s">
        <v>6</v>
      </c>
      <c r="F5764">
        <v>0.11398999999999999</v>
      </c>
    </row>
    <row r="5765" spans="1:6" x14ac:dyDescent="0.3">
      <c r="A5765" t="s">
        <v>22</v>
      </c>
      <c r="B5765" s="1">
        <v>45898</v>
      </c>
      <c r="C5765">
        <v>5</v>
      </c>
      <c r="D5765">
        <v>0.35799999999999998</v>
      </c>
      <c r="E5765" t="s">
        <v>6</v>
      </c>
      <c r="F5765">
        <v>0.10929999999999999</v>
      </c>
    </row>
    <row r="5766" spans="1:6" x14ac:dyDescent="0.3">
      <c r="A5766" t="s">
        <v>22</v>
      </c>
      <c r="B5766" s="1">
        <v>45898</v>
      </c>
      <c r="C5766">
        <v>6</v>
      </c>
      <c r="D5766">
        <v>0.34200000000000003</v>
      </c>
      <c r="E5766" t="s">
        <v>6</v>
      </c>
      <c r="F5766">
        <v>0.10945999999999999</v>
      </c>
    </row>
    <row r="5767" spans="1:6" x14ac:dyDescent="0.3">
      <c r="A5767" t="s">
        <v>22</v>
      </c>
      <c r="B5767" s="1">
        <v>45898</v>
      </c>
      <c r="C5767">
        <v>7</v>
      </c>
      <c r="D5767">
        <v>0.315</v>
      </c>
      <c r="E5767" t="s">
        <v>6</v>
      </c>
      <c r="F5767">
        <v>0.14019000000000001</v>
      </c>
    </row>
    <row r="5768" spans="1:6" x14ac:dyDescent="0.3">
      <c r="A5768" t="s">
        <v>22</v>
      </c>
      <c r="B5768" s="1">
        <v>45898</v>
      </c>
      <c r="C5768">
        <v>8</v>
      </c>
      <c r="D5768">
        <v>0.36</v>
      </c>
      <c r="E5768" t="s">
        <v>6</v>
      </c>
      <c r="F5768">
        <v>0.14208999999999999</v>
      </c>
    </row>
    <row r="5769" spans="1:6" x14ac:dyDescent="0.3">
      <c r="A5769" t="s">
        <v>22</v>
      </c>
      <c r="B5769" s="1">
        <v>45898</v>
      </c>
      <c r="C5769">
        <v>9</v>
      </c>
      <c r="D5769">
        <v>0.79800000000000004</v>
      </c>
      <c r="E5769" t="s">
        <v>6</v>
      </c>
      <c r="F5769">
        <v>0.15537999999999999</v>
      </c>
    </row>
    <row r="5770" spans="1:6" x14ac:dyDescent="0.3">
      <c r="A5770" t="s">
        <v>22</v>
      </c>
      <c r="B5770" s="1">
        <v>45898</v>
      </c>
      <c r="C5770">
        <v>10</v>
      </c>
      <c r="D5770">
        <v>2.2469999999999999</v>
      </c>
      <c r="E5770" t="s">
        <v>6</v>
      </c>
      <c r="F5770">
        <v>0.11869</v>
      </c>
    </row>
    <row r="5771" spans="1:6" x14ac:dyDescent="0.3">
      <c r="A5771" t="s">
        <v>22</v>
      </c>
      <c r="B5771" s="1">
        <v>45898</v>
      </c>
      <c r="C5771">
        <v>11</v>
      </c>
      <c r="D5771">
        <v>1.9390000000000001</v>
      </c>
      <c r="E5771" t="s">
        <v>6</v>
      </c>
      <c r="F5771">
        <v>0.14018</v>
      </c>
    </row>
    <row r="5772" spans="1:6" x14ac:dyDescent="0.3">
      <c r="A5772" t="s">
        <v>22</v>
      </c>
      <c r="B5772" s="1">
        <v>45898</v>
      </c>
      <c r="C5772">
        <v>12</v>
      </c>
      <c r="D5772">
        <v>1.875</v>
      </c>
      <c r="E5772" t="s">
        <v>6</v>
      </c>
      <c r="F5772">
        <v>0.14002000000000001</v>
      </c>
    </row>
    <row r="5773" spans="1:6" x14ac:dyDescent="0.3">
      <c r="A5773" t="s">
        <v>22</v>
      </c>
      <c r="B5773" s="1">
        <v>45898</v>
      </c>
      <c r="C5773">
        <v>13</v>
      </c>
      <c r="D5773">
        <v>1.627</v>
      </c>
      <c r="E5773" t="s">
        <v>6</v>
      </c>
      <c r="F5773">
        <v>0.13968</v>
      </c>
    </row>
    <row r="5774" spans="1:6" x14ac:dyDescent="0.3">
      <c r="A5774" t="s">
        <v>22</v>
      </c>
      <c r="B5774" s="1">
        <v>45898</v>
      </c>
      <c r="C5774">
        <v>14</v>
      </c>
      <c r="D5774">
        <v>3.3929999999999998</v>
      </c>
      <c r="E5774" t="s">
        <v>6</v>
      </c>
      <c r="F5774">
        <v>0.13613</v>
      </c>
    </row>
    <row r="5775" spans="1:6" x14ac:dyDescent="0.3">
      <c r="A5775" t="s">
        <v>22</v>
      </c>
      <c r="B5775" s="1">
        <v>45898</v>
      </c>
      <c r="C5775">
        <v>15</v>
      </c>
      <c r="D5775">
        <v>5.5670000000000002</v>
      </c>
      <c r="E5775" t="s">
        <v>6</v>
      </c>
      <c r="F5775">
        <v>7.0940000000000003E-2</v>
      </c>
    </row>
    <row r="5776" spans="1:6" x14ac:dyDescent="0.3">
      <c r="A5776" t="s">
        <v>22</v>
      </c>
      <c r="B5776" s="1">
        <v>45898</v>
      </c>
      <c r="C5776">
        <v>16</v>
      </c>
      <c r="D5776">
        <v>5.7329999999999997</v>
      </c>
      <c r="E5776" t="s">
        <v>6</v>
      </c>
      <c r="F5776">
        <v>7.1809999999999999E-2</v>
      </c>
    </row>
    <row r="5777" spans="1:6" x14ac:dyDescent="0.3">
      <c r="A5777" t="s">
        <v>22</v>
      </c>
      <c r="B5777" s="1">
        <v>45898</v>
      </c>
      <c r="C5777">
        <v>17</v>
      </c>
      <c r="D5777">
        <v>6.0069999999999997</v>
      </c>
      <c r="E5777" t="s">
        <v>6</v>
      </c>
      <c r="F5777">
        <v>7.1959999999999996E-2</v>
      </c>
    </row>
    <row r="5778" spans="1:6" x14ac:dyDescent="0.3">
      <c r="A5778" t="s">
        <v>22</v>
      </c>
      <c r="B5778" s="1">
        <v>45898</v>
      </c>
      <c r="C5778">
        <v>18</v>
      </c>
      <c r="D5778">
        <v>0.622</v>
      </c>
      <c r="E5778" t="s">
        <v>6</v>
      </c>
      <c r="F5778">
        <v>7.1790000000000007E-2</v>
      </c>
    </row>
    <row r="5779" spans="1:6" x14ac:dyDescent="0.3">
      <c r="A5779" t="s">
        <v>22</v>
      </c>
      <c r="B5779" s="1">
        <v>45898</v>
      </c>
      <c r="C5779">
        <v>19</v>
      </c>
      <c r="D5779">
        <v>0.495</v>
      </c>
      <c r="E5779" t="s">
        <v>6</v>
      </c>
      <c r="F5779">
        <v>0.14004</v>
      </c>
    </row>
    <row r="5780" spans="1:6" x14ac:dyDescent="0.3">
      <c r="A5780" t="s">
        <v>22</v>
      </c>
      <c r="B5780" s="1">
        <v>45898</v>
      </c>
      <c r="C5780">
        <v>20</v>
      </c>
      <c r="D5780">
        <v>0.45700000000000002</v>
      </c>
      <c r="E5780" t="s">
        <v>6</v>
      </c>
      <c r="F5780">
        <v>0.20000999999999999</v>
      </c>
    </row>
    <row r="5781" spans="1:6" x14ac:dyDescent="0.3">
      <c r="A5781" t="s">
        <v>22</v>
      </c>
      <c r="B5781" s="1">
        <v>45898</v>
      </c>
      <c r="C5781">
        <v>21</v>
      </c>
      <c r="D5781">
        <v>0.39</v>
      </c>
      <c r="E5781" t="s">
        <v>6</v>
      </c>
      <c r="F5781">
        <v>0.22734000000000001</v>
      </c>
    </row>
    <row r="5782" spans="1:6" x14ac:dyDescent="0.3">
      <c r="A5782" t="s">
        <v>22</v>
      </c>
      <c r="B5782" s="1">
        <v>45898</v>
      </c>
      <c r="C5782">
        <v>22</v>
      </c>
      <c r="D5782">
        <v>0.53100000000000003</v>
      </c>
      <c r="E5782" t="s">
        <v>6</v>
      </c>
      <c r="F5782">
        <v>0.24206999999999998</v>
      </c>
    </row>
    <row r="5783" spans="1:6" x14ac:dyDescent="0.3">
      <c r="A5783" t="s">
        <v>22</v>
      </c>
      <c r="B5783" s="1">
        <v>45898</v>
      </c>
      <c r="C5783">
        <v>23</v>
      </c>
      <c r="D5783">
        <v>0.54200000000000004</v>
      </c>
      <c r="E5783" t="s">
        <v>6</v>
      </c>
      <c r="F5783">
        <v>0.17235</v>
      </c>
    </row>
    <row r="5784" spans="1:6" x14ac:dyDescent="0.3">
      <c r="A5784" t="s">
        <v>22</v>
      </c>
      <c r="B5784" s="1">
        <v>45898</v>
      </c>
      <c r="C5784">
        <v>24</v>
      </c>
      <c r="D5784">
        <v>1.244</v>
      </c>
      <c r="E5784" t="s">
        <v>6</v>
      </c>
      <c r="F5784">
        <v>0.16393000000000002</v>
      </c>
    </row>
    <row r="5785" spans="1:6" x14ac:dyDescent="0.3">
      <c r="A5785" t="s">
        <v>22</v>
      </c>
      <c r="B5785" s="1">
        <v>45899</v>
      </c>
      <c r="C5785">
        <v>1</v>
      </c>
      <c r="D5785">
        <v>0.76300000000000001</v>
      </c>
      <c r="E5785" t="s">
        <v>6</v>
      </c>
      <c r="F5785">
        <v>0.1411</v>
      </c>
    </row>
    <row r="5786" spans="1:6" x14ac:dyDescent="0.3">
      <c r="A5786" t="s">
        <v>22</v>
      </c>
      <c r="B5786" s="1">
        <v>45899</v>
      </c>
      <c r="C5786">
        <v>2</v>
      </c>
      <c r="D5786">
        <v>1.167</v>
      </c>
      <c r="E5786" t="s">
        <v>6</v>
      </c>
      <c r="F5786">
        <v>0.13781000000000002</v>
      </c>
    </row>
    <row r="5787" spans="1:6" x14ac:dyDescent="0.3">
      <c r="A5787" t="s">
        <v>22</v>
      </c>
      <c r="B5787" s="1">
        <v>45899</v>
      </c>
      <c r="C5787">
        <v>3</v>
      </c>
      <c r="D5787">
        <v>0.66300000000000003</v>
      </c>
      <c r="E5787" t="s">
        <v>6</v>
      </c>
      <c r="F5787">
        <v>0.13966000000000001</v>
      </c>
    </row>
    <row r="5788" spans="1:6" x14ac:dyDescent="0.3">
      <c r="A5788" t="s">
        <v>22</v>
      </c>
      <c r="B5788" s="1">
        <v>45899</v>
      </c>
      <c r="C5788">
        <v>4</v>
      </c>
      <c r="D5788">
        <v>0.39300000000000002</v>
      </c>
      <c r="E5788" t="s">
        <v>6</v>
      </c>
      <c r="F5788">
        <v>0.13215000000000002</v>
      </c>
    </row>
    <row r="5789" spans="1:6" x14ac:dyDescent="0.3">
      <c r="A5789" t="s">
        <v>22</v>
      </c>
      <c r="B5789" s="1">
        <v>45899</v>
      </c>
      <c r="C5789">
        <v>5</v>
      </c>
      <c r="D5789">
        <v>0.34699999999999998</v>
      </c>
      <c r="E5789" t="s">
        <v>6</v>
      </c>
      <c r="F5789">
        <v>0.13190000000000002</v>
      </c>
    </row>
    <row r="5790" spans="1:6" x14ac:dyDescent="0.3">
      <c r="A5790" t="s">
        <v>22</v>
      </c>
      <c r="B5790" s="1">
        <v>45899</v>
      </c>
      <c r="C5790">
        <v>6</v>
      </c>
      <c r="D5790">
        <v>0.33400000000000002</v>
      </c>
      <c r="E5790" t="s">
        <v>6</v>
      </c>
      <c r="F5790">
        <v>0.13158</v>
      </c>
    </row>
    <row r="5791" spans="1:6" x14ac:dyDescent="0.3">
      <c r="A5791" t="s">
        <v>22</v>
      </c>
      <c r="B5791" s="1">
        <v>45899</v>
      </c>
      <c r="C5791">
        <v>7</v>
      </c>
      <c r="D5791">
        <v>0.308</v>
      </c>
      <c r="E5791" t="s">
        <v>6</v>
      </c>
      <c r="F5791">
        <v>0.13440000000000002</v>
      </c>
    </row>
    <row r="5792" spans="1:6" x14ac:dyDescent="0.3">
      <c r="A5792" t="s">
        <v>22</v>
      </c>
      <c r="B5792" s="1">
        <v>45899</v>
      </c>
      <c r="C5792">
        <v>8</v>
      </c>
      <c r="D5792">
        <v>0.35299999999999998</v>
      </c>
      <c r="E5792" t="s">
        <v>6</v>
      </c>
      <c r="F5792">
        <v>0.15256999999999998</v>
      </c>
    </row>
    <row r="5793" spans="1:6" x14ac:dyDescent="0.3">
      <c r="A5793" t="s">
        <v>22</v>
      </c>
      <c r="B5793" s="1">
        <v>45899</v>
      </c>
      <c r="C5793">
        <v>9</v>
      </c>
      <c r="D5793">
        <v>0.39800000000000002</v>
      </c>
      <c r="E5793" t="s">
        <v>6</v>
      </c>
      <c r="F5793">
        <v>0.18218000000000001</v>
      </c>
    </row>
    <row r="5794" spans="1:6" x14ac:dyDescent="0.3">
      <c r="A5794" t="s">
        <v>22</v>
      </c>
      <c r="B5794" s="1">
        <v>45899</v>
      </c>
      <c r="C5794">
        <v>10</v>
      </c>
      <c r="D5794">
        <v>1.073</v>
      </c>
      <c r="E5794" t="s">
        <v>6</v>
      </c>
      <c r="F5794">
        <v>8.2650000000000001E-2</v>
      </c>
    </row>
    <row r="5795" spans="1:6" x14ac:dyDescent="0.3">
      <c r="A5795" t="s">
        <v>22</v>
      </c>
      <c r="B5795" s="1">
        <v>45899</v>
      </c>
      <c r="C5795">
        <v>11</v>
      </c>
      <c r="D5795">
        <v>2.36</v>
      </c>
      <c r="E5795" t="s">
        <v>6</v>
      </c>
      <c r="F5795">
        <v>5.5240000000000004E-2</v>
      </c>
    </row>
    <row r="5796" spans="1:6" x14ac:dyDescent="0.3">
      <c r="A5796" t="s">
        <v>22</v>
      </c>
      <c r="B5796" s="1">
        <v>45899</v>
      </c>
      <c r="C5796">
        <v>12</v>
      </c>
      <c r="D5796">
        <v>1.4390000000000001</v>
      </c>
      <c r="E5796" t="s">
        <v>6</v>
      </c>
      <c r="F5796">
        <v>4.3659999999999997E-2</v>
      </c>
    </row>
    <row r="5797" spans="1:6" x14ac:dyDescent="0.3">
      <c r="A5797" t="s">
        <v>22</v>
      </c>
      <c r="B5797" s="1">
        <v>45899</v>
      </c>
      <c r="C5797">
        <v>13</v>
      </c>
      <c r="D5797">
        <v>1.651</v>
      </c>
      <c r="E5797" t="s">
        <v>6</v>
      </c>
      <c r="F5797">
        <v>4.2759999999999999E-2</v>
      </c>
    </row>
    <row r="5798" spans="1:6" x14ac:dyDescent="0.3">
      <c r="A5798" t="s">
        <v>22</v>
      </c>
      <c r="B5798" s="1">
        <v>45899</v>
      </c>
      <c r="C5798">
        <v>14</v>
      </c>
      <c r="D5798">
        <v>1.52</v>
      </c>
      <c r="E5798" t="s">
        <v>6</v>
      </c>
      <c r="F5798">
        <v>4.2459999999999998E-2</v>
      </c>
    </row>
    <row r="5799" spans="1:6" x14ac:dyDescent="0.3">
      <c r="A5799" t="s">
        <v>22</v>
      </c>
      <c r="B5799" s="1">
        <v>45899</v>
      </c>
      <c r="C5799">
        <v>15</v>
      </c>
      <c r="D5799">
        <v>1.548</v>
      </c>
      <c r="E5799" t="s">
        <v>6</v>
      </c>
      <c r="F5799">
        <v>4.2220000000000001E-2</v>
      </c>
    </row>
    <row r="5800" spans="1:6" x14ac:dyDescent="0.3">
      <c r="A5800" t="s">
        <v>22</v>
      </c>
      <c r="B5800" s="1">
        <v>45899</v>
      </c>
      <c r="C5800">
        <v>16</v>
      </c>
      <c r="D5800">
        <v>1.4370000000000001</v>
      </c>
      <c r="E5800" t="s">
        <v>6</v>
      </c>
      <c r="F5800">
        <v>4.5359999999999998E-2</v>
      </c>
    </row>
    <row r="5801" spans="1:6" x14ac:dyDescent="0.3">
      <c r="A5801" t="s">
        <v>22</v>
      </c>
      <c r="B5801" s="1">
        <v>45899</v>
      </c>
      <c r="C5801">
        <v>17</v>
      </c>
      <c r="D5801">
        <v>0.77200000000000002</v>
      </c>
      <c r="E5801" t="s">
        <v>6</v>
      </c>
      <c r="F5801">
        <v>4.5590000000000006E-2</v>
      </c>
    </row>
    <row r="5802" spans="1:6" x14ac:dyDescent="0.3">
      <c r="A5802" t="s">
        <v>22</v>
      </c>
      <c r="B5802" s="1">
        <v>45899</v>
      </c>
      <c r="C5802">
        <v>18</v>
      </c>
      <c r="D5802">
        <v>0.41099999999999998</v>
      </c>
      <c r="E5802" t="s">
        <v>6</v>
      </c>
      <c r="F5802">
        <v>4.5920000000000002E-2</v>
      </c>
    </row>
    <row r="5803" spans="1:6" x14ac:dyDescent="0.3">
      <c r="A5803" t="s">
        <v>22</v>
      </c>
      <c r="B5803" s="1">
        <v>45899</v>
      </c>
      <c r="C5803">
        <v>19</v>
      </c>
      <c r="D5803">
        <v>0.57299999999999995</v>
      </c>
      <c r="E5803" t="s">
        <v>6</v>
      </c>
      <c r="F5803">
        <v>5.62E-2</v>
      </c>
    </row>
    <row r="5804" spans="1:6" x14ac:dyDescent="0.3">
      <c r="A5804" t="s">
        <v>22</v>
      </c>
      <c r="B5804" s="1">
        <v>45899</v>
      </c>
      <c r="C5804">
        <v>20</v>
      </c>
      <c r="D5804">
        <v>0.79100000000000004</v>
      </c>
      <c r="E5804" t="s">
        <v>6</v>
      </c>
      <c r="F5804">
        <v>0.11136</v>
      </c>
    </row>
    <row r="5805" spans="1:6" x14ac:dyDescent="0.3">
      <c r="A5805" t="s">
        <v>22</v>
      </c>
      <c r="B5805" s="1">
        <v>45899</v>
      </c>
      <c r="C5805">
        <v>21</v>
      </c>
      <c r="D5805">
        <v>1.3260000000000001</v>
      </c>
      <c r="E5805" t="s">
        <v>6</v>
      </c>
      <c r="F5805">
        <v>0.13786000000000001</v>
      </c>
    </row>
    <row r="5806" spans="1:6" x14ac:dyDescent="0.3">
      <c r="A5806" t="s">
        <v>22</v>
      </c>
      <c r="B5806" s="1">
        <v>45899</v>
      </c>
      <c r="C5806">
        <v>22</v>
      </c>
      <c r="D5806">
        <v>0.86699999999999999</v>
      </c>
      <c r="E5806" t="s">
        <v>6</v>
      </c>
      <c r="F5806">
        <v>0.15916999999999998</v>
      </c>
    </row>
    <row r="5807" spans="1:6" x14ac:dyDescent="0.3">
      <c r="A5807" t="s">
        <v>22</v>
      </c>
      <c r="B5807" s="1">
        <v>45899</v>
      </c>
      <c r="C5807">
        <v>23</v>
      </c>
      <c r="D5807">
        <v>1.2669999999999999</v>
      </c>
      <c r="E5807" t="s">
        <v>6</v>
      </c>
      <c r="F5807">
        <v>0.15312999999999999</v>
      </c>
    </row>
    <row r="5808" spans="1:6" x14ac:dyDescent="0.3">
      <c r="A5808" t="s">
        <v>22</v>
      </c>
      <c r="B5808" s="1">
        <v>45899</v>
      </c>
      <c r="C5808">
        <v>24</v>
      </c>
      <c r="D5808">
        <v>0.81100000000000005</v>
      </c>
      <c r="E5808" t="s">
        <v>6</v>
      </c>
      <c r="F5808">
        <v>0.14777000000000001</v>
      </c>
    </row>
    <row r="5809" spans="1:6" x14ac:dyDescent="0.3">
      <c r="A5809" t="s">
        <v>22</v>
      </c>
      <c r="B5809" s="1">
        <v>45900</v>
      </c>
      <c r="C5809">
        <v>1</v>
      </c>
      <c r="D5809">
        <v>0.45500000000000002</v>
      </c>
      <c r="E5809" t="s">
        <v>6</v>
      </c>
      <c r="F5809">
        <v>0.1381</v>
      </c>
    </row>
    <row r="5810" spans="1:6" x14ac:dyDescent="0.3">
      <c r="A5810" t="s">
        <v>22</v>
      </c>
      <c r="B5810" s="1">
        <v>45900</v>
      </c>
      <c r="C5810">
        <v>2</v>
      </c>
      <c r="D5810">
        <v>0.32900000000000001</v>
      </c>
      <c r="E5810" t="s">
        <v>6</v>
      </c>
      <c r="F5810">
        <v>0.13444999999999999</v>
      </c>
    </row>
    <row r="5811" spans="1:6" x14ac:dyDescent="0.3">
      <c r="A5811" t="s">
        <v>22</v>
      </c>
      <c r="B5811" s="1">
        <v>45900</v>
      </c>
      <c r="C5811">
        <v>3</v>
      </c>
      <c r="D5811">
        <v>0.4</v>
      </c>
      <c r="E5811" t="s">
        <v>6</v>
      </c>
      <c r="F5811">
        <v>0.13096000000000002</v>
      </c>
    </row>
    <row r="5812" spans="1:6" x14ac:dyDescent="0.3">
      <c r="A5812" t="s">
        <v>22</v>
      </c>
      <c r="B5812" s="1">
        <v>45900</v>
      </c>
      <c r="C5812">
        <v>4</v>
      </c>
      <c r="D5812">
        <v>0.39500000000000002</v>
      </c>
      <c r="E5812" t="s">
        <v>6</v>
      </c>
      <c r="F5812">
        <v>0.12828000000000001</v>
      </c>
    </row>
    <row r="5813" spans="1:6" x14ac:dyDescent="0.3">
      <c r="A5813" t="s">
        <v>22</v>
      </c>
      <c r="B5813" s="1">
        <v>45900</v>
      </c>
      <c r="C5813">
        <v>5</v>
      </c>
      <c r="D5813">
        <v>0.76200000000000001</v>
      </c>
      <c r="E5813" t="s">
        <v>6</v>
      </c>
      <c r="F5813">
        <v>0.13256000000000001</v>
      </c>
    </row>
    <row r="5814" spans="1:6" x14ac:dyDescent="0.3">
      <c r="A5814" t="s">
        <v>22</v>
      </c>
      <c r="B5814" s="1">
        <v>45900</v>
      </c>
      <c r="C5814">
        <v>6</v>
      </c>
      <c r="D5814">
        <v>0.94299999999999995</v>
      </c>
      <c r="E5814" t="s">
        <v>6</v>
      </c>
      <c r="F5814">
        <v>0.13236000000000001</v>
      </c>
    </row>
    <row r="5815" spans="1:6" x14ac:dyDescent="0.3">
      <c r="A5815" t="s">
        <v>22</v>
      </c>
      <c r="B5815" s="1">
        <v>45900</v>
      </c>
      <c r="C5815">
        <v>7</v>
      </c>
      <c r="D5815">
        <v>0.34300000000000003</v>
      </c>
      <c r="E5815" t="s">
        <v>6</v>
      </c>
      <c r="F5815">
        <v>0.13190000000000002</v>
      </c>
    </row>
    <row r="5816" spans="1:6" x14ac:dyDescent="0.3">
      <c r="A5816" t="s">
        <v>22</v>
      </c>
      <c r="B5816" s="1">
        <v>45900</v>
      </c>
      <c r="C5816">
        <v>8</v>
      </c>
      <c r="D5816">
        <v>0.38400000000000001</v>
      </c>
      <c r="E5816" t="s">
        <v>6</v>
      </c>
      <c r="F5816">
        <v>0.15162</v>
      </c>
    </row>
    <row r="5817" spans="1:6" x14ac:dyDescent="0.3">
      <c r="A5817" t="s">
        <v>22</v>
      </c>
      <c r="B5817" s="1">
        <v>45900</v>
      </c>
      <c r="C5817">
        <v>9</v>
      </c>
      <c r="D5817">
        <v>0.52400000000000002</v>
      </c>
      <c r="E5817" t="s">
        <v>6</v>
      </c>
      <c r="F5817">
        <v>0.11613</v>
      </c>
    </row>
    <row r="5818" spans="1:6" x14ac:dyDescent="0.3">
      <c r="A5818" t="s">
        <v>22</v>
      </c>
      <c r="B5818" s="1">
        <v>45900</v>
      </c>
      <c r="C5818">
        <v>10</v>
      </c>
      <c r="D5818">
        <v>1.127</v>
      </c>
      <c r="E5818" t="s">
        <v>6</v>
      </c>
      <c r="F5818">
        <v>6.5189999999999998E-2</v>
      </c>
    </row>
    <row r="5819" spans="1:6" x14ac:dyDescent="0.3">
      <c r="A5819" t="s">
        <v>22</v>
      </c>
      <c r="B5819" s="1">
        <v>45900</v>
      </c>
      <c r="C5819">
        <v>11</v>
      </c>
      <c r="D5819">
        <v>1.2370000000000001</v>
      </c>
      <c r="E5819" t="s">
        <v>6</v>
      </c>
      <c r="F5819">
        <v>5.8599999999999999E-2</v>
      </c>
    </row>
    <row r="5820" spans="1:6" x14ac:dyDescent="0.3">
      <c r="A5820" t="s">
        <v>22</v>
      </c>
      <c r="B5820" s="1">
        <v>45900</v>
      </c>
      <c r="C5820">
        <v>12</v>
      </c>
      <c r="D5820">
        <v>1.2310000000000001</v>
      </c>
      <c r="E5820" t="s">
        <v>6</v>
      </c>
      <c r="F5820">
        <v>0.06</v>
      </c>
    </row>
    <row r="5821" spans="1:6" x14ac:dyDescent="0.3">
      <c r="A5821" t="s">
        <v>22</v>
      </c>
      <c r="B5821" s="1">
        <v>45900</v>
      </c>
      <c r="C5821">
        <v>13</v>
      </c>
      <c r="D5821">
        <v>1.22</v>
      </c>
      <c r="E5821" t="s">
        <v>6</v>
      </c>
      <c r="F5821">
        <v>5.7070000000000003E-2</v>
      </c>
    </row>
    <row r="5822" spans="1:6" x14ac:dyDescent="0.3">
      <c r="A5822" t="s">
        <v>22</v>
      </c>
      <c r="B5822" s="1">
        <v>45900</v>
      </c>
      <c r="C5822">
        <v>14</v>
      </c>
      <c r="D5822">
        <v>1.88</v>
      </c>
      <c r="E5822" t="s">
        <v>6</v>
      </c>
      <c r="F5822">
        <v>5.7759999999999999E-2</v>
      </c>
    </row>
    <row r="5823" spans="1:6" x14ac:dyDescent="0.3">
      <c r="A5823" t="s">
        <v>22</v>
      </c>
      <c r="B5823" s="1">
        <v>45900</v>
      </c>
      <c r="C5823">
        <v>15</v>
      </c>
      <c r="D5823">
        <v>1.321</v>
      </c>
      <c r="E5823" t="s">
        <v>6</v>
      </c>
      <c r="F5823">
        <v>6.0229999999999999E-2</v>
      </c>
    </row>
    <row r="5824" spans="1:6" x14ac:dyDescent="0.3">
      <c r="A5824" t="s">
        <v>22</v>
      </c>
      <c r="B5824" s="1">
        <v>45900</v>
      </c>
      <c r="C5824">
        <v>16</v>
      </c>
      <c r="D5824">
        <v>1.363</v>
      </c>
      <c r="E5824" t="s">
        <v>6</v>
      </c>
      <c r="F5824">
        <v>6.268E-2</v>
      </c>
    </row>
    <row r="5825" spans="1:6" x14ac:dyDescent="0.3">
      <c r="A5825" t="s">
        <v>22</v>
      </c>
      <c r="B5825" s="1">
        <v>45900</v>
      </c>
      <c r="C5825">
        <v>17</v>
      </c>
      <c r="D5825">
        <v>0.61199999999999999</v>
      </c>
      <c r="E5825" t="s">
        <v>6</v>
      </c>
      <c r="F5825">
        <v>6.2729999999999994E-2</v>
      </c>
    </row>
    <row r="5826" spans="1:6" x14ac:dyDescent="0.3">
      <c r="A5826" t="s">
        <v>22</v>
      </c>
      <c r="B5826" s="1">
        <v>45900</v>
      </c>
      <c r="C5826">
        <v>18</v>
      </c>
      <c r="D5826">
        <v>1.018</v>
      </c>
      <c r="E5826" t="s">
        <v>6</v>
      </c>
      <c r="F5826">
        <v>6.3189999999999996E-2</v>
      </c>
    </row>
    <row r="5827" spans="1:6" x14ac:dyDescent="0.3">
      <c r="A5827" t="s">
        <v>22</v>
      </c>
      <c r="B5827" s="1">
        <v>45900</v>
      </c>
      <c r="C5827">
        <v>19</v>
      </c>
      <c r="D5827">
        <v>0.82599999999999996</v>
      </c>
      <c r="E5827" t="s">
        <v>6</v>
      </c>
      <c r="F5827">
        <v>5.9959999999999999E-2</v>
      </c>
    </row>
    <row r="5828" spans="1:6" x14ac:dyDescent="0.3">
      <c r="A5828" t="s">
        <v>22</v>
      </c>
      <c r="B5828" s="1">
        <v>45900</v>
      </c>
      <c r="C5828">
        <v>20</v>
      </c>
      <c r="D5828">
        <v>1.7969999999999999</v>
      </c>
      <c r="E5828" t="s">
        <v>6</v>
      </c>
      <c r="F5828">
        <v>6.4269999999999994E-2</v>
      </c>
    </row>
    <row r="5829" spans="1:6" x14ac:dyDescent="0.3">
      <c r="A5829" t="s">
        <v>22</v>
      </c>
      <c r="B5829" s="1">
        <v>45900</v>
      </c>
      <c r="C5829">
        <v>21</v>
      </c>
      <c r="D5829">
        <v>1.0880000000000001</v>
      </c>
      <c r="E5829" t="s">
        <v>6</v>
      </c>
      <c r="F5829">
        <v>0.11859</v>
      </c>
    </row>
    <row r="5830" spans="1:6" x14ac:dyDescent="0.3">
      <c r="A5830" t="s">
        <v>22</v>
      </c>
      <c r="B5830" s="1">
        <v>45900</v>
      </c>
      <c r="C5830">
        <v>22</v>
      </c>
      <c r="D5830">
        <v>2.6030000000000002</v>
      </c>
      <c r="E5830" t="s">
        <v>6</v>
      </c>
      <c r="F5830">
        <v>0.12916999999999998</v>
      </c>
    </row>
    <row r="5831" spans="1:6" x14ac:dyDescent="0.3">
      <c r="A5831" t="s">
        <v>22</v>
      </c>
      <c r="B5831" s="1">
        <v>45900</v>
      </c>
      <c r="C5831">
        <v>23</v>
      </c>
      <c r="D5831">
        <v>0.76500000000000001</v>
      </c>
      <c r="E5831" t="s">
        <v>6</v>
      </c>
      <c r="F5831">
        <v>0.12637999999999999</v>
      </c>
    </row>
    <row r="5832" spans="1:6" x14ac:dyDescent="0.3">
      <c r="A5832" t="s">
        <v>22</v>
      </c>
      <c r="B5832" s="1">
        <v>45900</v>
      </c>
      <c r="C5832">
        <v>24</v>
      </c>
      <c r="D5832">
        <v>0.71499999999999997</v>
      </c>
      <c r="E5832" t="s">
        <v>6</v>
      </c>
      <c r="F5832">
        <v>0.11693000000000001</v>
      </c>
    </row>
    <row r="5833" spans="1:6" x14ac:dyDescent="0.3">
      <c r="A5833" t="s">
        <v>22</v>
      </c>
      <c r="B5833" s="1">
        <v>45901</v>
      </c>
      <c r="C5833">
        <v>1</v>
      </c>
      <c r="D5833">
        <v>0.495</v>
      </c>
      <c r="E5833" t="s">
        <v>23</v>
      </c>
      <c r="F5833">
        <v>9.7700000000000009E-2</v>
      </c>
    </row>
    <row r="5834" spans="1:6" x14ac:dyDescent="0.3">
      <c r="A5834" t="s">
        <v>22</v>
      </c>
      <c r="B5834" s="1">
        <v>45901</v>
      </c>
      <c r="C5834">
        <v>2</v>
      </c>
      <c r="D5834">
        <v>0.38300000000000001</v>
      </c>
      <c r="E5834" t="s">
        <v>23</v>
      </c>
      <c r="F5834">
        <v>8.183E-2</v>
      </c>
    </row>
    <row r="5835" spans="1:6" x14ac:dyDescent="0.3">
      <c r="A5835" t="s">
        <v>22</v>
      </c>
      <c r="B5835" s="1">
        <v>45901</v>
      </c>
      <c r="C5835">
        <v>3</v>
      </c>
      <c r="D5835">
        <v>0.371</v>
      </c>
      <c r="E5835" t="s">
        <v>23</v>
      </c>
      <c r="F5835">
        <v>8.8550000000000004E-2</v>
      </c>
    </row>
    <row r="5836" spans="1:6" x14ac:dyDescent="0.3">
      <c r="A5836" t="s">
        <v>22</v>
      </c>
      <c r="B5836" s="1">
        <v>45901</v>
      </c>
      <c r="C5836">
        <v>4</v>
      </c>
      <c r="D5836">
        <v>0.40699999999999997</v>
      </c>
      <c r="E5836" t="s">
        <v>23</v>
      </c>
      <c r="F5836">
        <v>8.5589999999999999E-2</v>
      </c>
    </row>
    <row r="5837" spans="1:6" x14ac:dyDescent="0.3">
      <c r="A5837" t="s">
        <v>22</v>
      </c>
      <c r="B5837" s="1">
        <v>45901</v>
      </c>
      <c r="C5837">
        <v>5</v>
      </c>
      <c r="D5837">
        <v>0.35799999999999998</v>
      </c>
      <c r="E5837" t="s">
        <v>23</v>
      </c>
      <c r="F5837">
        <v>8.2970000000000002E-2</v>
      </c>
    </row>
    <row r="5838" spans="1:6" x14ac:dyDescent="0.3">
      <c r="A5838" t="s">
        <v>22</v>
      </c>
      <c r="B5838" s="1">
        <v>45901</v>
      </c>
      <c r="C5838">
        <v>6</v>
      </c>
      <c r="D5838">
        <v>0.35699999999999998</v>
      </c>
      <c r="E5838" t="s">
        <v>23</v>
      </c>
      <c r="F5838">
        <v>9.1829999999999995E-2</v>
      </c>
    </row>
    <row r="5839" spans="1:6" x14ac:dyDescent="0.3">
      <c r="A5839" t="s">
        <v>22</v>
      </c>
      <c r="B5839" s="1">
        <v>45901</v>
      </c>
      <c r="C5839">
        <v>7</v>
      </c>
      <c r="D5839">
        <v>0.38200000000000001</v>
      </c>
      <c r="E5839" t="s">
        <v>23</v>
      </c>
      <c r="F5839">
        <v>9.9280000000000007E-2</v>
      </c>
    </row>
    <row r="5840" spans="1:6" x14ac:dyDescent="0.3">
      <c r="A5840" t="s">
        <v>22</v>
      </c>
      <c r="B5840" s="1">
        <v>45901</v>
      </c>
      <c r="C5840">
        <v>8</v>
      </c>
      <c r="D5840">
        <v>0.44400000000000001</v>
      </c>
      <c r="E5840" t="s">
        <v>23</v>
      </c>
      <c r="F5840">
        <v>0.12132</v>
      </c>
    </row>
    <row r="5841" spans="1:6" x14ac:dyDescent="0.3">
      <c r="A5841" t="s">
        <v>22</v>
      </c>
      <c r="B5841" s="1">
        <v>45901</v>
      </c>
      <c r="C5841">
        <v>9</v>
      </c>
      <c r="D5841">
        <v>0.36699999999999999</v>
      </c>
      <c r="E5841" t="s">
        <v>23</v>
      </c>
      <c r="F5841">
        <v>0.15247999999999998</v>
      </c>
    </row>
    <row r="5842" spans="1:6" x14ac:dyDescent="0.3">
      <c r="A5842" t="s">
        <v>22</v>
      </c>
      <c r="B5842" s="1">
        <v>45901</v>
      </c>
      <c r="C5842">
        <v>10</v>
      </c>
      <c r="D5842">
        <v>2.302</v>
      </c>
      <c r="E5842" t="s">
        <v>23</v>
      </c>
      <c r="F5842">
        <v>0.11883000000000001</v>
      </c>
    </row>
    <row r="5843" spans="1:6" x14ac:dyDescent="0.3">
      <c r="A5843" t="s">
        <v>22</v>
      </c>
      <c r="B5843" s="1">
        <v>45901</v>
      </c>
      <c r="C5843">
        <v>11</v>
      </c>
      <c r="D5843">
        <v>1.794</v>
      </c>
      <c r="E5843" t="s">
        <v>23</v>
      </c>
      <c r="F5843">
        <v>0.15509000000000001</v>
      </c>
    </row>
    <row r="5844" spans="1:6" x14ac:dyDescent="0.3">
      <c r="A5844" t="s">
        <v>22</v>
      </c>
      <c r="B5844" s="1">
        <v>45901</v>
      </c>
      <c r="C5844">
        <v>12</v>
      </c>
      <c r="D5844">
        <v>1.9419999999999999</v>
      </c>
      <c r="E5844" t="s">
        <v>23</v>
      </c>
      <c r="F5844">
        <v>0.15167</v>
      </c>
    </row>
    <row r="5845" spans="1:6" x14ac:dyDescent="0.3">
      <c r="A5845" t="s">
        <v>22</v>
      </c>
      <c r="B5845" s="1">
        <v>45901</v>
      </c>
      <c r="C5845">
        <v>13</v>
      </c>
      <c r="D5845">
        <v>1.8720000000000001</v>
      </c>
      <c r="E5845" t="s">
        <v>23</v>
      </c>
      <c r="F5845">
        <v>0.15143999999999999</v>
      </c>
    </row>
    <row r="5846" spans="1:6" x14ac:dyDescent="0.3">
      <c r="A5846" t="s">
        <v>22</v>
      </c>
      <c r="B5846" s="1">
        <v>45901</v>
      </c>
      <c r="C5846">
        <v>14</v>
      </c>
      <c r="D5846">
        <v>1.839</v>
      </c>
      <c r="E5846" t="s">
        <v>23</v>
      </c>
      <c r="F5846">
        <v>0.14865999999999999</v>
      </c>
    </row>
    <row r="5847" spans="1:6" x14ac:dyDescent="0.3">
      <c r="A5847" t="s">
        <v>22</v>
      </c>
      <c r="B5847" s="1">
        <v>45901</v>
      </c>
      <c r="C5847">
        <v>15</v>
      </c>
      <c r="D5847">
        <v>2.0960000000000001</v>
      </c>
      <c r="E5847" t="s">
        <v>23</v>
      </c>
      <c r="F5847">
        <v>8.3549999999999999E-2</v>
      </c>
    </row>
    <row r="5848" spans="1:6" x14ac:dyDescent="0.3">
      <c r="A5848" t="s">
        <v>22</v>
      </c>
      <c r="B5848" s="1">
        <v>45901</v>
      </c>
      <c r="C5848">
        <v>16</v>
      </c>
      <c r="D5848">
        <v>1.706</v>
      </c>
      <c r="E5848" t="s">
        <v>23</v>
      </c>
      <c r="F5848">
        <v>8.4430000000000005E-2</v>
      </c>
    </row>
    <row r="5849" spans="1:6" x14ac:dyDescent="0.3">
      <c r="A5849" t="s">
        <v>22</v>
      </c>
      <c r="B5849" s="1">
        <v>45901</v>
      </c>
      <c r="C5849">
        <v>17</v>
      </c>
      <c r="D5849">
        <v>0.72299999999999998</v>
      </c>
      <c r="E5849" t="s">
        <v>23</v>
      </c>
      <c r="F5849">
        <v>8.294E-2</v>
      </c>
    </row>
    <row r="5850" spans="1:6" x14ac:dyDescent="0.3">
      <c r="A5850" t="s">
        <v>22</v>
      </c>
      <c r="B5850" s="1">
        <v>45901</v>
      </c>
      <c r="C5850">
        <v>18</v>
      </c>
      <c r="D5850">
        <v>2.6040000000000001</v>
      </c>
      <c r="E5850" t="s">
        <v>23</v>
      </c>
      <c r="F5850">
        <v>8.2909999999999998E-2</v>
      </c>
    </row>
    <row r="5851" spans="1:6" x14ac:dyDescent="0.3">
      <c r="A5851" t="s">
        <v>22</v>
      </c>
      <c r="B5851" s="1">
        <v>45901</v>
      </c>
      <c r="C5851">
        <v>19</v>
      </c>
      <c r="D5851">
        <v>4.9210000000000003</v>
      </c>
      <c r="E5851" t="s">
        <v>23</v>
      </c>
      <c r="F5851">
        <v>0.15474000000000002</v>
      </c>
    </row>
    <row r="5852" spans="1:6" x14ac:dyDescent="0.3">
      <c r="A5852" t="s">
        <v>22</v>
      </c>
      <c r="B5852" s="1">
        <v>45901</v>
      </c>
      <c r="C5852">
        <v>20</v>
      </c>
      <c r="D5852">
        <v>4.5810000000000004</v>
      </c>
      <c r="E5852" t="s">
        <v>23</v>
      </c>
      <c r="F5852">
        <v>0.20971000000000001</v>
      </c>
    </row>
    <row r="5853" spans="1:6" x14ac:dyDescent="0.3">
      <c r="A5853" t="s">
        <v>22</v>
      </c>
      <c r="B5853" s="1">
        <v>45901</v>
      </c>
      <c r="C5853">
        <v>21</v>
      </c>
      <c r="D5853">
        <v>2.226</v>
      </c>
      <c r="E5853" t="s">
        <v>23</v>
      </c>
      <c r="F5853">
        <v>0.23313</v>
      </c>
    </row>
    <row r="5854" spans="1:6" x14ac:dyDescent="0.3">
      <c r="A5854" t="s">
        <v>22</v>
      </c>
      <c r="B5854" s="1">
        <v>45901</v>
      </c>
      <c r="C5854">
        <v>22</v>
      </c>
      <c r="D5854">
        <v>1.044</v>
      </c>
      <c r="E5854" t="s">
        <v>23</v>
      </c>
      <c r="F5854">
        <v>0.25183</v>
      </c>
    </row>
    <row r="5855" spans="1:6" x14ac:dyDescent="0.3">
      <c r="A5855" t="s">
        <v>22</v>
      </c>
      <c r="B5855" s="1">
        <v>45901</v>
      </c>
      <c r="C5855">
        <v>23</v>
      </c>
      <c r="D5855">
        <v>0.71</v>
      </c>
      <c r="E5855" t="s">
        <v>23</v>
      </c>
      <c r="F5855">
        <v>0.17943000000000001</v>
      </c>
    </row>
    <row r="5856" spans="1:6" x14ac:dyDescent="0.3">
      <c r="A5856" t="s">
        <v>22</v>
      </c>
      <c r="B5856" s="1">
        <v>45901</v>
      </c>
      <c r="C5856">
        <v>24</v>
      </c>
      <c r="D5856">
        <v>0.54800000000000004</v>
      </c>
      <c r="E5856" t="s">
        <v>23</v>
      </c>
      <c r="F5856">
        <v>0.16825000000000001</v>
      </c>
    </row>
    <row r="5857" spans="1:6" x14ac:dyDescent="0.3">
      <c r="A5857" t="s">
        <v>22</v>
      </c>
      <c r="B5857" s="1">
        <v>45902</v>
      </c>
      <c r="C5857">
        <v>1</v>
      </c>
      <c r="D5857">
        <v>0.41499999999999998</v>
      </c>
      <c r="E5857" t="s">
        <v>23</v>
      </c>
      <c r="F5857">
        <v>0.14693000000000001</v>
      </c>
    </row>
    <row r="5858" spans="1:6" x14ac:dyDescent="0.3">
      <c r="A5858" t="s">
        <v>22</v>
      </c>
      <c r="B5858" s="1">
        <v>45902</v>
      </c>
      <c r="C5858">
        <v>2</v>
      </c>
      <c r="D5858">
        <v>0.311</v>
      </c>
      <c r="E5858" t="s">
        <v>23</v>
      </c>
      <c r="F5858">
        <v>0.14202999999999999</v>
      </c>
    </row>
    <row r="5859" spans="1:6" x14ac:dyDescent="0.3">
      <c r="A5859" t="s">
        <v>22</v>
      </c>
      <c r="B5859" s="1">
        <v>45902</v>
      </c>
      <c r="C5859">
        <v>3</v>
      </c>
      <c r="D5859">
        <v>0.35899999999999999</v>
      </c>
      <c r="E5859" t="s">
        <v>23</v>
      </c>
      <c r="F5859">
        <v>0.13794000000000001</v>
      </c>
    </row>
    <row r="5860" spans="1:6" x14ac:dyDescent="0.3">
      <c r="A5860" t="s">
        <v>22</v>
      </c>
      <c r="B5860" s="1">
        <v>45902</v>
      </c>
      <c r="C5860">
        <v>4</v>
      </c>
      <c r="D5860">
        <v>0.33300000000000002</v>
      </c>
      <c r="E5860" t="s">
        <v>23</v>
      </c>
      <c r="F5860">
        <v>0.12811</v>
      </c>
    </row>
    <row r="5861" spans="1:6" x14ac:dyDescent="0.3">
      <c r="A5861" t="s">
        <v>22</v>
      </c>
      <c r="B5861" s="1">
        <v>45902</v>
      </c>
      <c r="C5861">
        <v>5</v>
      </c>
      <c r="D5861">
        <v>0.83499999999999996</v>
      </c>
      <c r="E5861" t="s">
        <v>23</v>
      </c>
      <c r="F5861">
        <v>0.12643000000000001</v>
      </c>
    </row>
    <row r="5862" spans="1:6" x14ac:dyDescent="0.3">
      <c r="A5862" t="s">
        <v>22</v>
      </c>
      <c r="B5862" s="1">
        <v>45902</v>
      </c>
      <c r="C5862">
        <v>6</v>
      </c>
      <c r="D5862">
        <v>0.52400000000000002</v>
      </c>
      <c r="E5862" t="s">
        <v>23</v>
      </c>
      <c r="F5862">
        <v>0.12615999999999999</v>
      </c>
    </row>
    <row r="5863" spans="1:6" x14ac:dyDescent="0.3">
      <c r="A5863" t="s">
        <v>22</v>
      </c>
      <c r="B5863" s="1">
        <v>45902</v>
      </c>
      <c r="C5863">
        <v>7</v>
      </c>
      <c r="D5863">
        <v>0.17899999999999999</v>
      </c>
      <c r="E5863" t="s">
        <v>23</v>
      </c>
      <c r="F5863">
        <v>0.13153000000000001</v>
      </c>
    </row>
    <row r="5864" spans="1:6" x14ac:dyDescent="0.3">
      <c r="A5864" t="s">
        <v>22</v>
      </c>
      <c r="B5864" s="1">
        <v>45902</v>
      </c>
      <c r="C5864">
        <v>8</v>
      </c>
      <c r="D5864">
        <v>0.32100000000000001</v>
      </c>
      <c r="E5864" t="s">
        <v>23</v>
      </c>
      <c r="F5864">
        <v>0.14598</v>
      </c>
    </row>
    <row r="5865" spans="1:6" x14ac:dyDescent="0.3">
      <c r="A5865" t="s">
        <v>22</v>
      </c>
      <c r="B5865" s="1">
        <v>45902</v>
      </c>
      <c r="C5865">
        <v>9</v>
      </c>
      <c r="D5865">
        <v>0.33800000000000002</v>
      </c>
      <c r="E5865" t="s">
        <v>23</v>
      </c>
      <c r="F5865">
        <v>0.16997999999999999</v>
      </c>
    </row>
    <row r="5866" spans="1:6" x14ac:dyDescent="0.3">
      <c r="A5866" t="s">
        <v>22</v>
      </c>
      <c r="B5866" s="1">
        <v>45902</v>
      </c>
      <c r="C5866">
        <v>10</v>
      </c>
      <c r="D5866">
        <v>2.8860000000000001</v>
      </c>
      <c r="E5866" t="s">
        <v>23</v>
      </c>
      <c r="F5866">
        <v>0.10515000000000001</v>
      </c>
    </row>
    <row r="5867" spans="1:6" x14ac:dyDescent="0.3">
      <c r="A5867" t="s">
        <v>22</v>
      </c>
      <c r="B5867" s="1">
        <v>45902</v>
      </c>
      <c r="C5867">
        <v>11</v>
      </c>
      <c r="D5867">
        <v>5.0490000000000004</v>
      </c>
      <c r="E5867" t="s">
        <v>23</v>
      </c>
      <c r="F5867">
        <v>0.13513</v>
      </c>
    </row>
    <row r="5868" spans="1:6" x14ac:dyDescent="0.3">
      <c r="A5868" t="s">
        <v>22</v>
      </c>
      <c r="B5868" s="1">
        <v>45902</v>
      </c>
      <c r="C5868">
        <v>12</v>
      </c>
      <c r="D5868">
        <v>3.177</v>
      </c>
      <c r="E5868" t="s">
        <v>23</v>
      </c>
      <c r="F5868">
        <v>0.12709999999999999</v>
      </c>
    </row>
    <row r="5869" spans="1:6" x14ac:dyDescent="0.3">
      <c r="A5869" t="s">
        <v>22</v>
      </c>
      <c r="B5869" s="1">
        <v>45902</v>
      </c>
      <c r="C5869">
        <v>13</v>
      </c>
      <c r="D5869">
        <v>1.7529999999999999</v>
      </c>
      <c r="E5869" t="s">
        <v>23</v>
      </c>
      <c r="F5869">
        <v>0.12896000000000002</v>
      </c>
    </row>
    <row r="5870" spans="1:6" x14ac:dyDescent="0.3">
      <c r="A5870" t="s">
        <v>22</v>
      </c>
      <c r="B5870" s="1">
        <v>45902</v>
      </c>
      <c r="C5870">
        <v>14</v>
      </c>
      <c r="D5870">
        <v>1.7310000000000001</v>
      </c>
      <c r="E5870" t="s">
        <v>23</v>
      </c>
      <c r="F5870">
        <v>0.12531</v>
      </c>
    </row>
    <row r="5871" spans="1:6" x14ac:dyDescent="0.3">
      <c r="A5871" t="s">
        <v>22</v>
      </c>
      <c r="B5871" s="1">
        <v>45902</v>
      </c>
      <c r="C5871">
        <v>15</v>
      </c>
      <c r="D5871">
        <v>1.726</v>
      </c>
      <c r="E5871" t="s">
        <v>23</v>
      </c>
      <c r="F5871">
        <v>5.9859999999999997E-2</v>
      </c>
    </row>
    <row r="5872" spans="1:6" x14ac:dyDescent="0.3">
      <c r="A5872" t="s">
        <v>22</v>
      </c>
      <c r="B5872" s="1">
        <v>45902</v>
      </c>
      <c r="C5872">
        <v>16</v>
      </c>
      <c r="D5872">
        <v>1.782</v>
      </c>
      <c r="E5872" t="s">
        <v>23</v>
      </c>
      <c r="F5872">
        <v>6.2039999999999998E-2</v>
      </c>
    </row>
    <row r="5873" spans="1:6" x14ac:dyDescent="0.3">
      <c r="A5873" t="s">
        <v>22</v>
      </c>
      <c r="B5873" s="1">
        <v>45902</v>
      </c>
      <c r="C5873">
        <v>17</v>
      </c>
      <c r="D5873">
        <v>0.67900000000000005</v>
      </c>
      <c r="E5873" t="s">
        <v>23</v>
      </c>
      <c r="F5873">
        <v>6.2909999999999994E-2</v>
      </c>
    </row>
    <row r="5874" spans="1:6" x14ac:dyDescent="0.3">
      <c r="A5874" t="s">
        <v>22</v>
      </c>
      <c r="B5874" s="1">
        <v>45902</v>
      </c>
      <c r="C5874">
        <v>18</v>
      </c>
      <c r="D5874">
        <v>0.64400000000000002</v>
      </c>
      <c r="E5874" t="s">
        <v>23</v>
      </c>
      <c r="F5874">
        <v>7.553E-2</v>
      </c>
    </row>
    <row r="5875" spans="1:6" x14ac:dyDescent="0.3">
      <c r="A5875" t="s">
        <v>22</v>
      </c>
      <c r="B5875" s="1">
        <v>45902</v>
      </c>
      <c r="C5875">
        <v>19</v>
      </c>
      <c r="D5875">
        <v>0.36199999999999999</v>
      </c>
      <c r="E5875" t="s">
        <v>23</v>
      </c>
      <c r="F5875">
        <v>0.16325999999999999</v>
      </c>
    </row>
    <row r="5876" spans="1:6" x14ac:dyDescent="0.3">
      <c r="A5876" t="s">
        <v>22</v>
      </c>
      <c r="B5876" s="1">
        <v>45902</v>
      </c>
      <c r="C5876">
        <v>20</v>
      </c>
      <c r="D5876">
        <v>0.23699999999999999</v>
      </c>
      <c r="E5876" t="s">
        <v>23</v>
      </c>
      <c r="F5876">
        <v>0.22825999999999999</v>
      </c>
    </row>
    <row r="5877" spans="1:6" x14ac:dyDescent="0.3">
      <c r="A5877" t="s">
        <v>22</v>
      </c>
      <c r="B5877" s="1">
        <v>45902</v>
      </c>
      <c r="C5877">
        <v>21</v>
      </c>
      <c r="D5877">
        <v>0.56599999999999995</v>
      </c>
      <c r="E5877" t="s">
        <v>23</v>
      </c>
      <c r="F5877">
        <v>0.27814999999999995</v>
      </c>
    </row>
    <row r="5878" spans="1:6" x14ac:dyDescent="0.3">
      <c r="A5878" t="s">
        <v>22</v>
      </c>
      <c r="B5878" s="1">
        <v>45902</v>
      </c>
      <c r="C5878">
        <v>22</v>
      </c>
      <c r="D5878">
        <v>0.6</v>
      </c>
      <c r="E5878" t="s">
        <v>23</v>
      </c>
      <c r="F5878">
        <v>0.30063000000000001</v>
      </c>
    </row>
    <row r="5879" spans="1:6" x14ac:dyDescent="0.3">
      <c r="A5879" t="s">
        <v>22</v>
      </c>
      <c r="B5879" s="1">
        <v>45902</v>
      </c>
      <c r="C5879">
        <v>23</v>
      </c>
      <c r="D5879">
        <v>0.34599999999999997</v>
      </c>
      <c r="E5879" t="s">
        <v>23</v>
      </c>
      <c r="F5879">
        <v>0.18634999999999999</v>
      </c>
    </row>
    <row r="5880" spans="1:6" x14ac:dyDescent="0.3">
      <c r="A5880" t="s">
        <v>22</v>
      </c>
      <c r="B5880" s="1">
        <v>45902</v>
      </c>
      <c r="C5880">
        <v>24</v>
      </c>
      <c r="D5880">
        <v>0.23200000000000001</v>
      </c>
      <c r="E5880" t="s">
        <v>23</v>
      </c>
      <c r="F5880">
        <v>0.17402000000000001</v>
      </c>
    </row>
    <row r="5881" spans="1:6" x14ac:dyDescent="0.3">
      <c r="A5881" t="s">
        <v>22</v>
      </c>
      <c r="B5881" s="1">
        <v>45903</v>
      </c>
      <c r="C5881">
        <v>1</v>
      </c>
      <c r="D5881">
        <v>0.218</v>
      </c>
      <c r="E5881" t="s">
        <v>23</v>
      </c>
      <c r="F5881">
        <v>0.15344999999999998</v>
      </c>
    </row>
    <row r="5882" spans="1:6" x14ac:dyDescent="0.3">
      <c r="A5882" t="s">
        <v>22</v>
      </c>
      <c r="B5882" s="1">
        <v>45903</v>
      </c>
      <c r="C5882">
        <v>2</v>
      </c>
      <c r="D5882">
        <v>0.14699999999999999</v>
      </c>
      <c r="E5882" t="s">
        <v>23</v>
      </c>
      <c r="F5882">
        <v>0.1434</v>
      </c>
    </row>
    <row r="5883" spans="1:6" x14ac:dyDescent="0.3">
      <c r="A5883" t="s">
        <v>22</v>
      </c>
      <c r="B5883" s="1">
        <v>45903</v>
      </c>
      <c r="C5883">
        <v>3</v>
      </c>
      <c r="D5883">
        <v>0.182</v>
      </c>
      <c r="E5883" t="s">
        <v>23</v>
      </c>
      <c r="F5883">
        <v>0.13500999999999999</v>
      </c>
    </row>
    <row r="5884" spans="1:6" x14ac:dyDescent="0.3">
      <c r="A5884" t="s">
        <v>22</v>
      </c>
      <c r="B5884" s="1">
        <v>45903</v>
      </c>
      <c r="C5884">
        <v>4</v>
      </c>
      <c r="D5884">
        <v>0.94399999999999995</v>
      </c>
      <c r="E5884" t="s">
        <v>23</v>
      </c>
      <c r="F5884">
        <v>0.12797</v>
      </c>
    </row>
    <row r="5885" spans="1:6" x14ac:dyDescent="0.3">
      <c r="A5885" t="s">
        <v>22</v>
      </c>
      <c r="B5885" s="1">
        <v>45903</v>
      </c>
      <c r="C5885">
        <v>5</v>
      </c>
      <c r="D5885">
        <v>0.69899999999999995</v>
      </c>
      <c r="E5885" t="s">
        <v>23</v>
      </c>
      <c r="F5885">
        <v>0.12329999999999999</v>
      </c>
    </row>
    <row r="5886" spans="1:6" x14ac:dyDescent="0.3">
      <c r="A5886" t="s">
        <v>22</v>
      </c>
      <c r="B5886" s="1">
        <v>45903</v>
      </c>
      <c r="C5886">
        <v>6</v>
      </c>
      <c r="D5886">
        <v>0.16300000000000001</v>
      </c>
      <c r="E5886" t="s">
        <v>23</v>
      </c>
      <c r="F5886">
        <v>0.12273999999999999</v>
      </c>
    </row>
    <row r="5887" spans="1:6" x14ac:dyDescent="0.3">
      <c r="A5887" t="s">
        <v>22</v>
      </c>
      <c r="B5887" s="1">
        <v>45903</v>
      </c>
      <c r="C5887">
        <v>7</v>
      </c>
      <c r="D5887">
        <v>0.182</v>
      </c>
      <c r="E5887" t="s">
        <v>23</v>
      </c>
      <c r="F5887">
        <v>0.13255</v>
      </c>
    </row>
    <row r="5888" spans="1:6" x14ac:dyDescent="0.3">
      <c r="A5888" t="s">
        <v>22</v>
      </c>
      <c r="B5888" s="1">
        <v>45903</v>
      </c>
      <c r="C5888">
        <v>8</v>
      </c>
      <c r="D5888">
        <v>0.17799999999999999</v>
      </c>
      <c r="E5888" t="s">
        <v>23</v>
      </c>
      <c r="F5888">
        <v>0.14283000000000001</v>
      </c>
    </row>
    <row r="5889" spans="1:6" x14ac:dyDescent="0.3">
      <c r="A5889" t="s">
        <v>22</v>
      </c>
      <c r="B5889" s="1">
        <v>45903</v>
      </c>
      <c r="C5889">
        <v>9</v>
      </c>
      <c r="D5889">
        <v>0.185</v>
      </c>
      <c r="E5889" t="s">
        <v>23</v>
      </c>
      <c r="F5889">
        <v>0.15484000000000001</v>
      </c>
    </row>
    <row r="5890" spans="1:6" x14ac:dyDescent="0.3">
      <c r="A5890" t="s">
        <v>22</v>
      </c>
      <c r="B5890" s="1">
        <v>45903</v>
      </c>
      <c r="C5890">
        <v>10</v>
      </c>
      <c r="D5890">
        <v>0.89500000000000002</v>
      </c>
      <c r="E5890" t="s">
        <v>23</v>
      </c>
      <c r="F5890">
        <v>8.4099999999999994E-2</v>
      </c>
    </row>
    <row r="5891" spans="1:6" x14ac:dyDescent="0.3">
      <c r="A5891" t="s">
        <v>22</v>
      </c>
      <c r="B5891" s="1">
        <v>45903</v>
      </c>
      <c r="C5891">
        <v>11</v>
      </c>
      <c r="D5891">
        <v>1.4079999999999999</v>
      </c>
      <c r="E5891" t="s">
        <v>23</v>
      </c>
      <c r="F5891">
        <v>0.12568000000000001</v>
      </c>
    </row>
    <row r="5892" spans="1:6" x14ac:dyDescent="0.3">
      <c r="A5892" t="s">
        <v>22</v>
      </c>
      <c r="B5892" s="1">
        <v>45903</v>
      </c>
      <c r="C5892">
        <v>12</v>
      </c>
      <c r="D5892">
        <v>1.27</v>
      </c>
      <c r="E5892" t="s">
        <v>23</v>
      </c>
      <c r="F5892">
        <v>0.12783</v>
      </c>
    </row>
    <row r="5893" spans="1:6" x14ac:dyDescent="0.3">
      <c r="A5893" t="s">
        <v>22</v>
      </c>
      <c r="B5893" s="1">
        <v>45903</v>
      </c>
      <c r="C5893">
        <v>13</v>
      </c>
      <c r="D5893">
        <v>1.242</v>
      </c>
      <c r="E5893" t="s">
        <v>23</v>
      </c>
      <c r="F5893">
        <v>0.12787999999999999</v>
      </c>
    </row>
    <row r="5894" spans="1:6" x14ac:dyDescent="0.3">
      <c r="A5894" t="s">
        <v>22</v>
      </c>
      <c r="B5894" s="1">
        <v>45903</v>
      </c>
      <c r="C5894">
        <v>14</v>
      </c>
      <c r="D5894">
        <v>1.8</v>
      </c>
      <c r="E5894" t="s">
        <v>23</v>
      </c>
      <c r="F5894">
        <v>0.12484999999999999</v>
      </c>
    </row>
    <row r="5895" spans="1:6" x14ac:dyDescent="0.3">
      <c r="A5895" t="s">
        <v>22</v>
      </c>
      <c r="B5895" s="1">
        <v>45903</v>
      </c>
      <c r="C5895">
        <v>15</v>
      </c>
      <c r="D5895">
        <v>1.347</v>
      </c>
      <c r="E5895" t="s">
        <v>23</v>
      </c>
      <c r="F5895">
        <v>5.9889999999999999E-2</v>
      </c>
    </row>
    <row r="5896" spans="1:6" x14ac:dyDescent="0.3">
      <c r="A5896" t="s">
        <v>22</v>
      </c>
      <c r="B5896" s="1">
        <v>45903</v>
      </c>
      <c r="C5896">
        <v>16</v>
      </c>
      <c r="D5896">
        <v>1.232</v>
      </c>
      <c r="E5896" t="s">
        <v>23</v>
      </c>
      <c r="F5896">
        <v>6.028E-2</v>
      </c>
    </row>
    <row r="5897" spans="1:6" x14ac:dyDescent="0.3">
      <c r="A5897" t="s">
        <v>22</v>
      </c>
      <c r="B5897" s="1">
        <v>45903</v>
      </c>
      <c r="C5897">
        <v>17</v>
      </c>
      <c r="D5897">
        <v>1.593</v>
      </c>
      <c r="E5897" t="s">
        <v>23</v>
      </c>
      <c r="F5897">
        <v>6.0579999999999995E-2</v>
      </c>
    </row>
    <row r="5898" spans="1:6" x14ac:dyDescent="0.3">
      <c r="A5898" t="s">
        <v>22</v>
      </c>
      <c r="B5898" s="1">
        <v>45903</v>
      </c>
      <c r="C5898">
        <v>18</v>
      </c>
      <c r="D5898">
        <v>4.5449999999999999</v>
      </c>
      <c r="E5898" t="s">
        <v>23</v>
      </c>
      <c r="F5898">
        <v>5.951E-2</v>
      </c>
    </row>
    <row r="5899" spans="1:6" x14ac:dyDescent="0.3">
      <c r="A5899" t="s">
        <v>22</v>
      </c>
      <c r="B5899" s="1">
        <v>45903</v>
      </c>
      <c r="C5899">
        <v>19</v>
      </c>
      <c r="D5899">
        <v>3.3260000000000001</v>
      </c>
      <c r="E5899" t="s">
        <v>23</v>
      </c>
      <c r="F5899">
        <v>0.14311000000000001</v>
      </c>
    </row>
    <row r="5900" spans="1:6" x14ac:dyDescent="0.3">
      <c r="A5900" t="s">
        <v>22</v>
      </c>
      <c r="B5900" s="1">
        <v>45903</v>
      </c>
      <c r="C5900">
        <v>20</v>
      </c>
      <c r="D5900">
        <v>0.25</v>
      </c>
      <c r="E5900" t="s">
        <v>23</v>
      </c>
      <c r="F5900">
        <v>0.20746999999999999</v>
      </c>
    </row>
    <row r="5901" spans="1:6" x14ac:dyDescent="0.3">
      <c r="A5901" t="s">
        <v>22</v>
      </c>
      <c r="B5901" s="1">
        <v>45903</v>
      </c>
      <c r="C5901">
        <v>21</v>
      </c>
      <c r="D5901">
        <v>0.48699999999999999</v>
      </c>
      <c r="E5901" t="s">
        <v>23</v>
      </c>
      <c r="F5901">
        <v>0.24011000000000002</v>
      </c>
    </row>
    <row r="5902" spans="1:6" x14ac:dyDescent="0.3">
      <c r="A5902" t="s">
        <v>22</v>
      </c>
      <c r="B5902" s="1">
        <v>45903</v>
      </c>
      <c r="C5902">
        <v>22</v>
      </c>
      <c r="D5902">
        <v>1.897</v>
      </c>
      <c r="E5902" t="s">
        <v>23</v>
      </c>
      <c r="F5902">
        <v>0.27350000000000002</v>
      </c>
    </row>
    <row r="5903" spans="1:6" x14ac:dyDescent="0.3">
      <c r="A5903" t="s">
        <v>22</v>
      </c>
      <c r="B5903" s="1">
        <v>45903</v>
      </c>
      <c r="C5903">
        <v>23</v>
      </c>
      <c r="D5903">
        <v>0.46</v>
      </c>
      <c r="E5903" t="s">
        <v>23</v>
      </c>
      <c r="F5903">
        <v>0.18040999999999999</v>
      </c>
    </row>
    <row r="5904" spans="1:6" x14ac:dyDescent="0.3">
      <c r="A5904" t="s">
        <v>22</v>
      </c>
      <c r="B5904" s="1">
        <v>45903</v>
      </c>
      <c r="C5904">
        <v>24</v>
      </c>
      <c r="D5904">
        <v>0.34499999999999997</v>
      </c>
      <c r="E5904" t="s">
        <v>23</v>
      </c>
      <c r="F5904">
        <v>0.17519999999999999</v>
      </c>
    </row>
    <row r="5905" spans="1:6" x14ac:dyDescent="0.3">
      <c r="A5905" t="s">
        <v>22</v>
      </c>
      <c r="B5905" s="1">
        <v>45904</v>
      </c>
      <c r="C5905">
        <v>1</v>
      </c>
      <c r="D5905">
        <v>0.23</v>
      </c>
      <c r="E5905" t="s">
        <v>23</v>
      </c>
      <c r="F5905">
        <v>0.1406</v>
      </c>
    </row>
    <row r="5906" spans="1:6" x14ac:dyDescent="0.3">
      <c r="A5906" t="s">
        <v>22</v>
      </c>
      <c r="B5906" s="1">
        <v>45904</v>
      </c>
      <c r="C5906">
        <v>2</v>
      </c>
      <c r="D5906">
        <v>0.16500000000000001</v>
      </c>
      <c r="E5906" t="s">
        <v>23</v>
      </c>
      <c r="F5906">
        <v>0.13572999999999999</v>
      </c>
    </row>
    <row r="5907" spans="1:6" x14ac:dyDescent="0.3">
      <c r="A5907" t="s">
        <v>22</v>
      </c>
      <c r="B5907" s="1">
        <v>45904</v>
      </c>
      <c r="C5907">
        <v>3</v>
      </c>
      <c r="D5907">
        <v>0.14399999999999999</v>
      </c>
      <c r="E5907" t="s">
        <v>23</v>
      </c>
      <c r="F5907">
        <v>0.1321</v>
      </c>
    </row>
    <row r="5908" spans="1:6" x14ac:dyDescent="0.3">
      <c r="A5908" t="s">
        <v>22</v>
      </c>
      <c r="B5908" s="1">
        <v>45904</v>
      </c>
      <c r="C5908">
        <v>4</v>
      </c>
      <c r="D5908">
        <v>0.14599999999999999</v>
      </c>
      <c r="E5908" t="s">
        <v>23</v>
      </c>
      <c r="F5908">
        <v>0.12135</v>
      </c>
    </row>
    <row r="5909" spans="1:6" x14ac:dyDescent="0.3">
      <c r="A5909" t="s">
        <v>22</v>
      </c>
      <c r="B5909" s="1">
        <v>45904</v>
      </c>
      <c r="C5909">
        <v>5</v>
      </c>
      <c r="D5909">
        <v>0.153</v>
      </c>
      <c r="E5909" t="s">
        <v>23</v>
      </c>
      <c r="F5909">
        <v>0.11948</v>
      </c>
    </row>
    <row r="5910" spans="1:6" x14ac:dyDescent="0.3">
      <c r="A5910" t="s">
        <v>22</v>
      </c>
      <c r="B5910" s="1">
        <v>45904</v>
      </c>
      <c r="C5910">
        <v>6</v>
      </c>
      <c r="D5910">
        <v>0.17799999999999999</v>
      </c>
      <c r="E5910" t="s">
        <v>23</v>
      </c>
      <c r="F5910">
        <v>0.11978</v>
      </c>
    </row>
    <row r="5911" spans="1:6" x14ac:dyDescent="0.3">
      <c r="A5911" t="s">
        <v>22</v>
      </c>
      <c r="B5911" s="1">
        <v>45904</v>
      </c>
      <c r="C5911">
        <v>7</v>
      </c>
      <c r="D5911">
        <v>0.16300000000000001</v>
      </c>
      <c r="E5911" t="s">
        <v>23</v>
      </c>
      <c r="F5911">
        <v>0.13190000000000002</v>
      </c>
    </row>
    <row r="5912" spans="1:6" x14ac:dyDescent="0.3">
      <c r="A5912" t="s">
        <v>22</v>
      </c>
      <c r="B5912" s="1">
        <v>45904</v>
      </c>
      <c r="C5912">
        <v>8</v>
      </c>
      <c r="D5912">
        <v>0.17399999999999999</v>
      </c>
      <c r="E5912" t="s">
        <v>23</v>
      </c>
      <c r="F5912">
        <v>0.15678999999999998</v>
      </c>
    </row>
    <row r="5913" spans="1:6" x14ac:dyDescent="0.3">
      <c r="A5913" t="s">
        <v>22</v>
      </c>
      <c r="B5913" s="1">
        <v>45904</v>
      </c>
      <c r="C5913">
        <v>9</v>
      </c>
      <c r="D5913">
        <v>0.32600000000000001</v>
      </c>
      <c r="E5913" t="s">
        <v>23</v>
      </c>
      <c r="F5913">
        <v>0.17013</v>
      </c>
    </row>
    <row r="5914" spans="1:6" x14ac:dyDescent="0.3">
      <c r="A5914" t="s">
        <v>22</v>
      </c>
      <c r="B5914" s="1">
        <v>45904</v>
      </c>
      <c r="C5914">
        <v>10</v>
      </c>
      <c r="D5914">
        <v>1.7809999999999999</v>
      </c>
      <c r="E5914" t="s">
        <v>23</v>
      </c>
      <c r="F5914">
        <v>0.12038</v>
      </c>
    </row>
    <row r="5915" spans="1:6" x14ac:dyDescent="0.3">
      <c r="A5915" t="s">
        <v>22</v>
      </c>
      <c r="B5915" s="1">
        <v>45904</v>
      </c>
      <c r="C5915">
        <v>11</v>
      </c>
      <c r="D5915">
        <v>1.2230000000000001</v>
      </c>
      <c r="E5915" t="s">
        <v>23</v>
      </c>
      <c r="F5915">
        <v>0.151</v>
      </c>
    </row>
    <row r="5916" spans="1:6" x14ac:dyDescent="0.3">
      <c r="A5916" t="s">
        <v>22</v>
      </c>
      <c r="B5916" s="1">
        <v>45904</v>
      </c>
      <c r="C5916">
        <v>12</v>
      </c>
      <c r="D5916">
        <v>1.645</v>
      </c>
      <c r="E5916" t="s">
        <v>23</v>
      </c>
      <c r="F5916">
        <v>0.14152999999999999</v>
      </c>
    </row>
    <row r="5917" spans="1:6" x14ac:dyDescent="0.3">
      <c r="A5917" t="s">
        <v>22</v>
      </c>
      <c r="B5917" s="1">
        <v>45904</v>
      </c>
      <c r="C5917">
        <v>13</v>
      </c>
      <c r="D5917">
        <v>1.696</v>
      </c>
      <c r="E5917" t="s">
        <v>23</v>
      </c>
      <c r="F5917">
        <v>0.13803000000000001</v>
      </c>
    </row>
    <row r="5918" spans="1:6" x14ac:dyDescent="0.3">
      <c r="A5918" t="s">
        <v>22</v>
      </c>
      <c r="B5918" s="1">
        <v>45904</v>
      </c>
      <c r="C5918">
        <v>14</v>
      </c>
      <c r="D5918">
        <v>1.131</v>
      </c>
      <c r="E5918" t="s">
        <v>23</v>
      </c>
      <c r="F5918">
        <v>0.13325999999999999</v>
      </c>
    </row>
    <row r="5919" spans="1:6" x14ac:dyDescent="0.3">
      <c r="A5919" t="s">
        <v>22</v>
      </c>
      <c r="B5919" s="1">
        <v>45904</v>
      </c>
      <c r="C5919">
        <v>15</v>
      </c>
      <c r="D5919">
        <v>3.2429999999999999</v>
      </c>
      <c r="E5919" t="s">
        <v>23</v>
      </c>
      <c r="F5919">
        <v>6.8250000000000005E-2</v>
      </c>
    </row>
    <row r="5920" spans="1:6" x14ac:dyDescent="0.3">
      <c r="A5920" t="s">
        <v>22</v>
      </c>
      <c r="B5920" s="1">
        <v>45904</v>
      </c>
      <c r="C5920">
        <v>16</v>
      </c>
      <c r="D5920">
        <v>5.1079999999999997</v>
      </c>
      <c r="E5920" t="s">
        <v>23</v>
      </c>
      <c r="F5920">
        <v>6.8720000000000003E-2</v>
      </c>
    </row>
    <row r="5921" spans="1:6" x14ac:dyDescent="0.3">
      <c r="A5921" t="s">
        <v>22</v>
      </c>
      <c r="B5921" s="1">
        <v>45904</v>
      </c>
      <c r="C5921">
        <v>17</v>
      </c>
      <c r="D5921">
        <v>0.54200000000000004</v>
      </c>
      <c r="E5921" t="s">
        <v>23</v>
      </c>
      <c r="F5921">
        <v>7.1069999999999994E-2</v>
      </c>
    </row>
    <row r="5922" spans="1:6" x14ac:dyDescent="0.3">
      <c r="A5922" t="s">
        <v>22</v>
      </c>
      <c r="B5922" s="1">
        <v>45904</v>
      </c>
      <c r="C5922">
        <v>18</v>
      </c>
      <c r="D5922">
        <v>2.2450000000000001</v>
      </c>
      <c r="E5922" t="s">
        <v>23</v>
      </c>
      <c r="F5922">
        <v>7.5499999999999998E-2</v>
      </c>
    </row>
    <row r="5923" spans="1:6" x14ac:dyDescent="0.3">
      <c r="A5923" t="s">
        <v>22</v>
      </c>
      <c r="B5923" s="1">
        <v>45904</v>
      </c>
      <c r="C5923">
        <v>19</v>
      </c>
      <c r="D5923">
        <v>0.71899999999999997</v>
      </c>
      <c r="E5923" t="s">
        <v>23</v>
      </c>
      <c r="F5923">
        <v>0.1615</v>
      </c>
    </row>
    <row r="5924" spans="1:6" x14ac:dyDescent="0.3">
      <c r="A5924" t="s">
        <v>22</v>
      </c>
      <c r="B5924" s="1">
        <v>45904</v>
      </c>
      <c r="C5924">
        <v>20</v>
      </c>
      <c r="D5924">
        <v>1.028</v>
      </c>
      <c r="E5924" t="s">
        <v>23</v>
      </c>
      <c r="F5924">
        <v>0.20852000000000001</v>
      </c>
    </row>
    <row r="5925" spans="1:6" x14ac:dyDescent="0.3">
      <c r="A5925" t="s">
        <v>22</v>
      </c>
      <c r="B5925" s="1">
        <v>45904</v>
      </c>
      <c r="C5925">
        <v>21</v>
      </c>
      <c r="D5925">
        <v>1.0580000000000001</v>
      </c>
      <c r="E5925" t="s">
        <v>23</v>
      </c>
      <c r="F5925">
        <v>0.24145</v>
      </c>
    </row>
    <row r="5926" spans="1:6" x14ac:dyDescent="0.3">
      <c r="A5926" t="s">
        <v>22</v>
      </c>
      <c r="B5926" s="1">
        <v>45904</v>
      </c>
      <c r="C5926">
        <v>22</v>
      </c>
      <c r="D5926">
        <v>1.131</v>
      </c>
      <c r="E5926" t="s">
        <v>23</v>
      </c>
      <c r="F5926">
        <v>0.25057000000000001</v>
      </c>
    </row>
    <row r="5927" spans="1:6" x14ac:dyDescent="0.3">
      <c r="A5927" t="s">
        <v>22</v>
      </c>
      <c r="B5927" s="1">
        <v>45904</v>
      </c>
      <c r="C5927">
        <v>23</v>
      </c>
      <c r="D5927">
        <v>0.745</v>
      </c>
      <c r="E5927" t="s">
        <v>23</v>
      </c>
      <c r="F5927">
        <v>0.17297999999999999</v>
      </c>
    </row>
    <row r="5928" spans="1:6" x14ac:dyDescent="0.3">
      <c r="A5928" t="s">
        <v>22</v>
      </c>
      <c r="B5928" s="1">
        <v>45904</v>
      </c>
      <c r="C5928">
        <v>24</v>
      </c>
      <c r="D5928">
        <v>0.54700000000000004</v>
      </c>
      <c r="E5928" t="s">
        <v>23</v>
      </c>
      <c r="F5928">
        <v>0.16000999999999999</v>
      </c>
    </row>
    <row r="5929" spans="1:6" x14ac:dyDescent="0.3">
      <c r="A5929" t="s">
        <v>22</v>
      </c>
      <c r="B5929" s="1">
        <v>45905</v>
      </c>
      <c r="C5929">
        <v>1</v>
      </c>
      <c r="D5929">
        <v>0.372</v>
      </c>
      <c r="E5929" t="s">
        <v>23</v>
      </c>
      <c r="F5929">
        <v>0.13704</v>
      </c>
    </row>
    <row r="5930" spans="1:6" x14ac:dyDescent="0.3">
      <c r="A5930" t="s">
        <v>22</v>
      </c>
      <c r="B5930" s="1">
        <v>45905</v>
      </c>
      <c r="C5930">
        <v>2</v>
      </c>
      <c r="D5930">
        <v>0.377</v>
      </c>
      <c r="E5930" t="s">
        <v>23</v>
      </c>
      <c r="F5930">
        <v>0.12809999999999999</v>
      </c>
    </row>
    <row r="5931" spans="1:6" x14ac:dyDescent="0.3">
      <c r="A5931" t="s">
        <v>22</v>
      </c>
      <c r="B5931" s="1">
        <v>45905</v>
      </c>
      <c r="C5931">
        <v>3</v>
      </c>
      <c r="D5931">
        <v>0.40899999999999997</v>
      </c>
      <c r="E5931" t="s">
        <v>23</v>
      </c>
      <c r="F5931">
        <v>0.11468</v>
      </c>
    </row>
    <row r="5932" spans="1:6" x14ac:dyDescent="0.3">
      <c r="A5932" t="s">
        <v>22</v>
      </c>
      <c r="B5932" s="1">
        <v>45905</v>
      </c>
      <c r="C5932">
        <v>4</v>
      </c>
      <c r="D5932">
        <v>0.373</v>
      </c>
      <c r="E5932" t="s">
        <v>23</v>
      </c>
      <c r="F5932">
        <v>0.10607999999999999</v>
      </c>
    </row>
    <row r="5933" spans="1:6" x14ac:dyDescent="0.3">
      <c r="A5933" t="s">
        <v>22</v>
      </c>
      <c r="B5933" s="1">
        <v>45905</v>
      </c>
      <c r="C5933">
        <v>5</v>
      </c>
      <c r="D5933">
        <v>0.372</v>
      </c>
      <c r="E5933" t="s">
        <v>23</v>
      </c>
      <c r="F5933">
        <v>9.8569999999999991E-2</v>
      </c>
    </row>
    <row r="5934" spans="1:6" x14ac:dyDescent="0.3">
      <c r="A5934" t="s">
        <v>22</v>
      </c>
      <c r="B5934" s="1">
        <v>45905</v>
      </c>
      <c r="C5934">
        <v>6</v>
      </c>
      <c r="D5934">
        <v>0.54600000000000004</v>
      </c>
      <c r="E5934" t="s">
        <v>23</v>
      </c>
      <c r="F5934">
        <v>0.10536</v>
      </c>
    </row>
    <row r="5935" spans="1:6" x14ac:dyDescent="0.3">
      <c r="A5935" t="s">
        <v>22</v>
      </c>
      <c r="B5935" s="1">
        <v>45905</v>
      </c>
      <c r="C5935">
        <v>7</v>
      </c>
      <c r="D5935">
        <v>0.98199999999999998</v>
      </c>
      <c r="E5935" t="s">
        <v>23</v>
      </c>
      <c r="F5935">
        <v>0.12470999999999999</v>
      </c>
    </row>
    <row r="5936" spans="1:6" x14ac:dyDescent="0.3">
      <c r="A5936" t="s">
        <v>22</v>
      </c>
      <c r="B5936" s="1">
        <v>45905</v>
      </c>
      <c r="C5936">
        <v>8</v>
      </c>
      <c r="D5936">
        <v>0.40100000000000002</v>
      </c>
      <c r="E5936" t="s">
        <v>23</v>
      </c>
      <c r="F5936">
        <v>0.13825000000000001</v>
      </c>
    </row>
    <row r="5937" spans="1:6" x14ac:dyDescent="0.3">
      <c r="A5937" t="s">
        <v>22</v>
      </c>
      <c r="B5937" s="1">
        <v>45905</v>
      </c>
      <c r="C5937">
        <v>9</v>
      </c>
      <c r="D5937">
        <v>0.41599999999999998</v>
      </c>
      <c r="E5937" t="s">
        <v>23</v>
      </c>
      <c r="F5937">
        <v>0.16471</v>
      </c>
    </row>
    <row r="5938" spans="1:6" x14ac:dyDescent="0.3">
      <c r="A5938" t="s">
        <v>22</v>
      </c>
      <c r="B5938" s="1">
        <v>45905</v>
      </c>
      <c r="C5938">
        <v>10</v>
      </c>
      <c r="D5938">
        <v>1.222</v>
      </c>
      <c r="E5938" t="s">
        <v>23</v>
      </c>
      <c r="F5938">
        <v>0.15189</v>
      </c>
    </row>
    <row r="5939" spans="1:6" x14ac:dyDescent="0.3">
      <c r="A5939" t="s">
        <v>22</v>
      </c>
      <c r="B5939" s="1">
        <v>45905</v>
      </c>
      <c r="C5939">
        <v>11</v>
      </c>
      <c r="D5939">
        <v>1.4059999999999999</v>
      </c>
      <c r="E5939" t="s">
        <v>23</v>
      </c>
      <c r="F5939">
        <v>0.16963999999999999</v>
      </c>
    </row>
    <row r="5940" spans="1:6" x14ac:dyDescent="0.3">
      <c r="A5940" t="s">
        <v>22</v>
      </c>
      <c r="B5940" s="1">
        <v>45905</v>
      </c>
      <c r="C5940">
        <v>12</v>
      </c>
      <c r="D5940">
        <v>1.385</v>
      </c>
      <c r="E5940" t="s">
        <v>23</v>
      </c>
      <c r="F5940">
        <v>0.14399000000000001</v>
      </c>
    </row>
    <row r="5941" spans="1:6" x14ac:dyDescent="0.3">
      <c r="A5941" t="s">
        <v>22</v>
      </c>
      <c r="B5941" s="1">
        <v>45905</v>
      </c>
      <c r="C5941">
        <v>13</v>
      </c>
      <c r="D5941">
        <v>2.927</v>
      </c>
      <c r="E5941" t="s">
        <v>23</v>
      </c>
      <c r="F5941">
        <v>0.13622000000000001</v>
      </c>
    </row>
    <row r="5942" spans="1:6" x14ac:dyDescent="0.3">
      <c r="A5942" t="s">
        <v>22</v>
      </c>
      <c r="B5942" s="1">
        <v>45905</v>
      </c>
      <c r="C5942">
        <v>14</v>
      </c>
      <c r="D5942">
        <v>5.0289999999999999</v>
      </c>
      <c r="E5942" t="s">
        <v>23</v>
      </c>
      <c r="F5942">
        <v>0.13300999999999999</v>
      </c>
    </row>
    <row r="5943" spans="1:6" x14ac:dyDescent="0.3">
      <c r="A5943" t="s">
        <v>22</v>
      </c>
      <c r="B5943" s="1">
        <v>45905</v>
      </c>
      <c r="C5943">
        <v>15</v>
      </c>
      <c r="D5943">
        <v>2.3370000000000002</v>
      </c>
      <c r="E5943" t="s">
        <v>23</v>
      </c>
      <c r="F5943">
        <v>6.5739999999999993E-2</v>
      </c>
    </row>
    <row r="5944" spans="1:6" x14ac:dyDescent="0.3">
      <c r="A5944" t="s">
        <v>22</v>
      </c>
      <c r="B5944" s="1">
        <v>45905</v>
      </c>
      <c r="C5944">
        <v>16</v>
      </c>
      <c r="D5944">
        <v>2.8010000000000002</v>
      </c>
      <c r="E5944" t="s">
        <v>23</v>
      </c>
      <c r="F5944">
        <v>6.5890000000000004E-2</v>
      </c>
    </row>
    <row r="5945" spans="1:6" x14ac:dyDescent="0.3">
      <c r="A5945" t="s">
        <v>22</v>
      </c>
      <c r="B5945" s="1">
        <v>45905</v>
      </c>
      <c r="C5945">
        <v>17</v>
      </c>
      <c r="D5945">
        <v>0.85899999999999999</v>
      </c>
      <c r="E5945" t="s">
        <v>23</v>
      </c>
      <c r="F5945">
        <v>6.6369999999999998E-2</v>
      </c>
    </row>
    <row r="5946" spans="1:6" x14ac:dyDescent="0.3">
      <c r="A5946" t="s">
        <v>22</v>
      </c>
      <c r="B5946" s="1">
        <v>45905</v>
      </c>
      <c r="C5946">
        <v>18</v>
      </c>
      <c r="D5946">
        <v>0.53400000000000003</v>
      </c>
      <c r="E5946" t="s">
        <v>23</v>
      </c>
      <c r="F5946">
        <v>6.9519999999999998E-2</v>
      </c>
    </row>
    <row r="5947" spans="1:6" x14ac:dyDescent="0.3">
      <c r="A5947" t="s">
        <v>22</v>
      </c>
      <c r="B5947" s="1">
        <v>45905</v>
      </c>
      <c r="C5947">
        <v>19</v>
      </c>
      <c r="D5947">
        <v>0</v>
      </c>
      <c r="E5947" t="s">
        <v>23</v>
      </c>
      <c r="F5947">
        <v>0.18440000000000001</v>
      </c>
    </row>
    <row r="5948" spans="1:6" x14ac:dyDescent="0.3">
      <c r="A5948" t="s">
        <v>22</v>
      </c>
      <c r="B5948" s="1">
        <v>45905</v>
      </c>
      <c r="C5948">
        <v>20</v>
      </c>
      <c r="D5948">
        <v>0.503</v>
      </c>
      <c r="E5948" t="s">
        <v>23</v>
      </c>
      <c r="F5948">
        <v>0.23072000000000001</v>
      </c>
    </row>
    <row r="5949" spans="1:6" x14ac:dyDescent="0.3">
      <c r="A5949" t="s">
        <v>22</v>
      </c>
      <c r="B5949" s="1">
        <v>45905</v>
      </c>
      <c r="C5949">
        <v>21</v>
      </c>
      <c r="D5949">
        <v>0.84599999999999997</v>
      </c>
      <c r="E5949" t="s">
        <v>23</v>
      </c>
      <c r="F5949">
        <v>0.24790999999999999</v>
      </c>
    </row>
    <row r="5950" spans="1:6" x14ac:dyDescent="0.3">
      <c r="A5950" t="s">
        <v>22</v>
      </c>
      <c r="B5950" s="1">
        <v>45905</v>
      </c>
      <c r="C5950">
        <v>22</v>
      </c>
      <c r="D5950">
        <v>0.82899999999999996</v>
      </c>
      <c r="E5950" t="s">
        <v>23</v>
      </c>
      <c r="F5950">
        <v>0.24528999999999998</v>
      </c>
    </row>
    <row r="5951" spans="1:6" x14ac:dyDescent="0.3">
      <c r="A5951" t="s">
        <v>22</v>
      </c>
      <c r="B5951" s="1">
        <v>45905</v>
      </c>
      <c r="C5951">
        <v>23</v>
      </c>
      <c r="D5951">
        <v>0.63300000000000001</v>
      </c>
      <c r="E5951" t="s">
        <v>23</v>
      </c>
      <c r="F5951">
        <v>0.16743</v>
      </c>
    </row>
    <row r="5952" spans="1:6" x14ac:dyDescent="0.3">
      <c r="A5952" t="s">
        <v>22</v>
      </c>
      <c r="B5952" s="1">
        <v>45905</v>
      </c>
      <c r="C5952">
        <v>24</v>
      </c>
      <c r="D5952">
        <v>0.35899999999999999</v>
      </c>
      <c r="E5952" t="s">
        <v>23</v>
      </c>
      <c r="F5952">
        <v>0.16190000000000002</v>
      </c>
    </row>
    <row r="5953" spans="1:6" x14ac:dyDescent="0.3">
      <c r="A5953" t="s">
        <v>22</v>
      </c>
      <c r="B5953" s="1">
        <v>45906</v>
      </c>
      <c r="C5953">
        <v>1</v>
      </c>
      <c r="D5953">
        <v>1.5189999999999999</v>
      </c>
      <c r="E5953" t="s">
        <v>23</v>
      </c>
      <c r="F5953">
        <v>0.1356</v>
      </c>
    </row>
    <row r="5954" spans="1:6" x14ac:dyDescent="0.3">
      <c r="A5954" t="s">
        <v>22</v>
      </c>
      <c r="B5954" s="1">
        <v>45906</v>
      </c>
      <c r="C5954">
        <v>2</v>
      </c>
      <c r="D5954">
        <v>0.32900000000000001</v>
      </c>
      <c r="E5954" t="s">
        <v>23</v>
      </c>
      <c r="F5954">
        <v>0.12021999999999999</v>
      </c>
    </row>
    <row r="5955" spans="1:6" x14ac:dyDescent="0.3">
      <c r="A5955" t="s">
        <v>22</v>
      </c>
      <c r="B5955" s="1">
        <v>45906</v>
      </c>
      <c r="C5955">
        <v>3</v>
      </c>
      <c r="D5955">
        <v>0.40600000000000003</v>
      </c>
      <c r="E5955" t="s">
        <v>23</v>
      </c>
      <c r="F5955">
        <v>0.11003</v>
      </c>
    </row>
    <row r="5956" spans="1:6" x14ac:dyDescent="0.3">
      <c r="A5956" t="s">
        <v>22</v>
      </c>
      <c r="B5956" s="1">
        <v>45906</v>
      </c>
      <c r="C5956">
        <v>4</v>
      </c>
      <c r="D5956">
        <v>0.32700000000000001</v>
      </c>
      <c r="E5956" t="s">
        <v>23</v>
      </c>
      <c r="F5956">
        <v>9.8209999999999992E-2</v>
      </c>
    </row>
    <row r="5957" spans="1:6" x14ac:dyDescent="0.3">
      <c r="A5957" t="s">
        <v>22</v>
      </c>
      <c r="B5957" s="1">
        <v>45906</v>
      </c>
      <c r="C5957">
        <v>5</v>
      </c>
      <c r="D5957">
        <v>0.36</v>
      </c>
      <c r="E5957" t="s">
        <v>23</v>
      </c>
      <c r="F5957">
        <v>9.2590000000000006E-2</v>
      </c>
    </row>
    <row r="5958" spans="1:6" x14ac:dyDescent="0.3">
      <c r="A5958" t="s">
        <v>22</v>
      </c>
      <c r="B5958" s="1">
        <v>45906</v>
      </c>
      <c r="C5958">
        <v>6</v>
      </c>
      <c r="D5958">
        <v>0.32700000000000001</v>
      </c>
      <c r="E5958" t="s">
        <v>23</v>
      </c>
      <c r="F5958">
        <v>9.1260000000000008E-2</v>
      </c>
    </row>
    <row r="5959" spans="1:6" x14ac:dyDescent="0.3">
      <c r="A5959" t="s">
        <v>22</v>
      </c>
      <c r="B5959" s="1">
        <v>45906</v>
      </c>
      <c r="C5959">
        <v>7</v>
      </c>
      <c r="D5959">
        <v>0.30399999999999999</v>
      </c>
      <c r="E5959" t="s">
        <v>23</v>
      </c>
      <c r="F5959">
        <v>9.2060000000000003E-2</v>
      </c>
    </row>
    <row r="5960" spans="1:6" x14ac:dyDescent="0.3">
      <c r="A5960" t="s">
        <v>22</v>
      </c>
      <c r="B5960" s="1">
        <v>45906</v>
      </c>
      <c r="C5960">
        <v>8</v>
      </c>
      <c r="D5960">
        <v>0.34799999999999998</v>
      </c>
      <c r="E5960" t="s">
        <v>23</v>
      </c>
      <c r="F5960">
        <v>0.10567</v>
      </c>
    </row>
    <row r="5961" spans="1:6" x14ac:dyDescent="0.3">
      <c r="A5961" t="s">
        <v>22</v>
      </c>
      <c r="B5961" s="1">
        <v>45906</v>
      </c>
      <c r="C5961">
        <v>9</v>
      </c>
      <c r="D5961">
        <v>0</v>
      </c>
      <c r="E5961" t="s">
        <v>23</v>
      </c>
      <c r="F5961">
        <v>9.7869999999999999E-2</v>
      </c>
    </row>
    <row r="5962" spans="1:6" x14ac:dyDescent="0.3">
      <c r="A5962" t="s">
        <v>22</v>
      </c>
      <c r="B5962" s="1">
        <v>45906</v>
      </c>
      <c r="C5962">
        <v>10</v>
      </c>
      <c r="D5962">
        <v>2.8340000000000001</v>
      </c>
      <c r="E5962" t="s">
        <v>23</v>
      </c>
      <c r="F5962">
        <v>7.8299999999999995E-2</v>
      </c>
    </row>
    <row r="5963" spans="1:6" x14ac:dyDescent="0.3">
      <c r="A5963" t="s">
        <v>22</v>
      </c>
      <c r="B5963" s="1">
        <v>45906</v>
      </c>
      <c r="C5963">
        <v>11</v>
      </c>
      <c r="D5963">
        <v>3.2149999999999999</v>
      </c>
      <c r="E5963" t="s">
        <v>23</v>
      </c>
      <c r="F5963">
        <v>6.4209999999999989E-2</v>
      </c>
    </row>
    <row r="5964" spans="1:6" x14ac:dyDescent="0.3">
      <c r="A5964" t="s">
        <v>22</v>
      </c>
      <c r="B5964" s="1">
        <v>45906</v>
      </c>
      <c r="C5964">
        <v>12</v>
      </c>
      <c r="D5964">
        <v>1.452</v>
      </c>
      <c r="E5964" t="s">
        <v>23</v>
      </c>
      <c r="F5964">
        <v>6.2810000000000005E-2</v>
      </c>
    </row>
    <row r="5965" spans="1:6" x14ac:dyDescent="0.3">
      <c r="A5965" t="s">
        <v>22</v>
      </c>
      <c r="B5965" s="1">
        <v>45906</v>
      </c>
      <c r="C5965">
        <v>13</v>
      </c>
      <c r="D5965">
        <v>0</v>
      </c>
      <c r="E5965" t="s">
        <v>23</v>
      </c>
      <c r="F5965">
        <v>6.318E-2</v>
      </c>
    </row>
    <row r="5966" spans="1:6" x14ac:dyDescent="0.3">
      <c r="A5966" t="s">
        <v>22</v>
      </c>
      <c r="B5966" s="1">
        <v>45906</v>
      </c>
      <c r="C5966">
        <v>14</v>
      </c>
      <c r="D5966">
        <v>0</v>
      </c>
      <c r="E5966" t="s">
        <v>23</v>
      </c>
      <c r="F5966">
        <v>6.1189999999999994E-2</v>
      </c>
    </row>
    <row r="5967" spans="1:6" x14ac:dyDescent="0.3">
      <c r="A5967" t="s">
        <v>22</v>
      </c>
      <c r="B5967" s="1">
        <v>45906</v>
      </c>
      <c r="C5967">
        <v>15</v>
      </c>
      <c r="D5967">
        <v>0</v>
      </c>
      <c r="E5967" t="s">
        <v>23</v>
      </c>
      <c r="F5967">
        <v>6.0880000000000004E-2</v>
      </c>
    </row>
    <row r="5968" spans="1:6" x14ac:dyDescent="0.3">
      <c r="A5968" t="s">
        <v>22</v>
      </c>
      <c r="B5968" s="1">
        <v>45906</v>
      </c>
      <c r="C5968">
        <v>16</v>
      </c>
      <c r="D5968">
        <v>0</v>
      </c>
      <c r="E5968" t="s">
        <v>23</v>
      </c>
      <c r="F5968">
        <v>6.2780000000000002E-2</v>
      </c>
    </row>
    <row r="5969" spans="1:6" x14ac:dyDescent="0.3">
      <c r="A5969" t="s">
        <v>22</v>
      </c>
      <c r="B5969" s="1">
        <v>45906</v>
      </c>
      <c r="C5969">
        <v>17</v>
      </c>
      <c r="D5969">
        <v>0</v>
      </c>
      <c r="E5969" t="s">
        <v>23</v>
      </c>
      <c r="F5969">
        <v>6.3820000000000002E-2</v>
      </c>
    </row>
    <row r="5970" spans="1:6" x14ac:dyDescent="0.3">
      <c r="A5970" t="s">
        <v>22</v>
      </c>
      <c r="B5970" s="1">
        <v>45906</v>
      </c>
      <c r="C5970">
        <v>18</v>
      </c>
      <c r="D5970">
        <v>0</v>
      </c>
      <c r="E5970" t="s">
        <v>23</v>
      </c>
      <c r="F5970">
        <v>6.3060000000000005E-2</v>
      </c>
    </row>
    <row r="5971" spans="1:6" x14ac:dyDescent="0.3">
      <c r="A5971" t="s">
        <v>22</v>
      </c>
      <c r="B5971" s="1">
        <v>45906</v>
      </c>
      <c r="C5971">
        <v>19</v>
      </c>
      <c r="D5971">
        <v>0.04</v>
      </c>
      <c r="E5971" t="s">
        <v>23</v>
      </c>
      <c r="F5971">
        <v>6.3469999999999999E-2</v>
      </c>
    </row>
    <row r="5972" spans="1:6" x14ac:dyDescent="0.3">
      <c r="A5972" t="s">
        <v>22</v>
      </c>
      <c r="B5972" s="1">
        <v>45906</v>
      </c>
      <c r="C5972">
        <v>20</v>
      </c>
      <c r="D5972">
        <v>1.0029999999999999</v>
      </c>
      <c r="E5972" t="s">
        <v>23</v>
      </c>
      <c r="F5972">
        <v>8.6859999999999993E-2</v>
      </c>
    </row>
    <row r="5973" spans="1:6" x14ac:dyDescent="0.3">
      <c r="A5973" t="s">
        <v>22</v>
      </c>
      <c r="B5973" s="1">
        <v>45906</v>
      </c>
      <c r="C5973">
        <v>21</v>
      </c>
      <c r="D5973">
        <v>0.90900000000000003</v>
      </c>
      <c r="E5973" t="s">
        <v>23</v>
      </c>
      <c r="F5973">
        <v>0.10047</v>
      </c>
    </row>
    <row r="5974" spans="1:6" x14ac:dyDescent="0.3">
      <c r="A5974" t="s">
        <v>22</v>
      </c>
      <c r="B5974" s="1">
        <v>45906</v>
      </c>
      <c r="C5974">
        <v>22</v>
      </c>
      <c r="D5974">
        <v>1.1639999999999999</v>
      </c>
      <c r="E5974" t="s">
        <v>23</v>
      </c>
      <c r="F5974">
        <v>0.11968000000000001</v>
      </c>
    </row>
    <row r="5975" spans="1:6" x14ac:dyDescent="0.3">
      <c r="A5975" t="s">
        <v>22</v>
      </c>
      <c r="B5975" s="1">
        <v>45906</v>
      </c>
      <c r="C5975">
        <v>23</v>
      </c>
      <c r="D5975">
        <v>0.67</v>
      </c>
      <c r="E5975" t="s">
        <v>23</v>
      </c>
      <c r="F5975">
        <v>0.11759</v>
      </c>
    </row>
    <row r="5976" spans="1:6" x14ac:dyDescent="0.3">
      <c r="A5976" t="s">
        <v>22</v>
      </c>
      <c r="B5976" s="1">
        <v>45906</v>
      </c>
      <c r="C5976">
        <v>24</v>
      </c>
      <c r="D5976">
        <v>0.41799999999999998</v>
      </c>
      <c r="E5976" t="s">
        <v>23</v>
      </c>
      <c r="F5976">
        <v>0.10263</v>
      </c>
    </row>
    <row r="5977" spans="1:6" x14ac:dyDescent="0.3">
      <c r="A5977" t="s">
        <v>22</v>
      </c>
      <c r="B5977" s="1">
        <v>45907</v>
      </c>
      <c r="C5977">
        <v>1</v>
      </c>
      <c r="D5977">
        <v>0.42</v>
      </c>
      <c r="E5977" t="s">
        <v>23</v>
      </c>
      <c r="F5977">
        <v>7.911E-2</v>
      </c>
    </row>
    <row r="5978" spans="1:6" x14ac:dyDescent="0.3">
      <c r="A5978" t="s">
        <v>22</v>
      </c>
      <c r="B5978" s="1">
        <v>45907</v>
      </c>
      <c r="C5978">
        <v>2</v>
      </c>
      <c r="D5978">
        <v>0.47099999999999997</v>
      </c>
      <c r="E5978" t="s">
        <v>23</v>
      </c>
      <c r="F5978">
        <v>7.2819999999999996E-2</v>
      </c>
    </row>
    <row r="5979" spans="1:6" x14ac:dyDescent="0.3">
      <c r="A5979" t="s">
        <v>22</v>
      </c>
      <c r="B5979" s="1">
        <v>45907</v>
      </c>
      <c r="C5979">
        <v>3</v>
      </c>
      <c r="D5979">
        <v>0.38400000000000001</v>
      </c>
      <c r="E5979" t="s">
        <v>23</v>
      </c>
      <c r="F5979">
        <v>8.7690000000000004E-2</v>
      </c>
    </row>
    <row r="5980" spans="1:6" x14ac:dyDescent="0.3">
      <c r="A5980" t="s">
        <v>22</v>
      </c>
      <c r="B5980" s="1">
        <v>45907</v>
      </c>
      <c r="C5980">
        <v>4</v>
      </c>
      <c r="D5980">
        <v>0.41799999999999998</v>
      </c>
      <c r="E5980" t="s">
        <v>23</v>
      </c>
      <c r="F5980">
        <v>8.6620000000000003E-2</v>
      </c>
    </row>
    <row r="5981" spans="1:6" x14ac:dyDescent="0.3">
      <c r="A5981" t="s">
        <v>22</v>
      </c>
      <c r="B5981" s="1">
        <v>45907</v>
      </c>
      <c r="C5981">
        <v>5</v>
      </c>
      <c r="D5981">
        <v>0.42399999999999999</v>
      </c>
      <c r="E5981" t="s">
        <v>23</v>
      </c>
      <c r="F5981">
        <v>8.5290000000000005E-2</v>
      </c>
    </row>
    <row r="5982" spans="1:6" x14ac:dyDescent="0.3">
      <c r="A5982" t="s">
        <v>22</v>
      </c>
      <c r="B5982" s="1">
        <v>45907</v>
      </c>
      <c r="C5982">
        <v>6</v>
      </c>
      <c r="D5982">
        <v>1.331</v>
      </c>
      <c r="E5982" t="s">
        <v>23</v>
      </c>
      <c r="F5982">
        <v>9.3140000000000001E-2</v>
      </c>
    </row>
    <row r="5983" spans="1:6" x14ac:dyDescent="0.3">
      <c r="A5983" t="s">
        <v>22</v>
      </c>
      <c r="B5983" s="1">
        <v>45907</v>
      </c>
      <c r="C5983">
        <v>7</v>
      </c>
      <c r="D5983">
        <v>0.30599999999999999</v>
      </c>
      <c r="E5983" t="s">
        <v>23</v>
      </c>
      <c r="F5983">
        <v>8.1439999999999999E-2</v>
      </c>
    </row>
    <row r="5984" spans="1:6" x14ac:dyDescent="0.3">
      <c r="A5984" t="s">
        <v>22</v>
      </c>
      <c r="B5984" s="1">
        <v>45907</v>
      </c>
      <c r="C5984">
        <v>8</v>
      </c>
      <c r="D5984">
        <v>0.34300000000000003</v>
      </c>
      <c r="E5984" t="s">
        <v>23</v>
      </c>
      <c r="F5984">
        <v>9.534999999999999E-2</v>
      </c>
    </row>
    <row r="5985" spans="1:6" x14ac:dyDescent="0.3">
      <c r="A5985" t="s">
        <v>22</v>
      </c>
      <c r="B5985" s="1">
        <v>45907</v>
      </c>
      <c r="C5985">
        <v>9</v>
      </c>
      <c r="D5985">
        <v>0</v>
      </c>
      <c r="E5985" t="s">
        <v>23</v>
      </c>
      <c r="F5985">
        <v>0.10599</v>
      </c>
    </row>
    <row r="5986" spans="1:6" x14ac:dyDescent="0.3">
      <c r="A5986" t="s">
        <v>22</v>
      </c>
      <c r="B5986" s="1">
        <v>45907</v>
      </c>
      <c r="C5986">
        <v>10</v>
      </c>
      <c r="D5986">
        <v>0</v>
      </c>
      <c r="E5986" t="s">
        <v>23</v>
      </c>
      <c r="F5986">
        <v>9.2989999999999989E-2</v>
      </c>
    </row>
    <row r="5987" spans="1:6" x14ac:dyDescent="0.3">
      <c r="A5987" t="s">
        <v>22</v>
      </c>
      <c r="B5987" s="1">
        <v>45907</v>
      </c>
      <c r="C5987">
        <v>11</v>
      </c>
      <c r="D5987">
        <v>0</v>
      </c>
      <c r="E5987" t="s">
        <v>23</v>
      </c>
      <c r="F5987">
        <v>5.815E-2</v>
      </c>
    </row>
    <row r="5988" spans="1:6" x14ac:dyDescent="0.3">
      <c r="A5988" t="s">
        <v>22</v>
      </c>
      <c r="B5988" s="1">
        <v>45907</v>
      </c>
      <c r="C5988">
        <v>12</v>
      </c>
      <c r="D5988">
        <v>0</v>
      </c>
      <c r="E5988" t="s">
        <v>23</v>
      </c>
      <c r="F5988">
        <v>5.7439999999999998E-2</v>
      </c>
    </row>
    <row r="5989" spans="1:6" x14ac:dyDescent="0.3">
      <c r="A5989" t="s">
        <v>22</v>
      </c>
      <c r="B5989" s="1">
        <v>45907</v>
      </c>
      <c r="C5989">
        <v>13</v>
      </c>
      <c r="D5989">
        <v>0</v>
      </c>
      <c r="E5989" t="s">
        <v>23</v>
      </c>
      <c r="F5989">
        <v>5.5590000000000001E-2</v>
      </c>
    </row>
    <row r="5990" spans="1:6" x14ac:dyDescent="0.3">
      <c r="A5990" t="s">
        <v>22</v>
      </c>
      <c r="B5990" s="1">
        <v>45907</v>
      </c>
      <c r="C5990">
        <v>14</v>
      </c>
      <c r="D5990">
        <v>0</v>
      </c>
      <c r="E5990" t="s">
        <v>23</v>
      </c>
      <c r="F5990">
        <v>5.4700000000000006E-2</v>
      </c>
    </row>
    <row r="5991" spans="1:6" x14ac:dyDescent="0.3">
      <c r="A5991" t="s">
        <v>22</v>
      </c>
      <c r="B5991" s="1">
        <v>45907</v>
      </c>
      <c r="C5991">
        <v>15</v>
      </c>
      <c r="D5991">
        <v>0</v>
      </c>
      <c r="E5991" t="s">
        <v>23</v>
      </c>
      <c r="F5991">
        <v>5.4600000000000003E-2</v>
      </c>
    </row>
    <row r="5992" spans="1:6" x14ac:dyDescent="0.3">
      <c r="A5992" t="s">
        <v>22</v>
      </c>
      <c r="B5992" s="1">
        <v>45907</v>
      </c>
      <c r="C5992">
        <v>16</v>
      </c>
      <c r="D5992">
        <v>0</v>
      </c>
      <c r="E5992" t="s">
        <v>23</v>
      </c>
      <c r="F5992">
        <v>5.5020000000000006E-2</v>
      </c>
    </row>
    <row r="5993" spans="1:6" x14ac:dyDescent="0.3">
      <c r="A5993" t="s">
        <v>22</v>
      </c>
      <c r="B5993" s="1">
        <v>45907</v>
      </c>
      <c r="C5993">
        <v>17</v>
      </c>
      <c r="D5993">
        <v>0</v>
      </c>
      <c r="E5993" t="s">
        <v>23</v>
      </c>
      <c r="F5993">
        <v>5.672E-2</v>
      </c>
    </row>
    <row r="5994" spans="1:6" x14ac:dyDescent="0.3">
      <c r="A5994" t="s">
        <v>22</v>
      </c>
      <c r="B5994" s="1">
        <v>45907</v>
      </c>
      <c r="C5994">
        <v>18</v>
      </c>
      <c r="D5994">
        <v>0</v>
      </c>
      <c r="E5994" t="s">
        <v>23</v>
      </c>
      <c r="F5994">
        <v>6.3049999999999995E-2</v>
      </c>
    </row>
    <row r="5995" spans="1:6" x14ac:dyDescent="0.3">
      <c r="A5995" t="s">
        <v>22</v>
      </c>
      <c r="B5995" s="1">
        <v>45907</v>
      </c>
      <c r="C5995">
        <v>19</v>
      </c>
      <c r="D5995">
        <v>0.628</v>
      </c>
      <c r="E5995" t="s">
        <v>23</v>
      </c>
      <c r="F5995">
        <v>0.10837999999999999</v>
      </c>
    </row>
    <row r="5996" spans="1:6" x14ac:dyDescent="0.3">
      <c r="A5996" t="s">
        <v>22</v>
      </c>
      <c r="B5996" s="1">
        <v>45907</v>
      </c>
      <c r="C5996">
        <v>20</v>
      </c>
      <c r="D5996">
        <v>0.52300000000000002</v>
      </c>
      <c r="E5996" t="s">
        <v>23</v>
      </c>
      <c r="F5996">
        <v>0.23801</v>
      </c>
    </row>
    <row r="5997" spans="1:6" x14ac:dyDescent="0.3">
      <c r="A5997" t="s">
        <v>22</v>
      </c>
      <c r="B5997" s="1">
        <v>45907</v>
      </c>
      <c r="C5997">
        <v>21</v>
      </c>
      <c r="D5997">
        <v>0.92900000000000005</v>
      </c>
      <c r="E5997" t="s">
        <v>23</v>
      </c>
      <c r="F5997">
        <v>0.17227999999999999</v>
      </c>
    </row>
    <row r="5998" spans="1:6" x14ac:dyDescent="0.3">
      <c r="A5998" t="s">
        <v>22</v>
      </c>
      <c r="B5998" s="1">
        <v>45907</v>
      </c>
      <c r="C5998">
        <v>22</v>
      </c>
      <c r="D5998">
        <v>0.92900000000000005</v>
      </c>
      <c r="E5998" t="s">
        <v>23</v>
      </c>
      <c r="F5998">
        <v>0.17172000000000001</v>
      </c>
    </row>
    <row r="5999" spans="1:6" x14ac:dyDescent="0.3">
      <c r="A5999" t="s">
        <v>22</v>
      </c>
      <c r="B5999" s="1">
        <v>45907</v>
      </c>
      <c r="C5999">
        <v>23</v>
      </c>
      <c r="D5999">
        <v>0.72099999999999997</v>
      </c>
      <c r="E5999" t="s">
        <v>23</v>
      </c>
      <c r="F5999">
        <v>0.16516999999999998</v>
      </c>
    </row>
    <row r="6000" spans="1:6" x14ac:dyDescent="0.3">
      <c r="A6000" t="s">
        <v>22</v>
      </c>
      <c r="B6000" s="1">
        <v>45907</v>
      </c>
      <c r="C6000">
        <v>24</v>
      </c>
      <c r="D6000">
        <v>0.51700000000000002</v>
      </c>
      <c r="E6000" t="s">
        <v>23</v>
      </c>
      <c r="F6000">
        <v>0.15859999999999999</v>
      </c>
    </row>
    <row r="6001" spans="1:6" x14ac:dyDescent="0.3">
      <c r="A6001" t="s">
        <v>22</v>
      </c>
      <c r="B6001" s="1">
        <v>45908</v>
      </c>
      <c r="C6001">
        <v>1</v>
      </c>
      <c r="D6001">
        <v>0.44600000000000001</v>
      </c>
      <c r="E6001" t="s">
        <v>23</v>
      </c>
      <c r="F6001">
        <v>0.14030000000000001</v>
      </c>
    </row>
    <row r="6002" spans="1:6" x14ac:dyDescent="0.3">
      <c r="A6002" t="s">
        <v>22</v>
      </c>
      <c r="B6002" s="1">
        <v>45908</v>
      </c>
      <c r="C6002">
        <v>2</v>
      </c>
      <c r="D6002">
        <v>1.33</v>
      </c>
      <c r="E6002" t="s">
        <v>23</v>
      </c>
      <c r="F6002">
        <v>0.13099</v>
      </c>
    </row>
    <row r="6003" spans="1:6" x14ac:dyDescent="0.3">
      <c r="A6003" t="s">
        <v>22</v>
      </c>
      <c r="B6003" s="1">
        <v>45908</v>
      </c>
      <c r="C6003">
        <v>3</v>
      </c>
      <c r="D6003">
        <v>0.504</v>
      </c>
      <c r="E6003" t="s">
        <v>23</v>
      </c>
      <c r="F6003">
        <v>0.12847999999999998</v>
      </c>
    </row>
    <row r="6004" spans="1:6" x14ac:dyDescent="0.3">
      <c r="A6004" t="s">
        <v>22</v>
      </c>
      <c r="B6004" s="1">
        <v>45908</v>
      </c>
      <c r="C6004">
        <v>4</v>
      </c>
      <c r="D6004">
        <v>0.47399999999999998</v>
      </c>
      <c r="E6004" t="s">
        <v>23</v>
      </c>
      <c r="F6004">
        <v>0.12293999999999999</v>
      </c>
    </row>
    <row r="6005" spans="1:6" x14ac:dyDescent="0.3">
      <c r="A6005" t="s">
        <v>22</v>
      </c>
      <c r="B6005" s="1">
        <v>45908</v>
      </c>
      <c r="C6005">
        <v>5</v>
      </c>
      <c r="D6005">
        <v>0.4</v>
      </c>
      <c r="E6005" t="s">
        <v>23</v>
      </c>
      <c r="F6005">
        <v>0.11898</v>
      </c>
    </row>
    <row r="6006" spans="1:6" x14ac:dyDescent="0.3">
      <c r="A6006" t="s">
        <v>22</v>
      </c>
      <c r="B6006" s="1">
        <v>45908</v>
      </c>
      <c r="C6006">
        <v>6</v>
      </c>
      <c r="D6006">
        <v>0.49</v>
      </c>
      <c r="E6006" t="s">
        <v>23</v>
      </c>
      <c r="F6006">
        <v>0.11923</v>
      </c>
    </row>
    <row r="6007" spans="1:6" x14ac:dyDescent="0.3">
      <c r="A6007" t="s">
        <v>22</v>
      </c>
      <c r="B6007" s="1">
        <v>45908</v>
      </c>
      <c r="C6007">
        <v>7</v>
      </c>
      <c r="D6007">
        <v>0.44900000000000001</v>
      </c>
      <c r="E6007" t="s">
        <v>23</v>
      </c>
      <c r="F6007">
        <v>0.13084000000000001</v>
      </c>
    </row>
    <row r="6008" spans="1:6" x14ac:dyDescent="0.3">
      <c r="A6008" t="s">
        <v>22</v>
      </c>
      <c r="B6008" s="1">
        <v>45908</v>
      </c>
      <c r="C6008">
        <v>8</v>
      </c>
      <c r="D6008">
        <v>0.52800000000000002</v>
      </c>
      <c r="E6008" t="s">
        <v>23</v>
      </c>
      <c r="F6008">
        <v>0.14199000000000001</v>
      </c>
    </row>
    <row r="6009" spans="1:6" x14ac:dyDescent="0.3">
      <c r="A6009" t="s">
        <v>22</v>
      </c>
      <c r="B6009" s="1">
        <v>45908</v>
      </c>
      <c r="C6009">
        <v>9</v>
      </c>
      <c r="D6009">
        <v>0.47799999999999998</v>
      </c>
      <c r="E6009" t="s">
        <v>23</v>
      </c>
      <c r="F6009">
        <v>0.17518999999999998</v>
      </c>
    </row>
    <row r="6010" spans="1:6" x14ac:dyDescent="0.3">
      <c r="A6010" t="s">
        <v>22</v>
      </c>
      <c r="B6010" s="1">
        <v>45908</v>
      </c>
      <c r="C6010">
        <v>10</v>
      </c>
      <c r="D6010">
        <v>1.2569999999999999</v>
      </c>
      <c r="E6010" t="s">
        <v>23</v>
      </c>
      <c r="F6010">
        <v>0.16358</v>
      </c>
    </row>
    <row r="6011" spans="1:6" x14ac:dyDescent="0.3">
      <c r="A6011" t="s">
        <v>22</v>
      </c>
      <c r="B6011" s="1">
        <v>45908</v>
      </c>
      <c r="C6011">
        <v>11</v>
      </c>
      <c r="D6011">
        <v>1.5549999999999999</v>
      </c>
      <c r="E6011" t="s">
        <v>23</v>
      </c>
      <c r="F6011">
        <v>0.21528999999999998</v>
      </c>
    </row>
    <row r="6012" spans="1:6" x14ac:dyDescent="0.3">
      <c r="A6012" t="s">
        <v>22</v>
      </c>
      <c r="B6012" s="1">
        <v>45908</v>
      </c>
      <c r="C6012">
        <v>12</v>
      </c>
      <c r="D6012">
        <v>1.4850000000000001</v>
      </c>
      <c r="E6012" t="s">
        <v>23</v>
      </c>
      <c r="F6012">
        <v>0.19100999999999999</v>
      </c>
    </row>
    <row r="6013" spans="1:6" x14ac:dyDescent="0.3">
      <c r="A6013" t="s">
        <v>22</v>
      </c>
      <c r="B6013" s="1">
        <v>45908</v>
      </c>
      <c r="C6013">
        <v>13</v>
      </c>
      <c r="D6013">
        <v>3.8460000000000001</v>
      </c>
      <c r="E6013" t="s">
        <v>23</v>
      </c>
      <c r="F6013">
        <v>0.17951</v>
      </c>
    </row>
    <row r="6014" spans="1:6" x14ac:dyDescent="0.3">
      <c r="A6014" t="s">
        <v>22</v>
      </c>
      <c r="B6014" s="1">
        <v>45908</v>
      </c>
      <c r="C6014">
        <v>14</v>
      </c>
      <c r="D6014">
        <v>5.7640000000000002</v>
      </c>
      <c r="E6014" t="s">
        <v>23</v>
      </c>
      <c r="F6014">
        <v>0.16237000000000001</v>
      </c>
    </row>
    <row r="6015" spans="1:6" x14ac:dyDescent="0.3">
      <c r="A6015" t="s">
        <v>22</v>
      </c>
      <c r="B6015" s="1">
        <v>45908</v>
      </c>
      <c r="C6015">
        <v>15</v>
      </c>
      <c r="D6015">
        <v>5.2519999999999998</v>
      </c>
      <c r="E6015" t="s">
        <v>23</v>
      </c>
      <c r="F6015">
        <v>8.6019999999999999E-2</v>
      </c>
    </row>
    <row r="6016" spans="1:6" x14ac:dyDescent="0.3">
      <c r="A6016" t="s">
        <v>22</v>
      </c>
      <c r="B6016" s="1">
        <v>45908</v>
      </c>
      <c r="C6016">
        <v>16</v>
      </c>
      <c r="D6016">
        <v>1.1479999999999999</v>
      </c>
      <c r="E6016" t="s">
        <v>23</v>
      </c>
      <c r="F6016">
        <v>8.5999999999999993E-2</v>
      </c>
    </row>
    <row r="6017" spans="1:6" x14ac:dyDescent="0.3">
      <c r="A6017" t="s">
        <v>22</v>
      </c>
      <c r="B6017" s="1">
        <v>45908</v>
      </c>
      <c r="C6017">
        <v>17</v>
      </c>
      <c r="D6017">
        <v>0</v>
      </c>
      <c r="E6017" t="s">
        <v>23</v>
      </c>
      <c r="F6017">
        <v>8.6599999999999996E-2</v>
      </c>
    </row>
    <row r="6018" spans="1:6" x14ac:dyDescent="0.3">
      <c r="A6018" t="s">
        <v>22</v>
      </c>
      <c r="B6018" s="1">
        <v>45908</v>
      </c>
      <c r="C6018">
        <v>18</v>
      </c>
      <c r="D6018">
        <v>0</v>
      </c>
      <c r="E6018" t="s">
        <v>23</v>
      </c>
      <c r="F6018">
        <v>0.10967</v>
      </c>
    </row>
    <row r="6019" spans="1:6" x14ac:dyDescent="0.3">
      <c r="A6019" t="s">
        <v>22</v>
      </c>
      <c r="B6019" s="1">
        <v>45908</v>
      </c>
      <c r="C6019">
        <v>19</v>
      </c>
      <c r="D6019">
        <v>0</v>
      </c>
      <c r="E6019" t="s">
        <v>23</v>
      </c>
      <c r="F6019">
        <v>0.20344999999999999</v>
      </c>
    </row>
    <row r="6020" spans="1:6" x14ac:dyDescent="0.3">
      <c r="A6020" t="s">
        <v>22</v>
      </c>
      <c r="B6020" s="1">
        <v>45908</v>
      </c>
      <c r="C6020">
        <v>20</v>
      </c>
      <c r="D6020">
        <v>0.64800000000000002</v>
      </c>
      <c r="E6020" t="s">
        <v>23</v>
      </c>
      <c r="F6020">
        <v>0.22038999999999997</v>
      </c>
    </row>
    <row r="6021" spans="1:6" x14ac:dyDescent="0.3">
      <c r="A6021" t="s">
        <v>22</v>
      </c>
      <c r="B6021" s="1">
        <v>45908</v>
      </c>
      <c r="C6021">
        <v>21</v>
      </c>
      <c r="D6021">
        <v>1.034</v>
      </c>
      <c r="E6021" t="s">
        <v>23</v>
      </c>
      <c r="F6021">
        <v>0.22886000000000001</v>
      </c>
    </row>
    <row r="6022" spans="1:6" x14ac:dyDescent="0.3">
      <c r="A6022" t="s">
        <v>22</v>
      </c>
      <c r="B6022" s="1">
        <v>45908</v>
      </c>
      <c r="C6022">
        <v>22</v>
      </c>
      <c r="D6022">
        <v>0.82499999999999996</v>
      </c>
      <c r="E6022" t="s">
        <v>23</v>
      </c>
      <c r="F6022">
        <v>0.22274000000000002</v>
      </c>
    </row>
    <row r="6023" spans="1:6" x14ac:dyDescent="0.3">
      <c r="A6023" t="s">
        <v>22</v>
      </c>
      <c r="B6023" s="1">
        <v>45908</v>
      </c>
      <c r="C6023">
        <v>23</v>
      </c>
      <c r="D6023">
        <v>0.77200000000000002</v>
      </c>
      <c r="E6023" t="s">
        <v>23</v>
      </c>
      <c r="F6023">
        <v>0.15365999999999999</v>
      </c>
    </row>
    <row r="6024" spans="1:6" x14ac:dyDescent="0.3">
      <c r="A6024" t="s">
        <v>22</v>
      </c>
      <c r="B6024" s="1">
        <v>45908</v>
      </c>
      <c r="C6024">
        <v>24</v>
      </c>
      <c r="D6024">
        <v>0.59</v>
      </c>
      <c r="E6024" t="s">
        <v>23</v>
      </c>
      <c r="F6024">
        <v>0.13716999999999999</v>
      </c>
    </row>
    <row r="6025" spans="1:6" x14ac:dyDescent="0.3">
      <c r="A6025" t="s">
        <v>22</v>
      </c>
      <c r="B6025" s="1">
        <v>45909</v>
      </c>
      <c r="C6025">
        <v>1</v>
      </c>
      <c r="D6025">
        <v>0.57299999999999995</v>
      </c>
      <c r="E6025" t="s">
        <v>23</v>
      </c>
      <c r="F6025">
        <v>0.10676000000000001</v>
      </c>
    </row>
    <row r="6026" spans="1:6" x14ac:dyDescent="0.3">
      <c r="A6026" t="s">
        <v>22</v>
      </c>
      <c r="B6026" s="1">
        <v>45909</v>
      </c>
      <c r="C6026">
        <v>2</v>
      </c>
      <c r="D6026">
        <v>0.38900000000000001</v>
      </c>
      <c r="E6026" t="s">
        <v>23</v>
      </c>
      <c r="F6026">
        <v>0.10728</v>
      </c>
    </row>
    <row r="6027" spans="1:6" x14ac:dyDescent="0.3">
      <c r="A6027" t="s">
        <v>22</v>
      </c>
      <c r="B6027" s="1">
        <v>45909</v>
      </c>
      <c r="C6027">
        <v>3</v>
      </c>
      <c r="D6027">
        <v>0.52600000000000002</v>
      </c>
      <c r="E6027" t="s">
        <v>23</v>
      </c>
      <c r="F6027">
        <v>0.10651999999999999</v>
      </c>
    </row>
    <row r="6028" spans="1:6" x14ac:dyDescent="0.3">
      <c r="A6028" t="s">
        <v>22</v>
      </c>
      <c r="B6028" s="1">
        <v>45909</v>
      </c>
      <c r="C6028">
        <v>4</v>
      </c>
      <c r="D6028">
        <v>0.45300000000000001</v>
      </c>
      <c r="E6028" t="s">
        <v>23</v>
      </c>
      <c r="F6028">
        <v>0.10371999999999999</v>
      </c>
    </row>
    <row r="6029" spans="1:6" x14ac:dyDescent="0.3">
      <c r="A6029" t="s">
        <v>22</v>
      </c>
      <c r="B6029" s="1">
        <v>45909</v>
      </c>
      <c r="C6029">
        <v>5</v>
      </c>
      <c r="D6029">
        <v>0.42299999999999999</v>
      </c>
      <c r="E6029" t="s">
        <v>23</v>
      </c>
      <c r="F6029">
        <v>0.10418999999999999</v>
      </c>
    </row>
    <row r="6030" spans="1:6" x14ac:dyDescent="0.3">
      <c r="A6030" t="s">
        <v>22</v>
      </c>
      <c r="B6030" s="1">
        <v>45909</v>
      </c>
      <c r="C6030">
        <v>6</v>
      </c>
      <c r="D6030">
        <v>0.34200000000000003</v>
      </c>
      <c r="E6030" t="s">
        <v>23</v>
      </c>
      <c r="F6030">
        <v>0.11125</v>
      </c>
    </row>
    <row r="6031" spans="1:6" x14ac:dyDescent="0.3">
      <c r="A6031" t="s">
        <v>22</v>
      </c>
      <c r="B6031" s="1">
        <v>45909</v>
      </c>
      <c r="C6031">
        <v>7</v>
      </c>
      <c r="D6031">
        <v>1.1930000000000001</v>
      </c>
      <c r="E6031" t="s">
        <v>23</v>
      </c>
      <c r="F6031">
        <v>0.12723000000000001</v>
      </c>
    </row>
    <row r="6032" spans="1:6" x14ac:dyDescent="0.3">
      <c r="A6032" t="s">
        <v>22</v>
      </c>
      <c r="B6032" s="1">
        <v>45909</v>
      </c>
      <c r="C6032">
        <v>8</v>
      </c>
      <c r="D6032">
        <v>0.60399999999999998</v>
      </c>
      <c r="E6032" t="s">
        <v>23</v>
      </c>
      <c r="F6032">
        <v>0.14044000000000001</v>
      </c>
    </row>
    <row r="6033" spans="1:6" x14ac:dyDescent="0.3">
      <c r="A6033" t="s">
        <v>22</v>
      </c>
      <c r="B6033" s="1">
        <v>45909</v>
      </c>
      <c r="C6033">
        <v>9</v>
      </c>
      <c r="D6033">
        <v>0.35399999999999998</v>
      </c>
      <c r="E6033" t="s">
        <v>23</v>
      </c>
      <c r="F6033">
        <v>0.16394999999999998</v>
      </c>
    </row>
    <row r="6034" spans="1:6" x14ac:dyDescent="0.3">
      <c r="A6034" t="s">
        <v>22</v>
      </c>
      <c r="B6034" s="1">
        <v>45909</v>
      </c>
      <c r="C6034">
        <v>10</v>
      </c>
      <c r="D6034">
        <v>1.7769999999999999</v>
      </c>
      <c r="E6034" t="s">
        <v>23</v>
      </c>
      <c r="F6034">
        <v>0.14631</v>
      </c>
    </row>
    <row r="6035" spans="1:6" x14ac:dyDescent="0.3">
      <c r="A6035" t="s">
        <v>22</v>
      </c>
      <c r="B6035" s="1">
        <v>45909</v>
      </c>
      <c r="C6035">
        <v>11</v>
      </c>
      <c r="D6035">
        <v>1.925</v>
      </c>
      <c r="E6035" t="s">
        <v>23</v>
      </c>
      <c r="F6035">
        <v>0.18472999999999998</v>
      </c>
    </row>
    <row r="6036" spans="1:6" x14ac:dyDescent="0.3">
      <c r="A6036" t="s">
        <v>22</v>
      </c>
      <c r="B6036" s="1">
        <v>45909</v>
      </c>
      <c r="C6036">
        <v>12</v>
      </c>
      <c r="D6036">
        <v>0.90400000000000003</v>
      </c>
      <c r="E6036" t="s">
        <v>23</v>
      </c>
      <c r="F6036">
        <v>0.15930000000000002</v>
      </c>
    </row>
    <row r="6037" spans="1:6" x14ac:dyDescent="0.3">
      <c r="A6037" t="s">
        <v>22</v>
      </c>
      <c r="B6037" s="1">
        <v>45909</v>
      </c>
      <c r="C6037">
        <v>13</v>
      </c>
      <c r="D6037">
        <v>0</v>
      </c>
      <c r="E6037" t="s">
        <v>23</v>
      </c>
      <c r="F6037">
        <v>0.15433000000000002</v>
      </c>
    </row>
    <row r="6038" spans="1:6" x14ac:dyDescent="0.3">
      <c r="A6038" t="s">
        <v>22</v>
      </c>
      <c r="B6038" s="1">
        <v>45909</v>
      </c>
      <c r="C6038">
        <v>14</v>
      </c>
      <c r="D6038">
        <v>4.3710000000000004</v>
      </c>
      <c r="E6038" t="s">
        <v>23</v>
      </c>
      <c r="F6038">
        <v>0.14435000000000001</v>
      </c>
    </row>
    <row r="6039" spans="1:6" x14ac:dyDescent="0.3">
      <c r="A6039" t="s">
        <v>22</v>
      </c>
      <c r="B6039" s="1">
        <v>45909</v>
      </c>
      <c r="C6039">
        <v>15</v>
      </c>
      <c r="D6039">
        <v>3.6</v>
      </c>
      <c r="E6039" t="s">
        <v>23</v>
      </c>
      <c r="F6039">
        <v>7.8939999999999996E-2</v>
      </c>
    </row>
    <row r="6040" spans="1:6" x14ac:dyDescent="0.3">
      <c r="A6040" t="s">
        <v>22</v>
      </c>
      <c r="B6040" s="1">
        <v>45909</v>
      </c>
      <c r="C6040">
        <v>16</v>
      </c>
      <c r="D6040">
        <v>3.661</v>
      </c>
      <c r="E6040" t="s">
        <v>23</v>
      </c>
      <c r="F6040">
        <v>7.0499999999999993E-2</v>
      </c>
    </row>
    <row r="6041" spans="1:6" x14ac:dyDescent="0.3">
      <c r="A6041" t="s">
        <v>22</v>
      </c>
      <c r="B6041" s="1">
        <v>45909</v>
      </c>
      <c r="C6041">
        <v>17</v>
      </c>
      <c r="D6041">
        <v>0.378</v>
      </c>
      <c r="E6041" t="s">
        <v>23</v>
      </c>
      <c r="F6041">
        <v>7.9129999999999992E-2</v>
      </c>
    </row>
    <row r="6042" spans="1:6" x14ac:dyDescent="0.3">
      <c r="A6042" t="s">
        <v>22</v>
      </c>
      <c r="B6042" s="1">
        <v>45909</v>
      </c>
      <c r="C6042">
        <v>18</v>
      </c>
      <c r="D6042">
        <v>0.224</v>
      </c>
      <c r="E6042" t="s">
        <v>23</v>
      </c>
      <c r="F6042">
        <v>9.5039999999999999E-2</v>
      </c>
    </row>
    <row r="6043" spans="1:6" x14ac:dyDescent="0.3">
      <c r="A6043" t="s">
        <v>22</v>
      </c>
      <c r="B6043" s="1">
        <v>45909</v>
      </c>
      <c r="C6043">
        <v>19</v>
      </c>
      <c r="D6043">
        <v>0.95299999999999996</v>
      </c>
      <c r="E6043" t="s">
        <v>23</v>
      </c>
      <c r="F6043">
        <v>0.19019</v>
      </c>
    </row>
    <row r="6044" spans="1:6" x14ac:dyDescent="0.3">
      <c r="A6044" t="s">
        <v>22</v>
      </c>
      <c r="B6044" s="1">
        <v>45909</v>
      </c>
      <c r="C6044">
        <v>20</v>
      </c>
      <c r="D6044">
        <v>0.66500000000000004</v>
      </c>
      <c r="E6044" t="s">
        <v>23</v>
      </c>
      <c r="F6044">
        <v>0.22408</v>
      </c>
    </row>
    <row r="6045" spans="1:6" x14ac:dyDescent="0.3">
      <c r="A6045" t="s">
        <v>22</v>
      </c>
      <c r="B6045" s="1">
        <v>45909</v>
      </c>
      <c r="C6045">
        <v>21</v>
      </c>
      <c r="D6045">
        <v>1.258</v>
      </c>
      <c r="E6045" t="s">
        <v>23</v>
      </c>
      <c r="F6045">
        <v>0.24465999999999999</v>
      </c>
    </row>
    <row r="6046" spans="1:6" x14ac:dyDescent="0.3">
      <c r="A6046" t="s">
        <v>22</v>
      </c>
      <c r="B6046" s="1">
        <v>45909</v>
      </c>
      <c r="C6046">
        <v>22</v>
      </c>
      <c r="D6046">
        <v>1.714</v>
      </c>
      <c r="E6046" t="s">
        <v>23</v>
      </c>
      <c r="F6046">
        <v>0.25358000000000003</v>
      </c>
    </row>
    <row r="6047" spans="1:6" x14ac:dyDescent="0.3">
      <c r="A6047" t="s">
        <v>22</v>
      </c>
      <c r="B6047" s="1">
        <v>45909</v>
      </c>
      <c r="C6047">
        <v>23</v>
      </c>
      <c r="D6047">
        <v>1.8240000000000001</v>
      </c>
      <c r="E6047" t="s">
        <v>23</v>
      </c>
      <c r="F6047">
        <v>0.17737</v>
      </c>
    </row>
    <row r="6048" spans="1:6" x14ac:dyDescent="0.3">
      <c r="A6048" t="s">
        <v>22</v>
      </c>
      <c r="B6048" s="1">
        <v>45909</v>
      </c>
      <c r="C6048">
        <v>24</v>
      </c>
      <c r="D6048">
        <v>0.52800000000000002</v>
      </c>
      <c r="E6048" t="s">
        <v>23</v>
      </c>
      <c r="F6048">
        <v>0.16525000000000001</v>
      </c>
    </row>
    <row r="6049" spans="1:6" x14ac:dyDescent="0.3">
      <c r="A6049" t="s">
        <v>22</v>
      </c>
      <c r="B6049" s="1">
        <v>45910</v>
      </c>
      <c r="C6049">
        <v>1</v>
      </c>
      <c r="D6049">
        <v>0.54800000000000004</v>
      </c>
      <c r="E6049" t="s">
        <v>23</v>
      </c>
      <c r="F6049">
        <v>0.14269999999999999</v>
      </c>
    </row>
    <row r="6050" spans="1:6" x14ac:dyDescent="0.3">
      <c r="A6050" t="s">
        <v>22</v>
      </c>
      <c r="B6050" s="1">
        <v>45910</v>
      </c>
      <c r="C6050">
        <v>2</v>
      </c>
      <c r="D6050">
        <v>0.432</v>
      </c>
      <c r="E6050" t="s">
        <v>23</v>
      </c>
      <c r="F6050">
        <v>0.13696</v>
      </c>
    </row>
    <row r="6051" spans="1:6" x14ac:dyDescent="0.3">
      <c r="A6051" t="s">
        <v>22</v>
      </c>
      <c r="B6051" s="1">
        <v>45910</v>
      </c>
      <c r="C6051">
        <v>3</v>
      </c>
      <c r="D6051">
        <v>0.48</v>
      </c>
      <c r="E6051" t="s">
        <v>23</v>
      </c>
      <c r="F6051">
        <v>0.14208999999999999</v>
      </c>
    </row>
    <row r="6052" spans="1:6" x14ac:dyDescent="0.3">
      <c r="A6052" t="s">
        <v>22</v>
      </c>
      <c r="B6052" s="1">
        <v>45910</v>
      </c>
      <c r="C6052">
        <v>4</v>
      </c>
      <c r="D6052">
        <v>0.439</v>
      </c>
      <c r="E6052" t="s">
        <v>23</v>
      </c>
      <c r="F6052">
        <v>0.13843</v>
      </c>
    </row>
    <row r="6053" spans="1:6" x14ac:dyDescent="0.3">
      <c r="A6053" t="s">
        <v>22</v>
      </c>
      <c r="B6053" s="1">
        <v>45910</v>
      </c>
      <c r="C6053">
        <v>5</v>
      </c>
      <c r="D6053">
        <v>0.44800000000000001</v>
      </c>
      <c r="E6053" t="s">
        <v>23</v>
      </c>
      <c r="F6053">
        <v>0.12665000000000001</v>
      </c>
    </row>
    <row r="6054" spans="1:6" x14ac:dyDescent="0.3">
      <c r="A6054" t="s">
        <v>22</v>
      </c>
      <c r="B6054" s="1">
        <v>45910</v>
      </c>
      <c r="C6054">
        <v>6</v>
      </c>
      <c r="D6054">
        <v>0.42199999999999999</v>
      </c>
      <c r="E6054" t="s">
        <v>23</v>
      </c>
      <c r="F6054">
        <v>0.11635</v>
      </c>
    </row>
    <row r="6055" spans="1:6" x14ac:dyDescent="0.3">
      <c r="A6055" t="s">
        <v>22</v>
      </c>
      <c r="B6055" s="1">
        <v>45910</v>
      </c>
      <c r="C6055">
        <v>7</v>
      </c>
      <c r="D6055">
        <v>0.50700000000000001</v>
      </c>
      <c r="E6055" t="s">
        <v>23</v>
      </c>
      <c r="F6055">
        <v>0.13174</v>
      </c>
    </row>
    <row r="6056" spans="1:6" x14ac:dyDescent="0.3">
      <c r="A6056" t="s">
        <v>22</v>
      </c>
      <c r="B6056" s="1">
        <v>45910</v>
      </c>
      <c r="C6056">
        <v>8</v>
      </c>
      <c r="D6056">
        <v>0.74299999999999999</v>
      </c>
      <c r="E6056" t="s">
        <v>23</v>
      </c>
      <c r="F6056">
        <v>0.13752</v>
      </c>
    </row>
    <row r="6057" spans="1:6" x14ac:dyDescent="0.3">
      <c r="A6057" t="s">
        <v>22</v>
      </c>
      <c r="B6057" s="1">
        <v>45910</v>
      </c>
      <c r="C6057">
        <v>9</v>
      </c>
      <c r="D6057">
        <v>0.54500000000000004</v>
      </c>
      <c r="E6057" t="s">
        <v>23</v>
      </c>
      <c r="F6057">
        <v>0.15128999999999998</v>
      </c>
    </row>
    <row r="6058" spans="1:6" x14ac:dyDescent="0.3">
      <c r="A6058" t="s">
        <v>22</v>
      </c>
      <c r="B6058" s="1">
        <v>45910</v>
      </c>
      <c r="C6058">
        <v>10</v>
      </c>
      <c r="D6058">
        <v>0</v>
      </c>
      <c r="E6058" t="s">
        <v>23</v>
      </c>
      <c r="F6058">
        <v>0.11840000000000001</v>
      </c>
    </row>
    <row r="6059" spans="1:6" x14ac:dyDescent="0.3">
      <c r="A6059" t="s">
        <v>22</v>
      </c>
      <c r="B6059" s="1">
        <v>45910</v>
      </c>
      <c r="C6059">
        <v>11</v>
      </c>
      <c r="D6059">
        <v>0</v>
      </c>
      <c r="E6059" t="s">
        <v>23</v>
      </c>
      <c r="F6059">
        <v>0.13975000000000001</v>
      </c>
    </row>
    <row r="6060" spans="1:6" x14ac:dyDescent="0.3">
      <c r="A6060" t="s">
        <v>22</v>
      </c>
      <c r="B6060" s="1">
        <v>45910</v>
      </c>
      <c r="C6060">
        <v>12</v>
      </c>
      <c r="D6060">
        <v>0</v>
      </c>
      <c r="E6060" t="s">
        <v>23</v>
      </c>
      <c r="F6060">
        <v>0.13269</v>
      </c>
    </row>
    <row r="6061" spans="1:6" x14ac:dyDescent="0.3">
      <c r="A6061" t="s">
        <v>22</v>
      </c>
      <c r="B6061" s="1">
        <v>45910</v>
      </c>
      <c r="C6061">
        <v>13</v>
      </c>
      <c r="D6061">
        <v>0</v>
      </c>
      <c r="E6061" t="s">
        <v>23</v>
      </c>
      <c r="F6061">
        <v>0.13266</v>
      </c>
    </row>
    <row r="6062" spans="1:6" x14ac:dyDescent="0.3">
      <c r="A6062" t="s">
        <v>22</v>
      </c>
      <c r="B6062" s="1">
        <v>45910</v>
      </c>
      <c r="C6062">
        <v>14</v>
      </c>
      <c r="D6062">
        <v>0</v>
      </c>
      <c r="E6062" t="s">
        <v>23</v>
      </c>
      <c r="F6062">
        <v>0.13003999999999999</v>
      </c>
    </row>
    <row r="6063" spans="1:6" x14ac:dyDescent="0.3">
      <c r="A6063" t="s">
        <v>22</v>
      </c>
      <c r="B6063" s="1">
        <v>45910</v>
      </c>
      <c r="C6063">
        <v>15</v>
      </c>
      <c r="D6063">
        <v>0</v>
      </c>
      <c r="E6063" t="s">
        <v>23</v>
      </c>
      <c r="F6063">
        <v>6.5120000000000011E-2</v>
      </c>
    </row>
    <row r="6064" spans="1:6" x14ac:dyDescent="0.3">
      <c r="A6064" t="s">
        <v>22</v>
      </c>
      <c r="B6064" s="1">
        <v>45910</v>
      </c>
      <c r="C6064">
        <v>16</v>
      </c>
      <c r="D6064">
        <v>0</v>
      </c>
      <c r="E6064" t="s">
        <v>23</v>
      </c>
      <c r="F6064">
        <v>6.5590000000000009E-2</v>
      </c>
    </row>
    <row r="6065" spans="1:6" x14ac:dyDescent="0.3">
      <c r="A6065" t="s">
        <v>22</v>
      </c>
      <c r="B6065" s="1">
        <v>45910</v>
      </c>
      <c r="C6065">
        <v>17</v>
      </c>
      <c r="D6065">
        <v>0</v>
      </c>
      <c r="E6065" t="s">
        <v>23</v>
      </c>
      <c r="F6065">
        <v>6.5659999999999996E-2</v>
      </c>
    </row>
    <row r="6066" spans="1:6" x14ac:dyDescent="0.3">
      <c r="A6066" t="s">
        <v>22</v>
      </c>
      <c r="B6066" s="1">
        <v>45910</v>
      </c>
      <c r="C6066">
        <v>18</v>
      </c>
      <c r="D6066">
        <v>3.17</v>
      </c>
      <c r="E6066" t="s">
        <v>23</v>
      </c>
      <c r="F6066">
        <v>7.084E-2</v>
      </c>
    </row>
    <row r="6067" spans="1:6" x14ac:dyDescent="0.3">
      <c r="A6067" t="s">
        <v>22</v>
      </c>
      <c r="B6067" s="1">
        <v>45910</v>
      </c>
      <c r="C6067">
        <v>19</v>
      </c>
      <c r="D6067">
        <v>3.141</v>
      </c>
      <c r="E6067" t="s">
        <v>23</v>
      </c>
      <c r="F6067">
        <v>0.15790000000000001</v>
      </c>
    </row>
    <row r="6068" spans="1:6" x14ac:dyDescent="0.3">
      <c r="A6068" t="s">
        <v>22</v>
      </c>
      <c r="B6068" s="1">
        <v>45910</v>
      </c>
      <c r="C6068">
        <v>20</v>
      </c>
      <c r="D6068">
        <v>1.4330000000000001</v>
      </c>
      <c r="E6068" t="s">
        <v>23</v>
      </c>
      <c r="F6068">
        <v>0.20091999999999999</v>
      </c>
    </row>
    <row r="6069" spans="1:6" x14ac:dyDescent="0.3">
      <c r="A6069" t="s">
        <v>22</v>
      </c>
      <c r="B6069" s="1">
        <v>45910</v>
      </c>
      <c r="C6069">
        <v>21</v>
      </c>
      <c r="D6069">
        <v>0.27700000000000002</v>
      </c>
      <c r="E6069" t="s">
        <v>23</v>
      </c>
      <c r="F6069">
        <v>0.23821000000000001</v>
      </c>
    </row>
    <row r="6070" spans="1:6" x14ac:dyDescent="0.3">
      <c r="A6070" t="s">
        <v>22</v>
      </c>
      <c r="B6070" s="1">
        <v>45910</v>
      </c>
      <c r="C6070">
        <v>22</v>
      </c>
      <c r="D6070">
        <v>0.184</v>
      </c>
      <c r="E6070" t="s">
        <v>23</v>
      </c>
      <c r="F6070">
        <v>0.24812000000000001</v>
      </c>
    </row>
    <row r="6071" spans="1:6" x14ac:dyDescent="0.3">
      <c r="A6071" t="s">
        <v>22</v>
      </c>
      <c r="B6071" s="1">
        <v>45910</v>
      </c>
      <c r="C6071">
        <v>23</v>
      </c>
      <c r="D6071">
        <v>0.29099999999999998</v>
      </c>
      <c r="E6071" t="s">
        <v>23</v>
      </c>
      <c r="F6071">
        <v>0.17510000000000001</v>
      </c>
    </row>
    <row r="6072" spans="1:6" x14ac:dyDescent="0.3">
      <c r="A6072" t="s">
        <v>22</v>
      </c>
      <c r="B6072" s="1">
        <v>45910</v>
      </c>
      <c r="C6072">
        <v>24</v>
      </c>
      <c r="D6072">
        <v>0.184</v>
      </c>
      <c r="E6072" t="s">
        <v>23</v>
      </c>
      <c r="F6072">
        <v>0.16415000000000002</v>
      </c>
    </row>
    <row r="6073" spans="1:6" x14ac:dyDescent="0.3">
      <c r="A6073" t="s">
        <v>22</v>
      </c>
      <c r="B6073" s="1">
        <v>45911</v>
      </c>
      <c r="C6073">
        <v>1</v>
      </c>
      <c r="D6073">
        <v>0.214</v>
      </c>
      <c r="E6073" t="s">
        <v>23</v>
      </c>
      <c r="F6073">
        <v>0.13456000000000001</v>
      </c>
    </row>
    <row r="6074" spans="1:6" x14ac:dyDescent="0.3">
      <c r="A6074" t="s">
        <v>22</v>
      </c>
      <c r="B6074" s="1">
        <v>45911</v>
      </c>
      <c r="C6074">
        <v>2</v>
      </c>
      <c r="D6074">
        <v>0.124</v>
      </c>
      <c r="E6074" t="s">
        <v>23</v>
      </c>
      <c r="F6074">
        <v>0.12831999999999999</v>
      </c>
    </row>
    <row r="6075" spans="1:6" x14ac:dyDescent="0.3">
      <c r="A6075" t="s">
        <v>22</v>
      </c>
      <c r="B6075" s="1">
        <v>45911</v>
      </c>
      <c r="C6075">
        <v>3</v>
      </c>
      <c r="D6075">
        <v>0.14899999999999999</v>
      </c>
      <c r="E6075" t="s">
        <v>23</v>
      </c>
      <c r="F6075">
        <v>0.11683</v>
      </c>
    </row>
    <row r="6076" spans="1:6" x14ac:dyDescent="0.3">
      <c r="A6076" t="s">
        <v>22</v>
      </c>
      <c r="B6076" s="1">
        <v>45911</v>
      </c>
      <c r="C6076">
        <v>4</v>
      </c>
      <c r="D6076">
        <v>0.152</v>
      </c>
      <c r="E6076" t="s">
        <v>23</v>
      </c>
      <c r="F6076">
        <v>0.11434999999999999</v>
      </c>
    </row>
    <row r="6077" spans="1:6" x14ac:dyDescent="0.3">
      <c r="A6077" t="s">
        <v>22</v>
      </c>
      <c r="B6077" s="1">
        <v>45911</v>
      </c>
      <c r="C6077">
        <v>5</v>
      </c>
      <c r="D6077">
        <v>0.126</v>
      </c>
      <c r="E6077" t="s">
        <v>23</v>
      </c>
      <c r="F6077">
        <v>0.11720999999999999</v>
      </c>
    </row>
    <row r="6078" spans="1:6" x14ac:dyDescent="0.3">
      <c r="A6078" t="s">
        <v>22</v>
      </c>
      <c r="B6078" s="1">
        <v>45911</v>
      </c>
      <c r="C6078">
        <v>6</v>
      </c>
      <c r="D6078">
        <v>0.17499999999999999</v>
      </c>
      <c r="E6078" t="s">
        <v>23</v>
      </c>
      <c r="F6078">
        <v>0.12112000000000001</v>
      </c>
    </row>
    <row r="6079" spans="1:6" x14ac:dyDescent="0.3">
      <c r="A6079" t="s">
        <v>22</v>
      </c>
      <c r="B6079" s="1">
        <v>45911</v>
      </c>
      <c r="C6079">
        <v>7</v>
      </c>
      <c r="D6079">
        <v>0.11</v>
      </c>
      <c r="E6079" t="s">
        <v>23</v>
      </c>
      <c r="F6079">
        <v>0.12803</v>
      </c>
    </row>
    <row r="6080" spans="1:6" x14ac:dyDescent="0.3">
      <c r="A6080" t="s">
        <v>22</v>
      </c>
      <c r="B6080" s="1">
        <v>45911</v>
      </c>
      <c r="C6080">
        <v>8</v>
      </c>
      <c r="D6080">
        <v>0.17799999999999999</v>
      </c>
      <c r="E6080" t="s">
        <v>23</v>
      </c>
      <c r="F6080">
        <v>0.14455000000000001</v>
      </c>
    </row>
    <row r="6081" spans="1:6" x14ac:dyDescent="0.3">
      <c r="A6081" t="s">
        <v>22</v>
      </c>
      <c r="B6081" s="1">
        <v>45911</v>
      </c>
      <c r="C6081">
        <v>9</v>
      </c>
      <c r="D6081">
        <v>0</v>
      </c>
      <c r="E6081" t="s">
        <v>23</v>
      </c>
      <c r="F6081">
        <v>0.16059000000000001</v>
      </c>
    </row>
    <row r="6082" spans="1:6" x14ac:dyDescent="0.3">
      <c r="A6082" t="s">
        <v>22</v>
      </c>
      <c r="B6082" s="1">
        <v>45911</v>
      </c>
      <c r="C6082">
        <v>10</v>
      </c>
      <c r="D6082">
        <v>1.1100000000000001</v>
      </c>
      <c r="E6082" t="s">
        <v>23</v>
      </c>
      <c r="F6082">
        <v>0.11427</v>
      </c>
    </row>
    <row r="6083" spans="1:6" x14ac:dyDescent="0.3">
      <c r="A6083" t="s">
        <v>22</v>
      </c>
      <c r="B6083" s="1">
        <v>45911</v>
      </c>
      <c r="C6083">
        <v>11</v>
      </c>
      <c r="D6083">
        <v>0.94799999999999995</v>
      </c>
      <c r="E6083" t="s">
        <v>23</v>
      </c>
      <c r="F6083">
        <v>0.12608</v>
      </c>
    </row>
    <row r="6084" spans="1:6" x14ac:dyDescent="0.3">
      <c r="A6084" t="s">
        <v>22</v>
      </c>
      <c r="B6084" s="1">
        <v>45911</v>
      </c>
      <c r="C6084">
        <v>12</v>
      </c>
      <c r="D6084">
        <v>0</v>
      </c>
      <c r="E6084" t="s">
        <v>23</v>
      </c>
      <c r="F6084">
        <v>0.12618000000000001</v>
      </c>
    </row>
    <row r="6085" spans="1:6" x14ac:dyDescent="0.3">
      <c r="A6085" t="s">
        <v>22</v>
      </c>
      <c r="B6085" s="1">
        <v>45911</v>
      </c>
      <c r="C6085">
        <v>13</v>
      </c>
      <c r="D6085">
        <v>0.12</v>
      </c>
      <c r="E6085" t="s">
        <v>23</v>
      </c>
      <c r="F6085">
        <v>0.12709999999999999</v>
      </c>
    </row>
    <row r="6086" spans="1:6" x14ac:dyDescent="0.3">
      <c r="A6086" t="s">
        <v>22</v>
      </c>
      <c r="B6086" s="1">
        <v>45911</v>
      </c>
      <c r="C6086">
        <v>14</v>
      </c>
      <c r="D6086">
        <v>0</v>
      </c>
      <c r="E6086" t="s">
        <v>23</v>
      </c>
      <c r="F6086">
        <v>0.12415999999999999</v>
      </c>
    </row>
    <row r="6087" spans="1:6" x14ac:dyDescent="0.3">
      <c r="A6087" t="s">
        <v>22</v>
      </c>
      <c r="B6087" s="1">
        <v>45911</v>
      </c>
      <c r="C6087">
        <v>15</v>
      </c>
      <c r="D6087">
        <v>0</v>
      </c>
      <c r="E6087" t="s">
        <v>23</v>
      </c>
      <c r="F6087">
        <v>5.901E-2</v>
      </c>
    </row>
    <row r="6088" spans="1:6" x14ac:dyDescent="0.3">
      <c r="A6088" t="s">
        <v>22</v>
      </c>
      <c r="B6088" s="1">
        <v>45911</v>
      </c>
      <c r="C6088">
        <v>16</v>
      </c>
      <c r="D6088">
        <v>0</v>
      </c>
      <c r="E6088" t="s">
        <v>23</v>
      </c>
      <c r="F6088">
        <v>5.9270000000000003E-2</v>
      </c>
    </row>
    <row r="6089" spans="1:6" x14ac:dyDescent="0.3">
      <c r="A6089" t="s">
        <v>22</v>
      </c>
      <c r="B6089" s="1">
        <v>45911</v>
      </c>
      <c r="C6089">
        <v>17</v>
      </c>
      <c r="D6089">
        <v>0</v>
      </c>
      <c r="E6089" t="s">
        <v>23</v>
      </c>
      <c r="F6089">
        <v>6.1850000000000002E-2</v>
      </c>
    </row>
    <row r="6090" spans="1:6" x14ac:dyDescent="0.3">
      <c r="A6090" t="s">
        <v>22</v>
      </c>
      <c r="B6090" s="1">
        <v>45911</v>
      </c>
      <c r="C6090">
        <v>18</v>
      </c>
      <c r="D6090">
        <v>0</v>
      </c>
      <c r="E6090" t="s">
        <v>23</v>
      </c>
      <c r="F6090">
        <v>6.1780000000000002E-2</v>
      </c>
    </row>
    <row r="6091" spans="1:6" x14ac:dyDescent="0.3">
      <c r="A6091" t="s">
        <v>22</v>
      </c>
      <c r="B6091" s="1">
        <v>45911</v>
      </c>
      <c r="C6091">
        <v>19</v>
      </c>
      <c r="D6091">
        <v>0</v>
      </c>
      <c r="E6091" t="s">
        <v>23</v>
      </c>
      <c r="F6091">
        <v>0.13954</v>
      </c>
    </row>
    <row r="6092" spans="1:6" x14ac:dyDescent="0.3">
      <c r="A6092" t="s">
        <v>22</v>
      </c>
      <c r="B6092" s="1">
        <v>45911</v>
      </c>
      <c r="C6092">
        <v>20</v>
      </c>
      <c r="D6092">
        <v>0.39400000000000002</v>
      </c>
      <c r="E6092" t="s">
        <v>23</v>
      </c>
      <c r="F6092">
        <v>0.22602</v>
      </c>
    </row>
    <row r="6093" spans="1:6" x14ac:dyDescent="0.3">
      <c r="A6093" t="s">
        <v>22</v>
      </c>
      <c r="B6093" s="1">
        <v>45911</v>
      </c>
      <c r="C6093">
        <v>21</v>
      </c>
      <c r="D6093">
        <v>0.499</v>
      </c>
      <c r="E6093" t="s">
        <v>23</v>
      </c>
      <c r="F6093">
        <v>0.24450999999999998</v>
      </c>
    </row>
    <row r="6094" spans="1:6" x14ac:dyDescent="0.3">
      <c r="A6094" t="s">
        <v>22</v>
      </c>
      <c r="B6094" s="1">
        <v>45911</v>
      </c>
      <c r="C6094">
        <v>22</v>
      </c>
      <c r="D6094">
        <v>0.68</v>
      </c>
      <c r="E6094" t="s">
        <v>23</v>
      </c>
      <c r="F6094">
        <v>0.28323999999999999</v>
      </c>
    </row>
    <row r="6095" spans="1:6" x14ac:dyDescent="0.3">
      <c r="A6095" t="s">
        <v>22</v>
      </c>
      <c r="B6095" s="1">
        <v>45911</v>
      </c>
      <c r="C6095">
        <v>23</v>
      </c>
      <c r="D6095">
        <v>0.40100000000000002</v>
      </c>
      <c r="E6095" t="s">
        <v>23</v>
      </c>
      <c r="F6095">
        <v>0.18753</v>
      </c>
    </row>
    <row r="6096" spans="1:6" x14ac:dyDescent="0.3">
      <c r="A6096" t="s">
        <v>22</v>
      </c>
      <c r="B6096" s="1">
        <v>45911</v>
      </c>
      <c r="C6096">
        <v>24</v>
      </c>
      <c r="D6096">
        <v>0.307</v>
      </c>
      <c r="E6096" t="s">
        <v>23</v>
      </c>
      <c r="F6096">
        <v>0.17786000000000002</v>
      </c>
    </row>
    <row r="6097" spans="1:6" x14ac:dyDescent="0.3">
      <c r="A6097" t="s">
        <v>22</v>
      </c>
      <c r="B6097" s="1">
        <v>45912</v>
      </c>
      <c r="C6097">
        <v>1</v>
      </c>
      <c r="D6097">
        <v>0.26600000000000001</v>
      </c>
      <c r="E6097" t="s">
        <v>23</v>
      </c>
      <c r="F6097">
        <v>0.14460000000000001</v>
      </c>
    </row>
    <row r="6098" spans="1:6" x14ac:dyDescent="0.3">
      <c r="A6098" t="s">
        <v>22</v>
      </c>
      <c r="B6098" s="1">
        <v>45912</v>
      </c>
      <c r="C6098">
        <v>2</v>
      </c>
      <c r="D6098">
        <v>0.186</v>
      </c>
      <c r="E6098" t="s">
        <v>23</v>
      </c>
      <c r="F6098">
        <v>0.13381000000000001</v>
      </c>
    </row>
    <row r="6099" spans="1:6" x14ac:dyDescent="0.3">
      <c r="A6099" t="s">
        <v>22</v>
      </c>
      <c r="B6099" s="1">
        <v>45912</v>
      </c>
      <c r="C6099">
        <v>3</v>
      </c>
      <c r="D6099">
        <v>0.157</v>
      </c>
      <c r="E6099" t="s">
        <v>23</v>
      </c>
      <c r="F6099">
        <v>0.14227999999999999</v>
      </c>
    </row>
    <row r="6100" spans="1:6" x14ac:dyDescent="0.3">
      <c r="A6100" t="s">
        <v>22</v>
      </c>
      <c r="B6100" s="1">
        <v>45912</v>
      </c>
      <c r="C6100">
        <v>4</v>
      </c>
      <c r="D6100">
        <v>0.21099999999999999</v>
      </c>
      <c r="E6100" t="s">
        <v>23</v>
      </c>
      <c r="F6100">
        <v>0.1389</v>
      </c>
    </row>
    <row r="6101" spans="1:6" x14ac:dyDescent="0.3">
      <c r="A6101" t="s">
        <v>22</v>
      </c>
      <c r="B6101" s="1">
        <v>45912</v>
      </c>
      <c r="C6101">
        <v>5</v>
      </c>
      <c r="D6101">
        <v>0.14699999999999999</v>
      </c>
      <c r="E6101" t="s">
        <v>23</v>
      </c>
      <c r="F6101">
        <v>0.13883000000000001</v>
      </c>
    </row>
    <row r="6102" spans="1:6" x14ac:dyDescent="0.3">
      <c r="A6102" t="s">
        <v>22</v>
      </c>
      <c r="B6102" s="1">
        <v>45912</v>
      </c>
      <c r="C6102">
        <v>6</v>
      </c>
      <c r="D6102">
        <v>0.17199999999999999</v>
      </c>
      <c r="E6102" t="s">
        <v>23</v>
      </c>
      <c r="F6102">
        <v>0.1406</v>
      </c>
    </row>
    <row r="6103" spans="1:6" x14ac:dyDescent="0.3">
      <c r="A6103" t="s">
        <v>22</v>
      </c>
      <c r="B6103" s="1">
        <v>45912</v>
      </c>
      <c r="C6103">
        <v>7</v>
      </c>
      <c r="D6103">
        <v>0.26400000000000001</v>
      </c>
      <c r="E6103" t="s">
        <v>23</v>
      </c>
      <c r="F6103">
        <v>0.14463000000000001</v>
      </c>
    </row>
    <row r="6104" spans="1:6" x14ac:dyDescent="0.3">
      <c r="A6104" t="s">
        <v>22</v>
      </c>
      <c r="B6104" s="1">
        <v>45912</v>
      </c>
      <c r="C6104">
        <v>8</v>
      </c>
      <c r="D6104">
        <v>1.0860000000000001</v>
      </c>
      <c r="E6104" t="s">
        <v>23</v>
      </c>
      <c r="F6104">
        <v>0.18452000000000002</v>
      </c>
    </row>
    <row r="6105" spans="1:6" x14ac:dyDescent="0.3">
      <c r="A6105" t="s">
        <v>22</v>
      </c>
      <c r="B6105" s="1">
        <v>45912</v>
      </c>
      <c r="C6105">
        <v>9</v>
      </c>
      <c r="D6105">
        <v>0.438</v>
      </c>
      <c r="E6105" t="s">
        <v>23</v>
      </c>
      <c r="F6105">
        <v>0.17912</v>
      </c>
    </row>
    <row r="6106" spans="1:6" x14ac:dyDescent="0.3">
      <c r="A6106" t="s">
        <v>22</v>
      </c>
      <c r="B6106" s="1">
        <v>45912</v>
      </c>
      <c r="C6106">
        <v>10</v>
      </c>
      <c r="D6106">
        <v>0.79500000000000004</v>
      </c>
      <c r="E6106" t="s">
        <v>23</v>
      </c>
      <c r="F6106">
        <v>0.15243000000000001</v>
      </c>
    </row>
    <row r="6107" spans="1:6" x14ac:dyDescent="0.3">
      <c r="A6107" t="s">
        <v>22</v>
      </c>
      <c r="B6107" s="1">
        <v>45912</v>
      </c>
      <c r="C6107">
        <v>11</v>
      </c>
      <c r="D6107">
        <v>0</v>
      </c>
      <c r="E6107" t="s">
        <v>23</v>
      </c>
      <c r="F6107">
        <v>0.18465999999999999</v>
      </c>
    </row>
    <row r="6108" spans="1:6" x14ac:dyDescent="0.3">
      <c r="A6108" t="s">
        <v>22</v>
      </c>
      <c r="B6108" s="1">
        <v>45912</v>
      </c>
      <c r="C6108">
        <v>12</v>
      </c>
      <c r="D6108">
        <v>0</v>
      </c>
      <c r="E6108" t="s">
        <v>23</v>
      </c>
      <c r="F6108">
        <v>0.13966999999999999</v>
      </c>
    </row>
    <row r="6109" spans="1:6" x14ac:dyDescent="0.3">
      <c r="A6109" t="s">
        <v>22</v>
      </c>
      <c r="B6109" s="1">
        <v>45912</v>
      </c>
      <c r="C6109">
        <v>13</v>
      </c>
      <c r="D6109">
        <v>0.69</v>
      </c>
      <c r="E6109" t="s">
        <v>23</v>
      </c>
      <c r="F6109">
        <v>0.12343000000000001</v>
      </c>
    </row>
    <row r="6110" spans="1:6" x14ac:dyDescent="0.3">
      <c r="A6110" t="s">
        <v>22</v>
      </c>
      <c r="B6110" s="1">
        <v>45912</v>
      </c>
      <c r="C6110">
        <v>14</v>
      </c>
      <c r="D6110">
        <v>0</v>
      </c>
      <c r="E6110" t="s">
        <v>23</v>
      </c>
      <c r="F6110">
        <v>0.11593000000000001</v>
      </c>
    </row>
    <row r="6111" spans="1:6" x14ac:dyDescent="0.3">
      <c r="A6111" t="s">
        <v>22</v>
      </c>
      <c r="B6111" s="1">
        <v>45912</v>
      </c>
      <c r="C6111">
        <v>15</v>
      </c>
      <c r="D6111">
        <v>1.272</v>
      </c>
      <c r="E6111" t="s">
        <v>23</v>
      </c>
      <c r="F6111">
        <v>4.9630000000000001E-2</v>
      </c>
    </row>
    <row r="6112" spans="1:6" x14ac:dyDescent="0.3">
      <c r="A6112" t="s">
        <v>22</v>
      </c>
      <c r="B6112" s="1">
        <v>45912</v>
      </c>
      <c r="C6112">
        <v>16</v>
      </c>
      <c r="D6112">
        <v>2.548</v>
      </c>
      <c r="E6112" t="s">
        <v>23</v>
      </c>
      <c r="F6112">
        <v>4.9189999999999998E-2</v>
      </c>
    </row>
    <row r="6113" spans="1:6" x14ac:dyDescent="0.3">
      <c r="A6113" t="s">
        <v>22</v>
      </c>
      <c r="B6113" s="1">
        <v>45912</v>
      </c>
      <c r="C6113">
        <v>17</v>
      </c>
      <c r="D6113">
        <v>0.58299999999999996</v>
      </c>
      <c r="E6113" t="s">
        <v>23</v>
      </c>
      <c r="F6113">
        <v>5.3259999999999995E-2</v>
      </c>
    </row>
    <row r="6114" spans="1:6" x14ac:dyDescent="0.3">
      <c r="A6114" t="s">
        <v>22</v>
      </c>
      <c r="B6114" s="1">
        <v>45912</v>
      </c>
      <c r="C6114">
        <v>18</v>
      </c>
      <c r="D6114">
        <v>0.29899999999999999</v>
      </c>
      <c r="E6114" t="s">
        <v>23</v>
      </c>
      <c r="F6114">
        <v>7.3520000000000002E-2</v>
      </c>
    </row>
    <row r="6115" spans="1:6" x14ac:dyDescent="0.3">
      <c r="A6115" t="s">
        <v>22</v>
      </c>
      <c r="B6115" s="1">
        <v>45912</v>
      </c>
      <c r="C6115">
        <v>19</v>
      </c>
      <c r="D6115">
        <v>0.216</v>
      </c>
      <c r="E6115" t="s">
        <v>23</v>
      </c>
      <c r="F6115">
        <v>0.17083999999999999</v>
      </c>
    </row>
    <row r="6116" spans="1:6" x14ac:dyDescent="0.3">
      <c r="A6116" t="s">
        <v>22</v>
      </c>
      <c r="B6116" s="1">
        <v>45912</v>
      </c>
      <c r="C6116">
        <v>20</v>
      </c>
      <c r="D6116">
        <v>0.29299999999999998</v>
      </c>
      <c r="E6116" t="s">
        <v>23</v>
      </c>
      <c r="F6116">
        <v>0.24537</v>
      </c>
    </row>
    <row r="6117" spans="1:6" x14ac:dyDescent="0.3">
      <c r="A6117" t="s">
        <v>22</v>
      </c>
      <c r="B6117" s="1">
        <v>45912</v>
      </c>
      <c r="C6117">
        <v>21</v>
      </c>
      <c r="D6117">
        <v>0.61399999999999999</v>
      </c>
      <c r="E6117" t="s">
        <v>23</v>
      </c>
      <c r="F6117">
        <v>0.25547999999999998</v>
      </c>
    </row>
    <row r="6118" spans="1:6" x14ac:dyDescent="0.3">
      <c r="A6118" t="s">
        <v>22</v>
      </c>
      <c r="B6118" s="1">
        <v>45912</v>
      </c>
      <c r="C6118">
        <v>22</v>
      </c>
      <c r="D6118">
        <v>0.22800000000000001</v>
      </c>
      <c r="E6118" t="s">
        <v>23</v>
      </c>
      <c r="F6118">
        <v>0.27595999999999998</v>
      </c>
    </row>
    <row r="6119" spans="1:6" x14ac:dyDescent="0.3">
      <c r="A6119" t="s">
        <v>22</v>
      </c>
      <c r="B6119" s="1">
        <v>45912</v>
      </c>
      <c r="C6119">
        <v>23</v>
      </c>
      <c r="D6119">
        <v>0.24199999999999999</v>
      </c>
      <c r="E6119" t="s">
        <v>23</v>
      </c>
      <c r="F6119">
        <v>0.16864999999999999</v>
      </c>
    </row>
    <row r="6120" spans="1:6" x14ac:dyDescent="0.3">
      <c r="A6120" t="s">
        <v>22</v>
      </c>
      <c r="B6120" s="1">
        <v>45912</v>
      </c>
      <c r="C6120">
        <v>24</v>
      </c>
      <c r="D6120">
        <v>0.318</v>
      </c>
      <c r="E6120" t="s">
        <v>23</v>
      </c>
      <c r="F6120">
        <v>0.16109999999999999</v>
      </c>
    </row>
    <row r="6121" spans="1:6" x14ac:dyDescent="0.3">
      <c r="A6121" t="s">
        <v>22</v>
      </c>
      <c r="B6121" s="1">
        <v>45913</v>
      </c>
      <c r="C6121">
        <v>1</v>
      </c>
      <c r="D6121">
        <v>0.25600000000000001</v>
      </c>
      <c r="E6121" t="s">
        <v>23</v>
      </c>
      <c r="F6121">
        <v>0.14787</v>
      </c>
    </row>
    <row r="6122" spans="1:6" x14ac:dyDescent="0.3">
      <c r="A6122" t="s">
        <v>22</v>
      </c>
      <c r="B6122" s="1">
        <v>45913</v>
      </c>
      <c r="C6122">
        <v>2</v>
      </c>
      <c r="D6122">
        <v>0.191</v>
      </c>
      <c r="E6122" t="s">
        <v>23</v>
      </c>
      <c r="F6122">
        <v>0.14595</v>
      </c>
    </row>
    <row r="6123" spans="1:6" x14ac:dyDescent="0.3">
      <c r="A6123" t="s">
        <v>22</v>
      </c>
      <c r="B6123" s="1">
        <v>45913</v>
      </c>
      <c r="C6123">
        <v>3</v>
      </c>
      <c r="D6123">
        <v>0.13100000000000001</v>
      </c>
      <c r="E6123" t="s">
        <v>23</v>
      </c>
      <c r="F6123">
        <v>0.15140999999999999</v>
      </c>
    </row>
    <row r="6124" spans="1:6" x14ac:dyDescent="0.3">
      <c r="A6124" t="s">
        <v>22</v>
      </c>
      <c r="B6124" s="1">
        <v>45913</v>
      </c>
      <c r="C6124">
        <v>4</v>
      </c>
      <c r="D6124">
        <v>0.54</v>
      </c>
      <c r="E6124" t="s">
        <v>23</v>
      </c>
      <c r="F6124">
        <v>0.14846000000000001</v>
      </c>
    </row>
    <row r="6125" spans="1:6" x14ac:dyDescent="0.3">
      <c r="A6125" t="s">
        <v>22</v>
      </c>
      <c r="B6125" s="1">
        <v>45913</v>
      </c>
      <c r="C6125">
        <v>5</v>
      </c>
      <c r="D6125">
        <v>1.0369999999999999</v>
      </c>
      <c r="E6125" t="s">
        <v>23</v>
      </c>
      <c r="F6125">
        <v>0.14724000000000001</v>
      </c>
    </row>
    <row r="6126" spans="1:6" x14ac:dyDescent="0.3">
      <c r="A6126" t="s">
        <v>22</v>
      </c>
      <c r="B6126" s="1">
        <v>45913</v>
      </c>
      <c r="C6126">
        <v>6</v>
      </c>
      <c r="D6126">
        <v>0.11899999999999999</v>
      </c>
      <c r="E6126" t="s">
        <v>23</v>
      </c>
      <c r="F6126">
        <v>0.14255999999999999</v>
      </c>
    </row>
    <row r="6127" spans="1:6" x14ac:dyDescent="0.3">
      <c r="A6127" t="s">
        <v>22</v>
      </c>
      <c r="B6127" s="1">
        <v>45913</v>
      </c>
      <c r="C6127">
        <v>7</v>
      </c>
      <c r="D6127">
        <v>0.16300000000000001</v>
      </c>
      <c r="E6127" t="s">
        <v>23</v>
      </c>
      <c r="F6127">
        <v>0.14388000000000001</v>
      </c>
    </row>
    <row r="6128" spans="1:6" x14ac:dyDescent="0.3">
      <c r="A6128" t="s">
        <v>22</v>
      </c>
      <c r="B6128" s="1">
        <v>45913</v>
      </c>
      <c r="C6128">
        <v>8</v>
      </c>
      <c r="D6128">
        <v>9.0999999999999998E-2</v>
      </c>
      <c r="E6128" t="s">
        <v>23</v>
      </c>
      <c r="F6128">
        <v>0.14887999999999998</v>
      </c>
    </row>
    <row r="6129" spans="1:6" x14ac:dyDescent="0.3">
      <c r="A6129" t="s">
        <v>22</v>
      </c>
      <c r="B6129" s="1">
        <v>45913</v>
      </c>
      <c r="C6129">
        <v>9</v>
      </c>
      <c r="D6129">
        <v>0.17799999999999999</v>
      </c>
      <c r="E6129" t="s">
        <v>23</v>
      </c>
      <c r="F6129">
        <v>0.14371</v>
      </c>
    </row>
    <row r="6130" spans="1:6" x14ac:dyDescent="0.3">
      <c r="A6130" t="s">
        <v>22</v>
      </c>
      <c r="B6130" s="1">
        <v>45913</v>
      </c>
      <c r="C6130">
        <v>10</v>
      </c>
      <c r="D6130">
        <v>1.0049999999999999</v>
      </c>
      <c r="E6130" t="s">
        <v>23</v>
      </c>
      <c r="F6130">
        <v>0.11159999999999999</v>
      </c>
    </row>
    <row r="6131" spans="1:6" x14ac:dyDescent="0.3">
      <c r="A6131" t="s">
        <v>22</v>
      </c>
      <c r="B6131" s="1">
        <v>45913</v>
      </c>
      <c r="C6131">
        <v>11</v>
      </c>
      <c r="D6131">
        <v>0.85899999999999999</v>
      </c>
      <c r="E6131" t="s">
        <v>23</v>
      </c>
      <c r="F6131">
        <v>4.8320000000000002E-2</v>
      </c>
    </row>
    <row r="6132" spans="1:6" x14ac:dyDescent="0.3">
      <c r="A6132" t="s">
        <v>22</v>
      </c>
      <c r="B6132" s="1">
        <v>45913</v>
      </c>
      <c r="C6132">
        <v>12</v>
      </c>
      <c r="D6132">
        <v>0.52</v>
      </c>
      <c r="E6132" t="s">
        <v>23</v>
      </c>
      <c r="F6132">
        <v>4.2020000000000002E-2</v>
      </c>
    </row>
    <row r="6133" spans="1:6" x14ac:dyDescent="0.3">
      <c r="A6133" t="s">
        <v>22</v>
      </c>
      <c r="B6133" s="1">
        <v>45913</v>
      </c>
      <c r="C6133">
        <v>13</v>
      </c>
      <c r="D6133">
        <v>0</v>
      </c>
      <c r="E6133" t="s">
        <v>23</v>
      </c>
      <c r="F6133">
        <v>3.9009999999999996E-2</v>
      </c>
    </row>
    <row r="6134" spans="1:6" x14ac:dyDescent="0.3">
      <c r="A6134" t="s">
        <v>22</v>
      </c>
      <c r="B6134" s="1">
        <v>45913</v>
      </c>
      <c r="C6134">
        <v>14</v>
      </c>
      <c r="D6134">
        <v>0</v>
      </c>
      <c r="E6134" t="s">
        <v>23</v>
      </c>
      <c r="F6134">
        <v>3.8840000000000006E-2</v>
      </c>
    </row>
    <row r="6135" spans="1:6" x14ac:dyDescent="0.3">
      <c r="A6135" t="s">
        <v>22</v>
      </c>
      <c r="B6135" s="1">
        <v>45913</v>
      </c>
      <c r="C6135">
        <v>15</v>
      </c>
      <c r="D6135">
        <v>0</v>
      </c>
      <c r="E6135" t="s">
        <v>23</v>
      </c>
      <c r="F6135">
        <v>3.8810000000000004E-2</v>
      </c>
    </row>
    <row r="6136" spans="1:6" x14ac:dyDescent="0.3">
      <c r="A6136" t="s">
        <v>22</v>
      </c>
      <c r="B6136" s="1">
        <v>45913</v>
      </c>
      <c r="C6136">
        <v>16</v>
      </c>
      <c r="D6136">
        <v>0</v>
      </c>
      <c r="E6136" t="s">
        <v>23</v>
      </c>
      <c r="F6136">
        <v>3.8850000000000003E-2</v>
      </c>
    </row>
    <row r="6137" spans="1:6" x14ac:dyDescent="0.3">
      <c r="A6137" t="s">
        <v>22</v>
      </c>
      <c r="B6137" s="1">
        <v>45913</v>
      </c>
      <c r="C6137">
        <v>17</v>
      </c>
      <c r="D6137">
        <v>0</v>
      </c>
      <c r="E6137" t="s">
        <v>23</v>
      </c>
      <c r="F6137">
        <v>3.9780000000000003E-2</v>
      </c>
    </row>
    <row r="6138" spans="1:6" x14ac:dyDescent="0.3">
      <c r="A6138" t="s">
        <v>22</v>
      </c>
      <c r="B6138" s="1">
        <v>45913</v>
      </c>
      <c r="C6138">
        <v>18</v>
      </c>
      <c r="D6138">
        <v>0</v>
      </c>
      <c r="E6138" t="s">
        <v>23</v>
      </c>
      <c r="F6138">
        <v>3.4729999999999997E-2</v>
      </c>
    </row>
    <row r="6139" spans="1:6" x14ac:dyDescent="0.3">
      <c r="A6139" t="s">
        <v>22</v>
      </c>
      <c r="B6139" s="1">
        <v>45913</v>
      </c>
      <c r="C6139">
        <v>19</v>
      </c>
      <c r="D6139">
        <v>3.7410000000000001</v>
      </c>
      <c r="E6139" t="s">
        <v>23</v>
      </c>
      <c r="F6139">
        <v>4.8469999999999999E-2</v>
      </c>
    </row>
    <row r="6140" spans="1:6" x14ac:dyDescent="0.3">
      <c r="A6140" t="s">
        <v>22</v>
      </c>
      <c r="B6140" s="1">
        <v>45913</v>
      </c>
      <c r="C6140">
        <v>20</v>
      </c>
      <c r="D6140">
        <v>2.9540000000000002</v>
      </c>
      <c r="E6140" t="s">
        <v>23</v>
      </c>
      <c r="F6140">
        <v>0.12720999999999999</v>
      </c>
    </row>
    <row r="6141" spans="1:6" x14ac:dyDescent="0.3">
      <c r="A6141" t="s">
        <v>22</v>
      </c>
      <c r="B6141" s="1">
        <v>45913</v>
      </c>
      <c r="C6141">
        <v>21</v>
      </c>
      <c r="D6141">
        <v>0.23</v>
      </c>
      <c r="E6141" t="s">
        <v>23</v>
      </c>
      <c r="F6141">
        <v>0.14099999999999999</v>
      </c>
    </row>
    <row r="6142" spans="1:6" x14ac:dyDescent="0.3">
      <c r="A6142" t="s">
        <v>22</v>
      </c>
      <c r="B6142" s="1">
        <v>45913</v>
      </c>
      <c r="C6142">
        <v>22</v>
      </c>
      <c r="D6142">
        <v>0.20899999999999999</v>
      </c>
      <c r="E6142" t="s">
        <v>23</v>
      </c>
      <c r="F6142">
        <v>0.15015000000000001</v>
      </c>
    </row>
    <row r="6143" spans="1:6" x14ac:dyDescent="0.3">
      <c r="A6143" t="s">
        <v>22</v>
      </c>
      <c r="B6143" s="1">
        <v>45913</v>
      </c>
      <c r="C6143">
        <v>23</v>
      </c>
      <c r="D6143">
        <v>0.31900000000000001</v>
      </c>
      <c r="E6143" t="s">
        <v>23</v>
      </c>
      <c r="F6143">
        <v>0.14405999999999999</v>
      </c>
    </row>
    <row r="6144" spans="1:6" x14ac:dyDescent="0.3">
      <c r="A6144" t="s">
        <v>22</v>
      </c>
      <c r="B6144" s="1">
        <v>45913</v>
      </c>
      <c r="C6144">
        <v>24</v>
      </c>
      <c r="D6144">
        <v>0.23599999999999999</v>
      </c>
      <c r="E6144" t="s">
        <v>23</v>
      </c>
      <c r="F6144">
        <v>0.14127999999999999</v>
      </c>
    </row>
    <row r="6145" spans="1:6" x14ac:dyDescent="0.3">
      <c r="A6145" t="s">
        <v>22</v>
      </c>
      <c r="B6145" s="1">
        <v>45914</v>
      </c>
      <c r="C6145">
        <v>1</v>
      </c>
      <c r="D6145">
        <v>0.16300000000000001</v>
      </c>
      <c r="E6145" t="s">
        <v>23</v>
      </c>
      <c r="F6145">
        <v>0.13147999999999999</v>
      </c>
    </row>
    <row r="6146" spans="1:6" x14ac:dyDescent="0.3">
      <c r="A6146" t="s">
        <v>22</v>
      </c>
      <c r="B6146" s="1">
        <v>45914</v>
      </c>
      <c r="C6146">
        <v>2</v>
      </c>
      <c r="D6146">
        <v>0.14499999999999999</v>
      </c>
      <c r="E6146" t="s">
        <v>23</v>
      </c>
      <c r="F6146">
        <v>0.12390999999999999</v>
      </c>
    </row>
    <row r="6147" spans="1:6" x14ac:dyDescent="0.3">
      <c r="A6147" t="s">
        <v>22</v>
      </c>
      <c r="B6147" s="1">
        <v>45914</v>
      </c>
      <c r="C6147">
        <v>3</v>
      </c>
      <c r="D6147">
        <v>0.16700000000000001</v>
      </c>
      <c r="E6147" t="s">
        <v>23</v>
      </c>
      <c r="F6147">
        <v>0.12490999999999999</v>
      </c>
    </row>
    <row r="6148" spans="1:6" x14ac:dyDescent="0.3">
      <c r="A6148" t="s">
        <v>22</v>
      </c>
      <c r="B6148" s="1">
        <v>45914</v>
      </c>
      <c r="C6148">
        <v>4</v>
      </c>
      <c r="D6148">
        <v>0.125</v>
      </c>
      <c r="E6148" t="s">
        <v>23</v>
      </c>
      <c r="F6148">
        <v>0.12628</v>
      </c>
    </row>
    <row r="6149" spans="1:6" x14ac:dyDescent="0.3">
      <c r="A6149" t="s">
        <v>22</v>
      </c>
      <c r="B6149" s="1">
        <v>45914</v>
      </c>
      <c r="C6149">
        <v>5</v>
      </c>
      <c r="D6149">
        <v>0.192</v>
      </c>
      <c r="E6149" t="s">
        <v>23</v>
      </c>
      <c r="F6149">
        <v>0.12743000000000002</v>
      </c>
    </row>
    <row r="6150" spans="1:6" x14ac:dyDescent="0.3">
      <c r="A6150" t="s">
        <v>22</v>
      </c>
      <c r="B6150" s="1">
        <v>45914</v>
      </c>
      <c r="C6150">
        <v>6</v>
      </c>
      <c r="D6150">
        <v>0.123</v>
      </c>
      <c r="E6150" t="s">
        <v>23</v>
      </c>
      <c r="F6150">
        <v>0.13318000000000002</v>
      </c>
    </row>
    <row r="6151" spans="1:6" x14ac:dyDescent="0.3">
      <c r="A6151" t="s">
        <v>22</v>
      </c>
      <c r="B6151" s="1">
        <v>45914</v>
      </c>
      <c r="C6151">
        <v>7</v>
      </c>
      <c r="D6151">
        <v>0.13400000000000001</v>
      </c>
      <c r="E6151" t="s">
        <v>23</v>
      </c>
      <c r="F6151">
        <v>0.13174</v>
      </c>
    </row>
    <row r="6152" spans="1:6" x14ac:dyDescent="0.3">
      <c r="A6152" t="s">
        <v>22</v>
      </c>
      <c r="B6152" s="1">
        <v>45914</v>
      </c>
      <c r="C6152">
        <v>8</v>
      </c>
      <c r="D6152">
        <v>0.215</v>
      </c>
      <c r="E6152" t="s">
        <v>23</v>
      </c>
      <c r="F6152">
        <v>0.14079</v>
      </c>
    </row>
    <row r="6153" spans="1:6" x14ac:dyDescent="0.3">
      <c r="A6153" t="s">
        <v>22</v>
      </c>
      <c r="B6153" s="1">
        <v>45914</v>
      </c>
      <c r="C6153">
        <v>9</v>
      </c>
      <c r="D6153">
        <v>0.107</v>
      </c>
      <c r="E6153" t="s">
        <v>23</v>
      </c>
      <c r="F6153">
        <v>0.13597000000000001</v>
      </c>
    </row>
    <row r="6154" spans="1:6" x14ac:dyDescent="0.3">
      <c r="A6154" t="s">
        <v>22</v>
      </c>
      <c r="B6154" s="1">
        <v>45914</v>
      </c>
      <c r="C6154">
        <v>10</v>
      </c>
      <c r="D6154">
        <v>0.67600000000000005</v>
      </c>
      <c r="E6154" t="s">
        <v>23</v>
      </c>
      <c r="F6154">
        <v>8.1970000000000001E-2</v>
      </c>
    </row>
    <row r="6155" spans="1:6" x14ac:dyDescent="0.3">
      <c r="A6155" t="s">
        <v>22</v>
      </c>
      <c r="B6155" s="1">
        <v>45914</v>
      </c>
      <c r="C6155">
        <v>11</v>
      </c>
      <c r="D6155">
        <v>0</v>
      </c>
      <c r="E6155" t="s">
        <v>23</v>
      </c>
      <c r="F6155">
        <v>5.0979999999999998E-2</v>
      </c>
    </row>
    <row r="6156" spans="1:6" x14ac:dyDescent="0.3">
      <c r="A6156" t="s">
        <v>22</v>
      </c>
      <c r="B6156" s="1">
        <v>45914</v>
      </c>
      <c r="C6156">
        <v>12</v>
      </c>
      <c r="D6156">
        <v>0</v>
      </c>
      <c r="E6156" t="s">
        <v>23</v>
      </c>
      <c r="F6156">
        <v>5.151E-2</v>
      </c>
    </row>
    <row r="6157" spans="1:6" x14ac:dyDescent="0.3">
      <c r="A6157" t="s">
        <v>22</v>
      </c>
      <c r="B6157" s="1">
        <v>45914</v>
      </c>
      <c r="C6157">
        <v>13</v>
      </c>
      <c r="D6157">
        <v>0.58799999999999997</v>
      </c>
      <c r="E6157" t="s">
        <v>23</v>
      </c>
      <c r="F6157">
        <v>5.1060000000000001E-2</v>
      </c>
    </row>
    <row r="6158" spans="1:6" x14ac:dyDescent="0.3">
      <c r="A6158" t="s">
        <v>22</v>
      </c>
      <c r="B6158" s="1">
        <v>45914</v>
      </c>
      <c r="C6158">
        <v>14</v>
      </c>
      <c r="D6158">
        <v>0.38600000000000001</v>
      </c>
      <c r="E6158" t="s">
        <v>23</v>
      </c>
      <c r="F6158">
        <v>4.9880000000000001E-2</v>
      </c>
    </row>
    <row r="6159" spans="1:6" x14ac:dyDescent="0.3">
      <c r="A6159" t="s">
        <v>22</v>
      </c>
      <c r="B6159" s="1">
        <v>45914</v>
      </c>
      <c r="C6159">
        <v>15</v>
      </c>
      <c r="D6159">
        <v>0</v>
      </c>
      <c r="E6159" t="s">
        <v>23</v>
      </c>
      <c r="F6159">
        <v>4.9790000000000001E-2</v>
      </c>
    </row>
    <row r="6160" spans="1:6" x14ac:dyDescent="0.3">
      <c r="A6160" t="s">
        <v>22</v>
      </c>
      <c r="B6160" s="1">
        <v>45914</v>
      </c>
      <c r="C6160">
        <v>16</v>
      </c>
      <c r="D6160">
        <v>0</v>
      </c>
      <c r="E6160" t="s">
        <v>23</v>
      </c>
      <c r="F6160">
        <v>5.0189999999999999E-2</v>
      </c>
    </row>
    <row r="6161" spans="1:6" x14ac:dyDescent="0.3">
      <c r="A6161" t="s">
        <v>22</v>
      </c>
      <c r="B6161" s="1">
        <v>45914</v>
      </c>
      <c r="C6161">
        <v>17</v>
      </c>
      <c r="D6161">
        <v>0</v>
      </c>
      <c r="E6161" t="s">
        <v>23</v>
      </c>
      <c r="F6161">
        <v>5.1060000000000001E-2</v>
      </c>
    </row>
    <row r="6162" spans="1:6" x14ac:dyDescent="0.3">
      <c r="A6162" t="s">
        <v>22</v>
      </c>
      <c r="B6162" s="1">
        <v>45914</v>
      </c>
      <c r="C6162">
        <v>18</v>
      </c>
      <c r="D6162">
        <v>0</v>
      </c>
      <c r="E6162" t="s">
        <v>23</v>
      </c>
      <c r="F6162">
        <v>5.2159999999999998E-2</v>
      </c>
    </row>
    <row r="6163" spans="1:6" x14ac:dyDescent="0.3">
      <c r="A6163" t="s">
        <v>22</v>
      </c>
      <c r="B6163" s="1">
        <v>45914</v>
      </c>
      <c r="C6163">
        <v>19</v>
      </c>
      <c r="D6163">
        <v>0.66800000000000004</v>
      </c>
      <c r="E6163" t="s">
        <v>23</v>
      </c>
      <c r="F6163">
        <v>5.8599999999999999E-2</v>
      </c>
    </row>
    <row r="6164" spans="1:6" x14ac:dyDescent="0.3">
      <c r="A6164" t="s">
        <v>22</v>
      </c>
      <c r="B6164" s="1">
        <v>45914</v>
      </c>
      <c r="C6164">
        <v>20</v>
      </c>
      <c r="D6164">
        <v>0.70699999999999996</v>
      </c>
      <c r="E6164" t="s">
        <v>23</v>
      </c>
      <c r="F6164">
        <v>0.14341000000000001</v>
      </c>
    </row>
    <row r="6165" spans="1:6" x14ac:dyDescent="0.3">
      <c r="A6165" t="s">
        <v>22</v>
      </c>
      <c r="B6165" s="1">
        <v>45914</v>
      </c>
      <c r="C6165">
        <v>21</v>
      </c>
      <c r="D6165">
        <v>1.1160000000000001</v>
      </c>
      <c r="E6165" t="s">
        <v>23</v>
      </c>
      <c r="F6165">
        <v>0.15312000000000001</v>
      </c>
    </row>
    <row r="6166" spans="1:6" x14ac:dyDescent="0.3">
      <c r="A6166" t="s">
        <v>22</v>
      </c>
      <c r="B6166" s="1">
        <v>45914</v>
      </c>
      <c r="C6166">
        <v>22</v>
      </c>
      <c r="D6166">
        <v>0.49299999999999999</v>
      </c>
      <c r="E6166" t="s">
        <v>23</v>
      </c>
      <c r="F6166">
        <v>0.17865999999999999</v>
      </c>
    </row>
    <row r="6167" spans="1:6" x14ac:dyDescent="0.3">
      <c r="A6167" t="s">
        <v>22</v>
      </c>
      <c r="B6167" s="1">
        <v>45914</v>
      </c>
      <c r="C6167">
        <v>23</v>
      </c>
      <c r="D6167">
        <v>1.079</v>
      </c>
      <c r="E6167" t="s">
        <v>23</v>
      </c>
      <c r="F6167">
        <v>0.15678999999999998</v>
      </c>
    </row>
    <row r="6168" spans="1:6" x14ac:dyDescent="0.3">
      <c r="A6168" t="s">
        <v>22</v>
      </c>
      <c r="B6168" s="1">
        <v>45914</v>
      </c>
      <c r="C6168">
        <v>24</v>
      </c>
      <c r="D6168">
        <v>0.32</v>
      </c>
      <c r="E6168" t="s">
        <v>23</v>
      </c>
      <c r="F6168">
        <v>0.15081</v>
      </c>
    </row>
    <row r="6169" spans="1:6" x14ac:dyDescent="0.3">
      <c r="A6169" t="s">
        <v>22</v>
      </c>
      <c r="B6169" s="1">
        <v>45915</v>
      </c>
      <c r="C6169">
        <v>1</v>
      </c>
      <c r="D6169">
        <v>0.23400000000000001</v>
      </c>
      <c r="E6169" t="s">
        <v>23</v>
      </c>
      <c r="F6169">
        <v>0.14363999999999999</v>
      </c>
    </row>
    <row r="6170" spans="1:6" x14ac:dyDescent="0.3">
      <c r="A6170" t="s">
        <v>22</v>
      </c>
      <c r="B6170" s="1">
        <v>45915</v>
      </c>
      <c r="C6170">
        <v>2</v>
      </c>
      <c r="D6170">
        <v>0.11</v>
      </c>
      <c r="E6170" t="s">
        <v>23</v>
      </c>
      <c r="F6170">
        <v>0.14271999999999999</v>
      </c>
    </row>
    <row r="6171" spans="1:6" x14ac:dyDescent="0.3">
      <c r="A6171" t="s">
        <v>22</v>
      </c>
      <c r="B6171" s="1">
        <v>45915</v>
      </c>
      <c r="C6171">
        <v>3</v>
      </c>
      <c r="D6171">
        <v>0.183</v>
      </c>
      <c r="E6171" t="s">
        <v>23</v>
      </c>
      <c r="F6171">
        <v>0.13857</v>
      </c>
    </row>
    <row r="6172" spans="1:6" x14ac:dyDescent="0.3">
      <c r="A6172" t="s">
        <v>22</v>
      </c>
      <c r="B6172" s="1">
        <v>45915</v>
      </c>
      <c r="C6172">
        <v>4</v>
      </c>
      <c r="D6172">
        <v>0.13200000000000001</v>
      </c>
      <c r="E6172" t="s">
        <v>23</v>
      </c>
      <c r="F6172">
        <v>0.13605</v>
      </c>
    </row>
    <row r="6173" spans="1:6" x14ac:dyDescent="0.3">
      <c r="A6173" t="s">
        <v>22</v>
      </c>
      <c r="B6173" s="1">
        <v>45915</v>
      </c>
      <c r="C6173">
        <v>5</v>
      </c>
      <c r="D6173">
        <v>0.17100000000000001</v>
      </c>
      <c r="E6173" t="s">
        <v>23</v>
      </c>
      <c r="F6173">
        <v>0.13525000000000001</v>
      </c>
    </row>
    <row r="6174" spans="1:6" x14ac:dyDescent="0.3">
      <c r="A6174" t="s">
        <v>22</v>
      </c>
      <c r="B6174" s="1">
        <v>45915</v>
      </c>
      <c r="C6174">
        <v>6</v>
      </c>
      <c r="D6174">
        <v>0.126</v>
      </c>
      <c r="E6174" t="s">
        <v>23</v>
      </c>
      <c r="F6174">
        <v>0.14054</v>
      </c>
    </row>
    <row r="6175" spans="1:6" x14ac:dyDescent="0.3">
      <c r="A6175" t="s">
        <v>22</v>
      </c>
      <c r="B6175" s="1">
        <v>45915</v>
      </c>
      <c r="C6175">
        <v>7</v>
      </c>
      <c r="D6175">
        <v>0.21299999999999999</v>
      </c>
      <c r="E6175" t="s">
        <v>23</v>
      </c>
      <c r="F6175">
        <v>0.14646000000000001</v>
      </c>
    </row>
    <row r="6176" spans="1:6" x14ac:dyDescent="0.3">
      <c r="A6176" t="s">
        <v>22</v>
      </c>
      <c r="B6176" s="1">
        <v>45915</v>
      </c>
      <c r="C6176">
        <v>8</v>
      </c>
      <c r="D6176">
        <v>0.47499999999999998</v>
      </c>
      <c r="E6176" t="s">
        <v>23</v>
      </c>
      <c r="F6176">
        <v>0.16372999999999999</v>
      </c>
    </row>
    <row r="6177" spans="1:6" x14ac:dyDescent="0.3">
      <c r="A6177" t="s">
        <v>22</v>
      </c>
      <c r="B6177" s="1">
        <v>45915</v>
      </c>
      <c r="C6177">
        <v>9</v>
      </c>
      <c r="D6177">
        <v>8.5000000000000006E-2</v>
      </c>
      <c r="E6177" t="s">
        <v>23</v>
      </c>
      <c r="F6177">
        <v>0.19222999999999998</v>
      </c>
    </row>
    <row r="6178" spans="1:6" x14ac:dyDescent="0.3">
      <c r="A6178" t="s">
        <v>22</v>
      </c>
      <c r="B6178" s="1">
        <v>45915</v>
      </c>
      <c r="C6178">
        <v>10</v>
      </c>
      <c r="D6178">
        <v>0.17199999999999999</v>
      </c>
      <c r="E6178" t="s">
        <v>23</v>
      </c>
      <c r="F6178">
        <v>0.14942</v>
      </c>
    </row>
    <row r="6179" spans="1:6" x14ac:dyDescent="0.3">
      <c r="A6179" t="s">
        <v>22</v>
      </c>
      <c r="B6179" s="1">
        <v>45915</v>
      </c>
      <c r="C6179">
        <v>11</v>
      </c>
      <c r="D6179">
        <v>0</v>
      </c>
      <c r="E6179" t="s">
        <v>23</v>
      </c>
      <c r="F6179">
        <v>0.16175999999999999</v>
      </c>
    </row>
    <row r="6180" spans="1:6" x14ac:dyDescent="0.3">
      <c r="A6180" t="s">
        <v>22</v>
      </c>
      <c r="B6180" s="1">
        <v>45915</v>
      </c>
      <c r="C6180">
        <v>12</v>
      </c>
      <c r="D6180">
        <v>0</v>
      </c>
      <c r="E6180" t="s">
        <v>23</v>
      </c>
      <c r="F6180">
        <v>0.13021000000000002</v>
      </c>
    </row>
    <row r="6181" spans="1:6" x14ac:dyDescent="0.3">
      <c r="A6181" t="s">
        <v>22</v>
      </c>
      <c r="B6181" s="1">
        <v>45915</v>
      </c>
      <c r="C6181">
        <v>13</v>
      </c>
      <c r="D6181">
        <v>0</v>
      </c>
      <c r="E6181" t="s">
        <v>23</v>
      </c>
      <c r="F6181">
        <v>0.13075000000000001</v>
      </c>
    </row>
    <row r="6182" spans="1:6" x14ac:dyDescent="0.3">
      <c r="A6182" t="s">
        <v>22</v>
      </c>
      <c r="B6182" s="1">
        <v>45915</v>
      </c>
      <c r="C6182">
        <v>14</v>
      </c>
      <c r="D6182">
        <v>0</v>
      </c>
      <c r="E6182" t="s">
        <v>23</v>
      </c>
      <c r="F6182">
        <v>0.12395999999999999</v>
      </c>
    </row>
    <row r="6183" spans="1:6" x14ac:dyDescent="0.3">
      <c r="A6183" t="s">
        <v>22</v>
      </c>
      <c r="B6183" s="1">
        <v>45915</v>
      </c>
      <c r="C6183">
        <v>15</v>
      </c>
      <c r="D6183">
        <v>1.0780000000000001</v>
      </c>
      <c r="E6183" t="s">
        <v>23</v>
      </c>
      <c r="F6183">
        <v>5.6090000000000001E-2</v>
      </c>
    </row>
    <row r="6184" spans="1:6" x14ac:dyDescent="0.3">
      <c r="A6184" t="s">
        <v>22</v>
      </c>
      <c r="B6184" s="1">
        <v>45915</v>
      </c>
      <c r="C6184">
        <v>16</v>
      </c>
      <c r="D6184">
        <v>0</v>
      </c>
      <c r="E6184" t="s">
        <v>23</v>
      </c>
      <c r="F6184">
        <v>5.774E-2</v>
      </c>
    </row>
    <row r="6185" spans="1:6" x14ac:dyDescent="0.3">
      <c r="A6185" t="s">
        <v>22</v>
      </c>
      <c r="B6185" s="1">
        <v>45915</v>
      </c>
      <c r="C6185">
        <v>17</v>
      </c>
      <c r="D6185">
        <v>0</v>
      </c>
      <c r="E6185" t="s">
        <v>23</v>
      </c>
      <c r="F6185">
        <v>5.9630000000000002E-2</v>
      </c>
    </row>
    <row r="6186" spans="1:6" x14ac:dyDescent="0.3">
      <c r="A6186" t="s">
        <v>22</v>
      </c>
      <c r="B6186" s="1">
        <v>45915</v>
      </c>
      <c r="C6186">
        <v>18</v>
      </c>
      <c r="D6186">
        <v>0</v>
      </c>
      <c r="E6186" t="s">
        <v>23</v>
      </c>
      <c r="F6186">
        <v>7.3880000000000001E-2</v>
      </c>
    </row>
    <row r="6187" spans="1:6" x14ac:dyDescent="0.3">
      <c r="A6187" t="s">
        <v>22</v>
      </c>
      <c r="B6187" s="1">
        <v>45915</v>
      </c>
      <c r="C6187">
        <v>19</v>
      </c>
      <c r="D6187">
        <v>0</v>
      </c>
      <c r="E6187" t="s">
        <v>23</v>
      </c>
      <c r="F6187">
        <v>0.17254</v>
      </c>
    </row>
    <row r="6188" spans="1:6" x14ac:dyDescent="0.3">
      <c r="A6188" t="s">
        <v>22</v>
      </c>
      <c r="B6188" s="1">
        <v>45915</v>
      </c>
      <c r="C6188">
        <v>20</v>
      </c>
      <c r="D6188">
        <v>0.36899999999999999</v>
      </c>
      <c r="E6188" t="s">
        <v>23</v>
      </c>
      <c r="F6188">
        <v>0.22587000000000002</v>
      </c>
    </row>
    <row r="6189" spans="1:6" x14ac:dyDescent="0.3">
      <c r="A6189" t="s">
        <v>22</v>
      </c>
      <c r="B6189" s="1">
        <v>45915</v>
      </c>
      <c r="C6189">
        <v>21</v>
      </c>
      <c r="D6189">
        <v>1.109</v>
      </c>
      <c r="E6189" t="s">
        <v>23</v>
      </c>
      <c r="F6189">
        <v>0.24542</v>
      </c>
    </row>
    <row r="6190" spans="1:6" x14ac:dyDescent="0.3">
      <c r="A6190" t="s">
        <v>22</v>
      </c>
      <c r="B6190" s="1">
        <v>45915</v>
      </c>
      <c r="C6190">
        <v>22</v>
      </c>
      <c r="D6190">
        <v>0.67200000000000004</v>
      </c>
      <c r="E6190" t="s">
        <v>23</v>
      </c>
      <c r="F6190">
        <v>0.24789</v>
      </c>
    </row>
    <row r="6191" spans="1:6" x14ac:dyDescent="0.3">
      <c r="A6191" t="s">
        <v>22</v>
      </c>
      <c r="B6191" s="1">
        <v>45915</v>
      </c>
      <c r="C6191">
        <v>23</v>
      </c>
      <c r="D6191">
        <v>0.52900000000000003</v>
      </c>
      <c r="E6191" t="s">
        <v>23</v>
      </c>
      <c r="F6191">
        <v>0.17127000000000001</v>
      </c>
    </row>
    <row r="6192" spans="1:6" x14ac:dyDescent="0.3">
      <c r="A6192" t="s">
        <v>22</v>
      </c>
      <c r="B6192" s="1">
        <v>45915</v>
      </c>
      <c r="C6192">
        <v>24</v>
      </c>
      <c r="D6192">
        <v>0.48599999999999999</v>
      </c>
      <c r="E6192" t="s">
        <v>23</v>
      </c>
      <c r="F6192">
        <v>0.16097</v>
      </c>
    </row>
    <row r="6193" spans="1:6" x14ac:dyDescent="0.3">
      <c r="A6193" t="s">
        <v>22</v>
      </c>
      <c r="B6193" s="1">
        <v>45916</v>
      </c>
      <c r="C6193">
        <v>1</v>
      </c>
      <c r="D6193">
        <v>0.433</v>
      </c>
      <c r="E6193" t="s">
        <v>23</v>
      </c>
      <c r="F6193">
        <v>0.12006</v>
      </c>
    </row>
    <row r="6194" spans="1:6" x14ac:dyDescent="0.3">
      <c r="A6194" t="s">
        <v>22</v>
      </c>
      <c r="B6194" s="1">
        <v>45916</v>
      </c>
      <c r="C6194">
        <v>2</v>
      </c>
      <c r="D6194">
        <v>0.38900000000000001</v>
      </c>
      <c r="E6194" t="s">
        <v>23</v>
      </c>
      <c r="F6194">
        <v>0.11905</v>
      </c>
    </row>
    <row r="6195" spans="1:6" x14ac:dyDescent="0.3">
      <c r="A6195" t="s">
        <v>22</v>
      </c>
      <c r="B6195" s="1">
        <v>45916</v>
      </c>
      <c r="C6195">
        <v>3</v>
      </c>
      <c r="D6195">
        <v>0.40400000000000003</v>
      </c>
      <c r="E6195" t="s">
        <v>23</v>
      </c>
      <c r="F6195">
        <v>0.11828</v>
      </c>
    </row>
    <row r="6196" spans="1:6" x14ac:dyDescent="0.3">
      <c r="A6196" t="s">
        <v>22</v>
      </c>
      <c r="B6196" s="1">
        <v>45916</v>
      </c>
      <c r="C6196">
        <v>4</v>
      </c>
      <c r="D6196">
        <v>0.93700000000000006</v>
      </c>
      <c r="E6196" t="s">
        <v>23</v>
      </c>
      <c r="F6196">
        <v>0.11605</v>
      </c>
    </row>
    <row r="6197" spans="1:6" x14ac:dyDescent="0.3">
      <c r="A6197" t="s">
        <v>22</v>
      </c>
      <c r="B6197" s="1">
        <v>45916</v>
      </c>
      <c r="C6197">
        <v>5</v>
      </c>
      <c r="D6197">
        <v>0.9</v>
      </c>
      <c r="E6197" t="s">
        <v>23</v>
      </c>
      <c r="F6197">
        <v>0.12211</v>
      </c>
    </row>
    <row r="6198" spans="1:6" x14ac:dyDescent="0.3">
      <c r="A6198" t="s">
        <v>22</v>
      </c>
      <c r="B6198" s="1">
        <v>45916</v>
      </c>
      <c r="C6198">
        <v>6</v>
      </c>
      <c r="D6198">
        <v>0.41099999999999998</v>
      </c>
      <c r="E6198" t="s">
        <v>23</v>
      </c>
      <c r="F6198">
        <v>0.12559999999999999</v>
      </c>
    </row>
    <row r="6199" spans="1:6" x14ac:dyDescent="0.3">
      <c r="A6199" t="s">
        <v>22</v>
      </c>
      <c r="B6199" s="1">
        <v>45916</v>
      </c>
      <c r="C6199">
        <v>7</v>
      </c>
      <c r="D6199">
        <v>0.48599999999999999</v>
      </c>
      <c r="E6199" t="s">
        <v>23</v>
      </c>
      <c r="F6199">
        <v>0.13847000000000001</v>
      </c>
    </row>
    <row r="6200" spans="1:6" x14ac:dyDescent="0.3">
      <c r="A6200" t="s">
        <v>22</v>
      </c>
      <c r="B6200" s="1">
        <v>45916</v>
      </c>
      <c r="C6200">
        <v>8</v>
      </c>
      <c r="D6200">
        <v>0.82</v>
      </c>
      <c r="E6200" t="s">
        <v>23</v>
      </c>
      <c r="F6200">
        <v>0.14906</v>
      </c>
    </row>
    <row r="6201" spans="1:6" x14ac:dyDescent="0.3">
      <c r="A6201" t="s">
        <v>22</v>
      </c>
      <c r="B6201" s="1">
        <v>45916</v>
      </c>
      <c r="C6201">
        <v>9</v>
      </c>
      <c r="D6201">
        <v>0.4</v>
      </c>
      <c r="E6201" t="s">
        <v>23</v>
      </c>
      <c r="F6201">
        <v>0.17485000000000001</v>
      </c>
    </row>
    <row r="6202" spans="1:6" x14ac:dyDescent="0.3">
      <c r="A6202" t="s">
        <v>22</v>
      </c>
      <c r="B6202" s="1">
        <v>45916</v>
      </c>
      <c r="C6202">
        <v>10</v>
      </c>
      <c r="D6202">
        <v>0.65100000000000002</v>
      </c>
      <c r="E6202" t="s">
        <v>23</v>
      </c>
      <c r="F6202">
        <v>0.15418000000000001</v>
      </c>
    </row>
    <row r="6203" spans="1:6" x14ac:dyDescent="0.3">
      <c r="A6203" t="s">
        <v>22</v>
      </c>
      <c r="B6203" s="1">
        <v>45916</v>
      </c>
      <c r="C6203">
        <v>11</v>
      </c>
      <c r="D6203">
        <v>0.746</v>
      </c>
      <c r="E6203" t="s">
        <v>23</v>
      </c>
      <c r="F6203">
        <v>0.16136</v>
      </c>
    </row>
    <row r="6204" spans="1:6" x14ac:dyDescent="0.3">
      <c r="A6204" t="s">
        <v>22</v>
      </c>
      <c r="B6204" s="1">
        <v>45916</v>
      </c>
      <c r="C6204">
        <v>12</v>
      </c>
      <c r="D6204">
        <v>0.995</v>
      </c>
      <c r="E6204" t="s">
        <v>23</v>
      </c>
      <c r="F6204">
        <v>0.13559000000000002</v>
      </c>
    </row>
    <row r="6205" spans="1:6" x14ac:dyDescent="0.3">
      <c r="A6205" t="s">
        <v>22</v>
      </c>
      <c r="B6205" s="1">
        <v>45916</v>
      </c>
      <c r="C6205">
        <v>13</v>
      </c>
      <c r="D6205">
        <v>0.60599999999999998</v>
      </c>
      <c r="E6205" t="s">
        <v>23</v>
      </c>
      <c r="F6205">
        <v>0.12861</v>
      </c>
    </row>
    <row r="6206" spans="1:6" x14ac:dyDescent="0.3">
      <c r="A6206" t="s">
        <v>22</v>
      </c>
      <c r="B6206" s="1">
        <v>45916</v>
      </c>
      <c r="C6206">
        <v>14</v>
      </c>
      <c r="D6206">
        <v>0</v>
      </c>
      <c r="E6206" t="s">
        <v>23</v>
      </c>
      <c r="F6206">
        <v>0.12601000000000001</v>
      </c>
    </row>
    <row r="6207" spans="1:6" x14ac:dyDescent="0.3">
      <c r="A6207" t="s">
        <v>22</v>
      </c>
      <c r="B6207" s="1">
        <v>45916</v>
      </c>
      <c r="C6207">
        <v>15</v>
      </c>
      <c r="D6207">
        <v>0</v>
      </c>
      <c r="E6207" t="s">
        <v>23</v>
      </c>
      <c r="F6207">
        <v>5.7180000000000002E-2</v>
      </c>
    </row>
    <row r="6208" spans="1:6" x14ac:dyDescent="0.3">
      <c r="A6208" t="s">
        <v>22</v>
      </c>
      <c r="B6208" s="1">
        <v>45916</v>
      </c>
      <c r="C6208">
        <v>16</v>
      </c>
      <c r="D6208">
        <v>0</v>
      </c>
      <c r="E6208" t="s">
        <v>23</v>
      </c>
      <c r="F6208">
        <v>5.4479999999999994E-2</v>
      </c>
    </row>
    <row r="6209" spans="1:6" x14ac:dyDescent="0.3">
      <c r="A6209" t="s">
        <v>22</v>
      </c>
      <c r="B6209" s="1">
        <v>45916</v>
      </c>
      <c r="C6209">
        <v>17</v>
      </c>
      <c r="D6209">
        <v>0</v>
      </c>
      <c r="E6209" t="s">
        <v>23</v>
      </c>
      <c r="F6209">
        <v>6.1369999999999994E-2</v>
      </c>
    </row>
    <row r="6210" spans="1:6" x14ac:dyDescent="0.3">
      <c r="A6210" t="s">
        <v>22</v>
      </c>
      <c r="B6210" s="1">
        <v>45916</v>
      </c>
      <c r="C6210">
        <v>18</v>
      </c>
      <c r="D6210">
        <v>0</v>
      </c>
      <c r="E6210" t="s">
        <v>23</v>
      </c>
      <c r="F6210">
        <v>9.3689999999999996E-2</v>
      </c>
    </row>
    <row r="6211" spans="1:6" x14ac:dyDescent="0.3">
      <c r="A6211" t="s">
        <v>22</v>
      </c>
      <c r="B6211" s="1">
        <v>45916</v>
      </c>
      <c r="C6211">
        <v>19</v>
      </c>
      <c r="D6211">
        <v>0</v>
      </c>
      <c r="E6211" t="s">
        <v>23</v>
      </c>
      <c r="F6211">
        <v>0.19431000000000001</v>
      </c>
    </row>
    <row r="6212" spans="1:6" x14ac:dyDescent="0.3">
      <c r="A6212" t="s">
        <v>22</v>
      </c>
      <c r="B6212" s="1">
        <v>45916</v>
      </c>
      <c r="C6212">
        <v>20</v>
      </c>
      <c r="D6212">
        <v>0.29299999999999998</v>
      </c>
      <c r="E6212" t="s">
        <v>23</v>
      </c>
      <c r="F6212">
        <v>0.23524</v>
      </c>
    </row>
    <row r="6213" spans="1:6" x14ac:dyDescent="0.3">
      <c r="A6213" t="s">
        <v>22</v>
      </c>
      <c r="B6213" s="1">
        <v>45916</v>
      </c>
      <c r="C6213">
        <v>21</v>
      </c>
      <c r="D6213">
        <v>1.538</v>
      </c>
      <c r="E6213" t="s">
        <v>23</v>
      </c>
      <c r="F6213">
        <v>0.26561000000000001</v>
      </c>
    </row>
    <row r="6214" spans="1:6" x14ac:dyDescent="0.3">
      <c r="A6214" t="s">
        <v>22</v>
      </c>
      <c r="B6214" s="1">
        <v>45916</v>
      </c>
      <c r="C6214">
        <v>22</v>
      </c>
      <c r="D6214">
        <v>0.71799999999999997</v>
      </c>
      <c r="E6214" t="s">
        <v>23</v>
      </c>
      <c r="F6214">
        <v>0.34008999999999995</v>
      </c>
    </row>
    <row r="6215" spans="1:6" x14ac:dyDescent="0.3">
      <c r="A6215" t="s">
        <v>22</v>
      </c>
      <c r="B6215" s="1">
        <v>45916</v>
      </c>
      <c r="C6215">
        <v>23</v>
      </c>
      <c r="D6215">
        <v>0.52100000000000002</v>
      </c>
      <c r="E6215" t="s">
        <v>23</v>
      </c>
      <c r="F6215">
        <v>0.17468</v>
      </c>
    </row>
    <row r="6216" spans="1:6" x14ac:dyDescent="0.3">
      <c r="A6216" t="s">
        <v>22</v>
      </c>
      <c r="B6216" s="1">
        <v>45916</v>
      </c>
      <c r="C6216">
        <v>24</v>
      </c>
      <c r="D6216">
        <v>1.5609999999999999</v>
      </c>
      <c r="E6216" t="s">
        <v>23</v>
      </c>
      <c r="F6216">
        <v>0.16791</v>
      </c>
    </row>
    <row r="6217" spans="1:6" x14ac:dyDescent="0.3">
      <c r="A6217" t="s">
        <v>22</v>
      </c>
      <c r="B6217" s="1">
        <v>45917</v>
      </c>
      <c r="C6217">
        <v>1</v>
      </c>
      <c r="D6217">
        <v>0.495</v>
      </c>
      <c r="E6217" t="s">
        <v>23</v>
      </c>
      <c r="F6217">
        <v>0.14102000000000001</v>
      </c>
    </row>
    <row r="6218" spans="1:6" x14ac:dyDescent="0.3">
      <c r="A6218" t="s">
        <v>22</v>
      </c>
      <c r="B6218" s="1">
        <v>45917</v>
      </c>
      <c r="C6218">
        <v>2</v>
      </c>
      <c r="D6218">
        <v>0.43099999999999999</v>
      </c>
      <c r="E6218" t="s">
        <v>23</v>
      </c>
      <c r="F6218">
        <v>0.13954</v>
      </c>
    </row>
    <row r="6219" spans="1:6" x14ac:dyDescent="0.3">
      <c r="A6219" t="s">
        <v>22</v>
      </c>
      <c r="B6219" s="1">
        <v>45917</v>
      </c>
      <c r="C6219">
        <v>3</v>
      </c>
      <c r="D6219">
        <v>0.378</v>
      </c>
      <c r="E6219" t="s">
        <v>23</v>
      </c>
      <c r="F6219">
        <v>0.13878000000000001</v>
      </c>
    </row>
    <row r="6220" spans="1:6" x14ac:dyDescent="0.3">
      <c r="A6220" t="s">
        <v>22</v>
      </c>
      <c r="B6220" s="1">
        <v>45917</v>
      </c>
      <c r="C6220">
        <v>4</v>
      </c>
      <c r="D6220">
        <v>0.48</v>
      </c>
      <c r="E6220" t="s">
        <v>23</v>
      </c>
      <c r="F6220">
        <v>0.13244999999999998</v>
      </c>
    </row>
    <row r="6221" spans="1:6" x14ac:dyDescent="0.3">
      <c r="A6221" t="s">
        <v>22</v>
      </c>
      <c r="B6221" s="1">
        <v>45917</v>
      </c>
      <c r="C6221">
        <v>5</v>
      </c>
      <c r="D6221">
        <v>0.39900000000000002</v>
      </c>
      <c r="E6221" t="s">
        <v>23</v>
      </c>
      <c r="F6221">
        <v>0.13099</v>
      </c>
    </row>
    <row r="6222" spans="1:6" x14ac:dyDescent="0.3">
      <c r="A6222" t="s">
        <v>22</v>
      </c>
      <c r="B6222" s="1">
        <v>45917</v>
      </c>
      <c r="C6222">
        <v>6</v>
      </c>
      <c r="D6222">
        <v>0.36899999999999999</v>
      </c>
      <c r="E6222" t="s">
        <v>23</v>
      </c>
      <c r="F6222">
        <v>0.13481000000000001</v>
      </c>
    </row>
    <row r="6223" spans="1:6" x14ac:dyDescent="0.3">
      <c r="A6223" t="s">
        <v>22</v>
      </c>
      <c r="B6223" s="1">
        <v>45917</v>
      </c>
      <c r="C6223">
        <v>7</v>
      </c>
      <c r="D6223">
        <v>0.47399999999999998</v>
      </c>
      <c r="E6223" t="s">
        <v>23</v>
      </c>
      <c r="F6223">
        <v>0.13481000000000001</v>
      </c>
    </row>
    <row r="6224" spans="1:6" x14ac:dyDescent="0.3">
      <c r="A6224" t="s">
        <v>22</v>
      </c>
      <c r="B6224" s="1">
        <v>45917</v>
      </c>
      <c r="C6224">
        <v>8</v>
      </c>
      <c r="D6224">
        <v>0.752</v>
      </c>
      <c r="E6224" t="s">
        <v>23</v>
      </c>
      <c r="F6224">
        <v>0.14886000000000002</v>
      </c>
    </row>
    <row r="6225" spans="1:6" x14ac:dyDescent="0.3">
      <c r="A6225" t="s">
        <v>22</v>
      </c>
      <c r="B6225" s="1">
        <v>45917</v>
      </c>
      <c r="C6225">
        <v>9</v>
      </c>
      <c r="D6225">
        <v>0.32</v>
      </c>
      <c r="E6225" t="s">
        <v>23</v>
      </c>
      <c r="F6225">
        <v>0.17066000000000001</v>
      </c>
    </row>
    <row r="6226" spans="1:6" x14ac:dyDescent="0.3">
      <c r="A6226" t="s">
        <v>22</v>
      </c>
      <c r="B6226" s="1">
        <v>45917</v>
      </c>
      <c r="C6226">
        <v>10</v>
      </c>
      <c r="D6226">
        <v>1.877</v>
      </c>
      <c r="E6226" t="s">
        <v>23</v>
      </c>
      <c r="F6226">
        <v>0.15162999999999999</v>
      </c>
    </row>
    <row r="6227" spans="1:6" x14ac:dyDescent="0.3">
      <c r="A6227" t="s">
        <v>22</v>
      </c>
      <c r="B6227" s="1">
        <v>45917</v>
      </c>
      <c r="C6227">
        <v>11</v>
      </c>
      <c r="D6227">
        <v>0</v>
      </c>
      <c r="E6227" t="s">
        <v>23</v>
      </c>
      <c r="F6227">
        <v>0.17563999999999999</v>
      </c>
    </row>
    <row r="6228" spans="1:6" x14ac:dyDescent="0.3">
      <c r="A6228" t="s">
        <v>22</v>
      </c>
      <c r="B6228" s="1">
        <v>45917</v>
      </c>
      <c r="C6228">
        <v>12</v>
      </c>
      <c r="D6228">
        <v>0</v>
      </c>
      <c r="E6228" t="s">
        <v>23</v>
      </c>
      <c r="F6228">
        <v>0.15374000000000002</v>
      </c>
    </row>
    <row r="6229" spans="1:6" x14ac:dyDescent="0.3">
      <c r="A6229" t="s">
        <v>22</v>
      </c>
      <c r="B6229" s="1">
        <v>45917</v>
      </c>
      <c r="C6229">
        <v>13</v>
      </c>
      <c r="D6229">
        <v>0</v>
      </c>
      <c r="E6229" t="s">
        <v>23</v>
      </c>
      <c r="F6229">
        <v>0.1331</v>
      </c>
    </row>
    <row r="6230" spans="1:6" x14ac:dyDescent="0.3">
      <c r="A6230" t="s">
        <v>22</v>
      </c>
      <c r="B6230" s="1">
        <v>45917</v>
      </c>
      <c r="C6230">
        <v>14</v>
      </c>
      <c r="D6230">
        <v>0</v>
      </c>
      <c r="E6230" t="s">
        <v>23</v>
      </c>
      <c r="F6230">
        <v>0.13049000000000002</v>
      </c>
    </row>
    <row r="6231" spans="1:6" x14ac:dyDescent="0.3">
      <c r="A6231" t="s">
        <v>22</v>
      </c>
      <c r="B6231" s="1">
        <v>45917</v>
      </c>
      <c r="C6231">
        <v>15</v>
      </c>
      <c r="D6231">
        <v>0</v>
      </c>
      <c r="E6231" t="s">
        <v>23</v>
      </c>
      <c r="F6231">
        <v>6.0590000000000005E-2</v>
      </c>
    </row>
    <row r="6232" spans="1:6" x14ac:dyDescent="0.3">
      <c r="A6232" t="s">
        <v>22</v>
      </c>
      <c r="B6232" s="1">
        <v>45917</v>
      </c>
      <c r="C6232">
        <v>16</v>
      </c>
      <c r="D6232">
        <v>0</v>
      </c>
      <c r="E6232" t="s">
        <v>23</v>
      </c>
      <c r="F6232">
        <v>6.2439999999999996E-2</v>
      </c>
    </row>
    <row r="6233" spans="1:6" x14ac:dyDescent="0.3">
      <c r="A6233" t="s">
        <v>22</v>
      </c>
      <c r="B6233" s="1">
        <v>45917</v>
      </c>
      <c r="C6233">
        <v>17</v>
      </c>
      <c r="D6233">
        <v>1.821</v>
      </c>
      <c r="E6233" t="s">
        <v>23</v>
      </c>
      <c r="F6233">
        <v>6.7150000000000001E-2</v>
      </c>
    </row>
    <row r="6234" spans="1:6" x14ac:dyDescent="0.3">
      <c r="A6234" t="s">
        <v>22</v>
      </c>
      <c r="B6234" s="1">
        <v>45917</v>
      </c>
      <c r="C6234">
        <v>18</v>
      </c>
      <c r="D6234">
        <v>2.6259999999999999</v>
      </c>
      <c r="E6234" t="s">
        <v>23</v>
      </c>
      <c r="F6234">
        <v>0.10038</v>
      </c>
    </row>
    <row r="6235" spans="1:6" x14ac:dyDescent="0.3">
      <c r="A6235" t="s">
        <v>22</v>
      </c>
      <c r="B6235" s="1">
        <v>45917</v>
      </c>
      <c r="C6235">
        <v>19</v>
      </c>
      <c r="D6235">
        <v>0.99099999999999999</v>
      </c>
      <c r="E6235" t="s">
        <v>23</v>
      </c>
      <c r="F6235">
        <v>0.20061999999999999</v>
      </c>
    </row>
    <row r="6236" spans="1:6" x14ac:dyDescent="0.3">
      <c r="A6236" t="s">
        <v>22</v>
      </c>
      <c r="B6236" s="1">
        <v>45917</v>
      </c>
      <c r="C6236">
        <v>20</v>
      </c>
      <c r="D6236">
        <v>1.1850000000000001</v>
      </c>
      <c r="E6236" t="s">
        <v>23</v>
      </c>
      <c r="F6236">
        <v>0.23438999999999999</v>
      </c>
    </row>
    <row r="6237" spans="1:6" x14ac:dyDescent="0.3">
      <c r="A6237" t="s">
        <v>22</v>
      </c>
      <c r="B6237" s="1">
        <v>45917</v>
      </c>
      <c r="C6237">
        <v>21</v>
      </c>
      <c r="D6237">
        <v>0.77300000000000002</v>
      </c>
      <c r="E6237" t="s">
        <v>23</v>
      </c>
      <c r="F6237">
        <v>0.28097000000000005</v>
      </c>
    </row>
    <row r="6238" spans="1:6" x14ac:dyDescent="0.3">
      <c r="A6238" t="s">
        <v>22</v>
      </c>
      <c r="B6238" s="1">
        <v>45917</v>
      </c>
      <c r="C6238">
        <v>22</v>
      </c>
      <c r="D6238">
        <v>1.631</v>
      </c>
      <c r="E6238" t="s">
        <v>23</v>
      </c>
      <c r="F6238">
        <v>0.35428999999999999</v>
      </c>
    </row>
    <row r="6239" spans="1:6" x14ac:dyDescent="0.3">
      <c r="A6239" t="s">
        <v>22</v>
      </c>
      <c r="B6239" s="1">
        <v>45917</v>
      </c>
      <c r="C6239">
        <v>23</v>
      </c>
      <c r="D6239">
        <v>0.94599999999999995</v>
      </c>
      <c r="E6239" t="s">
        <v>23</v>
      </c>
      <c r="F6239">
        <v>0.17512</v>
      </c>
    </row>
    <row r="6240" spans="1:6" x14ac:dyDescent="0.3">
      <c r="A6240" t="s">
        <v>22</v>
      </c>
      <c r="B6240" s="1">
        <v>45917</v>
      </c>
      <c r="C6240">
        <v>24</v>
      </c>
      <c r="D6240">
        <v>0.61099999999999999</v>
      </c>
      <c r="E6240" t="s">
        <v>23</v>
      </c>
      <c r="F6240">
        <v>0.16231999999999999</v>
      </c>
    </row>
    <row r="6241" spans="1:6" x14ac:dyDescent="0.3">
      <c r="A6241" t="s">
        <v>22</v>
      </c>
      <c r="B6241" s="1">
        <v>45918</v>
      </c>
      <c r="C6241">
        <v>1</v>
      </c>
      <c r="D6241">
        <v>0.55800000000000005</v>
      </c>
      <c r="E6241" t="s">
        <v>23</v>
      </c>
      <c r="F6241">
        <v>0.13788999999999998</v>
      </c>
    </row>
    <row r="6242" spans="1:6" x14ac:dyDescent="0.3">
      <c r="A6242" t="s">
        <v>22</v>
      </c>
      <c r="B6242" s="1">
        <v>45918</v>
      </c>
      <c r="C6242">
        <v>2</v>
      </c>
      <c r="D6242">
        <v>0.47699999999999998</v>
      </c>
      <c r="E6242" t="s">
        <v>23</v>
      </c>
      <c r="F6242">
        <v>0.13394</v>
      </c>
    </row>
    <row r="6243" spans="1:6" x14ac:dyDescent="0.3">
      <c r="A6243" t="s">
        <v>22</v>
      </c>
      <c r="B6243" s="1">
        <v>45918</v>
      </c>
      <c r="C6243">
        <v>3</v>
      </c>
      <c r="D6243">
        <v>0.35799999999999998</v>
      </c>
      <c r="E6243" t="s">
        <v>23</v>
      </c>
      <c r="F6243">
        <v>0.13400000000000001</v>
      </c>
    </row>
    <row r="6244" spans="1:6" x14ac:dyDescent="0.3">
      <c r="A6244" t="s">
        <v>22</v>
      </c>
      <c r="B6244" s="1">
        <v>45918</v>
      </c>
      <c r="C6244">
        <v>4</v>
      </c>
      <c r="D6244">
        <v>0.496</v>
      </c>
      <c r="E6244" t="s">
        <v>23</v>
      </c>
      <c r="F6244">
        <v>0.13138</v>
      </c>
    </row>
    <row r="6245" spans="1:6" x14ac:dyDescent="0.3">
      <c r="A6245" t="s">
        <v>22</v>
      </c>
      <c r="B6245" s="1">
        <v>45918</v>
      </c>
      <c r="C6245">
        <v>5</v>
      </c>
      <c r="D6245">
        <v>0.76600000000000001</v>
      </c>
      <c r="E6245" t="s">
        <v>23</v>
      </c>
      <c r="F6245">
        <v>0.13131000000000001</v>
      </c>
    </row>
    <row r="6246" spans="1:6" x14ac:dyDescent="0.3">
      <c r="A6246" t="s">
        <v>22</v>
      </c>
      <c r="B6246" s="1">
        <v>45918</v>
      </c>
      <c r="C6246">
        <v>6</v>
      </c>
      <c r="D6246">
        <v>0.98799999999999999</v>
      </c>
      <c r="E6246" t="s">
        <v>23</v>
      </c>
      <c r="F6246">
        <v>0.13125000000000001</v>
      </c>
    </row>
    <row r="6247" spans="1:6" x14ac:dyDescent="0.3">
      <c r="A6247" t="s">
        <v>22</v>
      </c>
      <c r="B6247" s="1">
        <v>45918</v>
      </c>
      <c r="C6247">
        <v>7</v>
      </c>
      <c r="D6247">
        <v>0.441</v>
      </c>
      <c r="E6247" t="s">
        <v>23</v>
      </c>
      <c r="F6247">
        <v>0.13015000000000002</v>
      </c>
    </row>
    <row r="6248" spans="1:6" x14ac:dyDescent="0.3">
      <c r="A6248" t="s">
        <v>22</v>
      </c>
      <c r="B6248" s="1">
        <v>45918</v>
      </c>
      <c r="C6248">
        <v>8</v>
      </c>
      <c r="D6248">
        <v>0.77</v>
      </c>
      <c r="E6248" t="s">
        <v>23</v>
      </c>
      <c r="F6248">
        <v>0.15084</v>
      </c>
    </row>
    <row r="6249" spans="1:6" x14ac:dyDescent="0.3">
      <c r="A6249" t="s">
        <v>22</v>
      </c>
      <c r="B6249" s="1">
        <v>45918</v>
      </c>
      <c r="C6249">
        <v>9</v>
      </c>
      <c r="D6249">
        <v>0.22600000000000001</v>
      </c>
      <c r="E6249" t="s">
        <v>23</v>
      </c>
      <c r="F6249">
        <v>0.15959999999999999</v>
      </c>
    </row>
    <row r="6250" spans="1:6" x14ac:dyDescent="0.3">
      <c r="A6250" t="s">
        <v>22</v>
      </c>
      <c r="B6250" s="1">
        <v>45918</v>
      </c>
      <c r="C6250">
        <v>10</v>
      </c>
      <c r="D6250">
        <v>0</v>
      </c>
      <c r="E6250" t="s">
        <v>23</v>
      </c>
      <c r="F6250">
        <v>0.15253999999999998</v>
      </c>
    </row>
    <row r="6251" spans="1:6" x14ac:dyDescent="0.3">
      <c r="A6251" t="s">
        <v>22</v>
      </c>
      <c r="B6251" s="1">
        <v>45918</v>
      </c>
      <c r="C6251">
        <v>11</v>
      </c>
      <c r="D6251">
        <v>0</v>
      </c>
      <c r="E6251" t="s">
        <v>23</v>
      </c>
      <c r="F6251">
        <v>0.16641999999999998</v>
      </c>
    </row>
    <row r="6252" spans="1:6" x14ac:dyDescent="0.3">
      <c r="A6252" t="s">
        <v>22</v>
      </c>
      <c r="B6252" s="1">
        <v>45918</v>
      </c>
      <c r="C6252">
        <v>12</v>
      </c>
      <c r="D6252">
        <v>0</v>
      </c>
      <c r="E6252" t="s">
        <v>23</v>
      </c>
      <c r="F6252">
        <v>0.17041999999999999</v>
      </c>
    </row>
    <row r="6253" spans="1:6" x14ac:dyDescent="0.3">
      <c r="A6253" t="s">
        <v>22</v>
      </c>
      <c r="B6253" s="1">
        <v>45918</v>
      </c>
      <c r="C6253">
        <v>13</v>
      </c>
      <c r="D6253">
        <v>0</v>
      </c>
      <c r="E6253" t="s">
        <v>23</v>
      </c>
      <c r="F6253">
        <v>0.159</v>
      </c>
    </row>
    <row r="6254" spans="1:6" x14ac:dyDescent="0.3">
      <c r="A6254" t="s">
        <v>22</v>
      </c>
      <c r="B6254" s="1">
        <v>45918</v>
      </c>
      <c r="C6254">
        <v>14</v>
      </c>
      <c r="D6254">
        <v>0</v>
      </c>
      <c r="E6254" t="s">
        <v>23</v>
      </c>
      <c r="F6254">
        <v>0.15666999999999998</v>
      </c>
    </row>
    <row r="6255" spans="1:6" x14ac:dyDescent="0.3">
      <c r="A6255" t="s">
        <v>22</v>
      </c>
      <c r="B6255" s="1">
        <v>45918</v>
      </c>
      <c r="C6255">
        <v>15</v>
      </c>
      <c r="D6255">
        <v>5.6000000000000001E-2</v>
      </c>
      <c r="E6255" t="s">
        <v>23</v>
      </c>
      <c r="F6255">
        <v>8.5019999999999998E-2</v>
      </c>
    </row>
    <row r="6256" spans="1:6" x14ac:dyDescent="0.3">
      <c r="A6256" t="s">
        <v>22</v>
      </c>
      <c r="B6256" s="1">
        <v>45918</v>
      </c>
      <c r="C6256">
        <v>16</v>
      </c>
      <c r="D6256">
        <v>1.698</v>
      </c>
      <c r="E6256" t="s">
        <v>23</v>
      </c>
      <c r="F6256">
        <v>8.5129999999999997E-2</v>
      </c>
    </row>
    <row r="6257" spans="1:6" x14ac:dyDescent="0.3">
      <c r="A6257" t="s">
        <v>22</v>
      </c>
      <c r="B6257" s="1">
        <v>45918</v>
      </c>
      <c r="C6257">
        <v>17</v>
      </c>
      <c r="D6257">
        <v>0</v>
      </c>
      <c r="E6257" t="s">
        <v>23</v>
      </c>
      <c r="F6257">
        <v>9.7209999999999991E-2</v>
      </c>
    </row>
    <row r="6258" spans="1:6" x14ac:dyDescent="0.3">
      <c r="A6258" t="s">
        <v>22</v>
      </c>
      <c r="B6258" s="1">
        <v>45918</v>
      </c>
      <c r="C6258">
        <v>18</v>
      </c>
      <c r="D6258">
        <v>0</v>
      </c>
      <c r="E6258" t="s">
        <v>23</v>
      </c>
      <c r="F6258">
        <v>0.11142000000000001</v>
      </c>
    </row>
    <row r="6259" spans="1:6" x14ac:dyDescent="0.3">
      <c r="A6259" t="s">
        <v>22</v>
      </c>
      <c r="B6259" s="1">
        <v>45918</v>
      </c>
      <c r="C6259">
        <v>19</v>
      </c>
      <c r="D6259">
        <v>0</v>
      </c>
      <c r="E6259" t="s">
        <v>23</v>
      </c>
      <c r="F6259">
        <v>0.21137</v>
      </c>
    </row>
    <row r="6260" spans="1:6" x14ac:dyDescent="0.3">
      <c r="A6260" t="s">
        <v>22</v>
      </c>
      <c r="B6260" s="1">
        <v>45918</v>
      </c>
      <c r="C6260">
        <v>20</v>
      </c>
      <c r="D6260">
        <v>0.48199999999999998</v>
      </c>
      <c r="E6260" t="s">
        <v>23</v>
      </c>
      <c r="F6260">
        <v>0.23974000000000001</v>
      </c>
    </row>
    <row r="6261" spans="1:6" x14ac:dyDescent="0.3">
      <c r="A6261" t="s">
        <v>22</v>
      </c>
      <c r="B6261" s="1">
        <v>45918</v>
      </c>
      <c r="C6261">
        <v>21</v>
      </c>
      <c r="D6261">
        <v>1.117</v>
      </c>
      <c r="E6261" t="s">
        <v>23</v>
      </c>
      <c r="F6261">
        <v>0.28129000000000004</v>
      </c>
    </row>
    <row r="6262" spans="1:6" x14ac:dyDescent="0.3">
      <c r="A6262" t="s">
        <v>22</v>
      </c>
      <c r="B6262" s="1">
        <v>45918</v>
      </c>
      <c r="C6262">
        <v>22</v>
      </c>
      <c r="D6262">
        <v>1.0820000000000001</v>
      </c>
      <c r="E6262" t="s">
        <v>23</v>
      </c>
      <c r="F6262">
        <v>0.32885000000000003</v>
      </c>
    </row>
    <row r="6263" spans="1:6" x14ac:dyDescent="0.3">
      <c r="A6263" t="s">
        <v>22</v>
      </c>
      <c r="B6263" s="1">
        <v>45918</v>
      </c>
      <c r="C6263">
        <v>23</v>
      </c>
      <c r="D6263">
        <v>0.68799999999999994</v>
      </c>
      <c r="E6263" t="s">
        <v>23</v>
      </c>
      <c r="F6263">
        <v>0.18099999999999999</v>
      </c>
    </row>
    <row r="6264" spans="1:6" x14ac:dyDescent="0.3">
      <c r="A6264" t="s">
        <v>22</v>
      </c>
      <c r="B6264" s="1">
        <v>45918</v>
      </c>
      <c r="C6264">
        <v>24</v>
      </c>
      <c r="D6264">
        <v>1.742</v>
      </c>
      <c r="E6264" t="s">
        <v>23</v>
      </c>
      <c r="F6264">
        <v>0.15800999999999998</v>
      </c>
    </row>
    <row r="6265" spans="1:6" x14ac:dyDescent="0.3">
      <c r="A6265" t="s">
        <v>22</v>
      </c>
      <c r="B6265" s="1">
        <v>45919</v>
      </c>
      <c r="C6265">
        <v>1</v>
      </c>
      <c r="D6265">
        <v>0.42099999999999999</v>
      </c>
      <c r="E6265" t="s">
        <v>23</v>
      </c>
      <c r="F6265">
        <v>0.14421</v>
      </c>
    </row>
    <row r="6266" spans="1:6" x14ac:dyDescent="0.3">
      <c r="A6266" t="s">
        <v>22</v>
      </c>
      <c r="B6266" s="1">
        <v>45919</v>
      </c>
      <c r="C6266">
        <v>2</v>
      </c>
      <c r="D6266">
        <v>0.505</v>
      </c>
      <c r="E6266" t="s">
        <v>23</v>
      </c>
      <c r="F6266">
        <v>0.14271999999999999</v>
      </c>
    </row>
    <row r="6267" spans="1:6" x14ac:dyDescent="0.3">
      <c r="A6267" t="s">
        <v>22</v>
      </c>
      <c r="B6267" s="1">
        <v>45919</v>
      </c>
      <c r="C6267">
        <v>3</v>
      </c>
      <c r="D6267">
        <v>0.46200000000000002</v>
      </c>
      <c r="E6267" t="s">
        <v>23</v>
      </c>
      <c r="F6267">
        <v>0.14068</v>
      </c>
    </row>
    <row r="6268" spans="1:6" x14ac:dyDescent="0.3">
      <c r="A6268" t="s">
        <v>22</v>
      </c>
      <c r="B6268" s="1">
        <v>45919</v>
      </c>
      <c r="C6268">
        <v>4</v>
      </c>
      <c r="D6268">
        <v>0.504</v>
      </c>
      <c r="E6268" t="s">
        <v>23</v>
      </c>
      <c r="F6268">
        <v>0.13763999999999998</v>
      </c>
    </row>
    <row r="6269" spans="1:6" x14ac:dyDescent="0.3">
      <c r="A6269" t="s">
        <v>22</v>
      </c>
      <c r="B6269" s="1">
        <v>45919</v>
      </c>
      <c r="C6269">
        <v>5</v>
      </c>
      <c r="D6269">
        <v>0.39400000000000002</v>
      </c>
      <c r="E6269" t="s">
        <v>23</v>
      </c>
      <c r="F6269">
        <v>0.13644000000000001</v>
      </c>
    </row>
    <row r="6270" spans="1:6" x14ac:dyDescent="0.3">
      <c r="A6270" t="s">
        <v>22</v>
      </c>
      <c r="B6270" s="1">
        <v>45919</v>
      </c>
      <c r="C6270">
        <v>6</v>
      </c>
      <c r="D6270">
        <v>0.49199999999999999</v>
      </c>
      <c r="E6270" t="s">
        <v>23</v>
      </c>
      <c r="F6270">
        <v>0.13674</v>
      </c>
    </row>
    <row r="6271" spans="1:6" x14ac:dyDescent="0.3">
      <c r="A6271" t="s">
        <v>22</v>
      </c>
      <c r="B6271" s="1">
        <v>45919</v>
      </c>
      <c r="C6271">
        <v>7</v>
      </c>
      <c r="D6271">
        <v>0.39100000000000001</v>
      </c>
      <c r="E6271" t="s">
        <v>23</v>
      </c>
      <c r="F6271">
        <v>0.1399</v>
      </c>
    </row>
    <row r="6272" spans="1:6" x14ac:dyDescent="0.3">
      <c r="A6272" t="s">
        <v>22</v>
      </c>
      <c r="B6272" s="1">
        <v>45919</v>
      </c>
      <c r="C6272">
        <v>8</v>
      </c>
      <c r="D6272">
        <v>0.99099999999999999</v>
      </c>
      <c r="E6272" t="s">
        <v>23</v>
      </c>
      <c r="F6272">
        <v>0.14829000000000001</v>
      </c>
    </row>
    <row r="6273" spans="1:6" x14ac:dyDescent="0.3">
      <c r="A6273" t="s">
        <v>22</v>
      </c>
      <c r="B6273" s="1">
        <v>45919</v>
      </c>
      <c r="C6273">
        <v>9</v>
      </c>
      <c r="D6273">
        <v>0.71</v>
      </c>
      <c r="E6273" t="s">
        <v>23</v>
      </c>
      <c r="F6273">
        <v>0.16672000000000001</v>
      </c>
    </row>
    <row r="6274" spans="1:6" x14ac:dyDescent="0.3">
      <c r="A6274" t="s">
        <v>22</v>
      </c>
      <c r="B6274" s="1">
        <v>45919</v>
      </c>
      <c r="C6274">
        <v>10</v>
      </c>
      <c r="D6274">
        <v>2.1240000000000001</v>
      </c>
      <c r="E6274" t="s">
        <v>23</v>
      </c>
      <c r="F6274">
        <v>0.16428999999999999</v>
      </c>
    </row>
    <row r="6275" spans="1:6" x14ac:dyDescent="0.3">
      <c r="A6275" t="s">
        <v>22</v>
      </c>
      <c r="B6275" s="1">
        <v>45919</v>
      </c>
      <c r="C6275">
        <v>11</v>
      </c>
      <c r="D6275">
        <v>1.05</v>
      </c>
      <c r="E6275" t="s">
        <v>23</v>
      </c>
      <c r="F6275">
        <v>0.18242</v>
      </c>
    </row>
    <row r="6276" spans="1:6" x14ac:dyDescent="0.3">
      <c r="A6276" t="s">
        <v>22</v>
      </c>
      <c r="B6276" s="1">
        <v>45919</v>
      </c>
      <c r="C6276">
        <v>12</v>
      </c>
      <c r="D6276">
        <v>0</v>
      </c>
      <c r="E6276" t="s">
        <v>23</v>
      </c>
      <c r="F6276">
        <v>0.16512000000000002</v>
      </c>
    </row>
    <row r="6277" spans="1:6" x14ac:dyDescent="0.3">
      <c r="A6277" t="s">
        <v>22</v>
      </c>
      <c r="B6277" s="1">
        <v>45919</v>
      </c>
      <c r="C6277">
        <v>13</v>
      </c>
      <c r="D6277">
        <v>0.39700000000000002</v>
      </c>
      <c r="E6277" t="s">
        <v>23</v>
      </c>
      <c r="F6277">
        <v>0.16125</v>
      </c>
    </row>
    <row r="6278" spans="1:6" x14ac:dyDescent="0.3">
      <c r="A6278" t="s">
        <v>22</v>
      </c>
      <c r="B6278" s="1">
        <v>45919</v>
      </c>
      <c r="C6278">
        <v>14</v>
      </c>
      <c r="D6278">
        <v>0.93600000000000005</v>
      </c>
      <c r="E6278" t="s">
        <v>23</v>
      </c>
      <c r="F6278">
        <v>0.15471000000000001</v>
      </c>
    </row>
    <row r="6279" spans="1:6" x14ac:dyDescent="0.3">
      <c r="A6279" t="s">
        <v>22</v>
      </c>
      <c r="B6279" s="1">
        <v>45919</v>
      </c>
      <c r="C6279">
        <v>15</v>
      </c>
      <c r="D6279">
        <v>0</v>
      </c>
      <c r="E6279" t="s">
        <v>23</v>
      </c>
      <c r="F6279">
        <v>7.4620000000000006E-2</v>
      </c>
    </row>
    <row r="6280" spans="1:6" x14ac:dyDescent="0.3">
      <c r="A6280" t="s">
        <v>22</v>
      </c>
      <c r="B6280" s="1">
        <v>45919</v>
      </c>
      <c r="C6280">
        <v>16</v>
      </c>
      <c r="D6280">
        <v>0</v>
      </c>
      <c r="E6280" t="s">
        <v>23</v>
      </c>
      <c r="F6280">
        <v>7.6480000000000006E-2</v>
      </c>
    </row>
    <row r="6281" spans="1:6" x14ac:dyDescent="0.3">
      <c r="A6281" t="s">
        <v>22</v>
      </c>
      <c r="B6281" s="1">
        <v>45919</v>
      </c>
      <c r="C6281">
        <v>17</v>
      </c>
      <c r="D6281">
        <v>0</v>
      </c>
      <c r="E6281" t="s">
        <v>23</v>
      </c>
      <c r="F6281">
        <v>0.10104</v>
      </c>
    </row>
    <row r="6282" spans="1:6" x14ac:dyDescent="0.3">
      <c r="A6282" t="s">
        <v>22</v>
      </c>
      <c r="B6282" s="1">
        <v>45919</v>
      </c>
      <c r="C6282">
        <v>18</v>
      </c>
      <c r="D6282">
        <v>0</v>
      </c>
      <c r="E6282" t="s">
        <v>23</v>
      </c>
      <c r="F6282">
        <v>0.11751</v>
      </c>
    </row>
    <row r="6283" spans="1:6" x14ac:dyDescent="0.3">
      <c r="A6283" t="s">
        <v>22</v>
      </c>
      <c r="B6283" s="1">
        <v>45919</v>
      </c>
      <c r="C6283">
        <v>19</v>
      </c>
      <c r="D6283">
        <v>0</v>
      </c>
      <c r="E6283" t="s">
        <v>23</v>
      </c>
      <c r="F6283">
        <v>0.19428000000000001</v>
      </c>
    </row>
    <row r="6284" spans="1:6" x14ac:dyDescent="0.3">
      <c r="A6284" t="s">
        <v>22</v>
      </c>
      <c r="B6284" s="1">
        <v>45919</v>
      </c>
      <c r="C6284">
        <v>20</v>
      </c>
      <c r="D6284">
        <v>0.498</v>
      </c>
      <c r="E6284" t="s">
        <v>23</v>
      </c>
      <c r="F6284">
        <v>0.23263</v>
      </c>
    </row>
    <row r="6285" spans="1:6" x14ac:dyDescent="0.3">
      <c r="A6285" t="s">
        <v>22</v>
      </c>
      <c r="B6285" s="1">
        <v>45919</v>
      </c>
      <c r="C6285">
        <v>21</v>
      </c>
      <c r="D6285">
        <v>0.70699999999999996</v>
      </c>
      <c r="E6285" t="s">
        <v>23</v>
      </c>
      <c r="F6285">
        <v>0.24803999999999998</v>
      </c>
    </row>
    <row r="6286" spans="1:6" x14ac:dyDescent="0.3">
      <c r="A6286" t="s">
        <v>22</v>
      </c>
      <c r="B6286" s="1">
        <v>45919</v>
      </c>
      <c r="C6286">
        <v>22</v>
      </c>
      <c r="D6286">
        <v>1.2649999999999999</v>
      </c>
      <c r="E6286" t="s">
        <v>23</v>
      </c>
      <c r="F6286">
        <v>0.24680000000000002</v>
      </c>
    </row>
    <row r="6287" spans="1:6" x14ac:dyDescent="0.3">
      <c r="A6287" t="s">
        <v>22</v>
      </c>
      <c r="B6287" s="1">
        <v>45919</v>
      </c>
      <c r="C6287">
        <v>23</v>
      </c>
      <c r="D6287">
        <v>0.64300000000000002</v>
      </c>
      <c r="E6287" t="s">
        <v>23</v>
      </c>
      <c r="F6287">
        <v>0.16190000000000002</v>
      </c>
    </row>
    <row r="6288" spans="1:6" x14ac:dyDescent="0.3">
      <c r="A6288" t="s">
        <v>22</v>
      </c>
      <c r="B6288" s="1">
        <v>45919</v>
      </c>
      <c r="C6288">
        <v>24</v>
      </c>
      <c r="D6288">
        <v>0.53200000000000003</v>
      </c>
      <c r="E6288" t="s">
        <v>23</v>
      </c>
      <c r="F6288">
        <v>0.16265000000000002</v>
      </c>
    </row>
    <row r="6289" spans="1:6" x14ac:dyDescent="0.3">
      <c r="A6289" t="s">
        <v>22</v>
      </c>
      <c r="B6289" s="1">
        <v>45920</v>
      </c>
      <c r="C6289">
        <v>1</v>
      </c>
      <c r="D6289">
        <v>0.45500000000000002</v>
      </c>
      <c r="E6289" t="s">
        <v>23</v>
      </c>
      <c r="F6289">
        <v>0.15077000000000002</v>
      </c>
    </row>
    <row r="6290" spans="1:6" x14ac:dyDescent="0.3">
      <c r="A6290" t="s">
        <v>22</v>
      </c>
      <c r="B6290" s="1">
        <v>45920</v>
      </c>
      <c r="C6290">
        <v>2</v>
      </c>
      <c r="D6290">
        <v>0.44600000000000001</v>
      </c>
      <c r="E6290" t="s">
        <v>23</v>
      </c>
      <c r="F6290">
        <v>0.14708000000000002</v>
      </c>
    </row>
    <row r="6291" spans="1:6" x14ac:dyDescent="0.3">
      <c r="A6291" t="s">
        <v>22</v>
      </c>
      <c r="B6291" s="1">
        <v>45920</v>
      </c>
      <c r="C6291">
        <v>3</v>
      </c>
      <c r="D6291">
        <v>0.435</v>
      </c>
      <c r="E6291" t="s">
        <v>23</v>
      </c>
      <c r="F6291">
        <v>0.14524999999999999</v>
      </c>
    </row>
    <row r="6292" spans="1:6" x14ac:dyDescent="0.3">
      <c r="A6292" t="s">
        <v>22</v>
      </c>
      <c r="B6292" s="1">
        <v>45920</v>
      </c>
      <c r="C6292">
        <v>4</v>
      </c>
      <c r="D6292">
        <v>0.432</v>
      </c>
      <c r="E6292" t="s">
        <v>23</v>
      </c>
      <c r="F6292">
        <v>0.13930999999999999</v>
      </c>
    </row>
    <row r="6293" spans="1:6" x14ac:dyDescent="0.3">
      <c r="A6293" t="s">
        <v>22</v>
      </c>
      <c r="B6293" s="1">
        <v>45920</v>
      </c>
      <c r="C6293">
        <v>5</v>
      </c>
      <c r="D6293">
        <v>0.502</v>
      </c>
      <c r="E6293" t="s">
        <v>23</v>
      </c>
      <c r="F6293">
        <v>0.14066000000000001</v>
      </c>
    </row>
    <row r="6294" spans="1:6" x14ac:dyDescent="0.3">
      <c r="A6294" t="s">
        <v>22</v>
      </c>
      <c r="B6294" s="1">
        <v>45920</v>
      </c>
      <c r="C6294">
        <v>6</v>
      </c>
      <c r="D6294">
        <v>0.35</v>
      </c>
      <c r="E6294" t="s">
        <v>23</v>
      </c>
      <c r="F6294">
        <v>0.14076</v>
      </c>
    </row>
    <row r="6295" spans="1:6" x14ac:dyDescent="0.3">
      <c r="A6295" t="s">
        <v>22</v>
      </c>
      <c r="B6295" s="1">
        <v>45920</v>
      </c>
      <c r="C6295">
        <v>7</v>
      </c>
      <c r="D6295">
        <v>0.47899999999999998</v>
      </c>
      <c r="E6295" t="s">
        <v>23</v>
      </c>
      <c r="F6295">
        <v>0.14402999999999999</v>
      </c>
    </row>
    <row r="6296" spans="1:6" x14ac:dyDescent="0.3">
      <c r="A6296" t="s">
        <v>22</v>
      </c>
      <c r="B6296" s="1">
        <v>45920</v>
      </c>
      <c r="C6296">
        <v>8</v>
      </c>
      <c r="D6296">
        <v>0.36499999999999999</v>
      </c>
      <c r="E6296" t="s">
        <v>23</v>
      </c>
      <c r="F6296">
        <v>0.14448</v>
      </c>
    </row>
    <row r="6297" spans="1:6" x14ac:dyDescent="0.3">
      <c r="A6297" t="s">
        <v>22</v>
      </c>
      <c r="B6297" s="1">
        <v>45920</v>
      </c>
      <c r="C6297">
        <v>9</v>
      </c>
      <c r="D6297">
        <v>1.3959999999999999</v>
      </c>
      <c r="E6297" t="s">
        <v>23</v>
      </c>
      <c r="F6297">
        <v>0.15540000000000001</v>
      </c>
    </row>
    <row r="6298" spans="1:6" x14ac:dyDescent="0.3">
      <c r="A6298" t="s">
        <v>22</v>
      </c>
      <c r="B6298" s="1">
        <v>45920</v>
      </c>
      <c r="C6298">
        <v>10</v>
      </c>
      <c r="D6298">
        <v>0.55000000000000004</v>
      </c>
      <c r="E6298" t="s">
        <v>23</v>
      </c>
      <c r="F6298">
        <v>0.11455</v>
      </c>
    </row>
    <row r="6299" spans="1:6" x14ac:dyDescent="0.3">
      <c r="A6299" t="s">
        <v>22</v>
      </c>
      <c r="B6299" s="1">
        <v>45920</v>
      </c>
      <c r="C6299">
        <v>11</v>
      </c>
      <c r="D6299">
        <v>0</v>
      </c>
      <c r="E6299" t="s">
        <v>23</v>
      </c>
      <c r="F6299">
        <v>6.7720000000000002E-2</v>
      </c>
    </row>
    <row r="6300" spans="1:6" x14ac:dyDescent="0.3">
      <c r="A6300" t="s">
        <v>22</v>
      </c>
      <c r="B6300" s="1">
        <v>45920</v>
      </c>
      <c r="C6300">
        <v>12</v>
      </c>
      <c r="D6300">
        <v>0</v>
      </c>
      <c r="E6300" t="s">
        <v>23</v>
      </c>
      <c r="F6300">
        <v>3.7870000000000001E-2</v>
      </c>
    </row>
    <row r="6301" spans="1:6" x14ac:dyDescent="0.3">
      <c r="A6301" t="s">
        <v>22</v>
      </c>
      <c r="B6301" s="1">
        <v>45920</v>
      </c>
      <c r="C6301">
        <v>13</v>
      </c>
      <c r="D6301">
        <v>0</v>
      </c>
      <c r="E6301" t="s">
        <v>23</v>
      </c>
      <c r="F6301">
        <v>3.474E-2</v>
      </c>
    </row>
    <row r="6302" spans="1:6" x14ac:dyDescent="0.3">
      <c r="A6302" t="s">
        <v>22</v>
      </c>
      <c r="B6302" s="1">
        <v>45920</v>
      </c>
      <c r="C6302">
        <v>14</v>
      </c>
      <c r="D6302">
        <v>0</v>
      </c>
      <c r="E6302" t="s">
        <v>23</v>
      </c>
      <c r="F6302">
        <v>3.313E-2</v>
      </c>
    </row>
    <row r="6303" spans="1:6" x14ac:dyDescent="0.3">
      <c r="A6303" t="s">
        <v>22</v>
      </c>
      <c r="B6303" s="1">
        <v>45920</v>
      </c>
      <c r="C6303">
        <v>15</v>
      </c>
      <c r="D6303">
        <v>0</v>
      </c>
      <c r="E6303" t="s">
        <v>23</v>
      </c>
      <c r="F6303">
        <v>3.4049999999999997E-2</v>
      </c>
    </row>
    <row r="6304" spans="1:6" x14ac:dyDescent="0.3">
      <c r="A6304" t="s">
        <v>22</v>
      </c>
      <c r="B6304" s="1">
        <v>45920</v>
      </c>
      <c r="C6304">
        <v>16</v>
      </c>
      <c r="D6304">
        <v>0.70499999999999996</v>
      </c>
      <c r="E6304" t="s">
        <v>23</v>
      </c>
      <c r="F6304">
        <v>3.5150000000000001E-2</v>
      </c>
    </row>
    <row r="6305" spans="1:6" x14ac:dyDescent="0.3">
      <c r="A6305" t="s">
        <v>22</v>
      </c>
      <c r="B6305" s="1">
        <v>45920</v>
      </c>
      <c r="C6305">
        <v>17</v>
      </c>
      <c r="D6305">
        <v>0</v>
      </c>
      <c r="E6305" t="s">
        <v>23</v>
      </c>
      <c r="F6305">
        <v>3.984E-2</v>
      </c>
    </row>
    <row r="6306" spans="1:6" x14ac:dyDescent="0.3">
      <c r="A6306" t="s">
        <v>22</v>
      </c>
      <c r="B6306" s="1">
        <v>45920</v>
      </c>
      <c r="C6306">
        <v>18</v>
      </c>
      <c r="D6306">
        <v>0</v>
      </c>
      <c r="E6306" t="s">
        <v>23</v>
      </c>
      <c r="F6306">
        <v>5.3810000000000004E-2</v>
      </c>
    </row>
    <row r="6307" spans="1:6" x14ac:dyDescent="0.3">
      <c r="A6307" t="s">
        <v>22</v>
      </c>
      <c r="B6307" s="1">
        <v>45920</v>
      </c>
      <c r="C6307">
        <v>19</v>
      </c>
      <c r="D6307">
        <v>0</v>
      </c>
      <c r="E6307" t="s">
        <v>23</v>
      </c>
      <c r="F6307">
        <v>9.919E-2</v>
      </c>
    </row>
    <row r="6308" spans="1:6" x14ac:dyDescent="0.3">
      <c r="A6308" t="s">
        <v>22</v>
      </c>
      <c r="B6308" s="1">
        <v>45920</v>
      </c>
      <c r="C6308">
        <v>20</v>
      </c>
      <c r="D6308">
        <v>0.53700000000000003</v>
      </c>
      <c r="E6308" t="s">
        <v>23</v>
      </c>
      <c r="F6308">
        <v>0.13558000000000001</v>
      </c>
    </row>
    <row r="6309" spans="1:6" x14ac:dyDescent="0.3">
      <c r="A6309" t="s">
        <v>22</v>
      </c>
      <c r="B6309" s="1">
        <v>45920</v>
      </c>
      <c r="C6309">
        <v>21</v>
      </c>
      <c r="D6309">
        <v>0.35499999999999998</v>
      </c>
      <c r="E6309" t="s">
        <v>23</v>
      </c>
      <c r="F6309">
        <v>0.15233000000000002</v>
      </c>
    </row>
    <row r="6310" spans="1:6" x14ac:dyDescent="0.3">
      <c r="A6310" t="s">
        <v>22</v>
      </c>
      <c r="B6310" s="1">
        <v>45920</v>
      </c>
      <c r="C6310">
        <v>22</v>
      </c>
      <c r="D6310">
        <v>0.51200000000000001</v>
      </c>
      <c r="E6310" t="s">
        <v>23</v>
      </c>
      <c r="F6310">
        <v>0.15375999999999998</v>
      </c>
    </row>
    <row r="6311" spans="1:6" x14ac:dyDescent="0.3">
      <c r="A6311" t="s">
        <v>22</v>
      </c>
      <c r="B6311" s="1">
        <v>45920</v>
      </c>
      <c r="C6311">
        <v>23</v>
      </c>
      <c r="D6311">
        <v>0.432</v>
      </c>
      <c r="E6311" t="s">
        <v>23</v>
      </c>
      <c r="F6311">
        <v>0.14887</v>
      </c>
    </row>
    <row r="6312" spans="1:6" x14ac:dyDescent="0.3">
      <c r="A6312" t="s">
        <v>22</v>
      </c>
      <c r="B6312" s="1">
        <v>45920</v>
      </c>
      <c r="C6312">
        <v>24</v>
      </c>
      <c r="D6312">
        <v>0.65600000000000003</v>
      </c>
      <c r="E6312" t="s">
        <v>23</v>
      </c>
      <c r="F6312">
        <v>0.14662</v>
      </c>
    </row>
    <row r="6313" spans="1:6" x14ac:dyDescent="0.3">
      <c r="A6313" t="s">
        <v>22</v>
      </c>
      <c r="B6313" s="1">
        <v>45921</v>
      </c>
      <c r="C6313">
        <v>1</v>
      </c>
      <c r="D6313">
        <v>1.3480000000000001</v>
      </c>
      <c r="E6313" t="s">
        <v>23</v>
      </c>
      <c r="F6313">
        <v>0.14574999999999999</v>
      </c>
    </row>
    <row r="6314" spans="1:6" x14ac:dyDescent="0.3">
      <c r="A6314" t="s">
        <v>22</v>
      </c>
      <c r="B6314" s="1">
        <v>45921</v>
      </c>
      <c r="C6314">
        <v>2</v>
      </c>
      <c r="D6314">
        <v>0.48199999999999998</v>
      </c>
      <c r="E6314" t="s">
        <v>23</v>
      </c>
      <c r="F6314">
        <v>0.14471000000000001</v>
      </c>
    </row>
    <row r="6315" spans="1:6" x14ac:dyDescent="0.3">
      <c r="A6315" t="s">
        <v>22</v>
      </c>
      <c r="B6315" s="1">
        <v>45921</v>
      </c>
      <c r="C6315">
        <v>3</v>
      </c>
      <c r="D6315">
        <v>0.42699999999999999</v>
      </c>
      <c r="E6315" t="s">
        <v>23</v>
      </c>
      <c r="F6315">
        <v>0.13928000000000001</v>
      </c>
    </row>
    <row r="6316" spans="1:6" x14ac:dyDescent="0.3">
      <c r="A6316" t="s">
        <v>22</v>
      </c>
      <c r="B6316" s="1">
        <v>45921</v>
      </c>
      <c r="C6316">
        <v>4</v>
      </c>
      <c r="D6316">
        <v>0.48299999999999998</v>
      </c>
      <c r="E6316" t="s">
        <v>23</v>
      </c>
      <c r="F6316">
        <v>0.14274000000000001</v>
      </c>
    </row>
    <row r="6317" spans="1:6" x14ac:dyDescent="0.3">
      <c r="A6317" t="s">
        <v>22</v>
      </c>
      <c r="B6317" s="1">
        <v>45921</v>
      </c>
      <c r="C6317">
        <v>5</v>
      </c>
      <c r="D6317">
        <v>0.39900000000000002</v>
      </c>
      <c r="E6317" t="s">
        <v>23</v>
      </c>
      <c r="F6317">
        <v>0.14357</v>
      </c>
    </row>
    <row r="6318" spans="1:6" x14ac:dyDescent="0.3">
      <c r="A6318" t="s">
        <v>22</v>
      </c>
      <c r="B6318" s="1">
        <v>45921</v>
      </c>
      <c r="C6318">
        <v>6</v>
      </c>
      <c r="D6318">
        <v>0.44500000000000001</v>
      </c>
      <c r="E6318" t="s">
        <v>23</v>
      </c>
      <c r="F6318">
        <v>0.13930999999999999</v>
      </c>
    </row>
    <row r="6319" spans="1:6" x14ac:dyDescent="0.3">
      <c r="A6319" t="s">
        <v>22</v>
      </c>
      <c r="B6319" s="1">
        <v>45921</v>
      </c>
      <c r="C6319">
        <v>7</v>
      </c>
      <c r="D6319">
        <v>0.40699999999999997</v>
      </c>
      <c r="E6319" t="s">
        <v>23</v>
      </c>
      <c r="F6319">
        <v>0.13871</v>
      </c>
    </row>
    <row r="6320" spans="1:6" x14ac:dyDescent="0.3">
      <c r="A6320" t="s">
        <v>22</v>
      </c>
      <c r="B6320" s="1">
        <v>45921</v>
      </c>
      <c r="C6320">
        <v>8</v>
      </c>
      <c r="D6320">
        <v>0.46800000000000003</v>
      </c>
      <c r="E6320" t="s">
        <v>23</v>
      </c>
      <c r="F6320">
        <v>0.14908000000000002</v>
      </c>
    </row>
    <row r="6321" spans="1:6" x14ac:dyDescent="0.3">
      <c r="A6321" t="s">
        <v>22</v>
      </c>
      <c r="B6321" s="1">
        <v>45921</v>
      </c>
      <c r="C6321">
        <v>9</v>
      </c>
      <c r="D6321">
        <v>0.47899999999999998</v>
      </c>
      <c r="E6321" t="s">
        <v>23</v>
      </c>
      <c r="F6321">
        <v>0.13883999999999999</v>
      </c>
    </row>
    <row r="6322" spans="1:6" x14ac:dyDescent="0.3">
      <c r="A6322" t="s">
        <v>22</v>
      </c>
      <c r="B6322" s="1">
        <v>45921</v>
      </c>
      <c r="C6322">
        <v>10</v>
      </c>
      <c r="D6322">
        <v>0.99199999999999999</v>
      </c>
      <c r="E6322" t="s">
        <v>23</v>
      </c>
      <c r="F6322">
        <v>8.7160000000000001E-2</v>
      </c>
    </row>
    <row r="6323" spans="1:6" x14ac:dyDescent="0.3">
      <c r="A6323" t="s">
        <v>22</v>
      </c>
      <c r="B6323" s="1">
        <v>45921</v>
      </c>
      <c r="C6323">
        <v>11</v>
      </c>
      <c r="D6323">
        <v>1.1100000000000001</v>
      </c>
      <c r="E6323" t="s">
        <v>23</v>
      </c>
      <c r="F6323">
        <v>6.8599999999999994E-2</v>
      </c>
    </row>
    <row r="6324" spans="1:6" x14ac:dyDescent="0.3">
      <c r="A6324" t="s">
        <v>22</v>
      </c>
      <c r="B6324" s="1">
        <v>45921</v>
      </c>
      <c r="C6324">
        <v>12</v>
      </c>
      <c r="D6324">
        <v>1.6950000000000001</v>
      </c>
      <c r="E6324" t="s">
        <v>23</v>
      </c>
      <c r="F6324">
        <v>6.0080000000000001E-2</v>
      </c>
    </row>
    <row r="6325" spans="1:6" x14ac:dyDescent="0.3">
      <c r="A6325" t="s">
        <v>22</v>
      </c>
      <c r="B6325" s="1">
        <v>45921</v>
      </c>
      <c r="C6325">
        <v>13</v>
      </c>
      <c r="D6325">
        <v>0.26400000000000001</v>
      </c>
      <c r="E6325" t="s">
        <v>23</v>
      </c>
      <c r="F6325">
        <v>5.8799999999999998E-2</v>
      </c>
    </row>
    <row r="6326" spans="1:6" x14ac:dyDescent="0.3">
      <c r="A6326" t="s">
        <v>22</v>
      </c>
      <c r="B6326" s="1">
        <v>45921</v>
      </c>
      <c r="C6326">
        <v>14</v>
      </c>
      <c r="D6326">
        <v>0</v>
      </c>
      <c r="E6326" t="s">
        <v>23</v>
      </c>
      <c r="F6326">
        <v>5.772E-2</v>
      </c>
    </row>
    <row r="6327" spans="1:6" x14ac:dyDescent="0.3">
      <c r="A6327" t="s">
        <v>22</v>
      </c>
      <c r="B6327" s="1">
        <v>45921</v>
      </c>
      <c r="C6327">
        <v>15</v>
      </c>
      <c r="D6327">
        <v>0.92600000000000005</v>
      </c>
      <c r="E6327" t="s">
        <v>23</v>
      </c>
      <c r="F6327">
        <v>5.7509999999999999E-2</v>
      </c>
    </row>
    <row r="6328" spans="1:6" x14ac:dyDescent="0.3">
      <c r="A6328" t="s">
        <v>22</v>
      </c>
      <c r="B6328" s="1">
        <v>45921</v>
      </c>
      <c r="C6328">
        <v>16</v>
      </c>
      <c r="D6328">
        <v>1.379</v>
      </c>
      <c r="E6328" t="s">
        <v>23</v>
      </c>
      <c r="F6328">
        <v>5.806E-2</v>
      </c>
    </row>
    <row r="6329" spans="1:6" x14ac:dyDescent="0.3">
      <c r="A6329" t="s">
        <v>22</v>
      </c>
      <c r="B6329" s="1">
        <v>45921</v>
      </c>
      <c r="C6329">
        <v>17</v>
      </c>
      <c r="D6329">
        <v>0.71499999999999997</v>
      </c>
      <c r="E6329" t="s">
        <v>23</v>
      </c>
      <c r="F6329">
        <v>5.8799999999999998E-2</v>
      </c>
    </row>
    <row r="6330" spans="1:6" x14ac:dyDescent="0.3">
      <c r="A6330" t="s">
        <v>22</v>
      </c>
      <c r="B6330" s="1">
        <v>45921</v>
      </c>
      <c r="C6330">
        <v>18</v>
      </c>
      <c r="D6330">
        <v>0.41299999999999998</v>
      </c>
      <c r="E6330" t="s">
        <v>23</v>
      </c>
      <c r="F6330">
        <v>5.96E-2</v>
      </c>
    </row>
    <row r="6331" spans="1:6" x14ac:dyDescent="0.3">
      <c r="A6331" t="s">
        <v>22</v>
      </c>
      <c r="B6331" s="1">
        <v>45921</v>
      </c>
      <c r="C6331">
        <v>19</v>
      </c>
      <c r="D6331">
        <v>0.89500000000000002</v>
      </c>
      <c r="E6331" t="s">
        <v>23</v>
      </c>
      <c r="F6331">
        <v>6.132E-2</v>
      </c>
    </row>
    <row r="6332" spans="1:6" x14ac:dyDescent="0.3">
      <c r="A6332" t="s">
        <v>22</v>
      </c>
      <c r="B6332" s="1">
        <v>45921</v>
      </c>
      <c r="C6332">
        <v>20</v>
      </c>
      <c r="D6332">
        <v>0.63700000000000001</v>
      </c>
      <c r="E6332" t="s">
        <v>23</v>
      </c>
      <c r="F6332">
        <v>0.10606</v>
      </c>
    </row>
    <row r="6333" spans="1:6" x14ac:dyDescent="0.3">
      <c r="A6333" t="s">
        <v>22</v>
      </c>
      <c r="B6333" s="1">
        <v>45921</v>
      </c>
      <c r="C6333">
        <v>21</v>
      </c>
      <c r="D6333">
        <v>0.95899999999999996</v>
      </c>
      <c r="E6333" t="s">
        <v>23</v>
      </c>
      <c r="F6333">
        <v>0.13061</v>
      </c>
    </row>
    <row r="6334" spans="1:6" x14ac:dyDescent="0.3">
      <c r="A6334" t="s">
        <v>22</v>
      </c>
      <c r="B6334" s="1">
        <v>45921</v>
      </c>
      <c r="C6334">
        <v>22</v>
      </c>
      <c r="D6334">
        <v>1.498</v>
      </c>
      <c r="E6334" t="s">
        <v>23</v>
      </c>
      <c r="F6334">
        <v>0.11712</v>
      </c>
    </row>
    <row r="6335" spans="1:6" x14ac:dyDescent="0.3">
      <c r="A6335" t="s">
        <v>22</v>
      </c>
      <c r="B6335" s="1">
        <v>45921</v>
      </c>
      <c r="C6335">
        <v>23</v>
      </c>
      <c r="D6335">
        <v>0.77400000000000002</v>
      </c>
      <c r="E6335" t="s">
        <v>23</v>
      </c>
      <c r="F6335">
        <v>0.11170999999999999</v>
      </c>
    </row>
    <row r="6336" spans="1:6" x14ac:dyDescent="0.3">
      <c r="A6336" t="s">
        <v>22</v>
      </c>
      <c r="B6336" s="1">
        <v>45921</v>
      </c>
      <c r="C6336">
        <v>24</v>
      </c>
      <c r="D6336">
        <v>0.46200000000000002</v>
      </c>
      <c r="E6336" t="s">
        <v>23</v>
      </c>
      <c r="F6336">
        <v>9.7360000000000002E-2</v>
      </c>
    </row>
    <row r="6337" spans="1:6" x14ac:dyDescent="0.3">
      <c r="A6337" t="s">
        <v>22</v>
      </c>
      <c r="B6337" s="1">
        <v>45922</v>
      </c>
      <c r="C6337">
        <v>1</v>
      </c>
      <c r="D6337">
        <v>0.34300000000000003</v>
      </c>
      <c r="E6337" t="s">
        <v>23</v>
      </c>
      <c r="F6337">
        <v>9.9809999999999996E-2</v>
      </c>
    </row>
    <row r="6338" spans="1:6" x14ac:dyDescent="0.3">
      <c r="A6338" t="s">
        <v>22</v>
      </c>
      <c r="B6338" s="1">
        <v>45922</v>
      </c>
      <c r="C6338">
        <v>2</v>
      </c>
      <c r="D6338">
        <v>0.33800000000000002</v>
      </c>
      <c r="E6338" t="s">
        <v>23</v>
      </c>
      <c r="F6338">
        <v>0.10079</v>
      </c>
    </row>
    <row r="6339" spans="1:6" x14ac:dyDescent="0.3">
      <c r="A6339" t="s">
        <v>22</v>
      </c>
      <c r="B6339" s="1">
        <v>45922</v>
      </c>
      <c r="C6339">
        <v>3</v>
      </c>
      <c r="D6339">
        <v>0.32300000000000001</v>
      </c>
      <c r="E6339" t="s">
        <v>23</v>
      </c>
      <c r="F6339">
        <v>9.9089999999999998E-2</v>
      </c>
    </row>
    <row r="6340" spans="1:6" x14ac:dyDescent="0.3">
      <c r="A6340" t="s">
        <v>22</v>
      </c>
      <c r="B6340" s="1">
        <v>45922</v>
      </c>
      <c r="C6340">
        <v>4</v>
      </c>
      <c r="D6340">
        <v>0.36099999999999999</v>
      </c>
      <c r="E6340" t="s">
        <v>23</v>
      </c>
      <c r="F6340">
        <v>9.9819999999999992E-2</v>
      </c>
    </row>
    <row r="6341" spans="1:6" x14ac:dyDescent="0.3">
      <c r="A6341" t="s">
        <v>22</v>
      </c>
      <c r="B6341" s="1">
        <v>45922</v>
      </c>
      <c r="C6341">
        <v>5</v>
      </c>
      <c r="D6341">
        <v>0.311</v>
      </c>
      <c r="E6341" t="s">
        <v>23</v>
      </c>
      <c r="F6341">
        <v>0.10814</v>
      </c>
    </row>
    <row r="6342" spans="1:6" x14ac:dyDescent="0.3">
      <c r="A6342" t="s">
        <v>22</v>
      </c>
      <c r="B6342" s="1">
        <v>45922</v>
      </c>
      <c r="C6342">
        <v>6</v>
      </c>
      <c r="D6342">
        <v>0.34799999999999998</v>
      </c>
      <c r="E6342" t="s">
        <v>23</v>
      </c>
      <c r="F6342">
        <v>0.10167</v>
      </c>
    </row>
    <row r="6343" spans="1:6" x14ac:dyDescent="0.3">
      <c r="A6343" t="s">
        <v>22</v>
      </c>
      <c r="B6343" s="1">
        <v>45922</v>
      </c>
      <c r="C6343">
        <v>7</v>
      </c>
      <c r="D6343">
        <v>0.37</v>
      </c>
      <c r="E6343" t="s">
        <v>23</v>
      </c>
      <c r="F6343">
        <v>0.10213999999999999</v>
      </c>
    </row>
    <row r="6344" spans="1:6" x14ac:dyDescent="0.3">
      <c r="A6344" t="s">
        <v>22</v>
      </c>
      <c r="B6344" s="1">
        <v>45922</v>
      </c>
      <c r="C6344">
        <v>8</v>
      </c>
      <c r="D6344">
        <v>0.68799999999999994</v>
      </c>
      <c r="E6344" t="s">
        <v>23</v>
      </c>
      <c r="F6344">
        <v>0.12615999999999999</v>
      </c>
    </row>
    <row r="6345" spans="1:6" x14ac:dyDescent="0.3">
      <c r="A6345" t="s">
        <v>22</v>
      </c>
      <c r="B6345" s="1">
        <v>45922</v>
      </c>
      <c r="C6345">
        <v>9</v>
      </c>
      <c r="D6345">
        <v>1.274</v>
      </c>
      <c r="E6345" t="s">
        <v>23</v>
      </c>
      <c r="F6345">
        <v>0.14996999999999999</v>
      </c>
    </row>
    <row r="6346" spans="1:6" x14ac:dyDescent="0.3">
      <c r="A6346" t="s">
        <v>22</v>
      </c>
      <c r="B6346" s="1">
        <v>45922</v>
      </c>
      <c r="C6346">
        <v>10</v>
      </c>
      <c r="D6346">
        <v>0</v>
      </c>
      <c r="E6346" t="s">
        <v>23</v>
      </c>
      <c r="F6346">
        <v>0.11244</v>
      </c>
    </row>
    <row r="6347" spans="1:6" x14ac:dyDescent="0.3">
      <c r="A6347" t="s">
        <v>22</v>
      </c>
      <c r="B6347" s="1">
        <v>45922</v>
      </c>
      <c r="C6347">
        <v>11</v>
      </c>
      <c r="D6347">
        <v>1.0569999999999999</v>
      </c>
      <c r="E6347" t="s">
        <v>23</v>
      </c>
      <c r="F6347">
        <v>0.14696999999999999</v>
      </c>
    </row>
    <row r="6348" spans="1:6" x14ac:dyDescent="0.3">
      <c r="A6348" t="s">
        <v>22</v>
      </c>
      <c r="B6348" s="1">
        <v>45922</v>
      </c>
      <c r="C6348">
        <v>12</v>
      </c>
      <c r="D6348">
        <v>0</v>
      </c>
      <c r="E6348" t="s">
        <v>23</v>
      </c>
      <c r="F6348">
        <v>0.14458000000000001</v>
      </c>
    </row>
    <row r="6349" spans="1:6" x14ac:dyDescent="0.3">
      <c r="A6349" t="s">
        <v>22</v>
      </c>
      <c r="B6349" s="1">
        <v>45922</v>
      </c>
      <c r="C6349">
        <v>13</v>
      </c>
      <c r="D6349">
        <v>0</v>
      </c>
      <c r="E6349" t="s">
        <v>23</v>
      </c>
      <c r="F6349">
        <v>0.14437</v>
      </c>
    </row>
    <row r="6350" spans="1:6" x14ac:dyDescent="0.3">
      <c r="A6350" t="s">
        <v>22</v>
      </c>
      <c r="B6350" s="1">
        <v>45922</v>
      </c>
      <c r="C6350">
        <v>14</v>
      </c>
      <c r="D6350">
        <v>0</v>
      </c>
      <c r="E6350" t="s">
        <v>23</v>
      </c>
      <c r="F6350">
        <v>0.14258999999999999</v>
      </c>
    </row>
    <row r="6351" spans="1:6" x14ac:dyDescent="0.3">
      <c r="A6351" t="s">
        <v>22</v>
      </c>
      <c r="B6351" s="1">
        <v>45922</v>
      </c>
      <c r="C6351">
        <v>15</v>
      </c>
      <c r="D6351">
        <v>0</v>
      </c>
      <c r="E6351" t="s">
        <v>23</v>
      </c>
      <c r="F6351">
        <v>7.7579999999999996E-2</v>
      </c>
    </row>
    <row r="6352" spans="1:6" x14ac:dyDescent="0.3">
      <c r="A6352" t="s">
        <v>22</v>
      </c>
      <c r="B6352" s="1">
        <v>45922</v>
      </c>
      <c r="C6352">
        <v>16</v>
      </c>
      <c r="D6352">
        <v>0</v>
      </c>
      <c r="E6352" t="s">
        <v>23</v>
      </c>
      <c r="F6352">
        <v>7.7909999999999993E-2</v>
      </c>
    </row>
    <row r="6353" spans="1:6" x14ac:dyDescent="0.3">
      <c r="A6353" t="s">
        <v>22</v>
      </c>
      <c r="B6353" s="1">
        <v>45922</v>
      </c>
      <c r="C6353">
        <v>17</v>
      </c>
      <c r="D6353">
        <v>1.2310000000000001</v>
      </c>
      <c r="E6353" t="s">
        <v>23</v>
      </c>
      <c r="F6353">
        <v>7.8189999999999996E-2</v>
      </c>
    </row>
    <row r="6354" spans="1:6" x14ac:dyDescent="0.3">
      <c r="A6354" t="s">
        <v>22</v>
      </c>
      <c r="B6354" s="1">
        <v>45922</v>
      </c>
      <c r="C6354">
        <v>18</v>
      </c>
      <c r="D6354">
        <v>0</v>
      </c>
      <c r="E6354" t="s">
        <v>23</v>
      </c>
      <c r="F6354">
        <v>7.8450000000000006E-2</v>
      </c>
    </row>
    <row r="6355" spans="1:6" x14ac:dyDescent="0.3">
      <c r="A6355" t="s">
        <v>22</v>
      </c>
      <c r="B6355" s="1">
        <v>45922</v>
      </c>
      <c r="C6355">
        <v>19</v>
      </c>
      <c r="D6355">
        <v>1.0999999999999999E-2</v>
      </c>
      <c r="E6355" t="s">
        <v>23</v>
      </c>
      <c r="F6355">
        <v>0.16297999999999999</v>
      </c>
    </row>
    <row r="6356" spans="1:6" x14ac:dyDescent="0.3">
      <c r="A6356" t="s">
        <v>22</v>
      </c>
      <c r="B6356" s="1">
        <v>45922</v>
      </c>
      <c r="C6356">
        <v>20</v>
      </c>
      <c r="D6356">
        <v>0.70799999999999996</v>
      </c>
      <c r="E6356" t="s">
        <v>23</v>
      </c>
      <c r="F6356">
        <v>0.22256999999999999</v>
      </c>
    </row>
    <row r="6357" spans="1:6" x14ac:dyDescent="0.3">
      <c r="A6357" t="s">
        <v>22</v>
      </c>
      <c r="B6357" s="1">
        <v>45922</v>
      </c>
      <c r="C6357">
        <v>21</v>
      </c>
      <c r="D6357">
        <v>0.90100000000000002</v>
      </c>
      <c r="E6357" t="s">
        <v>23</v>
      </c>
      <c r="F6357">
        <v>0.27331</v>
      </c>
    </row>
    <row r="6358" spans="1:6" x14ac:dyDescent="0.3">
      <c r="A6358" t="s">
        <v>22</v>
      </c>
      <c r="B6358" s="1">
        <v>45922</v>
      </c>
      <c r="C6358">
        <v>22</v>
      </c>
      <c r="D6358">
        <v>0.38</v>
      </c>
      <c r="E6358" t="s">
        <v>23</v>
      </c>
      <c r="F6358">
        <v>0.26727000000000001</v>
      </c>
    </row>
    <row r="6359" spans="1:6" x14ac:dyDescent="0.3">
      <c r="A6359" t="s">
        <v>22</v>
      </c>
      <c r="B6359" s="1">
        <v>45922</v>
      </c>
      <c r="C6359">
        <v>23</v>
      </c>
      <c r="D6359">
        <v>0.33400000000000002</v>
      </c>
      <c r="E6359" t="s">
        <v>23</v>
      </c>
      <c r="F6359">
        <v>0.17590999999999998</v>
      </c>
    </row>
    <row r="6360" spans="1:6" x14ac:dyDescent="0.3">
      <c r="A6360" t="s">
        <v>22</v>
      </c>
      <c r="B6360" s="1">
        <v>45922</v>
      </c>
      <c r="C6360">
        <v>24</v>
      </c>
      <c r="D6360">
        <v>0.25600000000000001</v>
      </c>
      <c r="E6360" t="s">
        <v>23</v>
      </c>
      <c r="F6360">
        <v>0.17552000000000001</v>
      </c>
    </row>
    <row r="6361" spans="1:6" x14ac:dyDescent="0.3">
      <c r="A6361" t="s">
        <v>22</v>
      </c>
      <c r="B6361" s="1">
        <v>45923</v>
      </c>
      <c r="C6361">
        <v>1</v>
      </c>
      <c r="D6361">
        <v>0.16200000000000001</v>
      </c>
      <c r="E6361" t="s">
        <v>23</v>
      </c>
      <c r="F6361">
        <v>0.13719000000000001</v>
      </c>
    </row>
    <row r="6362" spans="1:6" x14ac:dyDescent="0.3">
      <c r="A6362" t="s">
        <v>22</v>
      </c>
      <c r="B6362" s="1">
        <v>45923</v>
      </c>
      <c r="C6362">
        <v>2</v>
      </c>
      <c r="D6362">
        <v>0.17599999999999999</v>
      </c>
      <c r="E6362" t="s">
        <v>23</v>
      </c>
      <c r="F6362">
        <v>0.12114</v>
      </c>
    </row>
    <row r="6363" spans="1:6" x14ac:dyDescent="0.3">
      <c r="A6363" t="s">
        <v>22</v>
      </c>
      <c r="B6363" s="1">
        <v>45923</v>
      </c>
      <c r="C6363">
        <v>3</v>
      </c>
      <c r="D6363">
        <v>0.123</v>
      </c>
      <c r="E6363" t="s">
        <v>23</v>
      </c>
      <c r="F6363">
        <v>0.14555000000000001</v>
      </c>
    </row>
    <row r="6364" spans="1:6" x14ac:dyDescent="0.3">
      <c r="A6364" t="s">
        <v>22</v>
      </c>
      <c r="B6364" s="1">
        <v>45923</v>
      </c>
      <c r="C6364">
        <v>4</v>
      </c>
      <c r="D6364">
        <v>0.16400000000000001</v>
      </c>
      <c r="E6364" t="s">
        <v>23</v>
      </c>
      <c r="F6364">
        <v>0.1346</v>
      </c>
    </row>
    <row r="6365" spans="1:6" x14ac:dyDescent="0.3">
      <c r="A6365" t="s">
        <v>22</v>
      </c>
      <c r="B6365" s="1">
        <v>45923</v>
      </c>
      <c r="C6365">
        <v>5</v>
      </c>
      <c r="D6365">
        <v>0.13100000000000001</v>
      </c>
      <c r="E6365" t="s">
        <v>23</v>
      </c>
      <c r="F6365">
        <v>0.13703000000000001</v>
      </c>
    </row>
    <row r="6366" spans="1:6" x14ac:dyDescent="0.3">
      <c r="A6366" t="s">
        <v>22</v>
      </c>
      <c r="B6366" s="1">
        <v>45923</v>
      </c>
      <c r="C6366">
        <v>6</v>
      </c>
      <c r="D6366">
        <v>0.17899999999999999</v>
      </c>
      <c r="E6366" t="s">
        <v>23</v>
      </c>
      <c r="F6366">
        <v>0.14007</v>
      </c>
    </row>
    <row r="6367" spans="1:6" x14ac:dyDescent="0.3">
      <c r="A6367" t="s">
        <v>22</v>
      </c>
      <c r="B6367" s="1">
        <v>45923</v>
      </c>
      <c r="C6367">
        <v>7</v>
      </c>
      <c r="D6367">
        <v>0.22700000000000001</v>
      </c>
      <c r="E6367" t="s">
        <v>23</v>
      </c>
      <c r="F6367">
        <v>0.14029</v>
      </c>
    </row>
    <row r="6368" spans="1:6" x14ac:dyDescent="0.3">
      <c r="A6368" t="s">
        <v>22</v>
      </c>
      <c r="B6368" s="1">
        <v>45923</v>
      </c>
      <c r="C6368">
        <v>8</v>
      </c>
      <c r="D6368">
        <v>0.35799999999999998</v>
      </c>
      <c r="E6368" t="s">
        <v>23</v>
      </c>
      <c r="F6368">
        <v>0.13838</v>
      </c>
    </row>
    <row r="6369" spans="1:6" x14ac:dyDescent="0.3">
      <c r="A6369" t="s">
        <v>22</v>
      </c>
      <c r="B6369" s="1">
        <v>45923</v>
      </c>
      <c r="C6369">
        <v>9</v>
      </c>
      <c r="D6369">
        <v>0</v>
      </c>
      <c r="E6369" t="s">
        <v>23</v>
      </c>
      <c r="F6369">
        <v>0.16313</v>
      </c>
    </row>
    <row r="6370" spans="1:6" x14ac:dyDescent="0.3">
      <c r="A6370" t="s">
        <v>22</v>
      </c>
      <c r="B6370" s="1">
        <v>45923</v>
      </c>
      <c r="C6370">
        <v>10</v>
      </c>
      <c r="D6370">
        <v>0</v>
      </c>
      <c r="E6370" t="s">
        <v>23</v>
      </c>
      <c r="F6370">
        <v>0.11456000000000001</v>
      </c>
    </row>
    <row r="6371" spans="1:6" x14ac:dyDescent="0.3">
      <c r="A6371" t="s">
        <v>22</v>
      </c>
      <c r="B6371" s="1">
        <v>45923</v>
      </c>
      <c r="C6371">
        <v>11</v>
      </c>
      <c r="D6371">
        <v>1.2999999999999999E-2</v>
      </c>
      <c r="E6371" t="s">
        <v>23</v>
      </c>
      <c r="F6371">
        <v>0.14077000000000001</v>
      </c>
    </row>
    <row r="6372" spans="1:6" x14ac:dyDescent="0.3">
      <c r="A6372" t="s">
        <v>22</v>
      </c>
      <c r="B6372" s="1">
        <v>45923</v>
      </c>
      <c r="C6372">
        <v>12</v>
      </c>
      <c r="D6372">
        <v>0</v>
      </c>
      <c r="E6372" t="s">
        <v>23</v>
      </c>
      <c r="F6372">
        <v>0.13677</v>
      </c>
    </row>
    <row r="6373" spans="1:6" x14ac:dyDescent="0.3">
      <c r="A6373" t="s">
        <v>22</v>
      </c>
      <c r="B6373" s="1">
        <v>45923</v>
      </c>
      <c r="C6373">
        <v>13</v>
      </c>
      <c r="D6373">
        <v>0</v>
      </c>
      <c r="E6373" t="s">
        <v>23</v>
      </c>
      <c r="F6373">
        <v>0.13550000000000001</v>
      </c>
    </row>
    <row r="6374" spans="1:6" x14ac:dyDescent="0.3">
      <c r="A6374" t="s">
        <v>22</v>
      </c>
      <c r="B6374" s="1">
        <v>45923</v>
      </c>
      <c r="C6374">
        <v>14</v>
      </c>
      <c r="D6374">
        <v>0</v>
      </c>
      <c r="E6374" t="s">
        <v>23</v>
      </c>
      <c r="F6374">
        <v>0.13253999999999999</v>
      </c>
    </row>
    <row r="6375" spans="1:6" x14ac:dyDescent="0.3">
      <c r="A6375" t="s">
        <v>22</v>
      </c>
      <c r="B6375" s="1">
        <v>45923</v>
      </c>
      <c r="C6375">
        <v>15</v>
      </c>
      <c r="D6375">
        <v>0</v>
      </c>
      <c r="E6375" t="s">
        <v>23</v>
      </c>
      <c r="F6375">
        <v>6.7459999999999992E-2</v>
      </c>
    </row>
    <row r="6376" spans="1:6" x14ac:dyDescent="0.3">
      <c r="A6376" t="s">
        <v>22</v>
      </c>
      <c r="B6376" s="1">
        <v>45923</v>
      </c>
      <c r="C6376">
        <v>16</v>
      </c>
      <c r="D6376">
        <v>0</v>
      </c>
      <c r="E6376" t="s">
        <v>23</v>
      </c>
      <c r="F6376">
        <v>6.7830000000000001E-2</v>
      </c>
    </row>
    <row r="6377" spans="1:6" x14ac:dyDescent="0.3">
      <c r="A6377" t="s">
        <v>22</v>
      </c>
      <c r="B6377" s="1">
        <v>45923</v>
      </c>
      <c r="C6377">
        <v>17</v>
      </c>
      <c r="D6377">
        <v>0</v>
      </c>
      <c r="E6377" t="s">
        <v>23</v>
      </c>
      <c r="F6377">
        <v>6.7930000000000004E-2</v>
      </c>
    </row>
    <row r="6378" spans="1:6" x14ac:dyDescent="0.3">
      <c r="A6378" t="s">
        <v>22</v>
      </c>
      <c r="B6378" s="1">
        <v>45923</v>
      </c>
      <c r="C6378">
        <v>18</v>
      </c>
      <c r="D6378">
        <v>0</v>
      </c>
      <c r="E6378" t="s">
        <v>23</v>
      </c>
      <c r="F6378">
        <v>7.0699999999999999E-2</v>
      </c>
    </row>
    <row r="6379" spans="1:6" x14ac:dyDescent="0.3">
      <c r="A6379" t="s">
        <v>22</v>
      </c>
      <c r="B6379" s="1">
        <v>45923</v>
      </c>
      <c r="C6379">
        <v>19</v>
      </c>
      <c r="D6379">
        <v>0</v>
      </c>
      <c r="E6379" t="s">
        <v>23</v>
      </c>
      <c r="F6379">
        <v>0.16513999999999998</v>
      </c>
    </row>
    <row r="6380" spans="1:6" x14ac:dyDescent="0.3">
      <c r="A6380" t="s">
        <v>22</v>
      </c>
      <c r="B6380" s="1">
        <v>45923</v>
      </c>
      <c r="C6380">
        <v>20</v>
      </c>
      <c r="D6380">
        <v>0.17499999999999999</v>
      </c>
      <c r="E6380" t="s">
        <v>23</v>
      </c>
      <c r="F6380">
        <v>0.22792999999999999</v>
      </c>
    </row>
    <row r="6381" spans="1:6" x14ac:dyDescent="0.3">
      <c r="A6381" t="s">
        <v>22</v>
      </c>
      <c r="B6381" s="1">
        <v>45923</v>
      </c>
      <c r="C6381">
        <v>21</v>
      </c>
      <c r="D6381">
        <v>0.625</v>
      </c>
      <c r="E6381" t="s">
        <v>23</v>
      </c>
      <c r="F6381">
        <v>0.24806</v>
      </c>
    </row>
    <row r="6382" spans="1:6" x14ac:dyDescent="0.3">
      <c r="A6382" t="s">
        <v>22</v>
      </c>
      <c r="B6382" s="1">
        <v>45923</v>
      </c>
      <c r="C6382">
        <v>22</v>
      </c>
      <c r="D6382">
        <v>0.69099999999999995</v>
      </c>
      <c r="E6382" t="s">
        <v>23</v>
      </c>
      <c r="F6382">
        <v>0.24229000000000001</v>
      </c>
    </row>
    <row r="6383" spans="1:6" x14ac:dyDescent="0.3">
      <c r="A6383" t="s">
        <v>22</v>
      </c>
      <c r="B6383" s="1">
        <v>45923</v>
      </c>
      <c r="C6383">
        <v>23</v>
      </c>
      <c r="D6383">
        <v>0.377</v>
      </c>
      <c r="E6383" t="s">
        <v>23</v>
      </c>
      <c r="F6383">
        <v>0.15662999999999999</v>
      </c>
    </row>
    <row r="6384" spans="1:6" x14ac:dyDescent="0.3">
      <c r="A6384" t="s">
        <v>22</v>
      </c>
      <c r="B6384" s="1">
        <v>45923</v>
      </c>
      <c r="C6384">
        <v>24</v>
      </c>
      <c r="D6384">
        <v>0.26700000000000002</v>
      </c>
      <c r="E6384" t="s">
        <v>23</v>
      </c>
      <c r="F6384">
        <v>0.15855000000000002</v>
      </c>
    </row>
    <row r="6385" spans="1:6" x14ac:dyDescent="0.3">
      <c r="A6385" t="s">
        <v>22</v>
      </c>
      <c r="B6385" s="1">
        <v>45924</v>
      </c>
      <c r="C6385">
        <v>1</v>
      </c>
      <c r="D6385">
        <v>0.26900000000000002</v>
      </c>
      <c r="E6385" t="s">
        <v>23</v>
      </c>
      <c r="F6385">
        <v>0.11477</v>
      </c>
    </row>
    <row r="6386" spans="1:6" x14ac:dyDescent="0.3">
      <c r="A6386" t="s">
        <v>22</v>
      </c>
      <c r="B6386" s="1">
        <v>45924</v>
      </c>
      <c r="C6386">
        <v>2</v>
      </c>
      <c r="D6386">
        <v>0.13600000000000001</v>
      </c>
      <c r="E6386" t="s">
        <v>23</v>
      </c>
      <c r="F6386">
        <v>0.10227</v>
      </c>
    </row>
    <row r="6387" spans="1:6" x14ac:dyDescent="0.3">
      <c r="A6387" t="s">
        <v>22</v>
      </c>
      <c r="B6387" s="1">
        <v>45924</v>
      </c>
      <c r="C6387">
        <v>3</v>
      </c>
      <c r="D6387">
        <v>0.14599999999999999</v>
      </c>
      <c r="E6387" t="s">
        <v>23</v>
      </c>
      <c r="F6387">
        <v>0.11336</v>
      </c>
    </row>
    <row r="6388" spans="1:6" x14ac:dyDescent="0.3">
      <c r="A6388" t="s">
        <v>22</v>
      </c>
      <c r="B6388" s="1">
        <v>45924</v>
      </c>
      <c r="C6388">
        <v>4</v>
      </c>
      <c r="D6388">
        <v>0.154</v>
      </c>
      <c r="E6388" t="s">
        <v>23</v>
      </c>
      <c r="F6388">
        <v>0.10457999999999999</v>
      </c>
    </row>
    <row r="6389" spans="1:6" x14ac:dyDescent="0.3">
      <c r="A6389" t="s">
        <v>22</v>
      </c>
      <c r="B6389" s="1">
        <v>45924</v>
      </c>
      <c r="C6389">
        <v>5</v>
      </c>
      <c r="D6389">
        <v>0.125</v>
      </c>
      <c r="E6389" t="s">
        <v>23</v>
      </c>
      <c r="F6389">
        <v>0.10445</v>
      </c>
    </row>
    <row r="6390" spans="1:6" x14ac:dyDescent="0.3">
      <c r="A6390" t="s">
        <v>22</v>
      </c>
      <c r="B6390" s="1">
        <v>45924</v>
      </c>
      <c r="C6390">
        <v>6</v>
      </c>
      <c r="D6390">
        <v>0.161</v>
      </c>
      <c r="E6390" t="s">
        <v>23</v>
      </c>
      <c r="F6390">
        <v>0.11079</v>
      </c>
    </row>
    <row r="6391" spans="1:6" x14ac:dyDescent="0.3">
      <c r="A6391" t="s">
        <v>22</v>
      </c>
      <c r="B6391" s="1">
        <v>45924</v>
      </c>
      <c r="C6391">
        <v>7</v>
      </c>
      <c r="D6391">
        <v>0.26900000000000002</v>
      </c>
      <c r="E6391" t="s">
        <v>23</v>
      </c>
      <c r="F6391">
        <v>0.10645</v>
      </c>
    </row>
    <row r="6392" spans="1:6" x14ac:dyDescent="0.3">
      <c r="A6392" t="s">
        <v>22</v>
      </c>
      <c r="B6392" s="1">
        <v>45924</v>
      </c>
      <c r="C6392">
        <v>8</v>
      </c>
      <c r="D6392">
        <v>2.2330000000000001</v>
      </c>
      <c r="E6392" t="s">
        <v>23</v>
      </c>
      <c r="F6392">
        <v>0.12140000000000001</v>
      </c>
    </row>
    <row r="6393" spans="1:6" x14ac:dyDescent="0.3">
      <c r="A6393" t="s">
        <v>22</v>
      </c>
      <c r="B6393" s="1">
        <v>45924</v>
      </c>
      <c r="C6393">
        <v>9</v>
      </c>
      <c r="D6393">
        <v>0</v>
      </c>
      <c r="E6393" t="s">
        <v>23</v>
      </c>
      <c r="F6393">
        <v>0.15045</v>
      </c>
    </row>
    <row r="6394" spans="1:6" x14ac:dyDescent="0.3">
      <c r="A6394" t="s">
        <v>22</v>
      </c>
      <c r="B6394" s="1">
        <v>45924</v>
      </c>
      <c r="C6394">
        <v>10</v>
      </c>
      <c r="D6394">
        <v>0</v>
      </c>
      <c r="E6394" t="s">
        <v>23</v>
      </c>
      <c r="F6394">
        <v>0.13749</v>
      </c>
    </row>
    <row r="6395" spans="1:6" x14ac:dyDescent="0.3">
      <c r="A6395" t="s">
        <v>22</v>
      </c>
      <c r="B6395" s="1">
        <v>45924</v>
      </c>
      <c r="C6395">
        <v>11</v>
      </c>
      <c r="D6395">
        <v>0</v>
      </c>
      <c r="E6395" t="s">
        <v>23</v>
      </c>
      <c r="F6395">
        <v>0.15118999999999999</v>
      </c>
    </row>
    <row r="6396" spans="1:6" x14ac:dyDescent="0.3">
      <c r="A6396" t="s">
        <v>22</v>
      </c>
      <c r="B6396" s="1">
        <v>45924</v>
      </c>
      <c r="C6396">
        <v>12</v>
      </c>
      <c r="D6396">
        <v>0</v>
      </c>
      <c r="E6396" t="s">
        <v>23</v>
      </c>
      <c r="F6396">
        <v>0.14088000000000001</v>
      </c>
    </row>
    <row r="6397" spans="1:6" x14ac:dyDescent="0.3">
      <c r="A6397" t="s">
        <v>22</v>
      </c>
      <c r="B6397" s="1">
        <v>45924</v>
      </c>
      <c r="C6397">
        <v>13</v>
      </c>
      <c r="D6397">
        <v>0</v>
      </c>
      <c r="E6397" t="s">
        <v>23</v>
      </c>
      <c r="F6397">
        <v>0.14038999999999999</v>
      </c>
    </row>
    <row r="6398" spans="1:6" x14ac:dyDescent="0.3">
      <c r="A6398" t="s">
        <v>22</v>
      </c>
      <c r="B6398" s="1">
        <v>45924</v>
      </c>
      <c r="C6398">
        <v>14</v>
      </c>
      <c r="D6398">
        <v>0</v>
      </c>
      <c r="E6398" t="s">
        <v>23</v>
      </c>
      <c r="F6398">
        <v>0.13852</v>
      </c>
    </row>
    <row r="6399" spans="1:6" x14ac:dyDescent="0.3">
      <c r="A6399" t="s">
        <v>22</v>
      </c>
      <c r="B6399" s="1">
        <v>45924</v>
      </c>
      <c r="C6399">
        <v>15</v>
      </c>
      <c r="D6399">
        <v>0</v>
      </c>
      <c r="E6399" t="s">
        <v>23</v>
      </c>
      <c r="F6399">
        <v>7.2770000000000001E-2</v>
      </c>
    </row>
    <row r="6400" spans="1:6" x14ac:dyDescent="0.3">
      <c r="A6400" t="s">
        <v>22</v>
      </c>
      <c r="B6400" s="1">
        <v>45924</v>
      </c>
      <c r="C6400">
        <v>16</v>
      </c>
      <c r="D6400">
        <v>0</v>
      </c>
      <c r="E6400" t="s">
        <v>23</v>
      </c>
      <c r="F6400">
        <v>7.2290000000000007E-2</v>
      </c>
    </row>
    <row r="6401" spans="1:6" x14ac:dyDescent="0.3">
      <c r="A6401" t="s">
        <v>22</v>
      </c>
      <c r="B6401" s="1">
        <v>45924</v>
      </c>
      <c r="C6401">
        <v>17</v>
      </c>
      <c r="D6401">
        <v>0</v>
      </c>
      <c r="E6401" t="s">
        <v>23</v>
      </c>
      <c r="F6401">
        <v>7.3180000000000009E-2</v>
      </c>
    </row>
    <row r="6402" spans="1:6" x14ac:dyDescent="0.3">
      <c r="A6402" t="s">
        <v>22</v>
      </c>
      <c r="B6402" s="1">
        <v>45924</v>
      </c>
      <c r="C6402">
        <v>18</v>
      </c>
      <c r="D6402">
        <v>0</v>
      </c>
      <c r="E6402" t="s">
        <v>23</v>
      </c>
      <c r="F6402">
        <v>9.6579999999999999E-2</v>
      </c>
    </row>
    <row r="6403" spans="1:6" x14ac:dyDescent="0.3">
      <c r="A6403" t="s">
        <v>22</v>
      </c>
      <c r="B6403" s="1">
        <v>45924</v>
      </c>
      <c r="C6403">
        <v>19</v>
      </c>
      <c r="D6403">
        <v>0</v>
      </c>
      <c r="E6403" t="s">
        <v>23</v>
      </c>
      <c r="F6403">
        <v>0.21936000000000003</v>
      </c>
    </row>
    <row r="6404" spans="1:6" x14ac:dyDescent="0.3">
      <c r="A6404" t="s">
        <v>22</v>
      </c>
      <c r="B6404" s="1">
        <v>45924</v>
      </c>
      <c r="C6404">
        <v>20</v>
      </c>
      <c r="D6404">
        <v>1.9930000000000001</v>
      </c>
      <c r="E6404" t="s">
        <v>23</v>
      </c>
      <c r="F6404">
        <v>0.24065</v>
      </c>
    </row>
    <row r="6405" spans="1:6" x14ac:dyDescent="0.3">
      <c r="A6405" t="s">
        <v>22</v>
      </c>
      <c r="B6405" s="1">
        <v>45924</v>
      </c>
      <c r="C6405">
        <v>21</v>
      </c>
      <c r="D6405">
        <v>0.74399999999999999</v>
      </c>
      <c r="E6405" t="s">
        <v>23</v>
      </c>
      <c r="F6405">
        <v>0.26447999999999999</v>
      </c>
    </row>
    <row r="6406" spans="1:6" x14ac:dyDescent="0.3">
      <c r="A6406" t="s">
        <v>22</v>
      </c>
      <c r="B6406" s="1">
        <v>45924</v>
      </c>
      <c r="C6406">
        <v>22</v>
      </c>
      <c r="D6406">
        <v>0.311</v>
      </c>
      <c r="E6406" t="s">
        <v>23</v>
      </c>
      <c r="F6406">
        <v>0.25383</v>
      </c>
    </row>
    <row r="6407" spans="1:6" x14ac:dyDescent="0.3">
      <c r="A6407" t="s">
        <v>22</v>
      </c>
      <c r="B6407" s="1">
        <v>45924</v>
      </c>
      <c r="C6407">
        <v>23</v>
      </c>
      <c r="D6407">
        <v>0.29799999999999999</v>
      </c>
      <c r="E6407" t="s">
        <v>23</v>
      </c>
      <c r="F6407">
        <v>0.17465</v>
      </c>
    </row>
    <row r="6408" spans="1:6" x14ac:dyDescent="0.3">
      <c r="A6408" t="s">
        <v>22</v>
      </c>
      <c r="B6408" s="1">
        <v>45924</v>
      </c>
      <c r="C6408">
        <v>24</v>
      </c>
      <c r="D6408">
        <v>0.214</v>
      </c>
      <c r="E6408" t="s">
        <v>23</v>
      </c>
      <c r="F6408">
        <v>0.16993</v>
      </c>
    </row>
    <row r="6409" spans="1:6" x14ac:dyDescent="0.3">
      <c r="A6409" t="s">
        <v>22</v>
      </c>
      <c r="B6409" s="1">
        <v>45925</v>
      </c>
      <c r="C6409">
        <v>1</v>
      </c>
      <c r="D6409">
        <v>0.19700000000000001</v>
      </c>
      <c r="E6409" t="s">
        <v>23</v>
      </c>
      <c r="F6409">
        <v>0.12271</v>
      </c>
    </row>
    <row r="6410" spans="1:6" x14ac:dyDescent="0.3">
      <c r="A6410" t="s">
        <v>22</v>
      </c>
      <c r="B6410" s="1">
        <v>45925</v>
      </c>
      <c r="C6410">
        <v>2</v>
      </c>
      <c r="D6410">
        <v>0.14000000000000001</v>
      </c>
      <c r="E6410" t="s">
        <v>23</v>
      </c>
      <c r="F6410">
        <v>0.11597</v>
      </c>
    </row>
    <row r="6411" spans="1:6" x14ac:dyDescent="0.3">
      <c r="A6411" t="s">
        <v>22</v>
      </c>
      <c r="B6411" s="1">
        <v>45925</v>
      </c>
      <c r="C6411">
        <v>3</v>
      </c>
      <c r="D6411">
        <v>0.14699999999999999</v>
      </c>
      <c r="E6411" t="s">
        <v>23</v>
      </c>
      <c r="F6411">
        <v>0.1171</v>
      </c>
    </row>
    <row r="6412" spans="1:6" x14ac:dyDescent="0.3">
      <c r="A6412" t="s">
        <v>22</v>
      </c>
      <c r="B6412" s="1">
        <v>45925</v>
      </c>
      <c r="C6412">
        <v>4</v>
      </c>
      <c r="D6412">
        <v>0.17399999999999999</v>
      </c>
      <c r="E6412" t="s">
        <v>23</v>
      </c>
      <c r="F6412">
        <v>0.11466</v>
      </c>
    </row>
    <row r="6413" spans="1:6" x14ac:dyDescent="0.3">
      <c r="A6413" t="s">
        <v>22</v>
      </c>
      <c r="B6413" s="1">
        <v>45925</v>
      </c>
      <c r="C6413">
        <v>5</v>
      </c>
      <c r="D6413">
        <v>0.123</v>
      </c>
      <c r="E6413" t="s">
        <v>23</v>
      </c>
      <c r="F6413">
        <v>0.11803</v>
      </c>
    </row>
    <row r="6414" spans="1:6" x14ac:dyDescent="0.3">
      <c r="A6414" t="s">
        <v>22</v>
      </c>
      <c r="B6414" s="1">
        <v>45925</v>
      </c>
      <c r="C6414">
        <v>6</v>
      </c>
      <c r="D6414">
        <v>0.14199999999999999</v>
      </c>
      <c r="E6414" t="s">
        <v>23</v>
      </c>
      <c r="F6414">
        <v>0.11577</v>
      </c>
    </row>
    <row r="6415" spans="1:6" x14ac:dyDescent="0.3">
      <c r="A6415" t="s">
        <v>22</v>
      </c>
      <c r="B6415" s="1">
        <v>45925</v>
      </c>
      <c r="C6415">
        <v>7</v>
      </c>
      <c r="D6415">
        <v>0.219</v>
      </c>
      <c r="E6415" t="s">
        <v>23</v>
      </c>
      <c r="F6415">
        <v>0.12361</v>
      </c>
    </row>
    <row r="6416" spans="1:6" x14ac:dyDescent="0.3">
      <c r="A6416" t="s">
        <v>22</v>
      </c>
      <c r="B6416" s="1">
        <v>45925</v>
      </c>
      <c r="C6416">
        <v>8</v>
      </c>
      <c r="D6416">
        <v>1.915</v>
      </c>
      <c r="E6416" t="s">
        <v>23</v>
      </c>
      <c r="F6416">
        <v>0.14746000000000001</v>
      </c>
    </row>
    <row r="6417" spans="1:6" x14ac:dyDescent="0.3">
      <c r="A6417" t="s">
        <v>22</v>
      </c>
      <c r="B6417" s="1">
        <v>45925</v>
      </c>
      <c r="C6417">
        <v>9</v>
      </c>
      <c r="D6417">
        <v>0.43</v>
      </c>
      <c r="E6417" t="s">
        <v>23</v>
      </c>
      <c r="F6417">
        <v>0.18562999999999999</v>
      </c>
    </row>
    <row r="6418" spans="1:6" x14ac:dyDescent="0.3">
      <c r="A6418" t="s">
        <v>22</v>
      </c>
      <c r="B6418" s="1">
        <v>45925</v>
      </c>
      <c r="C6418">
        <v>10</v>
      </c>
      <c r="D6418">
        <v>0</v>
      </c>
      <c r="E6418" t="s">
        <v>23</v>
      </c>
      <c r="F6418">
        <v>0.14899999999999999</v>
      </c>
    </row>
    <row r="6419" spans="1:6" x14ac:dyDescent="0.3">
      <c r="A6419" t="s">
        <v>22</v>
      </c>
      <c r="B6419" s="1">
        <v>45925</v>
      </c>
      <c r="C6419">
        <v>11</v>
      </c>
      <c r="D6419">
        <v>0</v>
      </c>
      <c r="E6419" t="s">
        <v>23</v>
      </c>
      <c r="F6419">
        <v>0.17783000000000002</v>
      </c>
    </row>
    <row r="6420" spans="1:6" x14ac:dyDescent="0.3">
      <c r="A6420" t="s">
        <v>22</v>
      </c>
      <c r="B6420" s="1">
        <v>45925</v>
      </c>
      <c r="C6420">
        <v>12</v>
      </c>
      <c r="D6420">
        <v>0</v>
      </c>
      <c r="E6420" t="s">
        <v>23</v>
      </c>
      <c r="F6420">
        <v>0.15221000000000001</v>
      </c>
    </row>
    <row r="6421" spans="1:6" x14ac:dyDescent="0.3">
      <c r="A6421" t="s">
        <v>22</v>
      </c>
      <c r="B6421" s="1">
        <v>45925</v>
      </c>
      <c r="C6421">
        <v>13</v>
      </c>
      <c r="D6421">
        <v>0</v>
      </c>
      <c r="E6421" t="s">
        <v>23</v>
      </c>
      <c r="F6421">
        <v>0.15143000000000001</v>
      </c>
    </row>
    <row r="6422" spans="1:6" x14ac:dyDescent="0.3">
      <c r="A6422" t="s">
        <v>22</v>
      </c>
      <c r="B6422" s="1">
        <v>45925</v>
      </c>
      <c r="C6422">
        <v>14</v>
      </c>
      <c r="D6422">
        <v>0</v>
      </c>
      <c r="E6422" t="s">
        <v>23</v>
      </c>
      <c r="F6422">
        <v>0.14436000000000002</v>
      </c>
    </row>
    <row r="6423" spans="1:6" x14ac:dyDescent="0.3">
      <c r="A6423" t="s">
        <v>22</v>
      </c>
      <c r="B6423" s="1">
        <v>45925</v>
      </c>
      <c r="C6423">
        <v>15</v>
      </c>
      <c r="D6423">
        <v>4.0199999999999996</v>
      </c>
      <c r="E6423" t="s">
        <v>23</v>
      </c>
      <c r="F6423">
        <v>7.2690000000000005E-2</v>
      </c>
    </row>
    <row r="6424" spans="1:6" x14ac:dyDescent="0.3">
      <c r="A6424" t="s">
        <v>22</v>
      </c>
      <c r="B6424" s="1">
        <v>45925</v>
      </c>
      <c r="C6424">
        <v>16</v>
      </c>
      <c r="D6424">
        <v>4.8869999999999996</v>
      </c>
      <c r="E6424" t="s">
        <v>23</v>
      </c>
      <c r="F6424">
        <v>7.5930000000000011E-2</v>
      </c>
    </row>
    <row r="6425" spans="1:6" x14ac:dyDescent="0.3">
      <c r="A6425" t="s">
        <v>22</v>
      </c>
      <c r="B6425" s="1">
        <v>45925</v>
      </c>
      <c r="C6425">
        <v>17</v>
      </c>
      <c r="D6425">
        <v>3.2210000000000001</v>
      </c>
      <c r="E6425" t="s">
        <v>23</v>
      </c>
      <c r="F6425">
        <v>7.9480000000000009E-2</v>
      </c>
    </row>
    <row r="6426" spans="1:6" x14ac:dyDescent="0.3">
      <c r="A6426" t="s">
        <v>22</v>
      </c>
      <c r="B6426" s="1">
        <v>45925</v>
      </c>
      <c r="C6426">
        <v>18</v>
      </c>
      <c r="D6426">
        <v>0.122</v>
      </c>
      <c r="E6426" t="s">
        <v>23</v>
      </c>
      <c r="F6426">
        <v>0.10992</v>
      </c>
    </row>
    <row r="6427" spans="1:6" x14ac:dyDescent="0.3">
      <c r="A6427" t="s">
        <v>22</v>
      </c>
      <c r="B6427" s="1">
        <v>45925</v>
      </c>
      <c r="C6427">
        <v>19</v>
      </c>
      <c r="D6427">
        <v>0</v>
      </c>
      <c r="E6427" t="s">
        <v>23</v>
      </c>
      <c r="F6427">
        <v>0.20143</v>
      </c>
    </row>
    <row r="6428" spans="1:6" x14ac:dyDescent="0.3">
      <c r="A6428" t="s">
        <v>22</v>
      </c>
      <c r="B6428" s="1">
        <v>45925</v>
      </c>
      <c r="C6428">
        <v>20</v>
      </c>
      <c r="D6428">
        <v>0.23300000000000001</v>
      </c>
      <c r="E6428" t="s">
        <v>23</v>
      </c>
      <c r="F6428">
        <v>0.23993999999999999</v>
      </c>
    </row>
    <row r="6429" spans="1:6" x14ac:dyDescent="0.3">
      <c r="A6429" t="s">
        <v>22</v>
      </c>
      <c r="B6429" s="1">
        <v>45925</v>
      </c>
      <c r="C6429">
        <v>21</v>
      </c>
      <c r="D6429">
        <v>0.129</v>
      </c>
      <c r="E6429" t="s">
        <v>23</v>
      </c>
      <c r="F6429">
        <v>0.31264999999999998</v>
      </c>
    </row>
    <row r="6430" spans="1:6" x14ac:dyDescent="0.3">
      <c r="A6430" t="s">
        <v>22</v>
      </c>
      <c r="B6430" s="1">
        <v>45925</v>
      </c>
      <c r="C6430">
        <v>22</v>
      </c>
      <c r="D6430">
        <v>0.157</v>
      </c>
      <c r="E6430" t="s">
        <v>23</v>
      </c>
      <c r="F6430">
        <v>0.31186000000000003</v>
      </c>
    </row>
    <row r="6431" spans="1:6" x14ac:dyDescent="0.3">
      <c r="A6431" t="s">
        <v>22</v>
      </c>
      <c r="B6431" s="1">
        <v>45925</v>
      </c>
      <c r="C6431">
        <v>23</v>
      </c>
      <c r="D6431">
        <v>0.27800000000000002</v>
      </c>
      <c r="E6431" t="s">
        <v>23</v>
      </c>
      <c r="F6431">
        <v>0.19286</v>
      </c>
    </row>
    <row r="6432" spans="1:6" x14ac:dyDescent="0.3">
      <c r="A6432" t="s">
        <v>22</v>
      </c>
      <c r="B6432" s="1">
        <v>45925</v>
      </c>
      <c r="C6432">
        <v>24</v>
      </c>
      <c r="D6432">
        <v>0.40300000000000002</v>
      </c>
      <c r="E6432" t="s">
        <v>23</v>
      </c>
      <c r="F6432">
        <v>0.16225000000000001</v>
      </c>
    </row>
    <row r="6433" spans="1:6" x14ac:dyDescent="0.3">
      <c r="A6433" t="s">
        <v>22</v>
      </c>
      <c r="B6433" s="1">
        <v>45926</v>
      </c>
      <c r="C6433">
        <v>1</v>
      </c>
      <c r="D6433">
        <v>0.224</v>
      </c>
      <c r="E6433" t="s">
        <v>23</v>
      </c>
      <c r="F6433">
        <v>0.13533000000000001</v>
      </c>
    </row>
    <row r="6434" spans="1:6" x14ac:dyDescent="0.3">
      <c r="A6434" t="s">
        <v>22</v>
      </c>
      <c r="B6434" s="1">
        <v>45926</v>
      </c>
      <c r="C6434">
        <v>2</v>
      </c>
      <c r="D6434">
        <v>0.14399999999999999</v>
      </c>
      <c r="E6434" t="s">
        <v>23</v>
      </c>
      <c r="F6434">
        <v>0.13319</v>
      </c>
    </row>
    <row r="6435" spans="1:6" x14ac:dyDescent="0.3">
      <c r="A6435" t="s">
        <v>22</v>
      </c>
      <c r="B6435" s="1">
        <v>45926</v>
      </c>
      <c r="C6435">
        <v>3</v>
      </c>
      <c r="D6435">
        <v>0.158</v>
      </c>
      <c r="E6435" t="s">
        <v>23</v>
      </c>
      <c r="F6435">
        <v>0.13056000000000001</v>
      </c>
    </row>
    <row r="6436" spans="1:6" x14ac:dyDescent="0.3">
      <c r="A6436" t="s">
        <v>22</v>
      </c>
      <c r="B6436" s="1">
        <v>45926</v>
      </c>
      <c r="C6436">
        <v>4</v>
      </c>
      <c r="D6436">
        <v>0.12</v>
      </c>
      <c r="E6436" t="s">
        <v>23</v>
      </c>
      <c r="F6436">
        <v>0.12631999999999999</v>
      </c>
    </row>
    <row r="6437" spans="1:6" x14ac:dyDescent="0.3">
      <c r="A6437" t="s">
        <v>22</v>
      </c>
      <c r="B6437" s="1">
        <v>45926</v>
      </c>
      <c r="C6437">
        <v>5</v>
      </c>
      <c r="D6437">
        <v>0.16700000000000001</v>
      </c>
      <c r="E6437" t="s">
        <v>23</v>
      </c>
      <c r="F6437">
        <v>0.12651999999999999</v>
      </c>
    </row>
    <row r="6438" spans="1:6" x14ac:dyDescent="0.3">
      <c r="A6438" t="s">
        <v>22</v>
      </c>
      <c r="B6438" s="1">
        <v>45926</v>
      </c>
      <c r="C6438">
        <v>6</v>
      </c>
      <c r="D6438">
        <v>0.115</v>
      </c>
      <c r="E6438" t="s">
        <v>23</v>
      </c>
      <c r="F6438">
        <v>0.13128000000000001</v>
      </c>
    </row>
    <row r="6439" spans="1:6" x14ac:dyDescent="0.3">
      <c r="A6439" t="s">
        <v>22</v>
      </c>
      <c r="B6439" s="1">
        <v>45926</v>
      </c>
      <c r="C6439">
        <v>7</v>
      </c>
      <c r="D6439">
        <v>0.161</v>
      </c>
      <c r="E6439" t="s">
        <v>23</v>
      </c>
      <c r="F6439">
        <v>0.13297999999999999</v>
      </c>
    </row>
    <row r="6440" spans="1:6" x14ac:dyDescent="0.3">
      <c r="A6440" t="s">
        <v>22</v>
      </c>
      <c r="B6440" s="1">
        <v>45926</v>
      </c>
      <c r="C6440">
        <v>8</v>
      </c>
      <c r="D6440">
        <v>0.52200000000000002</v>
      </c>
      <c r="E6440" t="s">
        <v>23</v>
      </c>
      <c r="F6440">
        <v>0.14874999999999999</v>
      </c>
    </row>
    <row r="6441" spans="1:6" x14ac:dyDescent="0.3">
      <c r="A6441" t="s">
        <v>22</v>
      </c>
      <c r="B6441" s="1">
        <v>45926</v>
      </c>
      <c r="C6441">
        <v>9</v>
      </c>
      <c r="D6441">
        <v>0.68400000000000005</v>
      </c>
      <c r="E6441" t="s">
        <v>23</v>
      </c>
      <c r="F6441">
        <v>0.17452000000000001</v>
      </c>
    </row>
    <row r="6442" spans="1:6" x14ac:dyDescent="0.3">
      <c r="A6442" t="s">
        <v>22</v>
      </c>
      <c r="B6442" s="1">
        <v>45926</v>
      </c>
      <c r="C6442">
        <v>10</v>
      </c>
      <c r="D6442">
        <v>0</v>
      </c>
      <c r="E6442" t="s">
        <v>23</v>
      </c>
      <c r="F6442">
        <v>0.15859999999999999</v>
      </c>
    </row>
    <row r="6443" spans="1:6" x14ac:dyDescent="0.3">
      <c r="A6443" t="s">
        <v>22</v>
      </c>
      <c r="B6443" s="1">
        <v>45926</v>
      </c>
      <c r="C6443">
        <v>11</v>
      </c>
      <c r="D6443">
        <v>0</v>
      </c>
      <c r="E6443" t="s">
        <v>23</v>
      </c>
      <c r="F6443">
        <v>0.20316999999999999</v>
      </c>
    </row>
    <row r="6444" spans="1:6" x14ac:dyDescent="0.3">
      <c r="A6444" t="s">
        <v>22</v>
      </c>
      <c r="B6444" s="1">
        <v>45926</v>
      </c>
      <c r="C6444">
        <v>12</v>
      </c>
      <c r="D6444">
        <v>0.35599999999999998</v>
      </c>
      <c r="E6444" t="s">
        <v>23</v>
      </c>
      <c r="F6444">
        <v>0.14895</v>
      </c>
    </row>
    <row r="6445" spans="1:6" x14ac:dyDescent="0.3">
      <c r="A6445" t="s">
        <v>22</v>
      </c>
      <c r="B6445" s="1">
        <v>45926</v>
      </c>
      <c r="C6445">
        <v>13</v>
      </c>
      <c r="D6445">
        <v>0</v>
      </c>
      <c r="E6445" t="s">
        <v>23</v>
      </c>
      <c r="F6445">
        <v>0.13878000000000001</v>
      </c>
    </row>
    <row r="6446" spans="1:6" x14ac:dyDescent="0.3">
      <c r="A6446" t="s">
        <v>22</v>
      </c>
      <c r="B6446" s="1">
        <v>45926</v>
      </c>
      <c r="C6446">
        <v>14</v>
      </c>
      <c r="D6446">
        <v>0</v>
      </c>
      <c r="E6446" t="s">
        <v>23</v>
      </c>
      <c r="F6446">
        <v>0.13996</v>
      </c>
    </row>
    <row r="6447" spans="1:6" x14ac:dyDescent="0.3">
      <c r="A6447" t="s">
        <v>22</v>
      </c>
      <c r="B6447" s="1">
        <v>45926</v>
      </c>
      <c r="C6447">
        <v>15</v>
      </c>
      <c r="D6447">
        <v>1.147</v>
      </c>
      <c r="E6447" t="s">
        <v>23</v>
      </c>
      <c r="F6447">
        <v>6.7170000000000007E-2</v>
      </c>
    </row>
    <row r="6448" spans="1:6" x14ac:dyDescent="0.3">
      <c r="A6448" t="s">
        <v>22</v>
      </c>
      <c r="B6448" s="1">
        <v>45926</v>
      </c>
      <c r="C6448">
        <v>16</v>
      </c>
      <c r="D6448">
        <v>1.0369999999999999</v>
      </c>
      <c r="E6448" t="s">
        <v>23</v>
      </c>
      <c r="F6448">
        <v>9.3939999999999996E-2</v>
      </c>
    </row>
    <row r="6449" spans="1:6" x14ac:dyDescent="0.3">
      <c r="A6449" t="s">
        <v>22</v>
      </c>
      <c r="B6449" s="1">
        <v>45926</v>
      </c>
      <c r="C6449">
        <v>17</v>
      </c>
      <c r="D6449">
        <v>0</v>
      </c>
      <c r="E6449" t="s">
        <v>23</v>
      </c>
      <c r="F6449">
        <v>0.10098</v>
      </c>
    </row>
    <row r="6450" spans="1:6" x14ac:dyDescent="0.3">
      <c r="A6450" t="s">
        <v>22</v>
      </c>
      <c r="B6450" s="1">
        <v>45926</v>
      </c>
      <c r="C6450">
        <v>18</v>
      </c>
      <c r="D6450">
        <v>0</v>
      </c>
      <c r="E6450" t="s">
        <v>23</v>
      </c>
      <c r="F6450">
        <v>0.10851000000000001</v>
      </c>
    </row>
    <row r="6451" spans="1:6" x14ac:dyDescent="0.3">
      <c r="A6451" t="s">
        <v>22</v>
      </c>
      <c r="B6451" s="1">
        <v>45926</v>
      </c>
      <c r="C6451">
        <v>19</v>
      </c>
      <c r="D6451">
        <v>4.2000000000000003E-2</v>
      </c>
      <c r="E6451" t="s">
        <v>23</v>
      </c>
      <c r="F6451">
        <v>0.21079000000000001</v>
      </c>
    </row>
    <row r="6452" spans="1:6" x14ac:dyDescent="0.3">
      <c r="A6452" t="s">
        <v>22</v>
      </c>
      <c r="B6452" s="1">
        <v>45926</v>
      </c>
      <c r="C6452">
        <v>20</v>
      </c>
      <c r="D6452">
        <v>0.112</v>
      </c>
      <c r="E6452" t="s">
        <v>23</v>
      </c>
      <c r="F6452">
        <v>0.24508000000000002</v>
      </c>
    </row>
    <row r="6453" spans="1:6" x14ac:dyDescent="0.3">
      <c r="A6453" t="s">
        <v>22</v>
      </c>
      <c r="B6453" s="1">
        <v>45926</v>
      </c>
      <c r="C6453">
        <v>21</v>
      </c>
      <c r="D6453">
        <v>0.44400000000000001</v>
      </c>
      <c r="E6453" t="s">
        <v>23</v>
      </c>
      <c r="F6453">
        <v>0.27606999999999998</v>
      </c>
    </row>
    <row r="6454" spans="1:6" x14ac:dyDescent="0.3">
      <c r="A6454" t="s">
        <v>22</v>
      </c>
      <c r="B6454" s="1">
        <v>45926</v>
      </c>
      <c r="C6454">
        <v>22</v>
      </c>
      <c r="D6454">
        <v>0.93200000000000005</v>
      </c>
      <c r="E6454" t="s">
        <v>23</v>
      </c>
      <c r="F6454">
        <v>0.28352999999999995</v>
      </c>
    </row>
    <row r="6455" spans="1:6" x14ac:dyDescent="0.3">
      <c r="A6455" t="s">
        <v>22</v>
      </c>
      <c r="B6455" s="1">
        <v>45926</v>
      </c>
      <c r="C6455">
        <v>23</v>
      </c>
      <c r="D6455">
        <v>0.49299999999999999</v>
      </c>
      <c r="E6455" t="s">
        <v>23</v>
      </c>
      <c r="F6455">
        <v>0.17382</v>
      </c>
    </row>
    <row r="6456" spans="1:6" x14ac:dyDescent="0.3">
      <c r="A6456" t="s">
        <v>22</v>
      </c>
      <c r="B6456" s="1">
        <v>45926</v>
      </c>
      <c r="C6456">
        <v>24</v>
      </c>
      <c r="D6456">
        <v>0.31</v>
      </c>
      <c r="E6456" t="s">
        <v>23</v>
      </c>
      <c r="F6456">
        <v>0.16584000000000002</v>
      </c>
    </row>
    <row r="6457" spans="1:6" x14ac:dyDescent="0.3">
      <c r="A6457" t="s">
        <v>22</v>
      </c>
      <c r="B6457" s="1">
        <v>45927</v>
      </c>
      <c r="C6457">
        <v>1</v>
      </c>
      <c r="D6457">
        <v>0.255</v>
      </c>
      <c r="E6457" t="s">
        <v>23</v>
      </c>
      <c r="F6457">
        <v>0.15880000000000002</v>
      </c>
    </row>
    <row r="6458" spans="1:6" x14ac:dyDescent="0.3">
      <c r="A6458" t="s">
        <v>22</v>
      </c>
      <c r="B6458" s="1">
        <v>45927</v>
      </c>
      <c r="C6458">
        <v>2</v>
      </c>
      <c r="D6458">
        <v>0.311</v>
      </c>
      <c r="E6458" t="s">
        <v>23</v>
      </c>
      <c r="F6458">
        <v>0.15312000000000001</v>
      </c>
    </row>
    <row r="6459" spans="1:6" x14ac:dyDescent="0.3">
      <c r="A6459" t="s">
        <v>22</v>
      </c>
      <c r="B6459" s="1">
        <v>45927</v>
      </c>
      <c r="C6459">
        <v>3</v>
      </c>
      <c r="D6459">
        <v>0.28000000000000003</v>
      </c>
      <c r="E6459" t="s">
        <v>23</v>
      </c>
      <c r="F6459">
        <v>0.15008000000000002</v>
      </c>
    </row>
    <row r="6460" spans="1:6" x14ac:dyDescent="0.3">
      <c r="A6460" t="s">
        <v>22</v>
      </c>
      <c r="B6460" s="1">
        <v>45927</v>
      </c>
      <c r="C6460">
        <v>4</v>
      </c>
      <c r="D6460">
        <v>0.32700000000000001</v>
      </c>
      <c r="E6460" t="s">
        <v>23</v>
      </c>
      <c r="F6460">
        <v>0.15078</v>
      </c>
    </row>
    <row r="6461" spans="1:6" x14ac:dyDescent="0.3">
      <c r="A6461" t="s">
        <v>22</v>
      </c>
      <c r="B6461" s="1">
        <v>45927</v>
      </c>
      <c r="C6461">
        <v>5</v>
      </c>
      <c r="D6461">
        <v>0.129</v>
      </c>
      <c r="E6461" t="s">
        <v>23</v>
      </c>
      <c r="F6461">
        <v>0.14712999999999998</v>
      </c>
    </row>
    <row r="6462" spans="1:6" x14ac:dyDescent="0.3">
      <c r="A6462" t="s">
        <v>22</v>
      </c>
      <c r="B6462" s="1">
        <v>45927</v>
      </c>
      <c r="C6462">
        <v>6</v>
      </c>
      <c r="D6462">
        <v>0.159</v>
      </c>
      <c r="E6462" t="s">
        <v>23</v>
      </c>
      <c r="F6462">
        <v>0.14011999999999999</v>
      </c>
    </row>
    <row r="6463" spans="1:6" x14ac:dyDescent="0.3">
      <c r="A6463" t="s">
        <v>22</v>
      </c>
      <c r="B6463" s="1">
        <v>45927</v>
      </c>
      <c r="C6463">
        <v>7</v>
      </c>
      <c r="D6463">
        <v>0.13</v>
      </c>
      <c r="E6463" t="s">
        <v>23</v>
      </c>
      <c r="F6463">
        <v>0.13544</v>
      </c>
    </row>
    <row r="6464" spans="1:6" x14ac:dyDescent="0.3">
      <c r="A6464" t="s">
        <v>22</v>
      </c>
      <c r="B6464" s="1">
        <v>45927</v>
      </c>
      <c r="C6464">
        <v>8</v>
      </c>
      <c r="D6464">
        <v>0.151</v>
      </c>
      <c r="E6464" t="s">
        <v>23</v>
      </c>
      <c r="F6464">
        <v>0.14321</v>
      </c>
    </row>
    <row r="6465" spans="1:6" x14ac:dyDescent="0.3">
      <c r="A6465" t="s">
        <v>22</v>
      </c>
      <c r="B6465" s="1">
        <v>45927</v>
      </c>
      <c r="C6465">
        <v>9</v>
      </c>
      <c r="D6465">
        <v>0.17699999999999999</v>
      </c>
      <c r="E6465" t="s">
        <v>23</v>
      </c>
      <c r="F6465">
        <v>0.15231999999999998</v>
      </c>
    </row>
    <row r="6466" spans="1:6" x14ac:dyDescent="0.3">
      <c r="A6466" t="s">
        <v>22</v>
      </c>
      <c r="B6466" s="1">
        <v>45927</v>
      </c>
      <c r="C6466">
        <v>10</v>
      </c>
      <c r="D6466">
        <v>0.56299999999999994</v>
      </c>
      <c r="E6466" t="s">
        <v>23</v>
      </c>
      <c r="F6466">
        <v>0.1308</v>
      </c>
    </row>
    <row r="6467" spans="1:6" x14ac:dyDescent="0.3">
      <c r="A6467" t="s">
        <v>22</v>
      </c>
      <c r="B6467" s="1">
        <v>45927</v>
      </c>
      <c r="C6467">
        <v>11</v>
      </c>
      <c r="D6467">
        <v>0</v>
      </c>
      <c r="E6467" t="s">
        <v>23</v>
      </c>
      <c r="F6467">
        <v>7.4709999999999999E-2</v>
      </c>
    </row>
    <row r="6468" spans="1:6" x14ac:dyDescent="0.3">
      <c r="A6468" t="s">
        <v>22</v>
      </c>
      <c r="B6468" s="1">
        <v>45927</v>
      </c>
      <c r="C6468">
        <v>12</v>
      </c>
      <c r="D6468">
        <v>0</v>
      </c>
      <c r="E6468" t="s">
        <v>23</v>
      </c>
      <c r="F6468">
        <v>5.7540000000000001E-2</v>
      </c>
    </row>
    <row r="6469" spans="1:6" x14ac:dyDescent="0.3">
      <c r="A6469" t="s">
        <v>22</v>
      </c>
      <c r="B6469" s="1">
        <v>45927</v>
      </c>
      <c r="C6469">
        <v>13</v>
      </c>
      <c r="D6469">
        <v>0</v>
      </c>
      <c r="E6469" t="s">
        <v>23</v>
      </c>
      <c r="F6469">
        <v>5.5399999999999998E-2</v>
      </c>
    </row>
    <row r="6470" spans="1:6" x14ac:dyDescent="0.3">
      <c r="A6470" t="s">
        <v>22</v>
      </c>
      <c r="B6470" s="1">
        <v>45927</v>
      </c>
      <c r="C6470">
        <v>14</v>
      </c>
      <c r="D6470">
        <v>0</v>
      </c>
      <c r="E6470" t="s">
        <v>23</v>
      </c>
      <c r="F6470">
        <v>5.074E-2</v>
      </c>
    </row>
    <row r="6471" spans="1:6" x14ac:dyDescent="0.3">
      <c r="A6471" t="s">
        <v>22</v>
      </c>
      <c r="B6471" s="1">
        <v>45927</v>
      </c>
      <c r="C6471">
        <v>15</v>
      </c>
      <c r="D6471">
        <v>0</v>
      </c>
      <c r="E6471" t="s">
        <v>23</v>
      </c>
      <c r="F6471">
        <v>4.4350000000000001E-2</v>
      </c>
    </row>
    <row r="6472" spans="1:6" x14ac:dyDescent="0.3">
      <c r="A6472" t="s">
        <v>22</v>
      </c>
      <c r="B6472" s="1">
        <v>45927</v>
      </c>
      <c r="C6472">
        <v>16</v>
      </c>
      <c r="D6472">
        <v>0</v>
      </c>
      <c r="E6472" t="s">
        <v>23</v>
      </c>
      <c r="F6472">
        <v>4.487E-2</v>
      </c>
    </row>
    <row r="6473" spans="1:6" x14ac:dyDescent="0.3">
      <c r="A6473" t="s">
        <v>22</v>
      </c>
      <c r="B6473" s="1">
        <v>45927</v>
      </c>
      <c r="C6473">
        <v>17</v>
      </c>
      <c r="D6473">
        <v>0</v>
      </c>
      <c r="E6473" t="s">
        <v>23</v>
      </c>
      <c r="F6473">
        <v>4.931E-2</v>
      </c>
    </row>
    <row r="6474" spans="1:6" x14ac:dyDescent="0.3">
      <c r="A6474" t="s">
        <v>22</v>
      </c>
      <c r="B6474" s="1">
        <v>45927</v>
      </c>
      <c r="C6474">
        <v>18</v>
      </c>
      <c r="D6474">
        <v>0</v>
      </c>
      <c r="E6474" t="s">
        <v>23</v>
      </c>
      <c r="F6474">
        <v>6.5340000000000009E-2</v>
      </c>
    </row>
    <row r="6475" spans="1:6" x14ac:dyDescent="0.3">
      <c r="A6475" t="s">
        <v>22</v>
      </c>
      <c r="B6475" s="1">
        <v>45927</v>
      </c>
      <c r="C6475">
        <v>19</v>
      </c>
      <c r="D6475">
        <v>0</v>
      </c>
      <c r="E6475" t="s">
        <v>23</v>
      </c>
      <c r="F6475">
        <v>0.11114</v>
      </c>
    </row>
    <row r="6476" spans="1:6" x14ac:dyDescent="0.3">
      <c r="A6476" t="s">
        <v>22</v>
      </c>
      <c r="B6476" s="1">
        <v>45927</v>
      </c>
      <c r="C6476">
        <v>20</v>
      </c>
      <c r="D6476">
        <v>0.314</v>
      </c>
      <c r="E6476" t="s">
        <v>23</v>
      </c>
      <c r="F6476">
        <v>0.14147999999999999</v>
      </c>
    </row>
    <row r="6477" spans="1:6" x14ac:dyDescent="0.3">
      <c r="A6477" t="s">
        <v>22</v>
      </c>
      <c r="B6477" s="1">
        <v>45927</v>
      </c>
      <c r="C6477">
        <v>21</v>
      </c>
      <c r="D6477">
        <v>0.60299999999999998</v>
      </c>
      <c r="E6477" t="s">
        <v>23</v>
      </c>
      <c r="F6477">
        <v>0.14368999999999998</v>
      </c>
    </row>
    <row r="6478" spans="1:6" x14ac:dyDescent="0.3">
      <c r="A6478" t="s">
        <v>22</v>
      </c>
      <c r="B6478" s="1">
        <v>45927</v>
      </c>
      <c r="C6478">
        <v>22</v>
      </c>
      <c r="D6478">
        <v>0.371</v>
      </c>
      <c r="E6478" t="s">
        <v>23</v>
      </c>
      <c r="F6478">
        <v>0.1416</v>
      </c>
    </row>
    <row r="6479" spans="1:6" x14ac:dyDescent="0.3">
      <c r="A6479" t="s">
        <v>22</v>
      </c>
      <c r="B6479" s="1">
        <v>45927</v>
      </c>
      <c r="C6479">
        <v>23</v>
      </c>
      <c r="D6479">
        <v>0.25700000000000001</v>
      </c>
      <c r="E6479" t="s">
        <v>23</v>
      </c>
      <c r="F6479">
        <v>0.13502</v>
      </c>
    </row>
    <row r="6480" spans="1:6" x14ac:dyDescent="0.3">
      <c r="A6480" t="s">
        <v>22</v>
      </c>
      <c r="B6480" s="1">
        <v>45927</v>
      </c>
      <c r="C6480">
        <v>24</v>
      </c>
      <c r="D6480">
        <v>0.2</v>
      </c>
      <c r="E6480" t="s">
        <v>23</v>
      </c>
      <c r="F6480">
        <v>0.13197</v>
      </c>
    </row>
    <row r="6481" spans="1:6" x14ac:dyDescent="0.3">
      <c r="A6481" t="s">
        <v>22</v>
      </c>
      <c r="B6481" s="1">
        <v>45928</v>
      </c>
      <c r="C6481">
        <v>1</v>
      </c>
      <c r="D6481">
        <v>0.16300000000000001</v>
      </c>
      <c r="E6481" t="s">
        <v>23</v>
      </c>
      <c r="F6481">
        <v>0.12159</v>
      </c>
    </row>
    <row r="6482" spans="1:6" x14ac:dyDescent="0.3">
      <c r="A6482" t="s">
        <v>22</v>
      </c>
      <c r="B6482" s="1">
        <v>45928</v>
      </c>
      <c r="C6482">
        <v>2</v>
      </c>
      <c r="D6482">
        <v>0.124</v>
      </c>
      <c r="E6482" t="s">
        <v>23</v>
      </c>
      <c r="F6482">
        <v>0.12065000000000001</v>
      </c>
    </row>
    <row r="6483" spans="1:6" x14ac:dyDescent="0.3">
      <c r="A6483" t="s">
        <v>22</v>
      </c>
      <c r="B6483" s="1">
        <v>45928</v>
      </c>
      <c r="C6483">
        <v>3</v>
      </c>
      <c r="D6483">
        <v>0.17</v>
      </c>
      <c r="E6483" t="s">
        <v>23</v>
      </c>
      <c r="F6483">
        <v>0.12193000000000001</v>
      </c>
    </row>
    <row r="6484" spans="1:6" x14ac:dyDescent="0.3">
      <c r="A6484" t="s">
        <v>22</v>
      </c>
      <c r="B6484" s="1">
        <v>45928</v>
      </c>
      <c r="C6484">
        <v>4</v>
      </c>
      <c r="D6484">
        <v>0.127</v>
      </c>
      <c r="E6484" t="s">
        <v>23</v>
      </c>
      <c r="F6484">
        <v>0.12093999999999999</v>
      </c>
    </row>
    <row r="6485" spans="1:6" x14ac:dyDescent="0.3">
      <c r="A6485" t="s">
        <v>22</v>
      </c>
      <c r="B6485" s="1">
        <v>45928</v>
      </c>
      <c r="C6485">
        <v>5</v>
      </c>
      <c r="D6485">
        <v>0.17299999999999999</v>
      </c>
      <c r="E6485" t="s">
        <v>23</v>
      </c>
      <c r="F6485">
        <v>0.12157</v>
      </c>
    </row>
    <row r="6486" spans="1:6" x14ac:dyDescent="0.3">
      <c r="A6486" t="s">
        <v>22</v>
      </c>
      <c r="B6486" s="1">
        <v>45928</v>
      </c>
      <c r="C6486">
        <v>6</v>
      </c>
      <c r="D6486">
        <v>0.13500000000000001</v>
      </c>
      <c r="E6486" t="s">
        <v>23</v>
      </c>
      <c r="F6486">
        <v>0.12189</v>
      </c>
    </row>
    <row r="6487" spans="1:6" x14ac:dyDescent="0.3">
      <c r="A6487" t="s">
        <v>22</v>
      </c>
      <c r="B6487" s="1">
        <v>45928</v>
      </c>
      <c r="C6487">
        <v>7</v>
      </c>
      <c r="D6487">
        <v>0.109</v>
      </c>
      <c r="E6487" t="s">
        <v>23</v>
      </c>
      <c r="F6487">
        <v>0.12007</v>
      </c>
    </row>
    <row r="6488" spans="1:6" x14ac:dyDescent="0.3">
      <c r="A6488" t="s">
        <v>22</v>
      </c>
      <c r="B6488" s="1">
        <v>45928</v>
      </c>
      <c r="C6488">
        <v>8</v>
      </c>
      <c r="D6488">
        <v>0.158</v>
      </c>
      <c r="E6488" t="s">
        <v>23</v>
      </c>
      <c r="F6488">
        <v>0.12217</v>
      </c>
    </row>
    <row r="6489" spans="1:6" x14ac:dyDescent="0.3">
      <c r="A6489" t="s">
        <v>22</v>
      </c>
      <c r="B6489" s="1">
        <v>45928</v>
      </c>
      <c r="C6489">
        <v>9</v>
      </c>
      <c r="D6489">
        <v>7.0000000000000001E-3</v>
      </c>
      <c r="E6489" t="s">
        <v>23</v>
      </c>
      <c r="F6489">
        <v>0.12459000000000001</v>
      </c>
    </row>
    <row r="6490" spans="1:6" x14ac:dyDescent="0.3">
      <c r="A6490" t="s">
        <v>22</v>
      </c>
      <c r="B6490" s="1">
        <v>45928</v>
      </c>
      <c r="C6490">
        <v>10</v>
      </c>
      <c r="D6490">
        <v>0.65300000000000002</v>
      </c>
      <c r="E6490" t="s">
        <v>23</v>
      </c>
      <c r="F6490">
        <v>0.11957999999999999</v>
      </c>
    </row>
    <row r="6491" spans="1:6" x14ac:dyDescent="0.3">
      <c r="A6491" t="s">
        <v>22</v>
      </c>
      <c r="B6491" s="1">
        <v>45928</v>
      </c>
      <c r="C6491">
        <v>11</v>
      </c>
      <c r="D6491">
        <v>0.66200000000000003</v>
      </c>
      <c r="E6491" t="s">
        <v>23</v>
      </c>
      <c r="F6491">
        <v>9.6579999999999999E-2</v>
      </c>
    </row>
    <row r="6492" spans="1:6" x14ac:dyDescent="0.3">
      <c r="A6492" t="s">
        <v>22</v>
      </c>
      <c r="B6492" s="1">
        <v>45928</v>
      </c>
      <c r="C6492">
        <v>12</v>
      </c>
      <c r="D6492">
        <v>1.347</v>
      </c>
      <c r="E6492" t="s">
        <v>23</v>
      </c>
      <c r="F6492">
        <v>8.5610000000000006E-2</v>
      </c>
    </row>
    <row r="6493" spans="1:6" x14ac:dyDescent="0.3">
      <c r="A6493" t="s">
        <v>22</v>
      </c>
      <c r="B6493" s="1">
        <v>45928</v>
      </c>
      <c r="C6493">
        <v>13</v>
      </c>
      <c r="D6493">
        <v>0</v>
      </c>
      <c r="E6493" t="s">
        <v>23</v>
      </c>
      <c r="F6493">
        <v>7.1129999999999999E-2</v>
      </c>
    </row>
    <row r="6494" spans="1:6" x14ac:dyDescent="0.3">
      <c r="A6494" t="s">
        <v>22</v>
      </c>
      <c r="B6494" s="1">
        <v>45928</v>
      </c>
      <c r="C6494">
        <v>14</v>
      </c>
      <c r="D6494">
        <v>0</v>
      </c>
      <c r="E6494" t="s">
        <v>23</v>
      </c>
      <c r="F6494">
        <v>6.2289999999999998E-2</v>
      </c>
    </row>
    <row r="6495" spans="1:6" x14ac:dyDescent="0.3">
      <c r="A6495" t="s">
        <v>22</v>
      </c>
      <c r="B6495" s="1">
        <v>45928</v>
      </c>
      <c r="C6495">
        <v>15</v>
      </c>
      <c r="D6495">
        <v>0</v>
      </c>
      <c r="E6495" t="s">
        <v>23</v>
      </c>
      <c r="F6495">
        <v>6.8870000000000001E-2</v>
      </c>
    </row>
    <row r="6496" spans="1:6" x14ac:dyDescent="0.3">
      <c r="A6496" t="s">
        <v>22</v>
      </c>
      <c r="B6496" s="1">
        <v>45928</v>
      </c>
      <c r="C6496">
        <v>16</v>
      </c>
      <c r="D6496">
        <v>0</v>
      </c>
      <c r="E6496" t="s">
        <v>23</v>
      </c>
      <c r="F6496">
        <v>7.0709999999999995E-2</v>
      </c>
    </row>
    <row r="6497" spans="1:6" x14ac:dyDescent="0.3">
      <c r="A6497" t="s">
        <v>22</v>
      </c>
      <c r="B6497" s="1">
        <v>45928</v>
      </c>
      <c r="C6497">
        <v>17</v>
      </c>
      <c r="D6497">
        <v>0</v>
      </c>
      <c r="E6497" t="s">
        <v>23</v>
      </c>
      <c r="F6497">
        <v>7.9379999999999992E-2</v>
      </c>
    </row>
    <row r="6498" spans="1:6" x14ac:dyDescent="0.3">
      <c r="A6498" t="s">
        <v>22</v>
      </c>
      <c r="B6498" s="1">
        <v>45928</v>
      </c>
      <c r="C6498">
        <v>18</v>
      </c>
      <c r="D6498">
        <v>0</v>
      </c>
      <c r="E6498" t="s">
        <v>23</v>
      </c>
      <c r="F6498">
        <v>9.6790000000000001E-2</v>
      </c>
    </row>
    <row r="6499" spans="1:6" x14ac:dyDescent="0.3">
      <c r="A6499" t="s">
        <v>22</v>
      </c>
      <c r="B6499" s="1">
        <v>45928</v>
      </c>
      <c r="C6499">
        <v>19</v>
      </c>
      <c r="D6499">
        <v>0</v>
      </c>
      <c r="E6499" t="s">
        <v>23</v>
      </c>
      <c r="F6499">
        <v>0.12189</v>
      </c>
    </row>
    <row r="6500" spans="1:6" x14ac:dyDescent="0.3">
      <c r="A6500" t="s">
        <v>22</v>
      </c>
      <c r="B6500" s="1">
        <v>45928</v>
      </c>
      <c r="C6500">
        <v>20</v>
      </c>
      <c r="D6500">
        <v>0.42299999999999999</v>
      </c>
      <c r="E6500" t="s">
        <v>23</v>
      </c>
      <c r="F6500">
        <v>0.12913999999999998</v>
      </c>
    </row>
    <row r="6501" spans="1:6" x14ac:dyDescent="0.3">
      <c r="A6501" t="s">
        <v>22</v>
      </c>
      <c r="B6501" s="1">
        <v>45928</v>
      </c>
      <c r="C6501">
        <v>21</v>
      </c>
      <c r="D6501">
        <v>0.438</v>
      </c>
      <c r="E6501" t="s">
        <v>23</v>
      </c>
      <c r="F6501">
        <v>0.13063999999999998</v>
      </c>
    </row>
    <row r="6502" spans="1:6" x14ac:dyDescent="0.3">
      <c r="A6502" t="s">
        <v>22</v>
      </c>
      <c r="B6502" s="1">
        <v>45928</v>
      </c>
      <c r="C6502">
        <v>22</v>
      </c>
      <c r="D6502">
        <v>0.63800000000000001</v>
      </c>
      <c r="E6502" t="s">
        <v>23</v>
      </c>
      <c r="F6502">
        <v>0.11237999999999999</v>
      </c>
    </row>
    <row r="6503" spans="1:6" x14ac:dyDescent="0.3">
      <c r="A6503" t="s">
        <v>22</v>
      </c>
      <c r="B6503" s="1">
        <v>45928</v>
      </c>
      <c r="C6503">
        <v>23</v>
      </c>
      <c r="D6503">
        <v>0.34499999999999997</v>
      </c>
      <c r="E6503" t="s">
        <v>23</v>
      </c>
      <c r="F6503">
        <v>0.12337000000000001</v>
      </c>
    </row>
    <row r="6504" spans="1:6" x14ac:dyDescent="0.3">
      <c r="A6504" t="s">
        <v>22</v>
      </c>
      <c r="B6504" s="1">
        <v>45928</v>
      </c>
      <c r="C6504">
        <v>24</v>
      </c>
      <c r="D6504">
        <v>0.25700000000000001</v>
      </c>
      <c r="E6504" t="s">
        <v>23</v>
      </c>
      <c r="F6504">
        <v>0.11505</v>
      </c>
    </row>
    <row r="6505" spans="1:6" x14ac:dyDescent="0.3">
      <c r="A6505" t="s">
        <v>22</v>
      </c>
      <c r="B6505" s="1">
        <v>45929</v>
      </c>
      <c r="C6505">
        <v>1</v>
      </c>
      <c r="D6505">
        <v>0.17699999999999999</v>
      </c>
      <c r="E6505" t="s">
        <v>23</v>
      </c>
      <c r="F6505">
        <v>0.10471</v>
      </c>
    </row>
    <row r="6506" spans="1:6" x14ac:dyDescent="0.3">
      <c r="A6506" t="s">
        <v>22</v>
      </c>
      <c r="B6506" s="1">
        <v>45929</v>
      </c>
      <c r="C6506">
        <v>2</v>
      </c>
      <c r="D6506">
        <v>0.13100000000000001</v>
      </c>
      <c r="E6506" t="s">
        <v>23</v>
      </c>
      <c r="F6506">
        <v>0.10244</v>
      </c>
    </row>
    <row r="6507" spans="1:6" x14ac:dyDescent="0.3">
      <c r="A6507" t="s">
        <v>22</v>
      </c>
      <c r="B6507" s="1">
        <v>45929</v>
      </c>
      <c r="C6507">
        <v>3</v>
      </c>
      <c r="D6507">
        <v>0.159</v>
      </c>
      <c r="E6507" t="s">
        <v>23</v>
      </c>
      <c r="F6507">
        <v>0.10070999999999999</v>
      </c>
    </row>
    <row r="6508" spans="1:6" x14ac:dyDescent="0.3">
      <c r="A6508" t="s">
        <v>22</v>
      </c>
      <c r="B6508" s="1">
        <v>45929</v>
      </c>
      <c r="C6508">
        <v>4</v>
      </c>
      <c r="D6508">
        <v>0.128</v>
      </c>
      <c r="E6508" t="s">
        <v>23</v>
      </c>
      <c r="F6508">
        <v>8.8770000000000002E-2</v>
      </c>
    </row>
    <row r="6509" spans="1:6" x14ac:dyDescent="0.3">
      <c r="A6509" t="s">
        <v>22</v>
      </c>
      <c r="B6509" s="1">
        <v>45929</v>
      </c>
      <c r="C6509">
        <v>5</v>
      </c>
      <c r="D6509">
        <v>0.17599999999999999</v>
      </c>
      <c r="E6509" t="s">
        <v>23</v>
      </c>
      <c r="F6509">
        <v>8.6749999999999994E-2</v>
      </c>
    </row>
    <row r="6510" spans="1:6" x14ac:dyDescent="0.3">
      <c r="A6510" t="s">
        <v>22</v>
      </c>
      <c r="B6510" s="1">
        <v>45929</v>
      </c>
      <c r="C6510">
        <v>6</v>
      </c>
      <c r="D6510">
        <v>0.111</v>
      </c>
      <c r="E6510" t="s">
        <v>23</v>
      </c>
      <c r="F6510">
        <v>8.8029999999999997E-2</v>
      </c>
    </row>
    <row r="6511" spans="1:6" x14ac:dyDescent="0.3">
      <c r="A6511" t="s">
        <v>22</v>
      </c>
      <c r="B6511" s="1">
        <v>45929</v>
      </c>
      <c r="C6511">
        <v>7</v>
      </c>
      <c r="D6511">
        <v>0.223</v>
      </c>
      <c r="E6511" t="s">
        <v>23</v>
      </c>
      <c r="F6511">
        <v>0.1043</v>
      </c>
    </row>
    <row r="6512" spans="1:6" x14ac:dyDescent="0.3">
      <c r="A6512" t="s">
        <v>22</v>
      </c>
      <c r="B6512" s="1">
        <v>45929</v>
      </c>
      <c r="C6512">
        <v>8</v>
      </c>
      <c r="D6512">
        <v>0.39100000000000001</v>
      </c>
      <c r="E6512" t="s">
        <v>23</v>
      </c>
      <c r="F6512">
        <v>0.12175</v>
      </c>
    </row>
    <row r="6513" spans="1:6" x14ac:dyDescent="0.3">
      <c r="A6513" t="s">
        <v>22</v>
      </c>
      <c r="B6513" s="1">
        <v>45929</v>
      </c>
      <c r="C6513">
        <v>9</v>
      </c>
      <c r="D6513">
        <v>0</v>
      </c>
      <c r="E6513" t="s">
        <v>23</v>
      </c>
      <c r="F6513">
        <v>0.15037999999999999</v>
      </c>
    </row>
    <row r="6514" spans="1:6" x14ac:dyDescent="0.3">
      <c r="A6514" t="s">
        <v>22</v>
      </c>
      <c r="B6514" s="1">
        <v>45929</v>
      </c>
      <c r="C6514">
        <v>10</v>
      </c>
      <c r="D6514">
        <v>0.23</v>
      </c>
      <c r="E6514" t="s">
        <v>23</v>
      </c>
      <c r="F6514">
        <v>0.14468999999999999</v>
      </c>
    </row>
    <row r="6515" spans="1:6" x14ac:dyDescent="0.3">
      <c r="A6515" t="s">
        <v>22</v>
      </c>
      <c r="B6515" s="1">
        <v>45929</v>
      </c>
      <c r="C6515">
        <v>11</v>
      </c>
      <c r="D6515">
        <v>0.622</v>
      </c>
      <c r="E6515" t="s">
        <v>23</v>
      </c>
      <c r="F6515">
        <v>0.19621</v>
      </c>
    </row>
    <row r="6516" spans="1:6" x14ac:dyDescent="0.3">
      <c r="A6516" t="s">
        <v>22</v>
      </c>
      <c r="B6516" s="1">
        <v>45929</v>
      </c>
      <c r="C6516">
        <v>12</v>
      </c>
      <c r="D6516">
        <v>0</v>
      </c>
      <c r="E6516" t="s">
        <v>23</v>
      </c>
      <c r="F6516">
        <v>0.17412</v>
      </c>
    </row>
    <row r="6517" spans="1:6" x14ac:dyDescent="0.3">
      <c r="A6517" t="s">
        <v>22</v>
      </c>
      <c r="B6517" s="1">
        <v>45929</v>
      </c>
      <c r="C6517">
        <v>13</v>
      </c>
      <c r="D6517">
        <v>0</v>
      </c>
      <c r="E6517" t="s">
        <v>23</v>
      </c>
      <c r="F6517">
        <v>0.16825999999999999</v>
      </c>
    </row>
    <row r="6518" spans="1:6" x14ac:dyDescent="0.3">
      <c r="A6518" t="s">
        <v>22</v>
      </c>
      <c r="B6518" s="1">
        <v>45929</v>
      </c>
      <c r="C6518">
        <v>14</v>
      </c>
      <c r="D6518">
        <v>1.5720000000000001</v>
      </c>
      <c r="E6518" t="s">
        <v>23</v>
      </c>
      <c r="F6518">
        <v>0.15822</v>
      </c>
    </row>
    <row r="6519" spans="1:6" x14ac:dyDescent="0.3">
      <c r="A6519" t="s">
        <v>22</v>
      </c>
      <c r="B6519" s="1">
        <v>45929</v>
      </c>
      <c r="C6519">
        <v>15</v>
      </c>
      <c r="D6519">
        <v>1.0860000000000001</v>
      </c>
      <c r="E6519" t="s">
        <v>23</v>
      </c>
      <c r="F6519">
        <v>8.6370000000000002E-2</v>
      </c>
    </row>
    <row r="6520" spans="1:6" x14ac:dyDescent="0.3">
      <c r="A6520" t="s">
        <v>22</v>
      </c>
      <c r="B6520" s="1">
        <v>45929</v>
      </c>
      <c r="C6520">
        <v>16</v>
      </c>
      <c r="D6520">
        <v>3.698</v>
      </c>
      <c r="E6520" t="s">
        <v>23</v>
      </c>
      <c r="F6520">
        <v>9.3180000000000013E-2</v>
      </c>
    </row>
    <row r="6521" spans="1:6" x14ac:dyDescent="0.3">
      <c r="A6521" t="s">
        <v>22</v>
      </c>
      <c r="B6521" s="1">
        <v>45929</v>
      </c>
      <c r="C6521">
        <v>17</v>
      </c>
      <c r="D6521">
        <v>3.62</v>
      </c>
      <c r="E6521" t="s">
        <v>23</v>
      </c>
      <c r="F6521">
        <v>0.10087</v>
      </c>
    </row>
    <row r="6522" spans="1:6" x14ac:dyDescent="0.3">
      <c r="A6522" t="s">
        <v>22</v>
      </c>
      <c r="B6522" s="1">
        <v>45929</v>
      </c>
      <c r="C6522">
        <v>18</v>
      </c>
      <c r="D6522">
        <v>0</v>
      </c>
      <c r="E6522" t="s">
        <v>23</v>
      </c>
      <c r="F6522">
        <v>0.12140000000000001</v>
      </c>
    </row>
    <row r="6523" spans="1:6" x14ac:dyDescent="0.3">
      <c r="A6523" t="s">
        <v>22</v>
      </c>
      <c r="B6523" s="1">
        <v>45929</v>
      </c>
      <c r="C6523">
        <v>19</v>
      </c>
      <c r="D6523">
        <v>0</v>
      </c>
      <c r="E6523" t="s">
        <v>23</v>
      </c>
      <c r="F6523">
        <v>0.22415000000000002</v>
      </c>
    </row>
    <row r="6524" spans="1:6" x14ac:dyDescent="0.3">
      <c r="A6524" t="s">
        <v>22</v>
      </c>
      <c r="B6524" s="1">
        <v>45929</v>
      </c>
      <c r="C6524">
        <v>20</v>
      </c>
      <c r="D6524">
        <v>0.33600000000000002</v>
      </c>
      <c r="E6524" t="s">
        <v>23</v>
      </c>
      <c r="F6524">
        <v>0.24049999999999999</v>
      </c>
    </row>
    <row r="6525" spans="1:6" x14ac:dyDescent="0.3">
      <c r="A6525" t="s">
        <v>22</v>
      </c>
      <c r="B6525" s="1">
        <v>45929</v>
      </c>
      <c r="C6525">
        <v>21</v>
      </c>
      <c r="D6525">
        <v>1.083</v>
      </c>
      <c r="E6525" t="s">
        <v>23</v>
      </c>
      <c r="F6525">
        <v>0.27455000000000002</v>
      </c>
    </row>
    <row r="6526" spans="1:6" x14ac:dyDescent="0.3">
      <c r="A6526" t="s">
        <v>22</v>
      </c>
      <c r="B6526" s="1">
        <v>45929</v>
      </c>
      <c r="C6526">
        <v>22</v>
      </c>
      <c r="D6526">
        <v>0.504</v>
      </c>
      <c r="E6526" t="s">
        <v>23</v>
      </c>
      <c r="F6526">
        <v>0.24312999999999999</v>
      </c>
    </row>
    <row r="6527" spans="1:6" x14ac:dyDescent="0.3">
      <c r="A6527" t="s">
        <v>22</v>
      </c>
      <c r="B6527" s="1">
        <v>45929</v>
      </c>
      <c r="C6527">
        <v>23</v>
      </c>
      <c r="D6527">
        <v>0.29499999999999998</v>
      </c>
      <c r="E6527" t="s">
        <v>23</v>
      </c>
      <c r="F6527">
        <v>0.16322</v>
      </c>
    </row>
    <row r="6528" spans="1:6" x14ac:dyDescent="0.3">
      <c r="A6528" t="s">
        <v>22</v>
      </c>
      <c r="B6528" s="1">
        <v>45929</v>
      </c>
      <c r="C6528">
        <v>24</v>
      </c>
      <c r="D6528">
        <v>0.247</v>
      </c>
      <c r="E6528" t="s">
        <v>23</v>
      </c>
      <c r="F6528">
        <v>0.16378000000000001</v>
      </c>
    </row>
    <row r="6529" spans="1:6" x14ac:dyDescent="0.3">
      <c r="A6529" t="s">
        <v>22</v>
      </c>
      <c r="B6529" s="1">
        <v>45930</v>
      </c>
      <c r="C6529">
        <v>1</v>
      </c>
      <c r="D6529">
        <v>0.188</v>
      </c>
      <c r="E6529" t="s">
        <v>23</v>
      </c>
      <c r="F6529">
        <v>0.12890000000000001</v>
      </c>
    </row>
    <row r="6530" spans="1:6" x14ac:dyDescent="0.3">
      <c r="A6530" t="s">
        <v>22</v>
      </c>
      <c r="B6530" s="1">
        <v>45930</v>
      </c>
      <c r="C6530">
        <v>2</v>
      </c>
      <c r="D6530">
        <v>0.16400000000000001</v>
      </c>
      <c r="E6530" t="s">
        <v>23</v>
      </c>
      <c r="F6530">
        <v>0.12246</v>
      </c>
    </row>
    <row r="6531" spans="1:6" x14ac:dyDescent="0.3">
      <c r="A6531" t="s">
        <v>22</v>
      </c>
      <c r="B6531" s="1">
        <v>45930</v>
      </c>
      <c r="C6531">
        <v>3</v>
      </c>
      <c r="D6531">
        <v>0.13500000000000001</v>
      </c>
      <c r="E6531" t="s">
        <v>23</v>
      </c>
      <c r="F6531">
        <v>0.1179</v>
      </c>
    </row>
    <row r="6532" spans="1:6" x14ac:dyDescent="0.3">
      <c r="A6532" t="s">
        <v>22</v>
      </c>
      <c r="B6532" s="1">
        <v>45930</v>
      </c>
      <c r="C6532">
        <v>4</v>
      </c>
      <c r="D6532">
        <v>0.187</v>
      </c>
      <c r="E6532" t="s">
        <v>23</v>
      </c>
      <c r="F6532">
        <v>0.11115</v>
      </c>
    </row>
    <row r="6533" spans="1:6" x14ac:dyDescent="0.3">
      <c r="A6533" t="s">
        <v>22</v>
      </c>
      <c r="B6533" s="1">
        <v>45930</v>
      </c>
      <c r="C6533">
        <v>5</v>
      </c>
      <c r="D6533">
        <v>0.193</v>
      </c>
      <c r="E6533" t="s">
        <v>23</v>
      </c>
      <c r="F6533">
        <v>0.11314</v>
      </c>
    </row>
    <row r="6534" spans="1:6" x14ac:dyDescent="0.3">
      <c r="A6534" t="s">
        <v>22</v>
      </c>
      <c r="B6534" s="1">
        <v>45930</v>
      </c>
      <c r="C6534">
        <v>6</v>
      </c>
      <c r="D6534">
        <v>0.12</v>
      </c>
      <c r="E6534" t="s">
        <v>23</v>
      </c>
      <c r="F6534">
        <v>0.11448999999999999</v>
      </c>
    </row>
    <row r="6535" spans="1:6" x14ac:dyDescent="0.3">
      <c r="A6535" t="s">
        <v>22</v>
      </c>
      <c r="B6535" s="1">
        <v>45930</v>
      </c>
      <c r="C6535">
        <v>7</v>
      </c>
      <c r="D6535">
        <v>0.32300000000000001</v>
      </c>
      <c r="E6535" t="s">
        <v>23</v>
      </c>
      <c r="F6535">
        <v>0.13228000000000001</v>
      </c>
    </row>
    <row r="6536" spans="1:6" x14ac:dyDescent="0.3">
      <c r="A6536" t="s">
        <v>22</v>
      </c>
      <c r="B6536" s="1">
        <v>45930</v>
      </c>
      <c r="C6536">
        <v>8</v>
      </c>
      <c r="D6536">
        <v>2.2789999999999999</v>
      </c>
      <c r="E6536" t="s">
        <v>23</v>
      </c>
      <c r="F6536">
        <v>0.1389</v>
      </c>
    </row>
    <row r="6537" spans="1:6" x14ac:dyDescent="0.3">
      <c r="A6537" t="s">
        <v>22</v>
      </c>
      <c r="B6537" s="1">
        <v>45930</v>
      </c>
      <c r="C6537">
        <v>9</v>
      </c>
      <c r="D6537">
        <v>0</v>
      </c>
      <c r="E6537" t="s">
        <v>23</v>
      </c>
      <c r="F6537">
        <v>0.18931000000000001</v>
      </c>
    </row>
    <row r="6538" spans="1:6" x14ac:dyDescent="0.3">
      <c r="A6538" t="s">
        <v>22</v>
      </c>
      <c r="B6538" s="1">
        <v>45930</v>
      </c>
      <c r="C6538">
        <v>10</v>
      </c>
      <c r="D6538">
        <v>0</v>
      </c>
      <c r="E6538" t="s">
        <v>23</v>
      </c>
      <c r="F6538">
        <v>0.15159</v>
      </c>
    </row>
    <row r="6539" spans="1:6" x14ac:dyDescent="0.3">
      <c r="A6539" t="s">
        <v>22</v>
      </c>
      <c r="B6539" s="1">
        <v>45930</v>
      </c>
      <c r="C6539">
        <v>11</v>
      </c>
      <c r="D6539">
        <v>0</v>
      </c>
      <c r="E6539" t="s">
        <v>23</v>
      </c>
      <c r="F6539">
        <v>0.18080000000000002</v>
      </c>
    </row>
    <row r="6540" spans="1:6" x14ac:dyDescent="0.3">
      <c r="A6540" t="s">
        <v>22</v>
      </c>
      <c r="B6540" s="1">
        <v>45930</v>
      </c>
      <c r="C6540">
        <v>12</v>
      </c>
      <c r="D6540">
        <v>0</v>
      </c>
      <c r="E6540" t="s">
        <v>23</v>
      </c>
      <c r="F6540">
        <v>0.14821000000000001</v>
      </c>
    </row>
    <row r="6541" spans="1:6" x14ac:dyDescent="0.3">
      <c r="A6541" t="s">
        <v>22</v>
      </c>
      <c r="B6541" s="1">
        <v>45930</v>
      </c>
      <c r="C6541">
        <v>13</v>
      </c>
      <c r="D6541">
        <v>0</v>
      </c>
      <c r="E6541" t="s">
        <v>23</v>
      </c>
      <c r="F6541">
        <v>0.13994999999999999</v>
      </c>
    </row>
    <row r="6542" spans="1:6" x14ac:dyDescent="0.3">
      <c r="A6542" t="s">
        <v>22</v>
      </c>
      <c r="B6542" s="1">
        <v>45930</v>
      </c>
      <c r="C6542">
        <v>14</v>
      </c>
      <c r="D6542">
        <v>0</v>
      </c>
      <c r="E6542" t="s">
        <v>23</v>
      </c>
      <c r="F6542">
        <v>0.13441999999999998</v>
      </c>
    </row>
    <row r="6543" spans="1:6" x14ac:dyDescent="0.3">
      <c r="A6543" t="s">
        <v>22</v>
      </c>
      <c r="B6543" s="1">
        <v>45930</v>
      </c>
      <c r="C6543">
        <v>15</v>
      </c>
      <c r="D6543">
        <v>0</v>
      </c>
      <c r="E6543" t="s">
        <v>23</v>
      </c>
      <c r="F6543">
        <v>7.0260000000000003E-2</v>
      </c>
    </row>
    <row r="6544" spans="1:6" x14ac:dyDescent="0.3">
      <c r="A6544" t="s">
        <v>22</v>
      </c>
      <c r="B6544" s="1">
        <v>45930</v>
      </c>
      <c r="C6544">
        <v>16</v>
      </c>
      <c r="D6544">
        <v>0</v>
      </c>
      <c r="E6544" t="s">
        <v>23</v>
      </c>
      <c r="F6544">
        <v>7.8909999999999994E-2</v>
      </c>
    </row>
    <row r="6545" spans="1:6" x14ac:dyDescent="0.3">
      <c r="A6545" t="s">
        <v>22</v>
      </c>
      <c r="B6545" s="1">
        <v>45930</v>
      </c>
      <c r="C6545">
        <v>17</v>
      </c>
      <c r="D6545">
        <v>0</v>
      </c>
      <c r="E6545" t="s">
        <v>23</v>
      </c>
      <c r="F6545">
        <v>8.473E-2</v>
      </c>
    </row>
    <row r="6546" spans="1:6" x14ac:dyDescent="0.3">
      <c r="A6546" t="s">
        <v>22</v>
      </c>
      <c r="B6546" s="1">
        <v>45930</v>
      </c>
      <c r="C6546">
        <v>18</v>
      </c>
      <c r="D6546">
        <v>0</v>
      </c>
      <c r="E6546" t="s">
        <v>23</v>
      </c>
      <c r="F6546">
        <v>0.11144</v>
      </c>
    </row>
    <row r="6547" spans="1:6" x14ac:dyDescent="0.3">
      <c r="A6547" t="s">
        <v>22</v>
      </c>
      <c r="B6547" s="1">
        <v>45930</v>
      </c>
      <c r="C6547">
        <v>19</v>
      </c>
      <c r="D6547">
        <v>0.3</v>
      </c>
      <c r="E6547" t="s">
        <v>23</v>
      </c>
      <c r="F6547">
        <v>0.20880000000000001</v>
      </c>
    </row>
    <row r="6548" spans="1:6" x14ac:dyDescent="0.3">
      <c r="A6548" t="s">
        <v>22</v>
      </c>
      <c r="B6548" s="1">
        <v>45930</v>
      </c>
      <c r="C6548">
        <v>20</v>
      </c>
      <c r="D6548">
        <v>0.107</v>
      </c>
      <c r="E6548" t="s">
        <v>23</v>
      </c>
      <c r="F6548">
        <v>0.23871000000000001</v>
      </c>
    </row>
    <row r="6549" spans="1:6" x14ac:dyDescent="0.3">
      <c r="A6549" t="s">
        <v>22</v>
      </c>
      <c r="B6549" s="1">
        <v>45930</v>
      </c>
      <c r="C6549">
        <v>21</v>
      </c>
      <c r="D6549">
        <v>0.68899999999999995</v>
      </c>
      <c r="E6549" t="s">
        <v>23</v>
      </c>
      <c r="F6549">
        <v>0.33461000000000002</v>
      </c>
    </row>
    <row r="6550" spans="1:6" x14ac:dyDescent="0.3">
      <c r="A6550" t="s">
        <v>22</v>
      </c>
      <c r="B6550" s="1">
        <v>45930</v>
      </c>
      <c r="C6550">
        <v>22</v>
      </c>
      <c r="D6550">
        <v>1.109</v>
      </c>
      <c r="E6550" t="s">
        <v>23</v>
      </c>
      <c r="F6550">
        <v>0.30085000000000001</v>
      </c>
    </row>
    <row r="6551" spans="1:6" x14ac:dyDescent="0.3">
      <c r="A6551" t="s">
        <v>22</v>
      </c>
      <c r="B6551" s="1">
        <v>45930</v>
      </c>
      <c r="C6551">
        <v>23</v>
      </c>
      <c r="D6551">
        <v>0.84599999999999997</v>
      </c>
      <c r="E6551" t="s">
        <v>23</v>
      </c>
      <c r="F6551">
        <v>0.17762999999999998</v>
      </c>
    </row>
    <row r="6552" spans="1:6" x14ac:dyDescent="0.3">
      <c r="A6552" t="s">
        <v>22</v>
      </c>
      <c r="B6552" s="1">
        <v>45930</v>
      </c>
      <c r="C6552">
        <v>24</v>
      </c>
      <c r="D6552">
        <v>0.246</v>
      </c>
      <c r="E6552" t="s">
        <v>23</v>
      </c>
      <c r="F6552">
        <v>0.15833000000000003</v>
      </c>
    </row>
    <row r="6553" spans="1:6" x14ac:dyDescent="0.3">
      <c r="A6553" t="s">
        <v>22</v>
      </c>
      <c r="B6553" s="1">
        <v>45931</v>
      </c>
      <c r="C6553">
        <v>1</v>
      </c>
      <c r="D6553">
        <v>0.185</v>
      </c>
      <c r="E6553" t="s">
        <v>6</v>
      </c>
      <c r="F6553">
        <v>0.13462000000000002</v>
      </c>
    </row>
    <row r="6554" spans="1:6" x14ac:dyDescent="0.3">
      <c r="A6554" t="s">
        <v>22</v>
      </c>
      <c r="B6554" s="1">
        <v>45931</v>
      </c>
      <c r="C6554">
        <v>2</v>
      </c>
      <c r="D6554">
        <v>0.18</v>
      </c>
      <c r="E6554" t="s">
        <v>6</v>
      </c>
      <c r="F6554">
        <v>0.13777</v>
      </c>
    </row>
    <row r="6555" spans="1:6" x14ac:dyDescent="0.3">
      <c r="A6555" t="s">
        <v>22</v>
      </c>
      <c r="B6555" s="1">
        <v>45931</v>
      </c>
      <c r="C6555">
        <v>3</v>
      </c>
      <c r="D6555">
        <v>0.126</v>
      </c>
      <c r="E6555" t="s">
        <v>6</v>
      </c>
      <c r="F6555">
        <v>0.13688999999999998</v>
      </c>
    </row>
    <row r="6556" spans="1:6" x14ac:dyDescent="0.3">
      <c r="A6556" t="s">
        <v>22</v>
      </c>
      <c r="B6556" s="1">
        <v>45931</v>
      </c>
      <c r="C6556">
        <v>4</v>
      </c>
      <c r="D6556">
        <v>0.17</v>
      </c>
      <c r="E6556" t="s">
        <v>6</v>
      </c>
      <c r="F6556">
        <v>0.12877000000000002</v>
      </c>
    </row>
    <row r="6557" spans="1:6" x14ac:dyDescent="0.3">
      <c r="A6557" t="s">
        <v>22</v>
      </c>
      <c r="B6557" s="1">
        <v>45931</v>
      </c>
      <c r="C6557">
        <v>5</v>
      </c>
      <c r="D6557">
        <v>1.482</v>
      </c>
      <c r="E6557" t="s">
        <v>6</v>
      </c>
      <c r="F6557">
        <v>0.13340000000000002</v>
      </c>
    </row>
    <row r="6558" spans="1:6" x14ac:dyDescent="0.3">
      <c r="A6558" t="s">
        <v>22</v>
      </c>
      <c r="B6558" s="1">
        <v>45931</v>
      </c>
      <c r="C6558">
        <v>6</v>
      </c>
      <c r="D6558">
        <v>0.11600000000000001</v>
      </c>
      <c r="E6558" t="s">
        <v>6</v>
      </c>
      <c r="F6558">
        <v>0.13315000000000002</v>
      </c>
    </row>
    <row r="6559" spans="1:6" x14ac:dyDescent="0.3">
      <c r="A6559" t="s">
        <v>22</v>
      </c>
      <c r="B6559" s="1">
        <v>45931</v>
      </c>
      <c r="C6559">
        <v>7</v>
      </c>
      <c r="D6559">
        <v>0.217</v>
      </c>
      <c r="E6559" t="s">
        <v>6</v>
      </c>
      <c r="F6559">
        <v>0.13281000000000001</v>
      </c>
    </row>
    <row r="6560" spans="1:6" x14ac:dyDescent="0.3">
      <c r="A6560" t="s">
        <v>22</v>
      </c>
      <c r="B6560" s="1">
        <v>45931</v>
      </c>
      <c r="C6560">
        <v>8</v>
      </c>
      <c r="D6560">
        <v>0.57599999999999996</v>
      </c>
      <c r="E6560" t="s">
        <v>6</v>
      </c>
      <c r="F6560">
        <v>0.14430000000000001</v>
      </c>
    </row>
    <row r="6561" spans="1:6" x14ac:dyDescent="0.3">
      <c r="A6561" t="s">
        <v>22</v>
      </c>
      <c r="B6561" s="1">
        <v>45931</v>
      </c>
      <c r="C6561">
        <v>9</v>
      </c>
      <c r="D6561">
        <v>0</v>
      </c>
      <c r="E6561" t="s">
        <v>6</v>
      </c>
      <c r="F6561">
        <v>0.19212000000000001</v>
      </c>
    </row>
    <row r="6562" spans="1:6" x14ac:dyDescent="0.3">
      <c r="A6562" t="s">
        <v>22</v>
      </c>
      <c r="B6562" s="1">
        <v>45931</v>
      </c>
      <c r="C6562">
        <v>10</v>
      </c>
      <c r="D6562">
        <v>3</v>
      </c>
      <c r="E6562" t="s">
        <v>6</v>
      </c>
      <c r="F6562">
        <v>0.15378</v>
      </c>
    </row>
    <row r="6563" spans="1:6" x14ac:dyDescent="0.3">
      <c r="A6563" t="s">
        <v>22</v>
      </c>
      <c r="B6563" s="1">
        <v>45931</v>
      </c>
      <c r="C6563">
        <v>11</v>
      </c>
      <c r="D6563">
        <v>5.0279999999999996</v>
      </c>
      <c r="E6563" t="s">
        <v>6</v>
      </c>
      <c r="F6563">
        <v>0.18318999999999999</v>
      </c>
    </row>
    <row r="6564" spans="1:6" x14ac:dyDescent="0.3">
      <c r="A6564" t="s">
        <v>22</v>
      </c>
      <c r="B6564" s="1">
        <v>45931</v>
      </c>
      <c r="C6564">
        <v>12</v>
      </c>
      <c r="D6564">
        <v>1.101</v>
      </c>
      <c r="E6564" t="s">
        <v>6</v>
      </c>
      <c r="F6564">
        <v>0.15591999999999998</v>
      </c>
    </row>
    <row r="6565" spans="1:6" x14ac:dyDescent="0.3">
      <c r="A6565" t="s">
        <v>22</v>
      </c>
      <c r="B6565" s="1">
        <v>45931</v>
      </c>
      <c r="C6565">
        <v>13</v>
      </c>
      <c r="D6565">
        <v>0</v>
      </c>
      <c r="E6565" t="s">
        <v>6</v>
      </c>
      <c r="F6565">
        <v>0.13519</v>
      </c>
    </row>
    <row r="6566" spans="1:6" x14ac:dyDescent="0.3">
      <c r="A6566" t="s">
        <v>22</v>
      </c>
      <c r="B6566" s="1">
        <v>45931</v>
      </c>
      <c r="C6566">
        <v>14</v>
      </c>
      <c r="D6566">
        <v>0</v>
      </c>
      <c r="E6566" t="s">
        <v>6</v>
      </c>
      <c r="F6566">
        <v>0.12332</v>
      </c>
    </row>
    <row r="6567" spans="1:6" x14ac:dyDescent="0.3">
      <c r="A6567" t="s">
        <v>22</v>
      </c>
      <c r="B6567" s="1">
        <v>45931</v>
      </c>
      <c r="C6567">
        <v>15</v>
      </c>
      <c r="D6567">
        <v>0</v>
      </c>
      <c r="E6567" t="s">
        <v>6</v>
      </c>
      <c r="F6567">
        <v>5.6340000000000001E-2</v>
      </c>
    </row>
    <row r="6568" spans="1:6" x14ac:dyDescent="0.3">
      <c r="A6568" t="s">
        <v>22</v>
      </c>
      <c r="B6568" s="1">
        <v>45931</v>
      </c>
      <c r="C6568">
        <v>16</v>
      </c>
      <c r="D6568">
        <v>0</v>
      </c>
      <c r="E6568" t="s">
        <v>6</v>
      </c>
      <c r="F6568">
        <v>6.318E-2</v>
      </c>
    </row>
    <row r="6569" spans="1:6" x14ac:dyDescent="0.3">
      <c r="A6569" t="s">
        <v>22</v>
      </c>
      <c r="B6569" s="1">
        <v>45931</v>
      </c>
      <c r="C6569">
        <v>17</v>
      </c>
      <c r="D6569">
        <v>0</v>
      </c>
      <c r="E6569" t="s">
        <v>6</v>
      </c>
      <c r="F6569">
        <v>8.3060000000000009E-2</v>
      </c>
    </row>
    <row r="6570" spans="1:6" x14ac:dyDescent="0.3">
      <c r="A6570" t="s">
        <v>22</v>
      </c>
      <c r="B6570" s="1">
        <v>45931</v>
      </c>
      <c r="C6570">
        <v>18</v>
      </c>
      <c r="D6570">
        <v>0</v>
      </c>
      <c r="E6570" t="s">
        <v>6</v>
      </c>
      <c r="F6570">
        <v>0.10138</v>
      </c>
    </row>
    <row r="6571" spans="1:6" x14ac:dyDescent="0.3">
      <c r="A6571" t="s">
        <v>22</v>
      </c>
      <c r="B6571" s="1">
        <v>45931</v>
      </c>
      <c r="C6571">
        <v>19</v>
      </c>
      <c r="D6571">
        <v>0</v>
      </c>
      <c r="E6571" t="s">
        <v>6</v>
      </c>
      <c r="F6571">
        <v>0.21092</v>
      </c>
    </row>
    <row r="6572" spans="1:6" x14ac:dyDescent="0.3">
      <c r="A6572" t="s">
        <v>22</v>
      </c>
      <c r="B6572" s="1">
        <v>45931</v>
      </c>
      <c r="C6572">
        <v>20</v>
      </c>
      <c r="D6572">
        <v>0.45200000000000001</v>
      </c>
      <c r="E6572" t="s">
        <v>6</v>
      </c>
      <c r="F6572">
        <v>0.25235000000000002</v>
      </c>
    </row>
    <row r="6573" spans="1:6" x14ac:dyDescent="0.3">
      <c r="A6573" t="s">
        <v>22</v>
      </c>
      <c r="B6573" s="1">
        <v>45931</v>
      </c>
      <c r="C6573">
        <v>21</v>
      </c>
      <c r="D6573">
        <v>1.1180000000000001</v>
      </c>
      <c r="E6573" t="s">
        <v>6</v>
      </c>
      <c r="F6573">
        <v>0.35694999999999999</v>
      </c>
    </row>
    <row r="6574" spans="1:6" x14ac:dyDescent="0.3">
      <c r="A6574" t="s">
        <v>22</v>
      </c>
      <c r="B6574" s="1">
        <v>45931</v>
      </c>
      <c r="C6574">
        <v>22</v>
      </c>
      <c r="D6574">
        <v>1.724</v>
      </c>
      <c r="E6574" t="s">
        <v>6</v>
      </c>
      <c r="F6574">
        <v>0.25128</v>
      </c>
    </row>
    <row r="6575" spans="1:6" x14ac:dyDescent="0.3">
      <c r="A6575" t="s">
        <v>22</v>
      </c>
      <c r="B6575" s="1">
        <v>45931</v>
      </c>
      <c r="C6575">
        <v>23</v>
      </c>
      <c r="D6575">
        <v>0.85599999999999998</v>
      </c>
      <c r="E6575" t="s">
        <v>6</v>
      </c>
      <c r="F6575">
        <v>0.16447999999999999</v>
      </c>
    </row>
    <row r="6576" spans="1:6" x14ac:dyDescent="0.3">
      <c r="A6576" t="s">
        <v>22</v>
      </c>
      <c r="B6576" s="1">
        <v>45931</v>
      </c>
      <c r="C6576">
        <v>24</v>
      </c>
      <c r="D6576">
        <v>0.40899999999999997</v>
      </c>
      <c r="E6576" t="s">
        <v>6</v>
      </c>
      <c r="F6576">
        <v>0.16036</v>
      </c>
    </row>
    <row r="6577" spans="1:6" x14ac:dyDescent="0.3">
      <c r="A6577" t="s">
        <v>22</v>
      </c>
      <c r="B6577" s="1">
        <v>45932</v>
      </c>
      <c r="C6577">
        <v>1</v>
      </c>
      <c r="D6577">
        <v>0.27200000000000002</v>
      </c>
      <c r="E6577" t="s">
        <v>6</v>
      </c>
      <c r="F6577">
        <v>0.14035</v>
      </c>
    </row>
    <row r="6578" spans="1:6" x14ac:dyDescent="0.3">
      <c r="A6578" t="s">
        <v>22</v>
      </c>
      <c r="B6578" s="1">
        <v>45932</v>
      </c>
      <c r="C6578">
        <v>2</v>
      </c>
      <c r="D6578">
        <v>0.122</v>
      </c>
      <c r="E6578" t="s">
        <v>6</v>
      </c>
      <c r="F6578">
        <v>0.13602</v>
      </c>
    </row>
    <row r="6579" spans="1:6" x14ac:dyDescent="0.3">
      <c r="A6579" t="s">
        <v>22</v>
      </c>
      <c r="B6579" s="1">
        <v>45932</v>
      </c>
      <c r="C6579">
        <v>3</v>
      </c>
      <c r="D6579">
        <v>0.13900000000000001</v>
      </c>
      <c r="E6579" t="s">
        <v>6</v>
      </c>
      <c r="F6579">
        <v>0.13119</v>
      </c>
    </row>
    <row r="6580" spans="1:6" x14ac:dyDescent="0.3">
      <c r="A6580" t="s">
        <v>22</v>
      </c>
      <c r="B6580" s="1">
        <v>45932</v>
      </c>
      <c r="C6580">
        <v>4</v>
      </c>
      <c r="D6580">
        <v>0.16200000000000001</v>
      </c>
      <c r="E6580" t="s">
        <v>6</v>
      </c>
      <c r="F6580">
        <v>0.13038</v>
      </c>
    </row>
    <row r="6581" spans="1:6" x14ac:dyDescent="0.3">
      <c r="A6581" t="s">
        <v>22</v>
      </c>
      <c r="B6581" s="1">
        <v>45932</v>
      </c>
      <c r="C6581">
        <v>5</v>
      </c>
      <c r="D6581">
        <v>0.127</v>
      </c>
      <c r="E6581" t="s">
        <v>6</v>
      </c>
      <c r="F6581">
        <v>0.13417999999999999</v>
      </c>
    </row>
    <row r="6582" spans="1:6" x14ac:dyDescent="0.3">
      <c r="A6582" t="s">
        <v>22</v>
      </c>
      <c r="B6582" s="1">
        <v>45932</v>
      </c>
      <c r="C6582">
        <v>6</v>
      </c>
      <c r="D6582">
        <v>0.16400000000000001</v>
      </c>
      <c r="E6582" t="s">
        <v>6</v>
      </c>
      <c r="F6582">
        <v>0.13855000000000001</v>
      </c>
    </row>
    <row r="6583" spans="1:6" x14ac:dyDescent="0.3">
      <c r="A6583" t="s">
        <v>22</v>
      </c>
      <c r="B6583" s="1">
        <v>45932</v>
      </c>
      <c r="C6583">
        <v>7</v>
      </c>
      <c r="D6583">
        <v>0.19</v>
      </c>
      <c r="E6583" t="s">
        <v>6</v>
      </c>
      <c r="F6583">
        <v>0.13544999999999999</v>
      </c>
    </row>
    <row r="6584" spans="1:6" x14ac:dyDescent="0.3">
      <c r="A6584" t="s">
        <v>22</v>
      </c>
      <c r="B6584" s="1">
        <v>45932</v>
      </c>
      <c r="C6584">
        <v>8</v>
      </c>
      <c r="D6584">
        <v>0.49099999999999999</v>
      </c>
      <c r="E6584" t="s">
        <v>6</v>
      </c>
      <c r="F6584">
        <v>0.15189</v>
      </c>
    </row>
    <row r="6585" spans="1:6" x14ac:dyDescent="0.3">
      <c r="A6585" t="s">
        <v>22</v>
      </c>
      <c r="B6585" s="1">
        <v>45932</v>
      </c>
      <c r="C6585">
        <v>9</v>
      </c>
      <c r="D6585">
        <v>0.77600000000000002</v>
      </c>
      <c r="E6585" t="s">
        <v>6</v>
      </c>
      <c r="F6585">
        <v>0.19268000000000002</v>
      </c>
    </row>
    <row r="6586" spans="1:6" x14ac:dyDescent="0.3">
      <c r="A6586" t="s">
        <v>22</v>
      </c>
      <c r="B6586" s="1">
        <v>45932</v>
      </c>
      <c r="C6586">
        <v>10</v>
      </c>
      <c r="D6586">
        <v>0</v>
      </c>
      <c r="E6586" t="s">
        <v>6</v>
      </c>
      <c r="F6586">
        <v>0.14824999999999999</v>
      </c>
    </row>
    <row r="6587" spans="1:6" x14ac:dyDescent="0.3">
      <c r="A6587" t="s">
        <v>22</v>
      </c>
      <c r="B6587" s="1">
        <v>45932</v>
      </c>
      <c r="C6587">
        <v>11</v>
      </c>
      <c r="D6587">
        <v>0.125</v>
      </c>
      <c r="E6587" t="s">
        <v>6</v>
      </c>
      <c r="F6587">
        <v>0.17696999999999999</v>
      </c>
    </row>
    <row r="6588" spans="1:6" x14ac:dyDescent="0.3">
      <c r="A6588" t="s">
        <v>22</v>
      </c>
      <c r="B6588" s="1">
        <v>45932</v>
      </c>
      <c r="C6588">
        <v>12</v>
      </c>
      <c r="D6588">
        <v>0</v>
      </c>
      <c r="E6588" t="s">
        <v>6</v>
      </c>
      <c r="F6588">
        <v>0.14923</v>
      </c>
    </row>
    <row r="6589" spans="1:6" x14ac:dyDescent="0.3">
      <c r="A6589" t="s">
        <v>22</v>
      </c>
      <c r="B6589" s="1">
        <v>45932</v>
      </c>
      <c r="C6589">
        <v>13</v>
      </c>
      <c r="D6589">
        <v>0</v>
      </c>
      <c r="E6589" t="s">
        <v>6</v>
      </c>
      <c r="F6589">
        <v>0.13608000000000001</v>
      </c>
    </row>
    <row r="6590" spans="1:6" x14ac:dyDescent="0.3">
      <c r="A6590" t="s">
        <v>22</v>
      </c>
      <c r="B6590" s="1">
        <v>45932</v>
      </c>
      <c r="C6590">
        <v>14</v>
      </c>
      <c r="D6590">
        <v>0</v>
      </c>
      <c r="E6590" t="s">
        <v>6</v>
      </c>
      <c r="F6590">
        <v>0.12852000000000002</v>
      </c>
    </row>
    <row r="6591" spans="1:6" x14ac:dyDescent="0.3">
      <c r="A6591" t="s">
        <v>22</v>
      </c>
      <c r="B6591" s="1">
        <v>45932</v>
      </c>
      <c r="C6591">
        <v>15</v>
      </c>
      <c r="D6591">
        <v>1.506</v>
      </c>
      <c r="E6591" t="s">
        <v>6</v>
      </c>
      <c r="F6591">
        <v>6.3130000000000006E-2</v>
      </c>
    </row>
    <row r="6592" spans="1:6" x14ac:dyDescent="0.3">
      <c r="A6592" t="s">
        <v>22</v>
      </c>
      <c r="B6592" s="1">
        <v>45932</v>
      </c>
      <c r="C6592">
        <v>16</v>
      </c>
      <c r="D6592">
        <v>0</v>
      </c>
      <c r="E6592" t="s">
        <v>6</v>
      </c>
      <c r="F6592">
        <v>6.2850000000000003E-2</v>
      </c>
    </row>
    <row r="6593" spans="1:6" x14ac:dyDescent="0.3">
      <c r="A6593" t="s">
        <v>22</v>
      </c>
      <c r="B6593" s="1">
        <v>45932</v>
      </c>
      <c r="C6593">
        <v>17</v>
      </c>
      <c r="D6593">
        <v>0</v>
      </c>
      <c r="E6593" t="s">
        <v>6</v>
      </c>
      <c r="F6593">
        <v>7.9260000000000011E-2</v>
      </c>
    </row>
    <row r="6594" spans="1:6" x14ac:dyDescent="0.3">
      <c r="A6594" t="s">
        <v>22</v>
      </c>
      <c r="B6594" s="1">
        <v>45932</v>
      </c>
      <c r="C6594">
        <v>18</v>
      </c>
      <c r="D6594">
        <v>0</v>
      </c>
      <c r="E6594" t="s">
        <v>6</v>
      </c>
      <c r="F6594">
        <v>9.5560000000000006E-2</v>
      </c>
    </row>
    <row r="6595" spans="1:6" x14ac:dyDescent="0.3">
      <c r="A6595" t="s">
        <v>22</v>
      </c>
      <c r="B6595" s="1">
        <v>45932</v>
      </c>
      <c r="C6595">
        <v>19</v>
      </c>
      <c r="D6595">
        <v>0</v>
      </c>
      <c r="E6595" t="s">
        <v>6</v>
      </c>
      <c r="F6595">
        <v>0.19533</v>
      </c>
    </row>
    <row r="6596" spans="1:6" x14ac:dyDescent="0.3">
      <c r="A6596" t="s">
        <v>22</v>
      </c>
      <c r="B6596" s="1">
        <v>45932</v>
      </c>
      <c r="C6596">
        <v>20</v>
      </c>
      <c r="D6596">
        <v>0.32400000000000001</v>
      </c>
      <c r="E6596" t="s">
        <v>6</v>
      </c>
      <c r="F6596">
        <v>0.22719</v>
      </c>
    </row>
    <row r="6597" spans="1:6" x14ac:dyDescent="0.3">
      <c r="A6597" t="s">
        <v>22</v>
      </c>
      <c r="B6597" s="1">
        <v>45932</v>
      </c>
      <c r="C6597">
        <v>21</v>
      </c>
      <c r="D6597">
        <v>0.72099999999999997</v>
      </c>
      <c r="E6597" t="s">
        <v>6</v>
      </c>
      <c r="F6597">
        <v>0.34341000000000005</v>
      </c>
    </row>
    <row r="6598" spans="1:6" x14ac:dyDescent="0.3">
      <c r="A6598" t="s">
        <v>22</v>
      </c>
      <c r="B6598" s="1">
        <v>45932</v>
      </c>
      <c r="C6598">
        <v>22</v>
      </c>
      <c r="D6598">
        <v>2.125</v>
      </c>
      <c r="E6598" t="s">
        <v>6</v>
      </c>
      <c r="F6598">
        <v>0.28605000000000003</v>
      </c>
    </row>
    <row r="6599" spans="1:6" x14ac:dyDescent="0.3">
      <c r="A6599" t="s">
        <v>22</v>
      </c>
      <c r="B6599" s="1">
        <v>45932</v>
      </c>
      <c r="C6599">
        <v>23</v>
      </c>
      <c r="D6599">
        <v>0.311</v>
      </c>
      <c r="E6599" t="s">
        <v>6</v>
      </c>
      <c r="F6599">
        <v>0.17934999999999998</v>
      </c>
    </row>
    <row r="6600" spans="1:6" x14ac:dyDescent="0.3">
      <c r="A6600" t="s">
        <v>22</v>
      </c>
      <c r="B6600" s="1">
        <v>45932</v>
      </c>
      <c r="C6600">
        <v>24</v>
      </c>
      <c r="D6600">
        <v>0.23799999999999999</v>
      </c>
      <c r="E6600" t="s">
        <v>6</v>
      </c>
      <c r="F6600">
        <v>0.16453000000000001</v>
      </c>
    </row>
    <row r="6601" spans="1:6" x14ac:dyDescent="0.3">
      <c r="A6601" t="s">
        <v>22</v>
      </c>
      <c r="B6601" s="1">
        <v>45933</v>
      </c>
      <c r="C6601">
        <v>1</v>
      </c>
      <c r="D6601">
        <v>0.191</v>
      </c>
      <c r="E6601" t="s">
        <v>6</v>
      </c>
      <c r="F6601">
        <v>0.14915999999999999</v>
      </c>
    </row>
    <row r="6602" spans="1:6" x14ac:dyDescent="0.3">
      <c r="A6602" t="s">
        <v>22</v>
      </c>
      <c r="B6602" s="1">
        <v>45933</v>
      </c>
      <c r="C6602">
        <v>2</v>
      </c>
      <c r="D6602">
        <v>0.13600000000000001</v>
      </c>
      <c r="E6602" t="s">
        <v>6</v>
      </c>
      <c r="F6602">
        <v>0.14545</v>
      </c>
    </row>
    <row r="6603" spans="1:6" x14ac:dyDescent="0.3">
      <c r="A6603" t="s">
        <v>22</v>
      </c>
      <c r="B6603" s="1">
        <v>45933</v>
      </c>
      <c r="C6603">
        <v>3</v>
      </c>
      <c r="D6603">
        <v>0.16200000000000001</v>
      </c>
      <c r="E6603" t="s">
        <v>6</v>
      </c>
      <c r="F6603">
        <v>0.13963999999999999</v>
      </c>
    </row>
    <row r="6604" spans="1:6" x14ac:dyDescent="0.3">
      <c r="A6604" t="s">
        <v>22</v>
      </c>
      <c r="B6604" s="1">
        <v>45933</v>
      </c>
      <c r="C6604">
        <v>4</v>
      </c>
      <c r="D6604">
        <v>0.13</v>
      </c>
      <c r="E6604" t="s">
        <v>6</v>
      </c>
      <c r="F6604">
        <v>0.13438</v>
      </c>
    </row>
    <row r="6605" spans="1:6" x14ac:dyDescent="0.3">
      <c r="A6605" t="s">
        <v>22</v>
      </c>
      <c r="B6605" s="1">
        <v>45933</v>
      </c>
      <c r="C6605">
        <v>5</v>
      </c>
      <c r="D6605">
        <v>0.18099999999999999</v>
      </c>
      <c r="E6605" t="s">
        <v>6</v>
      </c>
      <c r="F6605">
        <v>0.13358</v>
      </c>
    </row>
    <row r="6606" spans="1:6" x14ac:dyDescent="0.3">
      <c r="A6606" t="s">
        <v>22</v>
      </c>
      <c r="B6606" s="1">
        <v>45933</v>
      </c>
      <c r="C6606">
        <v>6</v>
      </c>
      <c r="D6606">
        <v>0.11799999999999999</v>
      </c>
      <c r="E6606" t="s">
        <v>6</v>
      </c>
      <c r="F6606">
        <v>0.13508000000000001</v>
      </c>
    </row>
    <row r="6607" spans="1:6" x14ac:dyDescent="0.3">
      <c r="A6607" t="s">
        <v>22</v>
      </c>
      <c r="B6607" s="1">
        <v>45933</v>
      </c>
      <c r="C6607">
        <v>7</v>
      </c>
      <c r="D6607">
        <v>0.23</v>
      </c>
      <c r="E6607" t="s">
        <v>6</v>
      </c>
      <c r="F6607">
        <v>0.13730000000000001</v>
      </c>
    </row>
    <row r="6608" spans="1:6" x14ac:dyDescent="0.3">
      <c r="A6608" t="s">
        <v>22</v>
      </c>
      <c r="B6608" s="1">
        <v>45933</v>
      </c>
      <c r="C6608">
        <v>8</v>
      </c>
      <c r="D6608">
        <v>0.47799999999999998</v>
      </c>
      <c r="E6608" t="s">
        <v>6</v>
      </c>
      <c r="F6608">
        <v>0.14983000000000002</v>
      </c>
    </row>
    <row r="6609" spans="1:6" x14ac:dyDescent="0.3">
      <c r="A6609" t="s">
        <v>22</v>
      </c>
      <c r="B6609" s="1">
        <v>45933</v>
      </c>
      <c r="C6609">
        <v>9</v>
      </c>
      <c r="D6609">
        <v>1.23</v>
      </c>
      <c r="E6609" t="s">
        <v>6</v>
      </c>
      <c r="F6609">
        <v>0.18821000000000002</v>
      </c>
    </row>
    <row r="6610" spans="1:6" x14ac:dyDescent="0.3">
      <c r="A6610" t="s">
        <v>22</v>
      </c>
      <c r="B6610" s="1">
        <v>45933</v>
      </c>
      <c r="C6610">
        <v>10</v>
      </c>
      <c r="D6610">
        <v>0</v>
      </c>
      <c r="E6610" t="s">
        <v>6</v>
      </c>
      <c r="F6610">
        <v>0.16606000000000001</v>
      </c>
    </row>
    <row r="6611" spans="1:6" x14ac:dyDescent="0.3">
      <c r="A6611" t="s">
        <v>22</v>
      </c>
      <c r="B6611" s="1">
        <v>45933</v>
      </c>
      <c r="C6611">
        <v>11</v>
      </c>
      <c r="D6611">
        <v>0</v>
      </c>
      <c r="E6611" t="s">
        <v>6</v>
      </c>
      <c r="F6611">
        <v>0.18437000000000001</v>
      </c>
    </row>
    <row r="6612" spans="1:6" x14ac:dyDescent="0.3">
      <c r="A6612" t="s">
        <v>22</v>
      </c>
      <c r="B6612" s="1">
        <v>45933</v>
      </c>
      <c r="C6612">
        <v>12</v>
      </c>
      <c r="D6612">
        <v>0</v>
      </c>
      <c r="E6612" t="s">
        <v>6</v>
      </c>
      <c r="F6612">
        <v>0.16253999999999999</v>
      </c>
    </row>
    <row r="6613" spans="1:6" x14ac:dyDescent="0.3">
      <c r="A6613" t="s">
        <v>22</v>
      </c>
      <c r="B6613" s="1">
        <v>45933</v>
      </c>
      <c r="C6613">
        <v>13</v>
      </c>
      <c r="D6613">
        <v>0</v>
      </c>
      <c r="E6613" t="s">
        <v>6</v>
      </c>
      <c r="F6613">
        <v>0.15456</v>
      </c>
    </row>
    <row r="6614" spans="1:6" x14ac:dyDescent="0.3">
      <c r="A6614" t="s">
        <v>22</v>
      </c>
      <c r="B6614" s="1">
        <v>45933</v>
      </c>
      <c r="C6614">
        <v>14</v>
      </c>
      <c r="D6614">
        <v>0</v>
      </c>
      <c r="E6614" t="s">
        <v>6</v>
      </c>
      <c r="F6614">
        <v>0.14908000000000002</v>
      </c>
    </row>
    <row r="6615" spans="1:6" x14ac:dyDescent="0.3">
      <c r="A6615" t="s">
        <v>22</v>
      </c>
      <c r="B6615" s="1">
        <v>45933</v>
      </c>
      <c r="C6615">
        <v>15</v>
      </c>
      <c r="D6615">
        <v>0</v>
      </c>
      <c r="E6615" t="s">
        <v>6</v>
      </c>
      <c r="F6615">
        <v>8.5260000000000002E-2</v>
      </c>
    </row>
    <row r="6616" spans="1:6" x14ac:dyDescent="0.3">
      <c r="A6616" t="s">
        <v>22</v>
      </c>
      <c r="B6616" s="1">
        <v>45933</v>
      </c>
      <c r="C6616">
        <v>16</v>
      </c>
      <c r="D6616">
        <v>0</v>
      </c>
      <c r="E6616" t="s">
        <v>6</v>
      </c>
      <c r="F6616">
        <v>8.5080000000000003E-2</v>
      </c>
    </row>
    <row r="6617" spans="1:6" x14ac:dyDescent="0.3">
      <c r="A6617" t="s">
        <v>22</v>
      </c>
      <c r="B6617" s="1">
        <v>45933</v>
      </c>
      <c r="C6617">
        <v>17</v>
      </c>
      <c r="D6617">
        <v>0</v>
      </c>
      <c r="E6617" t="s">
        <v>6</v>
      </c>
      <c r="F6617">
        <v>9.1359999999999997E-2</v>
      </c>
    </row>
    <row r="6618" spans="1:6" x14ac:dyDescent="0.3">
      <c r="A6618" t="s">
        <v>22</v>
      </c>
      <c r="B6618" s="1">
        <v>45933</v>
      </c>
      <c r="C6618">
        <v>18</v>
      </c>
      <c r="D6618">
        <v>0</v>
      </c>
      <c r="E6618" t="s">
        <v>6</v>
      </c>
      <c r="F6618">
        <v>0.1105</v>
      </c>
    </row>
    <row r="6619" spans="1:6" x14ac:dyDescent="0.3">
      <c r="A6619" t="s">
        <v>22</v>
      </c>
      <c r="B6619" s="1">
        <v>45933</v>
      </c>
      <c r="C6619">
        <v>19</v>
      </c>
      <c r="D6619">
        <v>0.19800000000000001</v>
      </c>
      <c r="E6619" t="s">
        <v>6</v>
      </c>
      <c r="F6619">
        <v>0.21612000000000001</v>
      </c>
    </row>
    <row r="6620" spans="1:6" x14ac:dyDescent="0.3">
      <c r="A6620" t="s">
        <v>22</v>
      </c>
      <c r="B6620" s="1">
        <v>45933</v>
      </c>
      <c r="C6620">
        <v>20</v>
      </c>
      <c r="D6620">
        <v>0.44</v>
      </c>
      <c r="E6620" t="s">
        <v>6</v>
      </c>
      <c r="F6620">
        <v>0.23852000000000001</v>
      </c>
    </row>
    <row r="6621" spans="1:6" x14ac:dyDescent="0.3">
      <c r="A6621" t="s">
        <v>22</v>
      </c>
      <c r="B6621" s="1">
        <v>45933</v>
      </c>
      <c r="C6621">
        <v>21</v>
      </c>
      <c r="D6621">
        <v>1.109</v>
      </c>
      <c r="E6621" t="s">
        <v>6</v>
      </c>
      <c r="F6621">
        <v>0.25901999999999997</v>
      </c>
    </row>
    <row r="6622" spans="1:6" x14ac:dyDescent="0.3">
      <c r="A6622" t="s">
        <v>22</v>
      </c>
      <c r="B6622" s="1">
        <v>45933</v>
      </c>
      <c r="C6622">
        <v>22</v>
      </c>
      <c r="D6622">
        <v>2.4300000000000002</v>
      </c>
      <c r="E6622" t="s">
        <v>6</v>
      </c>
      <c r="F6622">
        <v>0.25392999999999999</v>
      </c>
    </row>
    <row r="6623" spans="1:6" x14ac:dyDescent="0.3">
      <c r="A6623" t="s">
        <v>22</v>
      </c>
      <c r="B6623" s="1">
        <v>45933</v>
      </c>
      <c r="C6623">
        <v>23</v>
      </c>
      <c r="D6623">
        <v>0.45600000000000002</v>
      </c>
      <c r="E6623" t="s">
        <v>6</v>
      </c>
      <c r="F6623">
        <v>0.17560000000000001</v>
      </c>
    </row>
    <row r="6624" spans="1:6" x14ac:dyDescent="0.3">
      <c r="A6624" t="s">
        <v>22</v>
      </c>
      <c r="B6624" s="1">
        <v>45933</v>
      </c>
      <c r="C6624">
        <v>24</v>
      </c>
      <c r="D6624">
        <v>0.28599999999999998</v>
      </c>
      <c r="E6624" t="s">
        <v>6</v>
      </c>
      <c r="F6624">
        <v>0.17302999999999999</v>
      </c>
    </row>
    <row r="6625" spans="1:6" x14ac:dyDescent="0.3">
      <c r="A6625" t="s">
        <v>22</v>
      </c>
      <c r="B6625" s="1">
        <v>45934</v>
      </c>
      <c r="C6625">
        <v>1</v>
      </c>
      <c r="D6625">
        <v>0.17599999999999999</v>
      </c>
      <c r="E6625" t="s">
        <v>6</v>
      </c>
      <c r="F6625">
        <v>0.16807</v>
      </c>
    </row>
    <row r="6626" spans="1:6" x14ac:dyDescent="0.3">
      <c r="A6626" t="s">
        <v>22</v>
      </c>
      <c r="B6626" s="1">
        <v>45934</v>
      </c>
      <c r="C6626">
        <v>2</v>
      </c>
      <c r="D6626">
        <v>0.159</v>
      </c>
      <c r="E6626" t="s">
        <v>6</v>
      </c>
      <c r="F6626">
        <v>0.16125</v>
      </c>
    </row>
    <row r="6627" spans="1:6" x14ac:dyDescent="0.3">
      <c r="A6627" t="s">
        <v>22</v>
      </c>
      <c r="B6627" s="1">
        <v>45934</v>
      </c>
      <c r="C6627">
        <v>3</v>
      </c>
      <c r="D6627">
        <v>0.13400000000000001</v>
      </c>
      <c r="E6627" t="s">
        <v>6</v>
      </c>
      <c r="F6627">
        <v>0.16272999999999999</v>
      </c>
    </row>
    <row r="6628" spans="1:6" x14ac:dyDescent="0.3">
      <c r="A6628" t="s">
        <v>22</v>
      </c>
      <c r="B6628" s="1">
        <v>45934</v>
      </c>
      <c r="C6628">
        <v>4</v>
      </c>
      <c r="D6628">
        <v>0.191</v>
      </c>
      <c r="E6628" t="s">
        <v>6</v>
      </c>
      <c r="F6628">
        <v>0.15506999999999999</v>
      </c>
    </row>
    <row r="6629" spans="1:6" x14ac:dyDescent="0.3">
      <c r="A6629" t="s">
        <v>22</v>
      </c>
      <c r="B6629" s="1">
        <v>45934</v>
      </c>
      <c r="C6629">
        <v>5</v>
      </c>
      <c r="D6629">
        <v>0.129</v>
      </c>
      <c r="E6629" t="s">
        <v>6</v>
      </c>
      <c r="F6629">
        <v>0.15378</v>
      </c>
    </row>
    <row r="6630" spans="1:6" x14ac:dyDescent="0.3">
      <c r="A6630" t="s">
        <v>22</v>
      </c>
      <c r="B6630" s="1">
        <v>45934</v>
      </c>
      <c r="C6630">
        <v>6</v>
      </c>
      <c r="D6630">
        <v>0.16</v>
      </c>
      <c r="E6630" t="s">
        <v>6</v>
      </c>
      <c r="F6630">
        <v>0.1595</v>
      </c>
    </row>
    <row r="6631" spans="1:6" x14ac:dyDescent="0.3">
      <c r="A6631" t="s">
        <v>22</v>
      </c>
      <c r="B6631" s="1">
        <v>45934</v>
      </c>
      <c r="C6631">
        <v>7</v>
      </c>
      <c r="D6631">
        <v>0.123</v>
      </c>
      <c r="E6631" t="s">
        <v>6</v>
      </c>
      <c r="F6631">
        <v>0.15077000000000002</v>
      </c>
    </row>
    <row r="6632" spans="1:6" x14ac:dyDescent="0.3">
      <c r="A6632" t="s">
        <v>22</v>
      </c>
      <c r="B6632" s="1">
        <v>45934</v>
      </c>
      <c r="C6632">
        <v>8</v>
      </c>
      <c r="D6632">
        <v>0.45100000000000001</v>
      </c>
      <c r="E6632" t="s">
        <v>6</v>
      </c>
      <c r="F6632">
        <v>0.15515999999999999</v>
      </c>
    </row>
    <row r="6633" spans="1:6" x14ac:dyDescent="0.3">
      <c r="A6633" t="s">
        <v>22</v>
      </c>
      <c r="B6633" s="1">
        <v>45934</v>
      </c>
      <c r="C6633">
        <v>9</v>
      </c>
      <c r="D6633">
        <v>0</v>
      </c>
      <c r="E6633" t="s">
        <v>6</v>
      </c>
      <c r="F6633">
        <v>0.14943000000000001</v>
      </c>
    </row>
    <row r="6634" spans="1:6" x14ac:dyDescent="0.3">
      <c r="A6634" t="s">
        <v>22</v>
      </c>
      <c r="B6634" s="1">
        <v>45934</v>
      </c>
      <c r="C6634">
        <v>10</v>
      </c>
      <c r="D6634">
        <v>7.0000000000000007E-2</v>
      </c>
      <c r="E6634" t="s">
        <v>6</v>
      </c>
      <c r="F6634">
        <v>9.3140000000000001E-2</v>
      </c>
    </row>
    <row r="6635" spans="1:6" x14ac:dyDescent="0.3">
      <c r="A6635" t="s">
        <v>22</v>
      </c>
      <c r="B6635" s="1">
        <v>45934</v>
      </c>
      <c r="C6635">
        <v>11</v>
      </c>
      <c r="D6635">
        <v>0</v>
      </c>
      <c r="E6635" t="s">
        <v>6</v>
      </c>
      <c r="F6635">
        <v>5.5320000000000001E-2</v>
      </c>
    </row>
    <row r="6636" spans="1:6" x14ac:dyDescent="0.3">
      <c r="A6636" t="s">
        <v>22</v>
      </c>
      <c r="B6636" s="1">
        <v>45934</v>
      </c>
      <c r="C6636">
        <v>12</v>
      </c>
      <c r="D6636">
        <v>0</v>
      </c>
      <c r="E6636" t="s">
        <v>6</v>
      </c>
      <c r="F6636">
        <v>5.0939999999999999E-2</v>
      </c>
    </row>
    <row r="6637" spans="1:6" x14ac:dyDescent="0.3">
      <c r="A6637" t="s">
        <v>22</v>
      </c>
      <c r="B6637" s="1">
        <v>45934</v>
      </c>
      <c r="C6637">
        <v>13</v>
      </c>
      <c r="D6637">
        <v>0</v>
      </c>
      <c r="E6637" t="s">
        <v>6</v>
      </c>
      <c r="F6637">
        <v>5.0979999999999998E-2</v>
      </c>
    </row>
    <row r="6638" spans="1:6" x14ac:dyDescent="0.3">
      <c r="A6638" t="s">
        <v>22</v>
      </c>
      <c r="B6638" s="1">
        <v>45934</v>
      </c>
      <c r="C6638">
        <v>14</v>
      </c>
      <c r="D6638">
        <v>0</v>
      </c>
      <c r="E6638" t="s">
        <v>6</v>
      </c>
      <c r="F6638">
        <v>5.1189999999999999E-2</v>
      </c>
    </row>
    <row r="6639" spans="1:6" x14ac:dyDescent="0.3">
      <c r="A6639" t="s">
        <v>22</v>
      </c>
      <c r="B6639" s="1">
        <v>45934</v>
      </c>
      <c r="C6639">
        <v>15</v>
      </c>
      <c r="D6639">
        <v>0</v>
      </c>
      <c r="E6639" t="s">
        <v>6</v>
      </c>
      <c r="F6639">
        <v>5.1520000000000003E-2</v>
      </c>
    </row>
    <row r="6640" spans="1:6" x14ac:dyDescent="0.3">
      <c r="A6640" t="s">
        <v>22</v>
      </c>
      <c r="B6640" s="1">
        <v>45934</v>
      </c>
      <c r="C6640">
        <v>16</v>
      </c>
      <c r="D6640">
        <v>0</v>
      </c>
      <c r="E6640" t="s">
        <v>6</v>
      </c>
      <c r="F6640">
        <v>5.2969999999999996E-2</v>
      </c>
    </row>
    <row r="6641" spans="1:6" x14ac:dyDescent="0.3">
      <c r="A6641" t="s">
        <v>22</v>
      </c>
      <c r="B6641" s="1">
        <v>45934</v>
      </c>
      <c r="C6641">
        <v>17</v>
      </c>
      <c r="D6641">
        <v>0</v>
      </c>
      <c r="E6641" t="s">
        <v>6</v>
      </c>
      <c r="F6641">
        <v>5.3130000000000004E-2</v>
      </c>
    </row>
    <row r="6642" spans="1:6" x14ac:dyDescent="0.3">
      <c r="A6642" t="s">
        <v>22</v>
      </c>
      <c r="B6642" s="1">
        <v>45934</v>
      </c>
      <c r="C6642">
        <v>18</v>
      </c>
      <c r="D6642">
        <v>0</v>
      </c>
      <c r="E6642" t="s">
        <v>6</v>
      </c>
      <c r="F6642">
        <v>5.0369999999999998E-2</v>
      </c>
    </row>
    <row r="6643" spans="1:6" x14ac:dyDescent="0.3">
      <c r="A6643" t="s">
        <v>22</v>
      </c>
      <c r="B6643" s="1">
        <v>45934</v>
      </c>
      <c r="C6643">
        <v>19</v>
      </c>
      <c r="D6643">
        <v>0</v>
      </c>
      <c r="E6643" t="s">
        <v>6</v>
      </c>
      <c r="F6643">
        <v>6.4700000000000008E-2</v>
      </c>
    </row>
    <row r="6644" spans="1:6" x14ac:dyDescent="0.3">
      <c r="A6644" t="s">
        <v>22</v>
      </c>
      <c r="B6644" s="1">
        <v>45934</v>
      </c>
      <c r="C6644">
        <v>20</v>
      </c>
      <c r="D6644">
        <v>0.21</v>
      </c>
      <c r="E6644" t="s">
        <v>6</v>
      </c>
      <c r="F6644">
        <v>0.12049</v>
      </c>
    </row>
    <row r="6645" spans="1:6" x14ac:dyDescent="0.3">
      <c r="A6645" t="s">
        <v>22</v>
      </c>
      <c r="B6645" s="1">
        <v>45934</v>
      </c>
      <c r="C6645">
        <v>21</v>
      </c>
      <c r="D6645">
        <v>1.1140000000000001</v>
      </c>
      <c r="E6645" t="s">
        <v>6</v>
      </c>
      <c r="F6645">
        <v>0.12761</v>
      </c>
    </row>
    <row r="6646" spans="1:6" x14ac:dyDescent="0.3">
      <c r="A6646" t="s">
        <v>22</v>
      </c>
      <c r="B6646" s="1">
        <v>45934</v>
      </c>
      <c r="C6646">
        <v>22</v>
      </c>
      <c r="D6646">
        <v>1.038</v>
      </c>
      <c r="E6646" t="s">
        <v>6</v>
      </c>
      <c r="F6646">
        <v>0.12406</v>
      </c>
    </row>
    <row r="6647" spans="1:6" x14ac:dyDescent="0.3">
      <c r="A6647" t="s">
        <v>22</v>
      </c>
      <c r="B6647" s="1">
        <v>45934</v>
      </c>
      <c r="C6647">
        <v>23</v>
      </c>
      <c r="D6647">
        <v>1.101</v>
      </c>
      <c r="E6647" t="s">
        <v>6</v>
      </c>
      <c r="F6647">
        <v>0.11668000000000001</v>
      </c>
    </row>
    <row r="6648" spans="1:6" x14ac:dyDescent="0.3">
      <c r="A6648" t="s">
        <v>22</v>
      </c>
      <c r="B6648" s="1">
        <v>45934</v>
      </c>
      <c r="C6648">
        <v>24</v>
      </c>
      <c r="D6648">
        <v>1.9019999999999999</v>
      </c>
      <c r="E6648" t="s">
        <v>6</v>
      </c>
      <c r="F6648">
        <v>9.5920000000000005E-2</v>
      </c>
    </row>
    <row r="6649" spans="1:6" x14ac:dyDescent="0.3">
      <c r="A6649" t="s">
        <v>22</v>
      </c>
      <c r="B6649" s="1">
        <v>45935</v>
      </c>
      <c r="C6649">
        <v>1</v>
      </c>
      <c r="D6649">
        <v>0.49199999999999999</v>
      </c>
      <c r="E6649" t="s">
        <v>6</v>
      </c>
      <c r="F6649">
        <v>0.10945999999999999</v>
      </c>
    </row>
    <row r="6650" spans="1:6" x14ac:dyDescent="0.3">
      <c r="A6650" t="s">
        <v>22</v>
      </c>
      <c r="B6650" s="1">
        <v>45935</v>
      </c>
      <c r="C6650">
        <v>2</v>
      </c>
      <c r="D6650">
        <v>0.28899999999999998</v>
      </c>
      <c r="E6650" t="s">
        <v>6</v>
      </c>
      <c r="F6650">
        <v>0.11097</v>
      </c>
    </row>
    <row r="6651" spans="1:6" x14ac:dyDescent="0.3">
      <c r="A6651" t="s">
        <v>22</v>
      </c>
      <c r="B6651" s="1">
        <v>45935</v>
      </c>
      <c r="C6651">
        <v>3</v>
      </c>
      <c r="D6651">
        <v>0.33300000000000002</v>
      </c>
      <c r="E6651" t="s">
        <v>6</v>
      </c>
      <c r="F6651">
        <v>0.10965000000000001</v>
      </c>
    </row>
    <row r="6652" spans="1:6" x14ac:dyDescent="0.3">
      <c r="A6652" t="s">
        <v>22</v>
      </c>
      <c r="B6652" s="1">
        <v>45935</v>
      </c>
      <c r="C6652">
        <v>4</v>
      </c>
      <c r="D6652">
        <v>0.29199999999999998</v>
      </c>
      <c r="E6652" t="s">
        <v>6</v>
      </c>
      <c r="F6652">
        <v>0.11039</v>
      </c>
    </row>
    <row r="6653" spans="1:6" x14ac:dyDescent="0.3">
      <c r="A6653" t="s">
        <v>22</v>
      </c>
      <c r="B6653" s="1">
        <v>45935</v>
      </c>
      <c r="C6653">
        <v>5</v>
      </c>
      <c r="D6653">
        <v>0.377</v>
      </c>
      <c r="E6653" t="s">
        <v>6</v>
      </c>
      <c r="F6653">
        <v>0.11023000000000001</v>
      </c>
    </row>
    <row r="6654" spans="1:6" x14ac:dyDescent="0.3">
      <c r="A6654" t="s">
        <v>22</v>
      </c>
      <c r="B6654" s="1">
        <v>45935</v>
      </c>
      <c r="C6654">
        <v>6</v>
      </c>
      <c r="D6654">
        <v>0.254</v>
      </c>
      <c r="E6654" t="s">
        <v>6</v>
      </c>
      <c r="F6654">
        <v>0.11072</v>
      </c>
    </row>
    <row r="6655" spans="1:6" x14ac:dyDescent="0.3">
      <c r="A6655" t="s">
        <v>22</v>
      </c>
      <c r="B6655" s="1">
        <v>45935</v>
      </c>
      <c r="C6655">
        <v>7</v>
      </c>
      <c r="D6655">
        <v>0.248</v>
      </c>
      <c r="E6655" t="s">
        <v>6</v>
      </c>
      <c r="F6655">
        <v>0.10906</v>
      </c>
    </row>
    <row r="6656" spans="1:6" x14ac:dyDescent="0.3">
      <c r="A6656" t="s">
        <v>22</v>
      </c>
      <c r="B6656" s="1">
        <v>45935</v>
      </c>
      <c r="C6656">
        <v>8</v>
      </c>
      <c r="D6656">
        <v>0.158</v>
      </c>
      <c r="E6656" t="s">
        <v>6</v>
      </c>
      <c r="F6656">
        <v>0.10768999999999999</v>
      </c>
    </row>
    <row r="6657" spans="1:6" x14ac:dyDescent="0.3">
      <c r="A6657" t="s">
        <v>22</v>
      </c>
      <c r="B6657" s="1">
        <v>45935</v>
      </c>
      <c r="C6657">
        <v>9</v>
      </c>
      <c r="D6657">
        <v>0</v>
      </c>
      <c r="E6657" t="s">
        <v>6</v>
      </c>
      <c r="F6657">
        <v>0.10589</v>
      </c>
    </row>
    <row r="6658" spans="1:6" x14ac:dyDescent="0.3">
      <c r="A6658" t="s">
        <v>22</v>
      </c>
      <c r="B6658" s="1">
        <v>45935</v>
      </c>
      <c r="C6658">
        <v>10</v>
      </c>
      <c r="D6658">
        <v>0.61099999999999999</v>
      </c>
      <c r="E6658" t="s">
        <v>6</v>
      </c>
      <c r="F6658">
        <v>7.8549999999999995E-2</v>
      </c>
    </row>
    <row r="6659" spans="1:6" x14ac:dyDescent="0.3">
      <c r="A6659" t="s">
        <v>22</v>
      </c>
      <c r="B6659" s="1">
        <v>45935</v>
      </c>
      <c r="C6659">
        <v>11</v>
      </c>
      <c r="D6659">
        <v>0.42699999999999999</v>
      </c>
      <c r="E6659" t="s">
        <v>6</v>
      </c>
      <c r="F6659">
        <v>7.576999999999999E-2</v>
      </c>
    </row>
    <row r="6660" spans="1:6" x14ac:dyDescent="0.3">
      <c r="A6660" t="s">
        <v>22</v>
      </c>
      <c r="B6660" s="1">
        <v>45935</v>
      </c>
      <c r="C6660">
        <v>12</v>
      </c>
      <c r="D6660">
        <v>0</v>
      </c>
      <c r="E6660" t="s">
        <v>6</v>
      </c>
      <c r="F6660">
        <v>7.6480000000000006E-2</v>
      </c>
    </row>
    <row r="6661" spans="1:6" x14ac:dyDescent="0.3">
      <c r="A6661" t="s">
        <v>22</v>
      </c>
      <c r="B6661" s="1">
        <v>45935</v>
      </c>
      <c r="C6661">
        <v>13</v>
      </c>
      <c r="D6661">
        <v>0</v>
      </c>
      <c r="E6661" t="s">
        <v>6</v>
      </c>
      <c r="F6661">
        <v>7.5859999999999997E-2</v>
      </c>
    </row>
    <row r="6662" spans="1:6" x14ac:dyDescent="0.3">
      <c r="A6662" t="s">
        <v>22</v>
      </c>
      <c r="B6662" s="1">
        <v>45935</v>
      </c>
      <c r="C6662">
        <v>14</v>
      </c>
      <c r="D6662">
        <v>0</v>
      </c>
      <c r="E6662" t="s">
        <v>6</v>
      </c>
      <c r="F6662">
        <v>7.535E-2</v>
      </c>
    </row>
    <row r="6663" spans="1:6" x14ac:dyDescent="0.3">
      <c r="A6663" t="s">
        <v>22</v>
      </c>
      <c r="B6663" s="1">
        <v>45935</v>
      </c>
      <c r="C6663">
        <v>15</v>
      </c>
      <c r="D6663">
        <v>0</v>
      </c>
      <c r="E6663" t="s">
        <v>6</v>
      </c>
      <c r="F6663">
        <v>7.5579999999999994E-2</v>
      </c>
    </row>
    <row r="6664" spans="1:6" x14ac:dyDescent="0.3">
      <c r="A6664" t="s">
        <v>22</v>
      </c>
      <c r="B6664" s="1">
        <v>45935</v>
      </c>
      <c r="C6664">
        <v>16</v>
      </c>
      <c r="D6664">
        <v>0</v>
      </c>
      <c r="E6664" t="s">
        <v>6</v>
      </c>
      <c r="F6664">
        <v>7.6819999999999999E-2</v>
      </c>
    </row>
    <row r="6665" spans="1:6" x14ac:dyDescent="0.3">
      <c r="A6665" t="s">
        <v>22</v>
      </c>
      <c r="B6665" s="1">
        <v>45935</v>
      </c>
      <c r="C6665">
        <v>17</v>
      </c>
      <c r="D6665">
        <v>0</v>
      </c>
      <c r="E6665" t="s">
        <v>6</v>
      </c>
      <c r="F6665">
        <v>7.8209999999999988E-2</v>
      </c>
    </row>
    <row r="6666" spans="1:6" x14ac:dyDescent="0.3">
      <c r="A6666" t="s">
        <v>22</v>
      </c>
      <c r="B6666" s="1">
        <v>45935</v>
      </c>
      <c r="C6666">
        <v>18</v>
      </c>
      <c r="D6666">
        <v>0</v>
      </c>
      <c r="E6666" t="s">
        <v>6</v>
      </c>
      <c r="F6666">
        <v>7.9700000000000007E-2</v>
      </c>
    </row>
    <row r="6667" spans="1:6" x14ac:dyDescent="0.3">
      <c r="A6667" t="s">
        <v>22</v>
      </c>
      <c r="B6667" s="1">
        <v>45935</v>
      </c>
      <c r="C6667">
        <v>19</v>
      </c>
      <c r="D6667">
        <v>6.9000000000000006E-2</v>
      </c>
      <c r="E6667" t="s">
        <v>6</v>
      </c>
      <c r="F6667">
        <v>8.9090000000000003E-2</v>
      </c>
    </row>
    <row r="6668" spans="1:6" x14ac:dyDescent="0.3">
      <c r="A6668" t="s">
        <v>22</v>
      </c>
      <c r="B6668" s="1">
        <v>45935</v>
      </c>
      <c r="C6668">
        <v>20</v>
      </c>
      <c r="D6668">
        <v>0.436</v>
      </c>
      <c r="E6668" t="s">
        <v>6</v>
      </c>
      <c r="F6668">
        <v>0.12590999999999999</v>
      </c>
    </row>
    <row r="6669" spans="1:6" x14ac:dyDescent="0.3">
      <c r="A6669" t="s">
        <v>22</v>
      </c>
      <c r="B6669" s="1">
        <v>45935</v>
      </c>
      <c r="C6669">
        <v>21</v>
      </c>
      <c r="D6669">
        <v>0.93</v>
      </c>
      <c r="E6669" t="s">
        <v>6</v>
      </c>
      <c r="F6669">
        <v>0.14138000000000001</v>
      </c>
    </row>
    <row r="6670" spans="1:6" x14ac:dyDescent="0.3">
      <c r="A6670" t="s">
        <v>22</v>
      </c>
      <c r="B6670" s="1">
        <v>45935</v>
      </c>
      <c r="C6670">
        <v>22</v>
      </c>
      <c r="D6670">
        <v>0.68400000000000005</v>
      </c>
      <c r="E6670" t="s">
        <v>6</v>
      </c>
      <c r="F6670">
        <v>0.15193999999999999</v>
      </c>
    </row>
    <row r="6671" spans="1:6" x14ac:dyDescent="0.3">
      <c r="A6671" t="s">
        <v>22</v>
      </c>
      <c r="B6671" s="1">
        <v>45935</v>
      </c>
      <c r="C6671">
        <v>23</v>
      </c>
      <c r="D6671">
        <v>0.374</v>
      </c>
      <c r="E6671" t="s">
        <v>6</v>
      </c>
      <c r="F6671">
        <v>0.12783</v>
      </c>
    </row>
    <row r="6672" spans="1:6" x14ac:dyDescent="0.3">
      <c r="A6672" t="s">
        <v>22</v>
      </c>
      <c r="B6672" s="1">
        <v>45935</v>
      </c>
      <c r="C6672">
        <v>24</v>
      </c>
      <c r="D6672">
        <v>0.30399999999999999</v>
      </c>
      <c r="E6672" t="s">
        <v>6</v>
      </c>
      <c r="F6672">
        <v>0.10783</v>
      </c>
    </row>
    <row r="6673" spans="1:6" x14ac:dyDescent="0.3">
      <c r="A6673" t="s">
        <v>22</v>
      </c>
      <c r="B6673" s="1">
        <v>45936</v>
      </c>
      <c r="C6673">
        <v>1</v>
      </c>
      <c r="D6673">
        <v>0.23599999999999999</v>
      </c>
      <c r="E6673" t="s">
        <v>6</v>
      </c>
      <c r="F6673">
        <v>9.078E-2</v>
      </c>
    </row>
    <row r="6674" spans="1:6" x14ac:dyDescent="0.3">
      <c r="A6674" t="s">
        <v>22</v>
      </c>
      <c r="B6674" s="1">
        <v>45936</v>
      </c>
      <c r="C6674">
        <v>2</v>
      </c>
      <c r="D6674">
        <v>0.2</v>
      </c>
      <c r="E6674" t="s">
        <v>6</v>
      </c>
      <c r="F6674">
        <v>8.9980000000000004E-2</v>
      </c>
    </row>
    <row r="6675" spans="1:6" x14ac:dyDescent="0.3">
      <c r="A6675" t="s">
        <v>22</v>
      </c>
      <c r="B6675" s="1">
        <v>45936</v>
      </c>
      <c r="C6675">
        <v>3</v>
      </c>
      <c r="D6675">
        <v>0.187</v>
      </c>
      <c r="E6675" t="s">
        <v>6</v>
      </c>
      <c r="F6675">
        <v>9.196E-2</v>
      </c>
    </row>
    <row r="6676" spans="1:6" x14ac:dyDescent="0.3">
      <c r="A6676" t="s">
        <v>22</v>
      </c>
      <c r="B6676" s="1">
        <v>45936</v>
      </c>
      <c r="C6676">
        <v>4</v>
      </c>
      <c r="D6676">
        <v>0.18099999999999999</v>
      </c>
      <c r="E6676" t="s">
        <v>6</v>
      </c>
      <c r="F6676">
        <v>9.5159999999999995E-2</v>
      </c>
    </row>
    <row r="6677" spans="1:6" x14ac:dyDescent="0.3">
      <c r="A6677" t="s">
        <v>22</v>
      </c>
      <c r="B6677" s="1">
        <v>45936</v>
      </c>
      <c r="C6677">
        <v>5</v>
      </c>
      <c r="D6677">
        <v>0.21099999999999999</v>
      </c>
      <c r="E6677" t="s">
        <v>6</v>
      </c>
      <c r="F6677">
        <v>9.7349999999999992E-2</v>
      </c>
    </row>
    <row r="6678" spans="1:6" x14ac:dyDescent="0.3">
      <c r="A6678" t="s">
        <v>22</v>
      </c>
      <c r="B6678" s="1">
        <v>45936</v>
      </c>
      <c r="C6678">
        <v>6</v>
      </c>
      <c r="D6678">
        <v>0.189</v>
      </c>
      <c r="E6678" t="s">
        <v>6</v>
      </c>
      <c r="F6678">
        <v>0.1052</v>
      </c>
    </row>
    <row r="6679" spans="1:6" x14ac:dyDescent="0.3">
      <c r="A6679" t="s">
        <v>22</v>
      </c>
      <c r="B6679" s="1">
        <v>45936</v>
      </c>
      <c r="C6679">
        <v>7</v>
      </c>
      <c r="D6679">
        <v>0.42799999999999999</v>
      </c>
      <c r="E6679" t="s">
        <v>6</v>
      </c>
      <c r="F6679">
        <v>0.12687999999999999</v>
      </c>
    </row>
    <row r="6680" spans="1:6" x14ac:dyDescent="0.3">
      <c r="A6680" t="s">
        <v>22</v>
      </c>
      <c r="B6680" s="1">
        <v>45936</v>
      </c>
      <c r="C6680">
        <v>8</v>
      </c>
      <c r="D6680">
        <v>2.2229999999999999</v>
      </c>
      <c r="E6680" t="s">
        <v>6</v>
      </c>
      <c r="F6680">
        <v>0.15303</v>
      </c>
    </row>
    <row r="6681" spans="1:6" x14ac:dyDescent="0.3">
      <c r="A6681" t="s">
        <v>22</v>
      </c>
      <c r="B6681" s="1">
        <v>45936</v>
      </c>
      <c r="C6681">
        <v>9</v>
      </c>
      <c r="D6681">
        <v>0</v>
      </c>
      <c r="E6681" t="s">
        <v>6</v>
      </c>
      <c r="F6681">
        <v>0.19650999999999999</v>
      </c>
    </row>
    <row r="6682" spans="1:6" x14ac:dyDescent="0.3">
      <c r="A6682" t="s">
        <v>22</v>
      </c>
      <c r="B6682" s="1">
        <v>45936</v>
      </c>
      <c r="C6682">
        <v>10</v>
      </c>
      <c r="D6682">
        <v>0</v>
      </c>
      <c r="E6682" t="s">
        <v>6</v>
      </c>
      <c r="F6682">
        <v>0.17365</v>
      </c>
    </row>
    <row r="6683" spans="1:6" x14ac:dyDescent="0.3">
      <c r="A6683" t="s">
        <v>22</v>
      </c>
      <c r="B6683" s="1">
        <v>45936</v>
      </c>
      <c r="C6683">
        <v>11</v>
      </c>
      <c r="D6683">
        <v>0</v>
      </c>
      <c r="E6683" t="s">
        <v>6</v>
      </c>
      <c r="F6683">
        <v>0.19753999999999999</v>
      </c>
    </row>
    <row r="6684" spans="1:6" x14ac:dyDescent="0.3">
      <c r="A6684" t="s">
        <v>22</v>
      </c>
      <c r="B6684" s="1">
        <v>45936</v>
      </c>
      <c r="C6684">
        <v>12</v>
      </c>
      <c r="D6684">
        <v>0</v>
      </c>
      <c r="E6684" t="s">
        <v>6</v>
      </c>
      <c r="F6684">
        <v>0.17263999999999999</v>
      </c>
    </row>
    <row r="6685" spans="1:6" x14ac:dyDescent="0.3">
      <c r="A6685" t="s">
        <v>22</v>
      </c>
      <c r="B6685" s="1">
        <v>45936</v>
      </c>
      <c r="C6685">
        <v>13</v>
      </c>
      <c r="D6685">
        <v>1.1839999999999999</v>
      </c>
      <c r="E6685" t="s">
        <v>6</v>
      </c>
      <c r="F6685">
        <v>0.16980999999999999</v>
      </c>
    </row>
    <row r="6686" spans="1:6" x14ac:dyDescent="0.3">
      <c r="A6686" t="s">
        <v>22</v>
      </c>
      <c r="B6686" s="1">
        <v>45936</v>
      </c>
      <c r="C6686">
        <v>14</v>
      </c>
      <c r="D6686">
        <v>0.46100000000000002</v>
      </c>
      <c r="E6686" t="s">
        <v>6</v>
      </c>
      <c r="F6686">
        <v>0.16397999999999999</v>
      </c>
    </row>
    <row r="6687" spans="1:6" x14ac:dyDescent="0.3">
      <c r="A6687" t="s">
        <v>22</v>
      </c>
      <c r="B6687" s="1">
        <v>45936</v>
      </c>
      <c r="C6687">
        <v>15</v>
      </c>
      <c r="D6687">
        <v>0</v>
      </c>
      <c r="E6687" t="s">
        <v>6</v>
      </c>
      <c r="F6687">
        <v>9.4730000000000009E-2</v>
      </c>
    </row>
    <row r="6688" spans="1:6" x14ac:dyDescent="0.3">
      <c r="A6688" t="s">
        <v>22</v>
      </c>
      <c r="B6688" s="1">
        <v>45936</v>
      </c>
      <c r="C6688">
        <v>16</v>
      </c>
      <c r="D6688">
        <v>0</v>
      </c>
      <c r="E6688" t="s">
        <v>6</v>
      </c>
      <c r="F6688">
        <v>9.987E-2</v>
      </c>
    </row>
    <row r="6689" spans="1:6" x14ac:dyDescent="0.3">
      <c r="A6689" t="s">
        <v>22</v>
      </c>
      <c r="B6689" s="1">
        <v>45936</v>
      </c>
      <c r="C6689">
        <v>17</v>
      </c>
      <c r="D6689">
        <v>0</v>
      </c>
      <c r="E6689" t="s">
        <v>6</v>
      </c>
      <c r="F6689">
        <v>0.10381</v>
      </c>
    </row>
    <row r="6690" spans="1:6" x14ac:dyDescent="0.3">
      <c r="A6690" t="s">
        <v>22</v>
      </c>
      <c r="B6690" s="1">
        <v>45936</v>
      </c>
      <c r="C6690">
        <v>18</v>
      </c>
      <c r="D6690">
        <v>0</v>
      </c>
      <c r="E6690" t="s">
        <v>6</v>
      </c>
      <c r="F6690">
        <v>0.12961</v>
      </c>
    </row>
    <row r="6691" spans="1:6" x14ac:dyDescent="0.3">
      <c r="A6691" t="s">
        <v>22</v>
      </c>
      <c r="B6691" s="1">
        <v>45936</v>
      </c>
      <c r="C6691">
        <v>19</v>
      </c>
      <c r="D6691">
        <v>1.266</v>
      </c>
      <c r="E6691" t="s">
        <v>6</v>
      </c>
      <c r="F6691">
        <v>0.22647999999999999</v>
      </c>
    </row>
    <row r="6692" spans="1:6" x14ac:dyDescent="0.3">
      <c r="A6692" t="s">
        <v>22</v>
      </c>
      <c r="B6692" s="1">
        <v>45936</v>
      </c>
      <c r="C6692">
        <v>20</v>
      </c>
      <c r="D6692">
        <v>0.36399999999999999</v>
      </c>
      <c r="E6692" t="s">
        <v>6</v>
      </c>
      <c r="F6692">
        <v>0.27201999999999998</v>
      </c>
    </row>
    <row r="6693" spans="1:6" x14ac:dyDescent="0.3">
      <c r="A6693" t="s">
        <v>22</v>
      </c>
      <c r="B6693" s="1">
        <v>45936</v>
      </c>
      <c r="C6693">
        <v>21</v>
      </c>
      <c r="D6693">
        <v>0.55600000000000005</v>
      </c>
      <c r="E6693" t="s">
        <v>6</v>
      </c>
      <c r="F6693">
        <v>0.30235000000000001</v>
      </c>
    </row>
    <row r="6694" spans="1:6" x14ac:dyDescent="0.3">
      <c r="A6694" t="s">
        <v>22</v>
      </c>
      <c r="B6694" s="1">
        <v>45936</v>
      </c>
      <c r="C6694">
        <v>22</v>
      </c>
      <c r="D6694">
        <v>0.35199999999999998</v>
      </c>
      <c r="E6694" t="s">
        <v>6</v>
      </c>
      <c r="F6694">
        <v>0.30832999999999999</v>
      </c>
    </row>
    <row r="6695" spans="1:6" x14ac:dyDescent="0.3">
      <c r="A6695" t="s">
        <v>22</v>
      </c>
      <c r="B6695" s="1">
        <v>45936</v>
      </c>
      <c r="C6695">
        <v>23</v>
      </c>
      <c r="D6695">
        <v>0.34499999999999997</v>
      </c>
      <c r="E6695" t="s">
        <v>6</v>
      </c>
      <c r="F6695">
        <v>0.19275</v>
      </c>
    </row>
    <row r="6696" spans="1:6" x14ac:dyDescent="0.3">
      <c r="A6696" t="s">
        <v>22</v>
      </c>
      <c r="B6696" s="1">
        <v>45936</v>
      </c>
      <c r="C6696">
        <v>24</v>
      </c>
      <c r="D6696">
        <v>0.17899999999999999</v>
      </c>
      <c r="E6696" t="s">
        <v>6</v>
      </c>
      <c r="F6696">
        <v>0.16664999999999999</v>
      </c>
    </row>
    <row r="6697" spans="1:6" x14ac:dyDescent="0.3">
      <c r="A6697" t="s">
        <v>22</v>
      </c>
      <c r="B6697" s="1">
        <v>45937</v>
      </c>
      <c r="C6697">
        <v>1</v>
      </c>
      <c r="D6697">
        <v>0.24199999999999999</v>
      </c>
      <c r="E6697" t="s">
        <v>6</v>
      </c>
      <c r="F6697">
        <v>0.14360000000000001</v>
      </c>
    </row>
    <row r="6698" spans="1:6" x14ac:dyDescent="0.3">
      <c r="A6698" t="s">
        <v>22</v>
      </c>
      <c r="B6698" s="1">
        <v>45937</v>
      </c>
      <c r="C6698">
        <v>2</v>
      </c>
      <c r="D6698">
        <v>0.13400000000000001</v>
      </c>
      <c r="E6698" t="s">
        <v>6</v>
      </c>
      <c r="F6698">
        <v>0.14324999999999999</v>
      </c>
    </row>
    <row r="6699" spans="1:6" x14ac:dyDescent="0.3">
      <c r="A6699" t="s">
        <v>22</v>
      </c>
      <c r="B6699" s="1">
        <v>45937</v>
      </c>
      <c r="C6699">
        <v>3</v>
      </c>
      <c r="D6699">
        <v>0.16400000000000001</v>
      </c>
      <c r="E6699" t="s">
        <v>6</v>
      </c>
      <c r="F6699">
        <v>0.14333000000000001</v>
      </c>
    </row>
    <row r="6700" spans="1:6" x14ac:dyDescent="0.3">
      <c r="A6700" t="s">
        <v>22</v>
      </c>
      <c r="B6700" s="1">
        <v>45937</v>
      </c>
      <c r="C6700">
        <v>4</v>
      </c>
      <c r="D6700">
        <v>0.14099999999999999</v>
      </c>
      <c r="E6700" t="s">
        <v>6</v>
      </c>
      <c r="F6700">
        <v>0.13603999999999999</v>
      </c>
    </row>
    <row r="6701" spans="1:6" x14ac:dyDescent="0.3">
      <c r="A6701" t="s">
        <v>22</v>
      </c>
      <c r="B6701" s="1">
        <v>45937</v>
      </c>
      <c r="C6701">
        <v>5</v>
      </c>
      <c r="D6701">
        <v>0.151</v>
      </c>
      <c r="E6701" t="s">
        <v>6</v>
      </c>
      <c r="F6701">
        <v>0.13544</v>
      </c>
    </row>
    <row r="6702" spans="1:6" x14ac:dyDescent="0.3">
      <c r="A6702" t="s">
        <v>22</v>
      </c>
      <c r="B6702" s="1">
        <v>45937</v>
      </c>
      <c r="C6702">
        <v>6</v>
      </c>
      <c r="D6702">
        <v>0.13400000000000001</v>
      </c>
      <c r="E6702" t="s">
        <v>6</v>
      </c>
      <c r="F6702">
        <v>0.13409000000000001</v>
      </c>
    </row>
    <row r="6703" spans="1:6" x14ac:dyDescent="0.3">
      <c r="A6703" t="s">
        <v>22</v>
      </c>
      <c r="B6703" s="1">
        <v>45937</v>
      </c>
      <c r="C6703">
        <v>7</v>
      </c>
      <c r="D6703">
        <v>0.20799999999999999</v>
      </c>
      <c r="E6703" t="s">
        <v>6</v>
      </c>
      <c r="F6703">
        <v>0.13603999999999999</v>
      </c>
    </row>
    <row r="6704" spans="1:6" x14ac:dyDescent="0.3">
      <c r="A6704" t="s">
        <v>22</v>
      </c>
      <c r="B6704" s="1">
        <v>45937</v>
      </c>
      <c r="C6704">
        <v>8</v>
      </c>
      <c r="D6704">
        <v>0.53900000000000003</v>
      </c>
      <c r="E6704" t="s">
        <v>6</v>
      </c>
      <c r="F6704">
        <v>0.14755000000000001</v>
      </c>
    </row>
    <row r="6705" spans="1:6" x14ac:dyDescent="0.3">
      <c r="A6705" t="s">
        <v>22</v>
      </c>
      <c r="B6705" s="1">
        <v>45937</v>
      </c>
      <c r="C6705">
        <v>9</v>
      </c>
      <c r="D6705">
        <v>7.3999999999999996E-2</v>
      </c>
      <c r="E6705" t="s">
        <v>6</v>
      </c>
      <c r="F6705">
        <v>0.18903</v>
      </c>
    </row>
    <row r="6706" spans="1:6" x14ac:dyDescent="0.3">
      <c r="A6706" t="s">
        <v>22</v>
      </c>
      <c r="B6706" s="1">
        <v>45937</v>
      </c>
      <c r="C6706">
        <v>10</v>
      </c>
      <c r="D6706">
        <v>0</v>
      </c>
      <c r="E6706" t="s">
        <v>6</v>
      </c>
      <c r="F6706">
        <v>0.16996</v>
      </c>
    </row>
    <row r="6707" spans="1:6" x14ac:dyDescent="0.3">
      <c r="A6707" t="s">
        <v>22</v>
      </c>
      <c r="B6707" s="1">
        <v>45937</v>
      </c>
      <c r="C6707">
        <v>11</v>
      </c>
      <c r="D6707">
        <v>0</v>
      </c>
      <c r="E6707" t="s">
        <v>6</v>
      </c>
      <c r="F6707">
        <v>0.19165000000000001</v>
      </c>
    </row>
    <row r="6708" spans="1:6" x14ac:dyDescent="0.3">
      <c r="A6708" t="s">
        <v>22</v>
      </c>
      <c r="B6708" s="1">
        <v>45937</v>
      </c>
      <c r="C6708">
        <v>12</v>
      </c>
      <c r="D6708">
        <v>0</v>
      </c>
      <c r="E6708" t="s">
        <v>6</v>
      </c>
      <c r="F6708">
        <v>0.16778999999999999</v>
      </c>
    </row>
    <row r="6709" spans="1:6" x14ac:dyDescent="0.3">
      <c r="A6709" t="s">
        <v>22</v>
      </c>
      <c r="B6709" s="1">
        <v>45937</v>
      </c>
      <c r="C6709">
        <v>13</v>
      </c>
      <c r="D6709">
        <v>0</v>
      </c>
      <c r="E6709" t="s">
        <v>6</v>
      </c>
      <c r="F6709">
        <v>0.16697000000000001</v>
      </c>
    </row>
    <row r="6710" spans="1:6" x14ac:dyDescent="0.3">
      <c r="A6710" t="s">
        <v>22</v>
      </c>
      <c r="B6710" s="1">
        <v>45937</v>
      </c>
      <c r="C6710">
        <v>14</v>
      </c>
      <c r="D6710">
        <v>0</v>
      </c>
      <c r="E6710" t="s">
        <v>6</v>
      </c>
      <c r="F6710">
        <v>0.15306</v>
      </c>
    </row>
    <row r="6711" spans="1:6" x14ac:dyDescent="0.3">
      <c r="A6711" t="s">
        <v>22</v>
      </c>
      <c r="B6711" s="1">
        <v>45937</v>
      </c>
      <c r="C6711">
        <v>15</v>
      </c>
      <c r="D6711">
        <v>0</v>
      </c>
      <c r="E6711" t="s">
        <v>6</v>
      </c>
      <c r="F6711">
        <v>8.5930000000000006E-2</v>
      </c>
    </row>
    <row r="6712" spans="1:6" x14ac:dyDescent="0.3">
      <c r="A6712" t="s">
        <v>22</v>
      </c>
      <c r="B6712" s="1">
        <v>45937</v>
      </c>
      <c r="C6712">
        <v>16</v>
      </c>
      <c r="D6712">
        <v>1.534</v>
      </c>
      <c r="E6712" t="s">
        <v>6</v>
      </c>
      <c r="F6712">
        <v>9.221E-2</v>
      </c>
    </row>
    <row r="6713" spans="1:6" x14ac:dyDescent="0.3">
      <c r="A6713" t="s">
        <v>22</v>
      </c>
      <c r="B6713" s="1">
        <v>45937</v>
      </c>
      <c r="C6713">
        <v>17</v>
      </c>
      <c r="D6713">
        <v>2.4369999999999998</v>
      </c>
      <c r="E6713" t="s">
        <v>6</v>
      </c>
      <c r="F6713">
        <v>0.10464</v>
      </c>
    </row>
    <row r="6714" spans="1:6" x14ac:dyDescent="0.3">
      <c r="A6714" t="s">
        <v>22</v>
      </c>
      <c r="B6714" s="1">
        <v>45937</v>
      </c>
      <c r="C6714">
        <v>18</v>
      </c>
      <c r="D6714">
        <v>0.65900000000000003</v>
      </c>
      <c r="E6714" t="s">
        <v>6</v>
      </c>
      <c r="F6714">
        <v>0.12862000000000001</v>
      </c>
    </row>
    <row r="6715" spans="1:6" x14ac:dyDescent="0.3">
      <c r="A6715" t="s">
        <v>22</v>
      </c>
      <c r="B6715" s="1">
        <v>45937</v>
      </c>
      <c r="C6715">
        <v>19</v>
      </c>
      <c r="D6715">
        <v>0.96799999999999997</v>
      </c>
      <c r="E6715" t="s">
        <v>6</v>
      </c>
      <c r="F6715">
        <v>0.22536</v>
      </c>
    </row>
    <row r="6716" spans="1:6" x14ac:dyDescent="0.3">
      <c r="A6716" t="s">
        <v>22</v>
      </c>
      <c r="B6716" s="1">
        <v>45937</v>
      </c>
      <c r="C6716">
        <v>20</v>
      </c>
      <c r="D6716">
        <v>1.8129999999999999</v>
      </c>
      <c r="E6716" t="s">
        <v>6</v>
      </c>
      <c r="F6716">
        <v>0.26939999999999997</v>
      </c>
    </row>
    <row r="6717" spans="1:6" x14ac:dyDescent="0.3">
      <c r="A6717" t="s">
        <v>22</v>
      </c>
      <c r="B6717" s="1">
        <v>45937</v>
      </c>
      <c r="C6717">
        <v>21</v>
      </c>
      <c r="D6717">
        <v>1.355</v>
      </c>
      <c r="E6717" t="s">
        <v>6</v>
      </c>
      <c r="F6717">
        <v>0.29113</v>
      </c>
    </row>
    <row r="6718" spans="1:6" x14ac:dyDescent="0.3">
      <c r="A6718" t="s">
        <v>22</v>
      </c>
      <c r="B6718" s="1">
        <v>45937</v>
      </c>
      <c r="C6718">
        <v>22</v>
      </c>
      <c r="D6718">
        <v>1.325</v>
      </c>
      <c r="E6718" t="s">
        <v>6</v>
      </c>
      <c r="F6718">
        <v>0.27889999999999998</v>
      </c>
    </row>
    <row r="6719" spans="1:6" x14ac:dyDescent="0.3">
      <c r="A6719" t="s">
        <v>22</v>
      </c>
      <c r="B6719" s="1">
        <v>45937</v>
      </c>
      <c r="C6719">
        <v>23</v>
      </c>
      <c r="D6719">
        <v>1.3129999999999999</v>
      </c>
      <c r="E6719" t="s">
        <v>6</v>
      </c>
      <c r="F6719">
        <v>0.17199</v>
      </c>
    </row>
    <row r="6720" spans="1:6" x14ac:dyDescent="0.3">
      <c r="A6720" t="s">
        <v>22</v>
      </c>
      <c r="B6720" s="1">
        <v>45937</v>
      </c>
      <c r="C6720">
        <v>24</v>
      </c>
      <c r="D6720">
        <v>1.2</v>
      </c>
      <c r="E6720" t="s">
        <v>6</v>
      </c>
      <c r="F6720">
        <v>0.16771</v>
      </c>
    </row>
    <row r="6721" spans="1:6" x14ac:dyDescent="0.3">
      <c r="A6721" t="s">
        <v>22</v>
      </c>
      <c r="B6721" s="1">
        <v>45938</v>
      </c>
      <c r="C6721">
        <v>1</v>
      </c>
      <c r="D6721">
        <v>1.3460000000000001</v>
      </c>
      <c r="E6721" t="s">
        <v>6</v>
      </c>
      <c r="F6721">
        <v>0.14674999999999999</v>
      </c>
    </row>
    <row r="6722" spans="1:6" x14ac:dyDescent="0.3">
      <c r="A6722" t="s">
        <v>22</v>
      </c>
      <c r="B6722" s="1">
        <v>45938</v>
      </c>
      <c r="C6722">
        <v>2</v>
      </c>
      <c r="D6722">
        <v>0.80200000000000005</v>
      </c>
      <c r="E6722" t="s">
        <v>6</v>
      </c>
      <c r="F6722">
        <v>0.14013</v>
      </c>
    </row>
    <row r="6723" spans="1:6" x14ac:dyDescent="0.3">
      <c r="A6723" t="s">
        <v>22</v>
      </c>
      <c r="B6723" s="1">
        <v>45938</v>
      </c>
      <c r="C6723">
        <v>3</v>
      </c>
      <c r="D6723">
        <v>0.82299999999999995</v>
      </c>
      <c r="E6723" t="s">
        <v>6</v>
      </c>
      <c r="F6723">
        <v>0.13750999999999999</v>
      </c>
    </row>
    <row r="6724" spans="1:6" x14ac:dyDescent="0.3">
      <c r="A6724" t="s">
        <v>22</v>
      </c>
      <c r="B6724" s="1">
        <v>45938</v>
      </c>
      <c r="C6724">
        <v>4</v>
      </c>
      <c r="D6724">
        <v>0.89900000000000002</v>
      </c>
      <c r="E6724" t="s">
        <v>6</v>
      </c>
      <c r="F6724">
        <v>0.1326</v>
      </c>
    </row>
    <row r="6725" spans="1:6" x14ac:dyDescent="0.3">
      <c r="A6725" t="s">
        <v>22</v>
      </c>
      <c r="B6725" s="1">
        <v>45938</v>
      </c>
      <c r="C6725">
        <v>5</v>
      </c>
      <c r="D6725">
        <v>0.97299999999999998</v>
      </c>
      <c r="E6725" t="s">
        <v>6</v>
      </c>
      <c r="F6725">
        <v>0.13300999999999999</v>
      </c>
    </row>
    <row r="6726" spans="1:6" x14ac:dyDescent="0.3">
      <c r="A6726" t="s">
        <v>22</v>
      </c>
      <c r="B6726" s="1">
        <v>45938</v>
      </c>
      <c r="C6726">
        <v>6</v>
      </c>
      <c r="D6726">
        <v>1.633</v>
      </c>
      <c r="E6726" t="s">
        <v>6</v>
      </c>
      <c r="F6726">
        <v>0.12921000000000002</v>
      </c>
    </row>
    <row r="6727" spans="1:6" x14ac:dyDescent="0.3">
      <c r="A6727" t="s">
        <v>22</v>
      </c>
      <c r="B6727" s="1">
        <v>45938</v>
      </c>
      <c r="C6727">
        <v>7</v>
      </c>
      <c r="D6727">
        <v>1.071</v>
      </c>
      <c r="E6727" t="s">
        <v>6</v>
      </c>
      <c r="F6727">
        <v>0.13287000000000002</v>
      </c>
    </row>
    <row r="6728" spans="1:6" x14ac:dyDescent="0.3">
      <c r="A6728" t="s">
        <v>22</v>
      </c>
      <c r="B6728" s="1">
        <v>45938</v>
      </c>
      <c r="C6728">
        <v>8</v>
      </c>
      <c r="D6728">
        <v>1.298</v>
      </c>
      <c r="E6728" t="s">
        <v>6</v>
      </c>
      <c r="F6728">
        <v>0.15712000000000001</v>
      </c>
    </row>
    <row r="6729" spans="1:6" x14ac:dyDescent="0.3">
      <c r="A6729" t="s">
        <v>22</v>
      </c>
      <c r="B6729" s="1">
        <v>45938</v>
      </c>
      <c r="C6729">
        <v>9</v>
      </c>
      <c r="D6729">
        <v>1.603</v>
      </c>
      <c r="E6729" t="s">
        <v>6</v>
      </c>
      <c r="F6729">
        <v>0.21972</v>
      </c>
    </row>
    <row r="6730" spans="1:6" x14ac:dyDescent="0.3">
      <c r="A6730" t="s">
        <v>22</v>
      </c>
      <c r="B6730" s="1">
        <v>45938</v>
      </c>
      <c r="C6730">
        <v>10</v>
      </c>
      <c r="D6730">
        <v>2.206</v>
      </c>
      <c r="E6730" t="s">
        <v>6</v>
      </c>
      <c r="F6730">
        <v>0.16093000000000002</v>
      </c>
    </row>
    <row r="6731" spans="1:6" x14ac:dyDescent="0.3">
      <c r="A6731" t="s">
        <v>22</v>
      </c>
      <c r="B6731" s="1">
        <v>45938</v>
      </c>
      <c r="C6731">
        <v>11</v>
      </c>
      <c r="D6731">
        <v>1.429</v>
      </c>
      <c r="E6731" t="s">
        <v>6</v>
      </c>
      <c r="F6731">
        <v>0.21428</v>
      </c>
    </row>
    <row r="6732" spans="1:6" x14ac:dyDescent="0.3">
      <c r="A6732" t="s">
        <v>22</v>
      </c>
      <c r="B6732" s="1">
        <v>45938</v>
      </c>
      <c r="C6732">
        <v>12</v>
      </c>
      <c r="D6732">
        <v>0</v>
      </c>
      <c r="E6732" t="s">
        <v>6</v>
      </c>
      <c r="F6732">
        <v>0.19549</v>
      </c>
    </row>
    <row r="6733" spans="1:6" x14ac:dyDescent="0.3">
      <c r="A6733" t="s">
        <v>22</v>
      </c>
      <c r="B6733" s="1">
        <v>45938</v>
      </c>
      <c r="C6733">
        <v>13</v>
      </c>
      <c r="D6733">
        <v>0</v>
      </c>
      <c r="E6733" t="s">
        <v>6</v>
      </c>
      <c r="F6733">
        <v>0.19158</v>
      </c>
    </row>
    <row r="6734" spans="1:6" x14ac:dyDescent="0.3">
      <c r="A6734" t="s">
        <v>22</v>
      </c>
      <c r="B6734" s="1">
        <v>45938</v>
      </c>
      <c r="C6734">
        <v>14</v>
      </c>
      <c r="D6734">
        <v>0</v>
      </c>
      <c r="E6734" t="s">
        <v>6</v>
      </c>
      <c r="F6734">
        <v>0.18006</v>
      </c>
    </row>
    <row r="6735" spans="1:6" x14ac:dyDescent="0.3">
      <c r="A6735" t="s">
        <v>22</v>
      </c>
      <c r="B6735" s="1">
        <v>45938</v>
      </c>
      <c r="C6735">
        <v>15</v>
      </c>
      <c r="D6735">
        <v>0</v>
      </c>
      <c r="E6735" t="s">
        <v>6</v>
      </c>
      <c r="F6735">
        <v>0.11137999999999999</v>
      </c>
    </row>
    <row r="6736" spans="1:6" x14ac:dyDescent="0.3">
      <c r="A6736" t="s">
        <v>22</v>
      </c>
      <c r="B6736" s="1">
        <v>45938</v>
      </c>
      <c r="C6736">
        <v>16</v>
      </c>
      <c r="D6736">
        <v>0</v>
      </c>
      <c r="E6736" t="s">
        <v>6</v>
      </c>
      <c r="F6736">
        <v>0.11098000000000001</v>
      </c>
    </row>
    <row r="6737" spans="1:6" x14ac:dyDescent="0.3">
      <c r="A6737" t="s">
        <v>22</v>
      </c>
      <c r="B6737" s="1">
        <v>45938</v>
      </c>
      <c r="C6737">
        <v>17</v>
      </c>
      <c r="D6737">
        <v>0</v>
      </c>
      <c r="E6737" t="s">
        <v>6</v>
      </c>
      <c r="F6737">
        <v>0.10479000000000001</v>
      </c>
    </row>
    <row r="6738" spans="1:6" x14ac:dyDescent="0.3">
      <c r="A6738" t="s">
        <v>22</v>
      </c>
      <c r="B6738" s="1">
        <v>45938</v>
      </c>
      <c r="C6738">
        <v>18</v>
      </c>
      <c r="D6738">
        <v>0.90500000000000003</v>
      </c>
      <c r="E6738" t="s">
        <v>6</v>
      </c>
      <c r="F6738">
        <v>0.12737000000000001</v>
      </c>
    </row>
    <row r="6739" spans="1:6" x14ac:dyDescent="0.3">
      <c r="A6739" t="s">
        <v>22</v>
      </c>
      <c r="B6739" s="1">
        <v>45938</v>
      </c>
      <c r="C6739">
        <v>19</v>
      </c>
      <c r="D6739">
        <v>0.60899999999999999</v>
      </c>
      <c r="E6739" t="s">
        <v>6</v>
      </c>
      <c r="F6739">
        <v>0.20883000000000002</v>
      </c>
    </row>
    <row r="6740" spans="1:6" x14ac:dyDescent="0.3">
      <c r="A6740" t="s">
        <v>22</v>
      </c>
      <c r="B6740" s="1">
        <v>45938</v>
      </c>
      <c r="C6740">
        <v>20</v>
      </c>
      <c r="D6740">
        <v>1.823</v>
      </c>
      <c r="E6740" t="s">
        <v>6</v>
      </c>
      <c r="F6740">
        <v>0.26800000000000002</v>
      </c>
    </row>
    <row r="6741" spans="1:6" x14ac:dyDescent="0.3">
      <c r="A6741" t="s">
        <v>22</v>
      </c>
      <c r="B6741" s="1">
        <v>45938</v>
      </c>
      <c r="C6741">
        <v>21</v>
      </c>
      <c r="D6741">
        <v>1.6819999999999999</v>
      </c>
      <c r="E6741" t="s">
        <v>6</v>
      </c>
      <c r="F6741">
        <v>0.26163999999999998</v>
      </c>
    </row>
    <row r="6742" spans="1:6" x14ac:dyDescent="0.3">
      <c r="A6742" t="s">
        <v>22</v>
      </c>
      <c r="B6742" s="1">
        <v>45938</v>
      </c>
      <c r="C6742">
        <v>22</v>
      </c>
      <c r="D6742">
        <v>1.0649999999999999</v>
      </c>
      <c r="E6742" t="s">
        <v>6</v>
      </c>
      <c r="F6742">
        <v>0.22841</v>
      </c>
    </row>
    <row r="6743" spans="1:6" x14ac:dyDescent="0.3">
      <c r="A6743" t="s">
        <v>22</v>
      </c>
      <c r="B6743" s="1">
        <v>45938</v>
      </c>
      <c r="C6743">
        <v>23</v>
      </c>
      <c r="D6743">
        <v>0.73499999999999999</v>
      </c>
      <c r="E6743" t="s">
        <v>6</v>
      </c>
      <c r="F6743">
        <v>0.15803</v>
      </c>
    </row>
    <row r="6744" spans="1:6" x14ac:dyDescent="0.3">
      <c r="A6744" t="s">
        <v>22</v>
      </c>
      <c r="B6744" s="1">
        <v>45938</v>
      </c>
      <c r="C6744">
        <v>24</v>
      </c>
      <c r="D6744">
        <v>0.86099999999999999</v>
      </c>
      <c r="E6744" t="s">
        <v>6</v>
      </c>
      <c r="F6744">
        <v>0.14926</v>
      </c>
    </row>
    <row r="6745" spans="1:6" x14ac:dyDescent="0.3">
      <c r="A6745" t="s">
        <v>22</v>
      </c>
      <c r="B6745" s="1">
        <v>45939</v>
      </c>
      <c r="C6745">
        <v>1</v>
      </c>
      <c r="D6745">
        <v>0.57399999999999995</v>
      </c>
      <c r="E6745" t="s">
        <v>6</v>
      </c>
      <c r="F6745">
        <v>0.14629</v>
      </c>
    </row>
    <row r="6746" spans="1:6" x14ac:dyDescent="0.3">
      <c r="A6746" t="s">
        <v>22</v>
      </c>
      <c r="B6746" s="1">
        <v>45939</v>
      </c>
      <c r="C6746">
        <v>2</v>
      </c>
      <c r="D6746">
        <v>0.73799999999999999</v>
      </c>
      <c r="E6746" t="s">
        <v>6</v>
      </c>
      <c r="F6746">
        <v>0.1356</v>
      </c>
    </row>
    <row r="6747" spans="1:6" x14ac:dyDescent="0.3">
      <c r="A6747" t="s">
        <v>22</v>
      </c>
      <c r="B6747" s="1">
        <v>45939</v>
      </c>
      <c r="C6747">
        <v>3</v>
      </c>
      <c r="D6747">
        <v>0.47499999999999998</v>
      </c>
      <c r="E6747" t="s">
        <v>6</v>
      </c>
      <c r="F6747">
        <v>0.13871</v>
      </c>
    </row>
    <row r="6748" spans="1:6" x14ac:dyDescent="0.3">
      <c r="A6748" t="s">
        <v>22</v>
      </c>
      <c r="B6748" s="1">
        <v>45939</v>
      </c>
      <c r="C6748">
        <v>4</v>
      </c>
      <c r="D6748">
        <v>0.748</v>
      </c>
      <c r="E6748" t="s">
        <v>6</v>
      </c>
      <c r="F6748">
        <v>0.12615999999999999</v>
      </c>
    </row>
    <row r="6749" spans="1:6" x14ac:dyDescent="0.3">
      <c r="A6749" t="s">
        <v>22</v>
      </c>
      <c r="B6749" s="1">
        <v>45939</v>
      </c>
      <c r="C6749">
        <v>5</v>
      </c>
      <c r="D6749">
        <v>0.64500000000000002</v>
      </c>
      <c r="E6749" t="s">
        <v>6</v>
      </c>
      <c r="F6749">
        <v>0.1215</v>
      </c>
    </row>
    <row r="6750" spans="1:6" x14ac:dyDescent="0.3">
      <c r="A6750" t="s">
        <v>22</v>
      </c>
      <c r="B6750" s="1">
        <v>45939</v>
      </c>
      <c r="C6750">
        <v>6</v>
      </c>
      <c r="D6750">
        <v>1.7669999999999999</v>
      </c>
      <c r="E6750" t="s">
        <v>6</v>
      </c>
      <c r="F6750">
        <v>0.12332</v>
      </c>
    </row>
    <row r="6751" spans="1:6" x14ac:dyDescent="0.3">
      <c r="A6751" t="s">
        <v>22</v>
      </c>
      <c r="B6751" s="1">
        <v>45939</v>
      </c>
      <c r="C6751">
        <v>7</v>
      </c>
      <c r="D6751">
        <v>0.75</v>
      </c>
      <c r="E6751" t="s">
        <v>6</v>
      </c>
      <c r="F6751">
        <v>0.13674</v>
      </c>
    </row>
    <row r="6752" spans="1:6" x14ac:dyDescent="0.3">
      <c r="A6752" t="s">
        <v>22</v>
      </c>
      <c r="B6752" s="1">
        <v>45939</v>
      </c>
      <c r="C6752">
        <v>8</v>
      </c>
      <c r="D6752">
        <v>0.80100000000000005</v>
      </c>
      <c r="E6752" t="s">
        <v>6</v>
      </c>
      <c r="F6752">
        <v>0.15155000000000002</v>
      </c>
    </row>
    <row r="6753" spans="1:6" x14ac:dyDescent="0.3">
      <c r="A6753" t="s">
        <v>22</v>
      </c>
      <c r="B6753" s="1">
        <v>45939</v>
      </c>
      <c r="C6753">
        <v>9</v>
      </c>
      <c r="D6753">
        <v>0.55900000000000005</v>
      </c>
      <c r="E6753" t="s">
        <v>6</v>
      </c>
      <c r="F6753">
        <v>0.19050999999999998</v>
      </c>
    </row>
    <row r="6754" spans="1:6" x14ac:dyDescent="0.3">
      <c r="A6754" t="s">
        <v>22</v>
      </c>
      <c r="B6754" s="1">
        <v>45939</v>
      </c>
      <c r="C6754">
        <v>10</v>
      </c>
      <c r="D6754">
        <v>0.89800000000000002</v>
      </c>
      <c r="E6754" t="s">
        <v>6</v>
      </c>
      <c r="F6754">
        <v>0.16516</v>
      </c>
    </row>
    <row r="6755" spans="1:6" x14ac:dyDescent="0.3">
      <c r="A6755" t="s">
        <v>22</v>
      </c>
      <c r="B6755" s="1">
        <v>45939</v>
      </c>
      <c r="C6755">
        <v>11</v>
      </c>
      <c r="D6755">
        <v>0.47699999999999998</v>
      </c>
      <c r="E6755" t="s">
        <v>6</v>
      </c>
      <c r="F6755">
        <v>0.17376</v>
      </c>
    </row>
    <row r="6756" spans="1:6" x14ac:dyDescent="0.3">
      <c r="A6756" t="s">
        <v>22</v>
      </c>
      <c r="B6756" s="1">
        <v>45939</v>
      </c>
      <c r="C6756">
        <v>12</v>
      </c>
      <c r="D6756">
        <v>0</v>
      </c>
      <c r="E6756" t="s">
        <v>6</v>
      </c>
      <c r="F6756">
        <v>0.15049000000000001</v>
      </c>
    </row>
    <row r="6757" spans="1:6" x14ac:dyDescent="0.3">
      <c r="A6757" t="s">
        <v>22</v>
      </c>
      <c r="B6757" s="1">
        <v>45939</v>
      </c>
      <c r="C6757">
        <v>13</v>
      </c>
      <c r="D6757">
        <v>0</v>
      </c>
      <c r="E6757" t="s">
        <v>6</v>
      </c>
      <c r="F6757">
        <v>0.14135</v>
      </c>
    </row>
    <row r="6758" spans="1:6" x14ac:dyDescent="0.3">
      <c r="A6758" t="s">
        <v>22</v>
      </c>
      <c r="B6758" s="1">
        <v>45939</v>
      </c>
      <c r="C6758">
        <v>14</v>
      </c>
      <c r="D6758">
        <v>0.11</v>
      </c>
      <c r="E6758" t="s">
        <v>6</v>
      </c>
      <c r="F6758">
        <v>0.14305999999999999</v>
      </c>
    </row>
    <row r="6759" spans="1:6" x14ac:dyDescent="0.3">
      <c r="A6759" t="s">
        <v>22</v>
      </c>
      <c r="B6759" s="1">
        <v>45939</v>
      </c>
      <c r="C6759">
        <v>15</v>
      </c>
      <c r="D6759">
        <v>0</v>
      </c>
      <c r="E6759" t="s">
        <v>6</v>
      </c>
      <c r="F6759">
        <v>7.468000000000001E-2</v>
      </c>
    </row>
    <row r="6760" spans="1:6" x14ac:dyDescent="0.3">
      <c r="A6760" t="s">
        <v>22</v>
      </c>
      <c r="B6760" s="1">
        <v>45939</v>
      </c>
      <c r="C6760">
        <v>16</v>
      </c>
      <c r="D6760">
        <v>0.91300000000000003</v>
      </c>
      <c r="E6760" t="s">
        <v>6</v>
      </c>
      <c r="F6760">
        <v>7.5569999999999998E-2</v>
      </c>
    </row>
    <row r="6761" spans="1:6" x14ac:dyDescent="0.3">
      <c r="A6761" t="s">
        <v>22</v>
      </c>
      <c r="B6761" s="1">
        <v>45939</v>
      </c>
      <c r="C6761">
        <v>17</v>
      </c>
      <c r="D6761">
        <v>0</v>
      </c>
      <c r="E6761" t="s">
        <v>6</v>
      </c>
      <c r="F6761">
        <v>8.3229999999999998E-2</v>
      </c>
    </row>
    <row r="6762" spans="1:6" x14ac:dyDescent="0.3">
      <c r="A6762" t="s">
        <v>22</v>
      </c>
      <c r="B6762" s="1">
        <v>45939</v>
      </c>
      <c r="C6762">
        <v>18</v>
      </c>
      <c r="D6762">
        <v>7.0999999999999994E-2</v>
      </c>
      <c r="E6762" t="s">
        <v>6</v>
      </c>
      <c r="F6762">
        <v>0.11176</v>
      </c>
    </row>
    <row r="6763" spans="1:6" x14ac:dyDescent="0.3">
      <c r="A6763" t="s">
        <v>22</v>
      </c>
      <c r="B6763" s="1">
        <v>45939</v>
      </c>
      <c r="C6763">
        <v>19</v>
      </c>
      <c r="D6763">
        <v>8.9999999999999993E-3</v>
      </c>
      <c r="E6763" t="s">
        <v>6</v>
      </c>
      <c r="F6763">
        <v>0.20812999999999998</v>
      </c>
    </row>
    <row r="6764" spans="1:6" x14ac:dyDescent="0.3">
      <c r="A6764" t="s">
        <v>22</v>
      </c>
      <c r="B6764" s="1">
        <v>45939</v>
      </c>
      <c r="C6764">
        <v>20</v>
      </c>
      <c r="D6764">
        <v>0.35599999999999998</v>
      </c>
      <c r="E6764" t="s">
        <v>6</v>
      </c>
      <c r="F6764">
        <v>0.24968000000000001</v>
      </c>
    </row>
    <row r="6765" spans="1:6" x14ac:dyDescent="0.3">
      <c r="A6765" t="s">
        <v>22</v>
      </c>
      <c r="B6765" s="1">
        <v>45939</v>
      </c>
      <c r="C6765">
        <v>21</v>
      </c>
      <c r="D6765">
        <v>0.66900000000000004</v>
      </c>
      <c r="E6765" t="s">
        <v>6</v>
      </c>
      <c r="F6765">
        <v>0.25657000000000002</v>
      </c>
    </row>
    <row r="6766" spans="1:6" x14ac:dyDescent="0.3">
      <c r="A6766" t="s">
        <v>22</v>
      </c>
      <c r="B6766" s="1">
        <v>45939</v>
      </c>
      <c r="C6766">
        <v>22</v>
      </c>
      <c r="D6766">
        <v>0.58699999999999997</v>
      </c>
      <c r="E6766" t="s">
        <v>6</v>
      </c>
      <c r="F6766">
        <v>0.23766000000000001</v>
      </c>
    </row>
    <row r="6767" spans="1:6" x14ac:dyDescent="0.3">
      <c r="A6767" t="s">
        <v>22</v>
      </c>
      <c r="B6767" s="1">
        <v>45939</v>
      </c>
      <c r="C6767">
        <v>23</v>
      </c>
      <c r="D6767">
        <v>0.30499999999999999</v>
      </c>
      <c r="E6767" t="s">
        <v>6</v>
      </c>
      <c r="F6767">
        <v>0.16941000000000001</v>
      </c>
    </row>
    <row r="6768" spans="1:6" x14ac:dyDescent="0.3">
      <c r="A6768" t="s">
        <v>22</v>
      </c>
      <c r="B6768" s="1">
        <v>45939</v>
      </c>
      <c r="C6768">
        <v>24</v>
      </c>
      <c r="D6768">
        <v>0.35</v>
      </c>
      <c r="E6768" t="s">
        <v>6</v>
      </c>
      <c r="F6768">
        <v>0.16841</v>
      </c>
    </row>
    <row r="6769" spans="1:6" x14ac:dyDescent="0.3">
      <c r="A6769" t="s">
        <v>22</v>
      </c>
      <c r="B6769" s="1">
        <v>45940</v>
      </c>
      <c r="C6769">
        <v>1</v>
      </c>
      <c r="D6769">
        <v>0.255</v>
      </c>
      <c r="E6769" t="s">
        <v>6</v>
      </c>
      <c r="F6769">
        <v>0.12809999999999999</v>
      </c>
    </row>
    <row r="6770" spans="1:6" x14ac:dyDescent="0.3">
      <c r="A6770" t="s">
        <v>22</v>
      </c>
      <c r="B6770" s="1">
        <v>45940</v>
      </c>
      <c r="C6770">
        <v>2</v>
      </c>
      <c r="D6770">
        <v>0.14899999999999999</v>
      </c>
      <c r="E6770" t="s">
        <v>6</v>
      </c>
      <c r="F6770">
        <v>0.12533</v>
      </c>
    </row>
    <row r="6771" spans="1:6" x14ac:dyDescent="0.3">
      <c r="A6771" t="s">
        <v>22</v>
      </c>
      <c r="B6771" s="1">
        <v>45940</v>
      </c>
      <c r="C6771">
        <v>3</v>
      </c>
      <c r="D6771">
        <v>0.61399999999999999</v>
      </c>
      <c r="E6771" t="s">
        <v>6</v>
      </c>
      <c r="F6771">
        <v>0.12562000000000001</v>
      </c>
    </row>
    <row r="6772" spans="1:6" x14ac:dyDescent="0.3">
      <c r="A6772" t="s">
        <v>22</v>
      </c>
      <c r="B6772" s="1">
        <v>45940</v>
      </c>
      <c r="C6772">
        <v>4</v>
      </c>
      <c r="D6772">
        <v>0.997</v>
      </c>
      <c r="E6772" t="s">
        <v>6</v>
      </c>
      <c r="F6772">
        <v>0.11517000000000001</v>
      </c>
    </row>
    <row r="6773" spans="1:6" x14ac:dyDescent="0.3">
      <c r="A6773" t="s">
        <v>22</v>
      </c>
      <c r="B6773" s="1">
        <v>45940</v>
      </c>
      <c r="C6773">
        <v>5</v>
      </c>
      <c r="D6773">
        <v>0.17699999999999999</v>
      </c>
      <c r="E6773" t="s">
        <v>6</v>
      </c>
      <c r="F6773">
        <v>0.11194</v>
      </c>
    </row>
    <row r="6774" spans="1:6" x14ac:dyDescent="0.3">
      <c r="A6774" t="s">
        <v>22</v>
      </c>
      <c r="B6774" s="1">
        <v>45940</v>
      </c>
      <c r="C6774">
        <v>6</v>
      </c>
      <c r="D6774">
        <v>0.11</v>
      </c>
      <c r="E6774" t="s">
        <v>6</v>
      </c>
      <c r="F6774">
        <v>0.12052</v>
      </c>
    </row>
    <row r="6775" spans="1:6" x14ac:dyDescent="0.3">
      <c r="A6775" t="s">
        <v>22</v>
      </c>
      <c r="B6775" s="1">
        <v>45940</v>
      </c>
      <c r="C6775">
        <v>7</v>
      </c>
      <c r="D6775">
        <v>0.215</v>
      </c>
      <c r="E6775" t="s">
        <v>6</v>
      </c>
      <c r="F6775">
        <v>0.13384000000000001</v>
      </c>
    </row>
    <row r="6776" spans="1:6" x14ac:dyDescent="0.3">
      <c r="A6776" t="s">
        <v>22</v>
      </c>
      <c r="B6776" s="1">
        <v>45940</v>
      </c>
      <c r="C6776">
        <v>8</v>
      </c>
      <c r="D6776">
        <v>0.58499999999999996</v>
      </c>
      <c r="E6776" t="s">
        <v>6</v>
      </c>
      <c r="F6776">
        <v>0.13853000000000001</v>
      </c>
    </row>
    <row r="6777" spans="1:6" x14ac:dyDescent="0.3">
      <c r="A6777" t="s">
        <v>22</v>
      </c>
      <c r="B6777" s="1">
        <v>45940</v>
      </c>
      <c r="C6777">
        <v>9</v>
      </c>
      <c r="D6777">
        <v>0.14000000000000001</v>
      </c>
      <c r="E6777" t="s">
        <v>6</v>
      </c>
      <c r="F6777">
        <v>0.17465</v>
      </c>
    </row>
    <row r="6778" spans="1:6" x14ac:dyDescent="0.3">
      <c r="A6778" t="s">
        <v>22</v>
      </c>
      <c r="B6778" s="1">
        <v>45940</v>
      </c>
      <c r="C6778">
        <v>10</v>
      </c>
      <c r="D6778">
        <v>0</v>
      </c>
      <c r="E6778" t="s">
        <v>6</v>
      </c>
      <c r="F6778">
        <v>0.15618000000000001</v>
      </c>
    </row>
    <row r="6779" spans="1:6" x14ac:dyDescent="0.3">
      <c r="A6779" t="s">
        <v>22</v>
      </c>
      <c r="B6779" s="1">
        <v>45940</v>
      </c>
      <c r="C6779">
        <v>11</v>
      </c>
      <c r="D6779">
        <v>0</v>
      </c>
      <c r="E6779" t="s">
        <v>6</v>
      </c>
      <c r="F6779">
        <v>0.17530999999999999</v>
      </c>
    </row>
    <row r="6780" spans="1:6" x14ac:dyDescent="0.3">
      <c r="A6780" t="s">
        <v>22</v>
      </c>
      <c r="B6780" s="1">
        <v>45940</v>
      </c>
      <c r="C6780">
        <v>12</v>
      </c>
      <c r="D6780">
        <v>0</v>
      </c>
      <c r="E6780" t="s">
        <v>6</v>
      </c>
      <c r="F6780">
        <v>0.16771</v>
      </c>
    </row>
    <row r="6781" spans="1:6" x14ac:dyDescent="0.3">
      <c r="A6781" t="s">
        <v>22</v>
      </c>
      <c r="B6781" s="1">
        <v>45940</v>
      </c>
      <c r="C6781">
        <v>13</v>
      </c>
      <c r="D6781">
        <v>0</v>
      </c>
      <c r="E6781" t="s">
        <v>6</v>
      </c>
      <c r="F6781">
        <v>0.16836999999999999</v>
      </c>
    </row>
    <row r="6782" spans="1:6" x14ac:dyDescent="0.3">
      <c r="A6782" t="s">
        <v>22</v>
      </c>
      <c r="B6782" s="1">
        <v>45940</v>
      </c>
      <c r="C6782">
        <v>14</v>
      </c>
      <c r="D6782">
        <v>0.78500000000000003</v>
      </c>
      <c r="E6782" t="s">
        <v>6</v>
      </c>
      <c r="F6782">
        <v>0.16305</v>
      </c>
    </row>
    <row r="6783" spans="1:6" x14ac:dyDescent="0.3">
      <c r="A6783" t="s">
        <v>22</v>
      </c>
      <c r="B6783" s="1">
        <v>45940</v>
      </c>
      <c r="C6783">
        <v>15</v>
      </c>
      <c r="D6783">
        <v>1.833</v>
      </c>
      <c r="E6783" t="s">
        <v>6</v>
      </c>
      <c r="F6783">
        <v>9.0549999999999992E-2</v>
      </c>
    </row>
    <row r="6784" spans="1:6" x14ac:dyDescent="0.3">
      <c r="A6784" t="s">
        <v>22</v>
      </c>
      <c r="B6784" s="1">
        <v>45940</v>
      </c>
      <c r="C6784">
        <v>16</v>
      </c>
      <c r="D6784">
        <v>1.6339999999999999</v>
      </c>
      <c r="E6784" t="s">
        <v>6</v>
      </c>
      <c r="F6784">
        <v>0.10471</v>
      </c>
    </row>
    <row r="6785" spans="1:6" x14ac:dyDescent="0.3">
      <c r="A6785" t="s">
        <v>22</v>
      </c>
      <c r="B6785" s="1">
        <v>45940</v>
      </c>
      <c r="C6785">
        <v>17</v>
      </c>
      <c r="D6785">
        <v>0</v>
      </c>
      <c r="E6785" t="s">
        <v>6</v>
      </c>
      <c r="F6785">
        <v>0.11259000000000001</v>
      </c>
    </row>
    <row r="6786" spans="1:6" x14ac:dyDescent="0.3">
      <c r="A6786" t="s">
        <v>22</v>
      </c>
      <c r="B6786" s="1">
        <v>45940</v>
      </c>
      <c r="C6786">
        <v>18</v>
      </c>
      <c r="D6786">
        <v>0</v>
      </c>
      <c r="E6786" t="s">
        <v>6</v>
      </c>
      <c r="F6786">
        <v>0.14002999999999999</v>
      </c>
    </row>
    <row r="6787" spans="1:6" x14ac:dyDescent="0.3">
      <c r="A6787" t="s">
        <v>22</v>
      </c>
      <c r="B6787" s="1">
        <v>45940</v>
      </c>
      <c r="C6787">
        <v>19</v>
      </c>
      <c r="D6787">
        <v>0</v>
      </c>
      <c r="E6787" t="s">
        <v>6</v>
      </c>
      <c r="F6787">
        <v>0.22409000000000001</v>
      </c>
    </row>
    <row r="6788" spans="1:6" x14ac:dyDescent="0.3">
      <c r="A6788" t="s">
        <v>22</v>
      </c>
      <c r="B6788" s="1">
        <v>45940</v>
      </c>
      <c r="C6788">
        <v>20</v>
      </c>
      <c r="D6788">
        <v>0.20399999999999999</v>
      </c>
      <c r="E6788" t="s">
        <v>6</v>
      </c>
      <c r="F6788">
        <v>0.24448</v>
      </c>
    </row>
    <row r="6789" spans="1:6" x14ac:dyDescent="0.3">
      <c r="A6789" t="s">
        <v>22</v>
      </c>
      <c r="B6789" s="1">
        <v>45940</v>
      </c>
      <c r="C6789">
        <v>21</v>
      </c>
      <c r="D6789">
        <v>0.36199999999999999</v>
      </c>
      <c r="E6789" t="s">
        <v>6</v>
      </c>
      <c r="F6789">
        <v>0.24568999999999999</v>
      </c>
    </row>
    <row r="6790" spans="1:6" x14ac:dyDescent="0.3">
      <c r="A6790" t="s">
        <v>22</v>
      </c>
      <c r="B6790" s="1">
        <v>45940</v>
      </c>
      <c r="C6790">
        <v>22</v>
      </c>
      <c r="D6790">
        <v>0.34399999999999997</v>
      </c>
      <c r="E6790" t="s">
        <v>6</v>
      </c>
      <c r="F6790">
        <v>0.23305999999999999</v>
      </c>
    </row>
    <row r="6791" spans="1:6" x14ac:dyDescent="0.3">
      <c r="A6791" t="s">
        <v>22</v>
      </c>
      <c r="B6791" s="1">
        <v>45940</v>
      </c>
      <c r="C6791">
        <v>23</v>
      </c>
      <c r="D6791">
        <v>0.40500000000000003</v>
      </c>
      <c r="E6791" t="s">
        <v>6</v>
      </c>
      <c r="F6791">
        <v>0.16662000000000002</v>
      </c>
    </row>
    <row r="6792" spans="1:6" x14ac:dyDescent="0.3">
      <c r="A6792" t="s">
        <v>22</v>
      </c>
      <c r="B6792" s="1">
        <v>45940</v>
      </c>
      <c r="C6792">
        <v>24</v>
      </c>
      <c r="D6792">
        <v>0.24399999999999999</v>
      </c>
      <c r="E6792" t="s">
        <v>6</v>
      </c>
      <c r="F6792">
        <v>0.16658000000000001</v>
      </c>
    </row>
    <row r="6793" spans="1:6" x14ac:dyDescent="0.3">
      <c r="A6793" t="s">
        <v>22</v>
      </c>
      <c r="B6793" s="1">
        <v>45941</v>
      </c>
      <c r="C6793">
        <v>1</v>
      </c>
      <c r="D6793">
        <v>0.20799999999999999</v>
      </c>
      <c r="E6793" t="s">
        <v>6</v>
      </c>
      <c r="F6793">
        <v>0.15303999999999998</v>
      </c>
    </row>
    <row r="6794" spans="1:6" x14ac:dyDescent="0.3">
      <c r="A6794" t="s">
        <v>22</v>
      </c>
      <c r="B6794" s="1">
        <v>45941</v>
      </c>
      <c r="C6794">
        <v>2</v>
      </c>
      <c r="D6794">
        <v>0.126</v>
      </c>
      <c r="E6794" t="s">
        <v>6</v>
      </c>
      <c r="F6794">
        <v>0.15250999999999998</v>
      </c>
    </row>
    <row r="6795" spans="1:6" x14ac:dyDescent="0.3">
      <c r="A6795" t="s">
        <v>22</v>
      </c>
      <c r="B6795" s="1">
        <v>45941</v>
      </c>
      <c r="C6795">
        <v>3</v>
      </c>
      <c r="D6795">
        <v>0.17699999999999999</v>
      </c>
      <c r="E6795" t="s">
        <v>6</v>
      </c>
      <c r="F6795">
        <v>0.15328</v>
      </c>
    </row>
    <row r="6796" spans="1:6" x14ac:dyDescent="0.3">
      <c r="A6796" t="s">
        <v>22</v>
      </c>
      <c r="B6796" s="1">
        <v>45941</v>
      </c>
      <c r="C6796">
        <v>4</v>
      </c>
      <c r="D6796">
        <v>0.13400000000000001</v>
      </c>
      <c r="E6796" t="s">
        <v>6</v>
      </c>
      <c r="F6796">
        <v>0.14777999999999999</v>
      </c>
    </row>
    <row r="6797" spans="1:6" x14ac:dyDescent="0.3">
      <c r="A6797" t="s">
        <v>22</v>
      </c>
      <c r="B6797" s="1">
        <v>45941</v>
      </c>
      <c r="C6797">
        <v>5</v>
      </c>
      <c r="D6797">
        <v>0.182</v>
      </c>
      <c r="E6797" t="s">
        <v>6</v>
      </c>
      <c r="F6797">
        <v>0.14756</v>
      </c>
    </row>
    <row r="6798" spans="1:6" x14ac:dyDescent="0.3">
      <c r="A6798" t="s">
        <v>22</v>
      </c>
      <c r="B6798" s="1">
        <v>45941</v>
      </c>
      <c r="C6798">
        <v>6</v>
      </c>
      <c r="D6798">
        <v>0.11899999999999999</v>
      </c>
      <c r="E6798" t="s">
        <v>6</v>
      </c>
      <c r="F6798">
        <v>0.14931</v>
      </c>
    </row>
    <row r="6799" spans="1:6" x14ac:dyDescent="0.3">
      <c r="A6799" t="s">
        <v>22</v>
      </c>
      <c r="B6799" s="1">
        <v>45941</v>
      </c>
      <c r="C6799">
        <v>7</v>
      </c>
      <c r="D6799">
        <v>0.14299999999999999</v>
      </c>
      <c r="E6799" t="s">
        <v>6</v>
      </c>
      <c r="F6799">
        <v>0.14799000000000001</v>
      </c>
    </row>
    <row r="6800" spans="1:6" x14ac:dyDescent="0.3">
      <c r="A6800" t="s">
        <v>22</v>
      </c>
      <c r="B6800" s="1">
        <v>45941</v>
      </c>
      <c r="C6800">
        <v>8</v>
      </c>
      <c r="D6800">
        <v>0.184</v>
      </c>
      <c r="E6800" t="s">
        <v>6</v>
      </c>
      <c r="F6800">
        <v>0.14577000000000001</v>
      </c>
    </row>
    <row r="6801" spans="1:6" x14ac:dyDescent="0.3">
      <c r="A6801" t="s">
        <v>22</v>
      </c>
      <c r="B6801" s="1">
        <v>45941</v>
      </c>
      <c r="C6801">
        <v>9</v>
      </c>
      <c r="D6801">
        <v>0</v>
      </c>
      <c r="E6801" t="s">
        <v>6</v>
      </c>
      <c r="F6801">
        <v>0.14645</v>
      </c>
    </row>
    <row r="6802" spans="1:6" x14ac:dyDescent="0.3">
      <c r="A6802" t="s">
        <v>22</v>
      </c>
      <c r="B6802" s="1">
        <v>45941</v>
      </c>
      <c r="C6802">
        <v>10</v>
      </c>
      <c r="D6802">
        <v>0</v>
      </c>
      <c r="E6802" t="s">
        <v>6</v>
      </c>
      <c r="F6802">
        <v>0.129</v>
      </c>
    </row>
    <row r="6803" spans="1:6" x14ac:dyDescent="0.3">
      <c r="A6803" t="s">
        <v>22</v>
      </c>
      <c r="B6803" s="1">
        <v>45941</v>
      </c>
      <c r="C6803">
        <v>11</v>
      </c>
      <c r="D6803">
        <v>0</v>
      </c>
      <c r="E6803" t="s">
        <v>6</v>
      </c>
      <c r="F6803">
        <v>9.4209999999999988E-2</v>
      </c>
    </row>
    <row r="6804" spans="1:6" x14ac:dyDescent="0.3">
      <c r="A6804" t="s">
        <v>22</v>
      </c>
      <c r="B6804" s="1">
        <v>45941</v>
      </c>
      <c r="C6804">
        <v>12</v>
      </c>
      <c r="D6804">
        <v>0</v>
      </c>
      <c r="E6804" t="s">
        <v>6</v>
      </c>
      <c r="F6804">
        <v>5.7320000000000003E-2</v>
      </c>
    </row>
    <row r="6805" spans="1:6" x14ac:dyDescent="0.3">
      <c r="A6805" t="s">
        <v>22</v>
      </c>
      <c r="B6805" s="1">
        <v>45941</v>
      </c>
      <c r="C6805">
        <v>13</v>
      </c>
      <c r="D6805">
        <v>0</v>
      </c>
      <c r="E6805" t="s">
        <v>6</v>
      </c>
      <c r="F6805">
        <v>4.2599999999999999E-2</v>
      </c>
    </row>
    <row r="6806" spans="1:6" x14ac:dyDescent="0.3">
      <c r="A6806" t="s">
        <v>22</v>
      </c>
      <c r="B6806" s="1">
        <v>45941</v>
      </c>
      <c r="C6806">
        <v>14</v>
      </c>
      <c r="D6806">
        <v>0</v>
      </c>
      <c r="E6806" t="s">
        <v>6</v>
      </c>
      <c r="F6806">
        <v>4.1329999999999999E-2</v>
      </c>
    </row>
    <row r="6807" spans="1:6" x14ac:dyDescent="0.3">
      <c r="A6807" t="s">
        <v>22</v>
      </c>
      <c r="B6807" s="1">
        <v>45941</v>
      </c>
      <c r="C6807">
        <v>15</v>
      </c>
      <c r="D6807">
        <v>0</v>
      </c>
      <c r="E6807" t="s">
        <v>6</v>
      </c>
      <c r="F6807">
        <v>4.0989999999999999E-2</v>
      </c>
    </row>
    <row r="6808" spans="1:6" x14ac:dyDescent="0.3">
      <c r="A6808" t="s">
        <v>22</v>
      </c>
      <c r="B6808" s="1">
        <v>45941</v>
      </c>
      <c r="C6808">
        <v>16</v>
      </c>
      <c r="D6808">
        <v>0</v>
      </c>
      <c r="E6808" t="s">
        <v>6</v>
      </c>
      <c r="F6808">
        <v>4.2189999999999998E-2</v>
      </c>
    </row>
    <row r="6809" spans="1:6" x14ac:dyDescent="0.3">
      <c r="A6809" t="s">
        <v>22</v>
      </c>
      <c r="B6809" s="1">
        <v>45941</v>
      </c>
      <c r="C6809">
        <v>17</v>
      </c>
      <c r="D6809">
        <v>0</v>
      </c>
      <c r="E6809" t="s">
        <v>6</v>
      </c>
      <c r="F6809">
        <v>4.7329999999999997E-2</v>
      </c>
    </row>
    <row r="6810" spans="1:6" x14ac:dyDescent="0.3">
      <c r="A6810" t="s">
        <v>22</v>
      </c>
      <c r="B6810" s="1">
        <v>45941</v>
      </c>
      <c r="C6810">
        <v>18</v>
      </c>
      <c r="D6810">
        <v>0</v>
      </c>
      <c r="E6810" t="s">
        <v>6</v>
      </c>
      <c r="F6810">
        <v>8.5449999999999998E-2</v>
      </c>
    </row>
    <row r="6811" spans="1:6" x14ac:dyDescent="0.3">
      <c r="A6811" t="s">
        <v>22</v>
      </c>
      <c r="B6811" s="1">
        <v>45941</v>
      </c>
      <c r="C6811">
        <v>19</v>
      </c>
      <c r="D6811">
        <v>0.157</v>
      </c>
      <c r="E6811" t="s">
        <v>6</v>
      </c>
      <c r="F6811">
        <v>0.12887999999999999</v>
      </c>
    </row>
    <row r="6812" spans="1:6" x14ac:dyDescent="0.3">
      <c r="A6812" t="s">
        <v>22</v>
      </c>
      <c r="B6812" s="1">
        <v>45941</v>
      </c>
      <c r="C6812">
        <v>20</v>
      </c>
      <c r="D6812">
        <v>0.41099999999999998</v>
      </c>
      <c r="E6812" t="s">
        <v>6</v>
      </c>
      <c r="F6812">
        <v>0.15172999999999998</v>
      </c>
    </row>
    <row r="6813" spans="1:6" x14ac:dyDescent="0.3">
      <c r="A6813" t="s">
        <v>22</v>
      </c>
      <c r="B6813" s="1">
        <v>45941</v>
      </c>
      <c r="C6813">
        <v>21</v>
      </c>
      <c r="D6813">
        <v>0.91900000000000004</v>
      </c>
      <c r="E6813" t="s">
        <v>6</v>
      </c>
      <c r="F6813">
        <v>0.14968999999999999</v>
      </c>
    </row>
    <row r="6814" spans="1:6" x14ac:dyDescent="0.3">
      <c r="A6814" t="s">
        <v>22</v>
      </c>
      <c r="B6814" s="1">
        <v>45941</v>
      </c>
      <c r="C6814">
        <v>22</v>
      </c>
      <c r="D6814">
        <v>0.505</v>
      </c>
      <c r="E6814" t="s">
        <v>6</v>
      </c>
      <c r="F6814">
        <v>0.15231</v>
      </c>
    </row>
    <row r="6815" spans="1:6" x14ac:dyDescent="0.3">
      <c r="A6815" t="s">
        <v>22</v>
      </c>
      <c r="B6815" s="1">
        <v>45941</v>
      </c>
      <c r="C6815">
        <v>23</v>
      </c>
      <c r="D6815">
        <v>0.35</v>
      </c>
      <c r="E6815" t="s">
        <v>6</v>
      </c>
      <c r="F6815">
        <v>0.14674000000000001</v>
      </c>
    </row>
    <row r="6816" spans="1:6" x14ac:dyDescent="0.3">
      <c r="A6816" t="s">
        <v>22</v>
      </c>
      <c r="B6816" s="1">
        <v>45941</v>
      </c>
      <c r="C6816">
        <v>24</v>
      </c>
      <c r="D6816">
        <v>0.18099999999999999</v>
      </c>
      <c r="E6816" t="s">
        <v>6</v>
      </c>
      <c r="F6816">
        <v>0.14498</v>
      </c>
    </row>
    <row r="6817" spans="1:6" x14ac:dyDescent="0.3">
      <c r="A6817" t="s">
        <v>22</v>
      </c>
      <c r="B6817" s="1">
        <v>45942</v>
      </c>
      <c r="C6817">
        <v>1</v>
      </c>
      <c r="D6817">
        <v>0.32400000000000001</v>
      </c>
      <c r="E6817" t="s">
        <v>6</v>
      </c>
      <c r="F6817">
        <v>0.15443999999999999</v>
      </c>
    </row>
    <row r="6818" spans="1:6" x14ac:dyDescent="0.3">
      <c r="A6818" t="s">
        <v>22</v>
      </c>
      <c r="B6818" s="1">
        <v>45942</v>
      </c>
      <c r="C6818">
        <v>2</v>
      </c>
      <c r="D6818">
        <v>1.2529999999999999</v>
      </c>
      <c r="E6818" t="s">
        <v>6</v>
      </c>
      <c r="F6818">
        <v>0.15299000000000001</v>
      </c>
    </row>
    <row r="6819" spans="1:6" x14ac:dyDescent="0.3">
      <c r="A6819" t="s">
        <v>22</v>
      </c>
      <c r="B6819" s="1">
        <v>45942</v>
      </c>
      <c r="C6819">
        <v>3</v>
      </c>
      <c r="D6819">
        <v>0.95599999999999996</v>
      </c>
      <c r="E6819" t="s">
        <v>6</v>
      </c>
      <c r="F6819">
        <v>0.13597000000000001</v>
      </c>
    </row>
    <row r="6820" spans="1:6" x14ac:dyDescent="0.3">
      <c r="A6820" t="s">
        <v>22</v>
      </c>
      <c r="B6820" s="1">
        <v>45942</v>
      </c>
      <c r="C6820">
        <v>4</v>
      </c>
      <c r="D6820">
        <v>1.0329999999999999</v>
      </c>
      <c r="E6820" t="s">
        <v>6</v>
      </c>
      <c r="F6820">
        <v>0.13255</v>
      </c>
    </row>
    <row r="6821" spans="1:6" x14ac:dyDescent="0.3">
      <c r="A6821" t="s">
        <v>22</v>
      </c>
      <c r="B6821" s="1">
        <v>45942</v>
      </c>
      <c r="C6821">
        <v>5</v>
      </c>
      <c r="D6821">
        <v>0.99199999999999999</v>
      </c>
      <c r="E6821" t="s">
        <v>6</v>
      </c>
      <c r="F6821">
        <v>0.1348</v>
      </c>
    </row>
    <row r="6822" spans="1:6" x14ac:dyDescent="0.3">
      <c r="A6822" t="s">
        <v>22</v>
      </c>
      <c r="B6822" s="1">
        <v>45942</v>
      </c>
      <c r="C6822">
        <v>6</v>
      </c>
      <c r="D6822">
        <v>0.88700000000000001</v>
      </c>
      <c r="E6822" t="s">
        <v>6</v>
      </c>
      <c r="F6822">
        <v>0.13555</v>
      </c>
    </row>
    <row r="6823" spans="1:6" x14ac:dyDescent="0.3">
      <c r="A6823" t="s">
        <v>22</v>
      </c>
      <c r="B6823" s="1">
        <v>45942</v>
      </c>
      <c r="C6823">
        <v>7</v>
      </c>
      <c r="D6823">
        <v>0.745</v>
      </c>
      <c r="E6823" t="s">
        <v>6</v>
      </c>
      <c r="F6823">
        <v>0.13299</v>
      </c>
    </row>
    <row r="6824" spans="1:6" x14ac:dyDescent="0.3">
      <c r="A6824" t="s">
        <v>22</v>
      </c>
      <c r="B6824" s="1">
        <v>45942</v>
      </c>
      <c r="C6824">
        <v>8</v>
      </c>
      <c r="D6824">
        <v>0.94299999999999995</v>
      </c>
      <c r="E6824" t="s">
        <v>6</v>
      </c>
      <c r="F6824">
        <v>0.13932</v>
      </c>
    </row>
    <row r="6825" spans="1:6" x14ac:dyDescent="0.3">
      <c r="A6825" t="s">
        <v>22</v>
      </c>
      <c r="B6825" s="1">
        <v>45942</v>
      </c>
      <c r="C6825">
        <v>9</v>
      </c>
      <c r="D6825">
        <v>0.38400000000000001</v>
      </c>
      <c r="E6825" t="s">
        <v>6</v>
      </c>
      <c r="F6825">
        <v>0.14421999999999999</v>
      </c>
    </row>
    <row r="6826" spans="1:6" x14ac:dyDescent="0.3">
      <c r="A6826" t="s">
        <v>22</v>
      </c>
      <c r="B6826" s="1">
        <v>45942</v>
      </c>
      <c r="C6826">
        <v>10</v>
      </c>
      <c r="D6826">
        <v>0</v>
      </c>
      <c r="E6826" t="s">
        <v>6</v>
      </c>
      <c r="F6826">
        <v>0.12007999999999999</v>
      </c>
    </row>
    <row r="6827" spans="1:6" x14ac:dyDescent="0.3">
      <c r="A6827" t="s">
        <v>22</v>
      </c>
      <c r="B6827" s="1">
        <v>45942</v>
      </c>
      <c r="C6827">
        <v>11</v>
      </c>
      <c r="D6827">
        <v>0</v>
      </c>
      <c r="E6827" t="s">
        <v>6</v>
      </c>
      <c r="F6827">
        <v>8.0140000000000003E-2</v>
      </c>
    </row>
    <row r="6828" spans="1:6" x14ac:dyDescent="0.3">
      <c r="A6828" t="s">
        <v>22</v>
      </c>
      <c r="B6828" s="1">
        <v>45942</v>
      </c>
      <c r="C6828">
        <v>12</v>
      </c>
      <c r="D6828">
        <v>0</v>
      </c>
      <c r="E6828" t="s">
        <v>6</v>
      </c>
      <c r="F6828">
        <v>5.4460000000000001E-2</v>
      </c>
    </row>
    <row r="6829" spans="1:6" x14ac:dyDescent="0.3">
      <c r="A6829" t="s">
        <v>22</v>
      </c>
      <c r="B6829" s="1">
        <v>45942</v>
      </c>
      <c r="C6829">
        <v>13</v>
      </c>
      <c r="D6829">
        <v>0</v>
      </c>
      <c r="E6829" t="s">
        <v>6</v>
      </c>
      <c r="F6829">
        <v>5.3499999999999999E-2</v>
      </c>
    </row>
    <row r="6830" spans="1:6" x14ac:dyDescent="0.3">
      <c r="A6830" t="s">
        <v>22</v>
      </c>
      <c r="B6830" s="1">
        <v>45942</v>
      </c>
      <c r="C6830">
        <v>14</v>
      </c>
      <c r="D6830">
        <v>0.55600000000000005</v>
      </c>
      <c r="E6830" t="s">
        <v>6</v>
      </c>
      <c r="F6830">
        <v>5.3969999999999997E-2</v>
      </c>
    </row>
    <row r="6831" spans="1:6" x14ac:dyDescent="0.3">
      <c r="A6831" t="s">
        <v>22</v>
      </c>
      <c r="B6831" s="1">
        <v>45942</v>
      </c>
      <c r="C6831">
        <v>15</v>
      </c>
      <c r="D6831">
        <v>0</v>
      </c>
      <c r="E6831" t="s">
        <v>6</v>
      </c>
      <c r="F6831">
        <v>5.493E-2</v>
      </c>
    </row>
    <row r="6832" spans="1:6" x14ac:dyDescent="0.3">
      <c r="A6832" t="s">
        <v>22</v>
      </c>
      <c r="B6832" s="1">
        <v>45942</v>
      </c>
      <c r="C6832">
        <v>16</v>
      </c>
      <c r="D6832">
        <v>0</v>
      </c>
      <c r="E6832" t="s">
        <v>6</v>
      </c>
      <c r="F6832">
        <v>5.4600000000000003E-2</v>
      </c>
    </row>
    <row r="6833" spans="1:6" x14ac:dyDescent="0.3">
      <c r="A6833" t="s">
        <v>22</v>
      </c>
      <c r="B6833" s="1">
        <v>45942</v>
      </c>
      <c r="C6833">
        <v>17</v>
      </c>
      <c r="D6833">
        <v>0</v>
      </c>
      <c r="E6833" t="s">
        <v>6</v>
      </c>
      <c r="F6833">
        <v>6.2170000000000003E-2</v>
      </c>
    </row>
    <row r="6834" spans="1:6" x14ac:dyDescent="0.3">
      <c r="A6834" t="s">
        <v>22</v>
      </c>
      <c r="B6834" s="1">
        <v>45942</v>
      </c>
      <c r="C6834">
        <v>18</v>
      </c>
      <c r="D6834">
        <v>0</v>
      </c>
      <c r="E6834" t="s">
        <v>6</v>
      </c>
      <c r="F6834">
        <v>9.196E-2</v>
      </c>
    </row>
    <row r="6835" spans="1:6" x14ac:dyDescent="0.3">
      <c r="A6835" t="s">
        <v>22</v>
      </c>
      <c r="B6835" s="1">
        <v>45942</v>
      </c>
      <c r="C6835">
        <v>19</v>
      </c>
      <c r="D6835">
        <v>0.126</v>
      </c>
      <c r="E6835" t="s">
        <v>6</v>
      </c>
      <c r="F6835">
        <v>0.14351</v>
      </c>
    </row>
    <row r="6836" spans="1:6" x14ac:dyDescent="0.3">
      <c r="A6836" t="s">
        <v>22</v>
      </c>
      <c r="B6836" s="1">
        <v>45942</v>
      </c>
      <c r="C6836">
        <v>20</v>
      </c>
      <c r="D6836">
        <v>0.56000000000000005</v>
      </c>
      <c r="E6836" t="s">
        <v>6</v>
      </c>
      <c r="F6836">
        <v>0.15978000000000001</v>
      </c>
    </row>
    <row r="6837" spans="1:6" x14ac:dyDescent="0.3">
      <c r="A6837" t="s">
        <v>22</v>
      </c>
      <c r="B6837" s="1">
        <v>45942</v>
      </c>
      <c r="C6837">
        <v>21</v>
      </c>
      <c r="D6837">
        <v>0.54900000000000004</v>
      </c>
      <c r="E6837" t="s">
        <v>6</v>
      </c>
      <c r="F6837">
        <v>0.16238999999999998</v>
      </c>
    </row>
    <row r="6838" spans="1:6" x14ac:dyDescent="0.3">
      <c r="A6838" t="s">
        <v>22</v>
      </c>
      <c r="B6838" s="1">
        <v>45942</v>
      </c>
      <c r="C6838">
        <v>22</v>
      </c>
      <c r="D6838">
        <v>1.177</v>
      </c>
      <c r="E6838" t="s">
        <v>6</v>
      </c>
      <c r="F6838">
        <v>0.15930000000000002</v>
      </c>
    </row>
    <row r="6839" spans="1:6" x14ac:dyDescent="0.3">
      <c r="A6839" t="s">
        <v>22</v>
      </c>
      <c r="B6839" s="1">
        <v>45942</v>
      </c>
      <c r="C6839">
        <v>23</v>
      </c>
      <c r="D6839">
        <v>0.52700000000000002</v>
      </c>
      <c r="E6839" t="s">
        <v>6</v>
      </c>
      <c r="F6839">
        <v>0.15766999999999998</v>
      </c>
    </row>
    <row r="6840" spans="1:6" x14ac:dyDescent="0.3">
      <c r="A6840" t="s">
        <v>22</v>
      </c>
      <c r="B6840" s="1">
        <v>45942</v>
      </c>
      <c r="C6840">
        <v>24</v>
      </c>
      <c r="D6840">
        <v>0.38100000000000001</v>
      </c>
      <c r="E6840" t="s">
        <v>6</v>
      </c>
      <c r="F6840">
        <v>0.15441999999999997</v>
      </c>
    </row>
    <row r="6841" spans="1:6" x14ac:dyDescent="0.3">
      <c r="A6841" t="s">
        <v>22</v>
      </c>
      <c r="B6841" s="1">
        <v>45943</v>
      </c>
      <c r="C6841">
        <v>1</v>
      </c>
      <c r="D6841">
        <v>0.317</v>
      </c>
      <c r="E6841" t="s">
        <v>6</v>
      </c>
      <c r="F6841">
        <v>0.12768000000000002</v>
      </c>
    </row>
    <row r="6842" spans="1:6" x14ac:dyDescent="0.3">
      <c r="A6842" t="s">
        <v>22</v>
      </c>
      <c r="B6842" s="1">
        <v>45943</v>
      </c>
      <c r="C6842">
        <v>2</v>
      </c>
      <c r="D6842">
        <v>0.19700000000000001</v>
      </c>
      <c r="E6842" t="s">
        <v>6</v>
      </c>
      <c r="F6842">
        <v>0.1201</v>
      </c>
    </row>
    <row r="6843" spans="1:6" x14ac:dyDescent="0.3">
      <c r="A6843" t="s">
        <v>22</v>
      </c>
      <c r="B6843" s="1">
        <v>45943</v>
      </c>
      <c r="C6843">
        <v>3</v>
      </c>
      <c r="D6843">
        <v>0.14399999999999999</v>
      </c>
      <c r="E6843" t="s">
        <v>6</v>
      </c>
      <c r="F6843">
        <v>0.11309000000000001</v>
      </c>
    </row>
    <row r="6844" spans="1:6" x14ac:dyDescent="0.3">
      <c r="A6844" t="s">
        <v>22</v>
      </c>
      <c r="B6844" s="1">
        <v>45943</v>
      </c>
      <c r="C6844">
        <v>4</v>
      </c>
      <c r="D6844">
        <v>0.20599999999999999</v>
      </c>
      <c r="E6844" t="s">
        <v>6</v>
      </c>
      <c r="F6844">
        <v>0.12261</v>
      </c>
    </row>
    <row r="6845" spans="1:6" x14ac:dyDescent="0.3">
      <c r="A6845" t="s">
        <v>22</v>
      </c>
      <c r="B6845" s="1">
        <v>45943</v>
      </c>
      <c r="C6845">
        <v>5</v>
      </c>
      <c r="D6845">
        <v>0.14399999999999999</v>
      </c>
      <c r="E6845" t="s">
        <v>6</v>
      </c>
      <c r="F6845">
        <v>0.12473999999999999</v>
      </c>
    </row>
    <row r="6846" spans="1:6" x14ac:dyDescent="0.3">
      <c r="A6846" t="s">
        <v>22</v>
      </c>
      <c r="B6846" s="1">
        <v>45943</v>
      </c>
      <c r="C6846">
        <v>6</v>
      </c>
      <c r="D6846">
        <v>0.18</v>
      </c>
      <c r="E6846" t="s">
        <v>6</v>
      </c>
      <c r="F6846">
        <v>0.12953999999999999</v>
      </c>
    </row>
    <row r="6847" spans="1:6" x14ac:dyDescent="0.3">
      <c r="A6847" t="s">
        <v>22</v>
      </c>
      <c r="B6847" s="1">
        <v>45943</v>
      </c>
      <c r="C6847">
        <v>7</v>
      </c>
      <c r="D6847">
        <v>0.19900000000000001</v>
      </c>
      <c r="E6847" t="s">
        <v>6</v>
      </c>
      <c r="F6847">
        <v>0.13405</v>
      </c>
    </row>
    <row r="6848" spans="1:6" x14ac:dyDescent="0.3">
      <c r="A6848" t="s">
        <v>22</v>
      </c>
      <c r="B6848" s="1">
        <v>45943</v>
      </c>
      <c r="C6848">
        <v>8</v>
      </c>
      <c r="D6848">
        <v>0.66400000000000003</v>
      </c>
      <c r="E6848" t="s">
        <v>6</v>
      </c>
      <c r="F6848">
        <v>0.13947000000000001</v>
      </c>
    </row>
    <row r="6849" spans="1:6" x14ac:dyDescent="0.3">
      <c r="A6849" t="s">
        <v>22</v>
      </c>
      <c r="B6849" s="1">
        <v>45943</v>
      </c>
      <c r="C6849">
        <v>9</v>
      </c>
      <c r="D6849">
        <v>0</v>
      </c>
      <c r="E6849" t="s">
        <v>6</v>
      </c>
      <c r="F6849">
        <v>0.18103999999999998</v>
      </c>
    </row>
    <row r="6850" spans="1:6" x14ac:dyDescent="0.3">
      <c r="A6850" t="s">
        <v>22</v>
      </c>
      <c r="B6850" s="1">
        <v>45943</v>
      </c>
      <c r="C6850">
        <v>10</v>
      </c>
      <c r="D6850">
        <v>3.1720000000000002</v>
      </c>
      <c r="E6850" t="s">
        <v>6</v>
      </c>
      <c r="F6850">
        <v>0.17055000000000001</v>
      </c>
    </row>
    <row r="6851" spans="1:6" x14ac:dyDescent="0.3">
      <c r="A6851" t="s">
        <v>22</v>
      </c>
      <c r="B6851" s="1">
        <v>45943</v>
      </c>
      <c r="C6851">
        <v>11</v>
      </c>
      <c r="D6851">
        <v>4.157</v>
      </c>
      <c r="E6851" t="s">
        <v>6</v>
      </c>
      <c r="F6851">
        <v>0.21574000000000002</v>
      </c>
    </row>
    <row r="6852" spans="1:6" x14ac:dyDescent="0.3">
      <c r="A6852" t="s">
        <v>22</v>
      </c>
      <c r="B6852" s="1">
        <v>45943</v>
      </c>
      <c r="C6852">
        <v>12</v>
      </c>
      <c r="D6852">
        <v>2.6379999999999999</v>
      </c>
      <c r="E6852" t="s">
        <v>6</v>
      </c>
      <c r="F6852">
        <v>0.19883000000000001</v>
      </c>
    </row>
    <row r="6853" spans="1:6" x14ac:dyDescent="0.3">
      <c r="A6853" t="s">
        <v>22</v>
      </c>
      <c r="B6853" s="1">
        <v>45943</v>
      </c>
      <c r="C6853">
        <v>13</v>
      </c>
      <c r="D6853">
        <v>0</v>
      </c>
      <c r="E6853" t="s">
        <v>6</v>
      </c>
      <c r="F6853">
        <v>0.18687999999999999</v>
      </c>
    </row>
    <row r="6854" spans="1:6" x14ac:dyDescent="0.3">
      <c r="A6854" t="s">
        <v>22</v>
      </c>
      <c r="B6854" s="1">
        <v>45943</v>
      </c>
      <c r="C6854">
        <v>14</v>
      </c>
      <c r="D6854">
        <v>0</v>
      </c>
      <c r="E6854" t="s">
        <v>6</v>
      </c>
      <c r="F6854">
        <v>0.17680999999999999</v>
      </c>
    </row>
    <row r="6855" spans="1:6" x14ac:dyDescent="0.3">
      <c r="A6855" t="s">
        <v>22</v>
      </c>
      <c r="B6855" s="1">
        <v>45943</v>
      </c>
      <c r="C6855">
        <v>15</v>
      </c>
      <c r="D6855">
        <v>0</v>
      </c>
      <c r="E6855" t="s">
        <v>6</v>
      </c>
      <c r="F6855">
        <v>0.11112999999999999</v>
      </c>
    </row>
    <row r="6856" spans="1:6" x14ac:dyDescent="0.3">
      <c r="A6856" t="s">
        <v>22</v>
      </c>
      <c r="B6856" s="1">
        <v>45943</v>
      </c>
      <c r="C6856">
        <v>16</v>
      </c>
      <c r="D6856">
        <v>0.307</v>
      </c>
      <c r="E6856" t="s">
        <v>6</v>
      </c>
      <c r="F6856">
        <v>0.10668999999999999</v>
      </c>
    </row>
    <row r="6857" spans="1:6" x14ac:dyDescent="0.3">
      <c r="A6857" t="s">
        <v>22</v>
      </c>
      <c r="B6857" s="1">
        <v>45943</v>
      </c>
      <c r="C6857">
        <v>17</v>
      </c>
      <c r="D6857">
        <v>0.21</v>
      </c>
      <c r="E6857" t="s">
        <v>6</v>
      </c>
      <c r="F6857">
        <v>0.115</v>
      </c>
    </row>
    <row r="6858" spans="1:6" x14ac:dyDescent="0.3">
      <c r="A6858" t="s">
        <v>22</v>
      </c>
      <c r="B6858" s="1">
        <v>45943</v>
      </c>
      <c r="C6858">
        <v>18</v>
      </c>
      <c r="D6858">
        <v>0</v>
      </c>
      <c r="E6858" t="s">
        <v>6</v>
      </c>
      <c r="F6858">
        <v>0.12709999999999999</v>
      </c>
    </row>
    <row r="6859" spans="1:6" x14ac:dyDescent="0.3">
      <c r="A6859" t="s">
        <v>22</v>
      </c>
      <c r="B6859" s="1">
        <v>45943</v>
      </c>
      <c r="C6859">
        <v>19</v>
      </c>
      <c r="D6859">
        <v>0.45700000000000002</v>
      </c>
      <c r="E6859" t="s">
        <v>6</v>
      </c>
      <c r="F6859">
        <v>0.21462000000000001</v>
      </c>
    </row>
    <row r="6860" spans="1:6" x14ac:dyDescent="0.3">
      <c r="A6860" t="s">
        <v>22</v>
      </c>
      <c r="B6860" s="1">
        <v>45943</v>
      </c>
      <c r="C6860">
        <v>20</v>
      </c>
      <c r="D6860">
        <v>1.133</v>
      </c>
      <c r="E6860" t="s">
        <v>6</v>
      </c>
      <c r="F6860">
        <v>0.25037999999999999</v>
      </c>
    </row>
    <row r="6861" spans="1:6" x14ac:dyDescent="0.3">
      <c r="A6861" t="s">
        <v>22</v>
      </c>
      <c r="B6861" s="1">
        <v>45943</v>
      </c>
      <c r="C6861">
        <v>21</v>
      </c>
      <c r="D6861">
        <v>0.48399999999999999</v>
      </c>
      <c r="E6861" t="s">
        <v>6</v>
      </c>
      <c r="F6861">
        <v>0.28512999999999999</v>
      </c>
    </row>
    <row r="6862" spans="1:6" x14ac:dyDescent="0.3">
      <c r="A6862" t="s">
        <v>22</v>
      </c>
      <c r="B6862" s="1">
        <v>45943</v>
      </c>
      <c r="C6862">
        <v>22</v>
      </c>
      <c r="D6862">
        <v>0.60399999999999998</v>
      </c>
      <c r="E6862" t="s">
        <v>6</v>
      </c>
      <c r="F6862">
        <v>0.28317000000000003</v>
      </c>
    </row>
    <row r="6863" spans="1:6" x14ac:dyDescent="0.3">
      <c r="A6863" t="s">
        <v>22</v>
      </c>
      <c r="B6863" s="1">
        <v>45943</v>
      </c>
      <c r="C6863">
        <v>23</v>
      </c>
      <c r="D6863">
        <v>1.4390000000000001</v>
      </c>
      <c r="E6863" t="s">
        <v>6</v>
      </c>
      <c r="F6863">
        <v>0.18168000000000001</v>
      </c>
    </row>
    <row r="6864" spans="1:6" x14ac:dyDescent="0.3">
      <c r="A6864" t="s">
        <v>22</v>
      </c>
      <c r="B6864" s="1">
        <v>45943</v>
      </c>
      <c r="C6864">
        <v>24</v>
      </c>
      <c r="D6864">
        <v>0.72099999999999997</v>
      </c>
      <c r="E6864" t="s">
        <v>6</v>
      </c>
      <c r="F6864">
        <v>0.16534000000000001</v>
      </c>
    </row>
    <row r="6865" spans="1:6" x14ac:dyDescent="0.3">
      <c r="A6865" t="s">
        <v>22</v>
      </c>
      <c r="B6865" s="1">
        <v>45944</v>
      </c>
      <c r="C6865">
        <v>1</v>
      </c>
      <c r="D6865">
        <v>0.23899999999999999</v>
      </c>
      <c r="E6865" t="s">
        <v>6</v>
      </c>
      <c r="F6865">
        <v>0.13971</v>
      </c>
    </row>
    <row r="6866" spans="1:6" x14ac:dyDescent="0.3">
      <c r="A6866" t="s">
        <v>22</v>
      </c>
      <c r="B6866" s="1">
        <v>45944</v>
      </c>
      <c r="C6866">
        <v>2</v>
      </c>
      <c r="D6866">
        <v>0.218</v>
      </c>
      <c r="E6866" t="s">
        <v>6</v>
      </c>
      <c r="F6866">
        <v>0.13220999999999999</v>
      </c>
    </row>
    <row r="6867" spans="1:6" x14ac:dyDescent="0.3">
      <c r="A6867" t="s">
        <v>22</v>
      </c>
      <c r="B6867" s="1">
        <v>45944</v>
      </c>
      <c r="C6867">
        <v>3</v>
      </c>
      <c r="D6867">
        <v>0.13</v>
      </c>
      <c r="E6867" t="s">
        <v>6</v>
      </c>
      <c r="F6867">
        <v>0.13131999999999999</v>
      </c>
    </row>
    <row r="6868" spans="1:6" x14ac:dyDescent="0.3">
      <c r="A6868" t="s">
        <v>22</v>
      </c>
      <c r="B6868" s="1">
        <v>45944</v>
      </c>
      <c r="C6868">
        <v>4</v>
      </c>
      <c r="D6868">
        <v>0.14299999999999999</v>
      </c>
      <c r="E6868" t="s">
        <v>6</v>
      </c>
      <c r="F6868">
        <v>0.12776999999999999</v>
      </c>
    </row>
    <row r="6869" spans="1:6" x14ac:dyDescent="0.3">
      <c r="A6869" t="s">
        <v>22</v>
      </c>
      <c r="B6869" s="1">
        <v>45944</v>
      </c>
      <c r="C6869">
        <v>5</v>
      </c>
      <c r="D6869">
        <v>0.154</v>
      </c>
      <c r="E6869" t="s">
        <v>6</v>
      </c>
      <c r="F6869">
        <v>0.12806000000000001</v>
      </c>
    </row>
    <row r="6870" spans="1:6" x14ac:dyDescent="0.3">
      <c r="A6870" t="s">
        <v>22</v>
      </c>
      <c r="B6870" s="1">
        <v>45944</v>
      </c>
      <c r="C6870">
        <v>6</v>
      </c>
      <c r="D6870">
        <v>0.14499999999999999</v>
      </c>
      <c r="E6870" t="s">
        <v>6</v>
      </c>
      <c r="F6870">
        <v>0.12887000000000001</v>
      </c>
    </row>
    <row r="6871" spans="1:6" x14ac:dyDescent="0.3">
      <c r="A6871" t="s">
        <v>22</v>
      </c>
      <c r="B6871" s="1">
        <v>45944</v>
      </c>
      <c r="C6871">
        <v>7</v>
      </c>
      <c r="D6871">
        <v>0.23899999999999999</v>
      </c>
      <c r="E6871" t="s">
        <v>6</v>
      </c>
      <c r="F6871">
        <v>0.13756000000000002</v>
      </c>
    </row>
    <row r="6872" spans="1:6" x14ac:dyDescent="0.3">
      <c r="A6872" t="s">
        <v>22</v>
      </c>
      <c r="B6872" s="1">
        <v>45944</v>
      </c>
      <c r="C6872">
        <v>8</v>
      </c>
      <c r="D6872">
        <v>0.873</v>
      </c>
      <c r="E6872" t="s">
        <v>6</v>
      </c>
      <c r="F6872">
        <v>0.14552000000000001</v>
      </c>
    </row>
    <row r="6873" spans="1:6" x14ac:dyDescent="0.3">
      <c r="A6873" t="s">
        <v>22</v>
      </c>
      <c r="B6873" s="1">
        <v>45944</v>
      </c>
      <c r="C6873">
        <v>9</v>
      </c>
      <c r="D6873">
        <v>0.22800000000000001</v>
      </c>
      <c r="E6873" t="s">
        <v>6</v>
      </c>
      <c r="F6873">
        <v>0.21278999999999998</v>
      </c>
    </row>
    <row r="6874" spans="1:6" x14ac:dyDescent="0.3">
      <c r="A6874" t="s">
        <v>22</v>
      </c>
      <c r="B6874" s="1">
        <v>45944</v>
      </c>
      <c r="C6874">
        <v>10</v>
      </c>
      <c r="D6874">
        <v>1.64</v>
      </c>
      <c r="E6874" t="s">
        <v>6</v>
      </c>
      <c r="F6874">
        <v>0.16475000000000001</v>
      </c>
    </row>
    <row r="6875" spans="1:6" x14ac:dyDescent="0.3">
      <c r="A6875" t="s">
        <v>22</v>
      </c>
      <c r="B6875" s="1">
        <v>45944</v>
      </c>
      <c r="C6875">
        <v>11</v>
      </c>
      <c r="D6875">
        <v>0.98</v>
      </c>
      <c r="E6875" t="s">
        <v>6</v>
      </c>
      <c r="F6875">
        <v>0.21153</v>
      </c>
    </row>
    <row r="6876" spans="1:6" x14ac:dyDescent="0.3">
      <c r="A6876" t="s">
        <v>22</v>
      </c>
      <c r="B6876" s="1">
        <v>45944</v>
      </c>
      <c r="C6876">
        <v>12</v>
      </c>
      <c r="D6876">
        <v>0.17100000000000001</v>
      </c>
      <c r="E6876" t="s">
        <v>6</v>
      </c>
      <c r="F6876">
        <v>0.19653999999999999</v>
      </c>
    </row>
    <row r="6877" spans="1:6" x14ac:dyDescent="0.3">
      <c r="A6877" t="s">
        <v>22</v>
      </c>
      <c r="B6877" s="1">
        <v>45944</v>
      </c>
      <c r="C6877">
        <v>13</v>
      </c>
      <c r="D6877">
        <v>0</v>
      </c>
      <c r="E6877" t="s">
        <v>6</v>
      </c>
      <c r="F6877">
        <v>0.18339</v>
      </c>
    </row>
    <row r="6878" spans="1:6" x14ac:dyDescent="0.3">
      <c r="A6878" t="s">
        <v>22</v>
      </c>
      <c r="B6878" s="1">
        <v>45944</v>
      </c>
      <c r="C6878">
        <v>14</v>
      </c>
      <c r="D6878">
        <v>0.23400000000000001</v>
      </c>
      <c r="E6878" t="s">
        <v>6</v>
      </c>
      <c r="F6878">
        <v>0.17085</v>
      </c>
    </row>
    <row r="6879" spans="1:6" x14ac:dyDescent="0.3">
      <c r="A6879" t="s">
        <v>22</v>
      </c>
      <c r="B6879" s="1">
        <v>45944</v>
      </c>
      <c r="C6879">
        <v>15</v>
      </c>
      <c r="D6879">
        <v>2.9319999999999999</v>
      </c>
      <c r="E6879" t="s">
        <v>6</v>
      </c>
      <c r="F6879">
        <v>0.10346999999999999</v>
      </c>
    </row>
    <row r="6880" spans="1:6" x14ac:dyDescent="0.3">
      <c r="A6880" t="s">
        <v>22</v>
      </c>
      <c r="B6880" s="1">
        <v>45944</v>
      </c>
      <c r="C6880">
        <v>16</v>
      </c>
      <c r="D6880">
        <v>2.5649999999999999</v>
      </c>
      <c r="E6880" t="s">
        <v>6</v>
      </c>
      <c r="F6880">
        <v>0.10246</v>
      </c>
    </row>
    <row r="6881" spans="1:6" x14ac:dyDescent="0.3">
      <c r="A6881" t="s">
        <v>22</v>
      </c>
      <c r="B6881" s="1">
        <v>45944</v>
      </c>
      <c r="C6881">
        <v>17</v>
      </c>
      <c r="D6881">
        <v>4</v>
      </c>
      <c r="E6881" t="s">
        <v>6</v>
      </c>
      <c r="F6881">
        <v>0.11123000000000001</v>
      </c>
    </row>
    <row r="6882" spans="1:6" x14ac:dyDescent="0.3">
      <c r="A6882" t="s">
        <v>22</v>
      </c>
      <c r="B6882" s="1">
        <v>45944</v>
      </c>
      <c r="C6882">
        <v>18</v>
      </c>
      <c r="D6882">
        <v>0.39800000000000002</v>
      </c>
      <c r="E6882" t="s">
        <v>6</v>
      </c>
      <c r="F6882">
        <v>0.13247</v>
      </c>
    </row>
    <row r="6883" spans="1:6" x14ac:dyDescent="0.3">
      <c r="A6883" t="s">
        <v>22</v>
      </c>
      <c r="B6883" s="1">
        <v>45944</v>
      </c>
      <c r="C6883">
        <v>19</v>
      </c>
      <c r="D6883">
        <v>0.42</v>
      </c>
      <c r="E6883" t="s">
        <v>6</v>
      </c>
      <c r="F6883">
        <v>0.21981000000000001</v>
      </c>
    </row>
    <row r="6884" spans="1:6" x14ac:dyDescent="0.3">
      <c r="A6884" t="s">
        <v>22</v>
      </c>
      <c r="B6884" s="1">
        <v>45944</v>
      </c>
      <c r="C6884">
        <v>20</v>
      </c>
      <c r="D6884">
        <v>0.26500000000000001</v>
      </c>
      <c r="E6884" t="s">
        <v>6</v>
      </c>
      <c r="F6884">
        <v>0.26177999999999996</v>
      </c>
    </row>
    <row r="6885" spans="1:6" x14ac:dyDescent="0.3">
      <c r="A6885" t="s">
        <v>22</v>
      </c>
      <c r="B6885" s="1">
        <v>45944</v>
      </c>
      <c r="C6885">
        <v>21</v>
      </c>
      <c r="D6885">
        <v>0.68799999999999994</v>
      </c>
      <c r="E6885" t="s">
        <v>6</v>
      </c>
      <c r="F6885">
        <v>0.27750000000000002</v>
      </c>
    </row>
    <row r="6886" spans="1:6" x14ac:dyDescent="0.3">
      <c r="A6886" t="s">
        <v>22</v>
      </c>
      <c r="B6886" s="1">
        <v>45944</v>
      </c>
      <c r="C6886">
        <v>22</v>
      </c>
      <c r="D6886">
        <v>0.48</v>
      </c>
      <c r="E6886" t="s">
        <v>6</v>
      </c>
      <c r="F6886">
        <v>0.25707999999999998</v>
      </c>
    </row>
    <row r="6887" spans="1:6" x14ac:dyDescent="0.3">
      <c r="A6887" t="s">
        <v>22</v>
      </c>
      <c r="B6887" s="1">
        <v>45944</v>
      </c>
      <c r="C6887">
        <v>23</v>
      </c>
      <c r="D6887">
        <v>0.499</v>
      </c>
      <c r="E6887" t="s">
        <v>6</v>
      </c>
      <c r="F6887">
        <v>0.17815</v>
      </c>
    </row>
    <row r="6888" spans="1:6" x14ac:dyDescent="0.3">
      <c r="A6888" t="s">
        <v>22</v>
      </c>
      <c r="B6888" s="1">
        <v>45944</v>
      </c>
      <c r="C6888">
        <v>24</v>
      </c>
      <c r="D6888">
        <v>0.29699999999999999</v>
      </c>
      <c r="E6888" t="s">
        <v>6</v>
      </c>
      <c r="F6888">
        <v>0.15550999999999998</v>
      </c>
    </row>
    <row r="6889" spans="1:6" x14ac:dyDescent="0.3">
      <c r="A6889" t="s">
        <v>22</v>
      </c>
      <c r="B6889" s="1">
        <v>45945</v>
      </c>
      <c r="C6889">
        <v>1</v>
      </c>
      <c r="D6889">
        <v>0.22500000000000001</v>
      </c>
      <c r="E6889" t="s">
        <v>6</v>
      </c>
      <c r="F6889">
        <v>0.13933000000000001</v>
      </c>
    </row>
    <row r="6890" spans="1:6" x14ac:dyDescent="0.3">
      <c r="A6890" t="s">
        <v>22</v>
      </c>
      <c r="B6890" s="1">
        <v>45945</v>
      </c>
      <c r="C6890">
        <v>2</v>
      </c>
      <c r="D6890">
        <v>0.127</v>
      </c>
      <c r="E6890" t="s">
        <v>6</v>
      </c>
      <c r="F6890">
        <v>0.13077</v>
      </c>
    </row>
    <row r="6891" spans="1:6" x14ac:dyDescent="0.3">
      <c r="A6891" t="s">
        <v>22</v>
      </c>
      <c r="B6891" s="1">
        <v>45945</v>
      </c>
      <c r="C6891">
        <v>3</v>
      </c>
      <c r="D6891">
        <v>0.17499999999999999</v>
      </c>
      <c r="E6891" t="s">
        <v>6</v>
      </c>
      <c r="F6891">
        <v>0.12862999999999999</v>
      </c>
    </row>
    <row r="6892" spans="1:6" x14ac:dyDescent="0.3">
      <c r="A6892" t="s">
        <v>22</v>
      </c>
      <c r="B6892" s="1">
        <v>45945</v>
      </c>
      <c r="C6892">
        <v>4</v>
      </c>
      <c r="D6892">
        <v>0.128</v>
      </c>
      <c r="E6892" t="s">
        <v>6</v>
      </c>
      <c r="F6892">
        <v>0.1232</v>
      </c>
    </row>
    <row r="6893" spans="1:6" x14ac:dyDescent="0.3">
      <c r="A6893" t="s">
        <v>22</v>
      </c>
      <c r="B6893" s="1">
        <v>45945</v>
      </c>
      <c r="C6893">
        <v>5</v>
      </c>
      <c r="D6893">
        <v>0.16</v>
      </c>
      <c r="E6893" t="s">
        <v>6</v>
      </c>
      <c r="F6893">
        <v>0.12329000000000001</v>
      </c>
    </row>
    <row r="6894" spans="1:6" x14ac:dyDescent="0.3">
      <c r="A6894" t="s">
        <v>22</v>
      </c>
      <c r="B6894" s="1">
        <v>45945</v>
      </c>
      <c r="C6894">
        <v>6</v>
      </c>
      <c r="D6894">
        <v>0.13100000000000001</v>
      </c>
      <c r="E6894" t="s">
        <v>6</v>
      </c>
      <c r="F6894">
        <v>0.12608</v>
      </c>
    </row>
    <row r="6895" spans="1:6" x14ac:dyDescent="0.3">
      <c r="A6895" t="s">
        <v>22</v>
      </c>
      <c r="B6895" s="1">
        <v>45945</v>
      </c>
      <c r="C6895">
        <v>7</v>
      </c>
      <c r="D6895">
        <v>1.264</v>
      </c>
      <c r="E6895" t="s">
        <v>6</v>
      </c>
      <c r="F6895">
        <v>0.13431999999999999</v>
      </c>
    </row>
    <row r="6896" spans="1:6" x14ac:dyDescent="0.3">
      <c r="A6896" t="s">
        <v>22</v>
      </c>
      <c r="B6896" s="1">
        <v>45945</v>
      </c>
      <c r="C6896">
        <v>8</v>
      </c>
      <c r="D6896">
        <v>1.774</v>
      </c>
      <c r="E6896" t="s">
        <v>6</v>
      </c>
      <c r="F6896">
        <v>0.16358</v>
      </c>
    </row>
    <row r="6897" spans="1:6" x14ac:dyDescent="0.3">
      <c r="A6897" t="s">
        <v>22</v>
      </c>
      <c r="B6897" s="1">
        <v>45945</v>
      </c>
      <c r="C6897">
        <v>9</v>
      </c>
      <c r="D6897">
        <v>1.794</v>
      </c>
      <c r="E6897" t="s">
        <v>6</v>
      </c>
      <c r="F6897">
        <v>0.21246999999999999</v>
      </c>
    </row>
    <row r="6898" spans="1:6" x14ac:dyDescent="0.3">
      <c r="A6898" t="s">
        <v>22</v>
      </c>
      <c r="B6898" s="1">
        <v>45945</v>
      </c>
      <c r="C6898">
        <v>10</v>
      </c>
      <c r="D6898">
        <v>1.7110000000000001</v>
      </c>
      <c r="E6898" t="s">
        <v>6</v>
      </c>
      <c r="F6898">
        <v>0.16381999999999999</v>
      </c>
    </row>
    <row r="6899" spans="1:6" x14ac:dyDescent="0.3">
      <c r="A6899" t="s">
        <v>22</v>
      </c>
      <c r="B6899" s="1">
        <v>45945</v>
      </c>
      <c r="C6899">
        <v>11</v>
      </c>
      <c r="D6899">
        <v>1.2649999999999999</v>
      </c>
      <c r="E6899" t="s">
        <v>6</v>
      </c>
      <c r="F6899">
        <v>0.20724999999999999</v>
      </c>
    </row>
    <row r="6900" spans="1:6" x14ac:dyDescent="0.3">
      <c r="A6900" t="s">
        <v>22</v>
      </c>
      <c r="B6900" s="1">
        <v>45945</v>
      </c>
      <c r="C6900">
        <v>12</v>
      </c>
      <c r="D6900">
        <v>0</v>
      </c>
      <c r="E6900" t="s">
        <v>6</v>
      </c>
      <c r="F6900">
        <v>0.19238999999999998</v>
      </c>
    </row>
    <row r="6901" spans="1:6" x14ac:dyDescent="0.3">
      <c r="A6901" t="s">
        <v>22</v>
      </c>
      <c r="B6901" s="1">
        <v>45945</v>
      </c>
      <c r="C6901">
        <v>13</v>
      </c>
      <c r="D6901">
        <v>0</v>
      </c>
      <c r="E6901" t="s">
        <v>6</v>
      </c>
      <c r="F6901">
        <v>0.17765999999999998</v>
      </c>
    </row>
    <row r="6902" spans="1:6" x14ac:dyDescent="0.3">
      <c r="A6902" t="s">
        <v>22</v>
      </c>
      <c r="B6902" s="1">
        <v>45945</v>
      </c>
      <c r="C6902">
        <v>14</v>
      </c>
      <c r="D6902">
        <v>0.124</v>
      </c>
      <c r="E6902" t="s">
        <v>6</v>
      </c>
      <c r="F6902">
        <v>0.17041000000000001</v>
      </c>
    </row>
    <row r="6903" spans="1:6" x14ac:dyDescent="0.3">
      <c r="A6903" t="s">
        <v>22</v>
      </c>
      <c r="B6903" s="1">
        <v>45945</v>
      </c>
      <c r="C6903">
        <v>15</v>
      </c>
      <c r="D6903">
        <v>0</v>
      </c>
      <c r="E6903" t="s">
        <v>6</v>
      </c>
      <c r="F6903">
        <v>0.10501000000000001</v>
      </c>
    </row>
    <row r="6904" spans="1:6" x14ac:dyDescent="0.3">
      <c r="A6904" t="s">
        <v>22</v>
      </c>
      <c r="B6904" s="1">
        <v>45945</v>
      </c>
      <c r="C6904">
        <v>16</v>
      </c>
      <c r="D6904">
        <v>0</v>
      </c>
      <c r="E6904" t="s">
        <v>6</v>
      </c>
      <c r="F6904">
        <v>0.10537000000000001</v>
      </c>
    </row>
    <row r="6905" spans="1:6" x14ac:dyDescent="0.3">
      <c r="A6905" t="s">
        <v>22</v>
      </c>
      <c r="B6905" s="1">
        <v>45945</v>
      </c>
      <c r="C6905">
        <v>17</v>
      </c>
      <c r="D6905">
        <v>2.4279999999999999</v>
      </c>
      <c r="E6905" t="s">
        <v>6</v>
      </c>
      <c r="F6905">
        <v>0.11697</v>
      </c>
    </row>
    <row r="6906" spans="1:6" x14ac:dyDescent="0.3">
      <c r="A6906" t="s">
        <v>22</v>
      </c>
      <c r="B6906" s="1">
        <v>45945</v>
      </c>
      <c r="C6906">
        <v>18</v>
      </c>
      <c r="D6906">
        <v>4.2610000000000001</v>
      </c>
      <c r="E6906" t="s">
        <v>6</v>
      </c>
      <c r="F6906">
        <v>0.13402</v>
      </c>
    </row>
    <row r="6907" spans="1:6" x14ac:dyDescent="0.3">
      <c r="A6907" t="s">
        <v>22</v>
      </c>
      <c r="B6907" s="1">
        <v>45945</v>
      </c>
      <c r="C6907">
        <v>19</v>
      </c>
      <c r="D6907">
        <v>2.4950000000000001</v>
      </c>
      <c r="E6907" t="s">
        <v>6</v>
      </c>
      <c r="F6907">
        <v>0.22447999999999999</v>
      </c>
    </row>
    <row r="6908" spans="1:6" x14ac:dyDescent="0.3">
      <c r="A6908" t="s">
        <v>22</v>
      </c>
      <c r="B6908" s="1">
        <v>45945</v>
      </c>
      <c r="C6908">
        <v>20</v>
      </c>
      <c r="D6908">
        <v>0.92600000000000005</v>
      </c>
      <c r="E6908" t="s">
        <v>6</v>
      </c>
      <c r="F6908">
        <v>0.27252999999999999</v>
      </c>
    </row>
    <row r="6909" spans="1:6" x14ac:dyDescent="0.3">
      <c r="A6909" t="s">
        <v>22</v>
      </c>
      <c r="B6909" s="1">
        <v>45945</v>
      </c>
      <c r="C6909">
        <v>21</v>
      </c>
      <c r="D6909">
        <v>1.921</v>
      </c>
      <c r="E6909" t="s">
        <v>6</v>
      </c>
      <c r="F6909">
        <v>0.27956999999999999</v>
      </c>
    </row>
    <row r="6910" spans="1:6" x14ac:dyDescent="0.3">
      <c r="A6910" t="s">
        <v>22</v>
      </c>
      <c r="B6910" s="1">
        <v>45945</v>
      </c>
      <c r="C6910">
        <v>22</v>
      </c>
      <c r="D6910">
        <v>1.0609999999999999</v>
      </c>
      <c r="E6910" t="s">
        <v>6</v>
      </c>
      <c r="F6910">
        <v>0.26155</v>
      </c>
    </row>
    <row r="6911" spans="1:6" x14ac:dyDescent="0.3">
      <c r="A6911" t="s">
        <v>22</v>
      </c>
      <c r="B6911" s="1">
        <v>45945</v>
      </c>
      <c r="C6911">
        <v>23</v>
      </c>
      <c r="D6911">
        <v>1.1459999999999999</v>
      </c>
      <c r="E6911" t="s">
        <v>6</v>
      </c>
      <c r="F6911">
        <v>0.16484000000000001</v>
      </c>
    </row>
    <row r="6912" spans="1:6" x14ac:dyDescent="0.3">
      <c r="A6912" t="s">
        <v>22</v>
      </c>
      <c r="B6912" s="1">
        <v>45945</v>
      </c>
      <c r="C6912">
        <v>24</v>
      </c>
      <c r="D6912">
        <v>0.97</v>
      </c>
      <c r="E6912" t="s">
        <v>6</v>
      </c>
      <c r="F6912">
        <v>0.15749000000000002</v>
      </c>
    </row>
    <row r="6913" spans="1:6" x14ac:dyDescent="0.3">
      <c r="A6913" t="s">
        <v>22</v>
      </c>
      <c r="B6913" s="1">
        <v>45946</v>
      </c>
      <c r="C6913">
        <v>1</v>
      </c>
      <c r="D6913">
        <v>0.36699999999999999</v>
      </c>
      <c r="E6913" t="s">
        <v>6</v>
      </c>
      <c r="F6913">
        <v>0.14033000000000001</v>
      </c>
    </row>
    <row r="6914" spans="1:6" x14ac:dyDescent="0.3">
      <c r="A6914" t="s">
        <v>22</v>
      </c>
      <c r="B6914" s="1">
        <v>45946</v>
      </c>
      <c r="C6914">
        <v>2</v>
      </c>
      <c r="D6914">
        <v>0.193</v>
      </c>
      <c r="E6914" t="s">
        <v>6</v>
      </c>
      <c r="F6914">
        <v>0.13181000000000001</v>
      </c>
    </row>
    <row r="6915" spans="1:6" x14ac:dyDescent="0.3">
      <c r="A6915" t="s">
        <v>22</v>
      </c>
      <c r="B6915" s="1">
        <v>45946</v>
      </c>
      <c r="C6915">
        <v>3</v>
      </c>
      <c r="D6915">
        <v>0.14099999999999999</v>
      </c>
      <c r="E6915" t="s">
        <v>6</v>
      </c>
      <c r="F6915">
        <v>0.12903000000000001</v>
      </c>
    </row>
    <row r="6916" spans="1:6" x14ac:dyDescent="0.3">
      <c r="A6916" t="s">
        <v>22</v>
      </c>
      <c r="B6916" s="1">
        <v>45946</v>
      </c>
      <c r="C6916">
        <v>4</v>
      </c>
      <c r="D6916">
        <v>0.17599999999999999</v>
      </c>
      <c r="E6916" t="s">
        <v>6</v>
      </c>
      <c r="F6916">
        <v>0.12433</v>
      </c>
    </row>
    <row r="6917" spans="1:6" x14ac:dyDescent="0.3">
      <c r="A6917" t="s">
        <v>22</v>
      </c>
      <c r="B6917" s="1">
        <v>45946</v>
      </c>
      <c r="C6917">
        <v>5</v>
      </c>
      <c r="D6917">
        <v>0.126</v>
      </c>
      <c r="E6917" t="s">
        <v>6</v>
      </c>
      <c r="F6917">
        <v>0.12404999999999999</v>
      </c>
    </row>
    <row r="6918" spans="1:6" x14ac:dyDescent="0.3">
      <c r="A6918" t="s">
        <v>22</v>
      </c>
      <c r="B6918" s="1">
        <v>45946</v>
      </c>
      <c r="C6918">
        <v>6</v>
      </c>
      <c r="D6918">
        <v>0.17899999999999999</v>
      </c>
      <c r="E6918" t="s">
        <v>6</v>
      </c>
      <c r="F6918">
        <v>0.12484000000000001</v>
      </c>
    </row>
    <row r="6919" spans="1:6" x14ac:dyDescent="0.3">
      <c r="A6919" t="s">
        <v>22</v>
      </c>
      <c r="B6919" s="1">
        <v>45946</v>
      </c>
      <c r="C6919">
        <v>7</v>
      </c>
      <c r="D6919">
        <v>0.188</v>
      </c>
      <c r="E6919" t="s">
        <v>6</v>
      </c>
      <c r="F6919">
        <v>0.13522000000000001</v>
      </c>
    </row>
    <row r="6920" spans="1:6" x14ac:dyDescent="0.3">
      <c r="A6920" t="s">
        <v>22</v>
      </c>
      <c r="B6920" s="1">
        <v>45946</v>
      </c>
      <c r="C6920">
        <v>8</v>
      </c>
      <c r="D6920">
        <v>0.69099999999999995</v>
      </c>
      <c r="E6920" t="s">
        <v>6</v>
      </c>
      <c r="F6920">
        <v>0.1452</v>
      </c>
    </row>
    <row r="6921" spans="1:6" x14ac:dyDescent="0.3">
      <c r="A6921" t="s">
        <v>22</v>
      </c>
      <c r="B6921" s="1">
        <v>45946</v>
      </c>
      <c r="C6921">
        <v>9</v>
      </c>
      <c r="D6921">
        <v>0.32400000000000001</v>
      </c>
      <c r="E6921" t="s">
        <v>6</v>
      </c>
      <c r="F6921">
        <v>0.20513000000000001</v>
      </c>
    </row>
    <row r="6922" spans="1:6" x14ac:dyDescent="0.3">
      <c r="A6922" t="s">
        <v>22</v>
      </c>
      <c r="B6922" s="1">
        <v>45946</v>
      </c>
      <c r="C6922">
        <v>10</v>
      </c>
      <c r="D6922">
        <v>0.64100000000000001</v>
      </c>
      <c r="E6922" t="s">
        <v>6</v>
      </c>
      <c r="F6922">
        <v>0.16635</v>
      </c>
    </row>
    <row r="6923" spans="1:6" x14ac:dyDescent="0.3">
      <c r="A6923" t="s">
        <v>22</v>
      </c>
      <c r="B6923" s="1">
        <v>45946</v>
      </c>
      <c r="C6923">
        <v>11</v>
      </c>
      <c r="D6923">
        <v>1.5629999999999999</v>
      </c>
      <c r="E6923" t="s">
        <v>6</v>
      </c>
      <c r="F6923">
        <v>0.21427000000000002</v>
      </c>
    </row>
    <row r="6924" spans="1:6" x14ac:dyDescent="0.3">
      <c r="A6924" t="s">
        <v>22</v>
      </c>
      <c r="B6924" s="1">
        <v>45946</v>
      </c>
      <c r="C6924">
        <v>12</v>
      </c>
      <c r="D6924">
        <v>1.0840000000000001</v>
      </c>
      <c r="E6924" t="s">
        <v>6</v>
      </c>
      <c r="F6924">
        <v>0.19263</v>
      </c>
    </row>
    <row r="6925" spans="1:6" x14ac:dyDescent="0.3">
      <c r="A6925" t="s">
        <v>22</v>
      </c>
      <c r="B6925" s="1">
        <v>45946</v>
      </c>
      <c r="C6925">
        <v>13</v>
      </c>
      <c r="D6925">
        <v>0.20399999999999999</v>
      </c>
      <c r="E6925" t="s">
        <v>6</v>
      </c>
      <c r="F6925">
        <v>0.18265999999999999</v>
      </c>
    </row>
    <row r="6926" spans="1:6" x14ac:dyDescent="0.3">
      <c r="A6926" t="s">
        <v>22</v>
      </c>
      <c r="B6926" s="1">
        <v>45946</v>
      </c>
      <c r="C6926">
        <v>14</v>
      </c>
      <c r="D6926">
        <v>0</v>
      </c>
      <c r="E6926" t="s">
        <v>6</v>
      </c>
      <c r="F6926">
        <v>0.17477999999999999</v>
      </c>
    </row>
    <row r="6927" spans="1:6" x14ac:dyDescent="0.3">
      <c r="A6927" t="s">
        <v>22</v>
      </c>
      <c r="B6927" s="1">
        <v>45946</v>
      </c>
      <c r="C6927">
        <v>15</v>
      </c>
      <c r="D6927">
        <v>0</v>
      </c>
      <c r="E6927" t="s">
        <v>6</v>
      </c>
      <c r="F6927">
        <v>0.10836</v>
      </c>
    </row>
    <row r="6928" spans="1:6" x14ac:dyDescent="0.3">
      <c r="A6928" t="s">
        <v>22</v>
      </c>
      <c r="B6928" s="1">
        <v>45946</v>
      </c>
      <c r="C6928">
        <v>16</v>
      </c>
      <c r="D6928">
        <v>0</v>
      </c>
      <c r="E6928" t="s">
        <v>6</v>
      </c>
      <c r="F6928">
        <v>0.11012000000000001</v>
      </c>
    </row>
    <row r="6929" spans="1:6" x14ac:dyDescent="0.3">
      <c r="A6929" t="s">
        <v>22</v>
      </c>
      <c r="B6929" s="1">
        <v>45946</v>
      </c>
      <c r="C6929">
        <v>17</v>
      </c>
      <c r="D6929">
        <v>0</v>
      </c>
      <c r="E6929" t="s">
        <v>6</v>
      </c>
      <c r="F6929">
        <v>0.11793000000000001</v>
      </c>
    </row>
    <row r="6930" spans="1:6" x14ac:dyDescent="0.3">
      <c r="A6930" t="s">
        <v>22</v>
      </c>
      <c r="B6930" s="1">
        <v>45946</v>
      </c>
      <c r="C6930">
        <v>18</v>
      </c>
      <c r="D6930">
        <v>0</v>
      </c>
      <c r="E6930" t="s">
        <v>6</v>
      </c>
      <c r="F6930">
        <v>0.13903000000000001</v>
      </c>
    </row>
    <row r="6931" spans="1:6" x14ac:dyDescent="0.3">
      <c r="A6931" t="s">
        <v>22</v>
      </c>
      <c r="B6931" s="1">
        <v>45946</v>
      </c>
      <c r="C6931">
        <v>19</v>
      </c>
      <c r="D6931">
        <v>0.65700000000000003</v>
      </c>
      <c r="E6931" t="s">
        <v>6</v>
      </c>
      <c r="F6931">
        <v>0.22665000000000002</v>
      </c>
    </row>
    <row r="6932" spans="1:6" x14ac:dyDescent="0.3">
      <c r="A6932" t="s">
        <v>22</v>
      </c>
      <c r="B6932" s="1">
        <v>45946</v>
      </c>
      <c r="C6932">
        <v>20</v>
      </c>
      <c r="D6932">
        <v>0.155</v>
      </c>
      <c r="E6932" t="s">
        <v>6</v>
      </c>
      <c r="F6932">
        <v>0.26071</v>
      </c>
    </row>
    <row r="6933" spans="1:6" x14ac:dyDescent="0.3">
      <c r="A6933" t="s">
        <v>22</v>
      </c>
      <c r="B6933" s="1">
        <v>45946</v>
      </c>
      <c r="C6933">
        <v>21</v>
      </c>
      <c r="D6933">
        <v>0.10100000000000001</v>
      </c>
      <c r="E6933" t="s">
        <v>6</v>
      </c>
      <c r="F6933">
        <v>0.26724999999999999</v>
      </c>
    </row>
    <row r="6934" spans="1:6" x14ac:dyDescent="0.3">
      <c r="A6934" t="s">
        <v>22</v>
      </c>
      <c r="B6934" s="1">
        <v>45946</v>
      </c>
      <c r="C6934">
        <v>22</v>
      </c>
      <c r="D6934">
        <v>0.57399999999999995</v>
      </c>
      <c r="E6934" t="s">
        <v>6</v>
      </c>
      <c r="F6934">
        <v>0.25246999999999997</v>
      </c>
    </row>
    <row r="6935" spans="1:6" x14ac:dyDescent="0.3">
      <c r="A6935" t="s">
        <v>22</v>
      </c>
      <c r="B6935" s="1">
        <v>45946</v>
      </c>
      <c r="C6935">
        <v>23</v>
      </c>
      <c r="D6935">
        <v>0.61399999999999999</v>
      </c>
      <c r="E6935" t="s">
        <v>6</v>
      </c>
      <c r="F6935">
        <v>0.17686000000000002</v>
      </c>
    </row>
    <row r="6936" spans="1:6" x14ac:dyDescent="0.3">
      <c r="A6936" t="s">
        <v>22</v>
      </c>
      <c r="B6936" s="1">
        <v>45946</v>
      </c>
      <c r="C6936">
        <v>24</v>
      </c>
      <c r="D6936">
        <v>0.27</v>
      </c>
      <c r="E6936" t="s">
        <v>6</v>
      </c>
      <c r="F6936">
        <v>0.16003999999999999</v>
      </c>
    </row>
    <row r="6937" spans="1:6" x14ac:dyDescent="0.3">
      <c r="A6937" t="s">
        <v>22</v>
      </c>
      <c r="B6937" s="1">
        <v>45947</v>
      </c>
      <c r="C6937">
        <v>1</v>
      </c>
      <c r="D6937">
        <v>0.2</v>
      </c>
      <c r="E6937" t="s">
        <v>6</v>
      </c>
      <c r="F6937">
        <v>0.14890999999999999</v>
      </c>
    </row>
    <row r="6938" spans="1:6" x14ac:dyDescent="0.3">
      <c r="A6938" t="s">
        <v>22</v>
      </c>
      <c r="B6938" s="1">
        <v>45947</v>
      </c>
      <c r="C6938">
        <v>2</v>
      </c>
      <c r="D6938">
        <v>0.14199999999999999</v>
      </c>
      <c r="E6938" t="s">
        <v>6</v>
      </c>
      <c r="F6938">
        <v>0.13336000000000001</v>
      </c>
    </row>
    <row r="6939" spans="1:6" x14ac:dyDescent="0.3">
      <c r="A6939" t="s">
        <v>22</v>
      </c>
      <c r="B6939" s="1">
        <v>45947</v>
      </c>
      <c r="C6939">
        <v>3</v>
      </c>
      <c r="D6939">
        <v>1.3740000000000001</v>
      </c>
      <c r="E6939" t="s">
        <v>6</v>
      </c>
      <c r="F6939">
        <v>0.13097</v>
      </c>
    </row>
    <row r="6940" spans="1:6" x14ac:dyDescent="0.3">
      <c r="A6940" t="s">
        <v>22</v>
      </c>
      <c r="B6940" s="1">
        <v>45947</v>
      </c>
      <c r="C6940">
        <v>4</v>
      </c>
      <c r="D6940">
        <v>1.133</v>
      </c>
      <c r="E6940" t="s">
        <v>6</v>
      </c>
      <c r="F6940">
        <v>0.12594</v>
      </c>
    </row>
    <row r="6941" spans="1:6" x14ac:dyDescent="0.3">
      <c r="A6941" t="s">
        <v>22</v>
      </c>
      <c r="B6941" s="1">
        <v>45947</v>
      </c>
      <c r="C6941">
        <v>5</v>
      </c>
      <c r="D6941">
        <v>0.9</v>
      </c>
      <c r="E6941" t="s">
        <v>6</v>
      </c>
      <c r="F6941">
        <v>0.12534999999999999</v>
      </c>
    </row>
    <row r="6942" spans="1:6" x14ac:dyDescent="0.3">
      <c r="A6942" t="s">
        <v>22</v>
      </c>
      <c r="B6942" s="1">
        <v>45947</v>
      </c>
      <c r="C6942">
        <v>6</v>
      </c>
      <c r="D6942">
        <v>0.98499999999999999</v>
      </c>
      <c r="E6942" t="s">
        <v>6</v>
      </c>
      <c r="F6942">
        <v>0.12706000000000001</v>
      </c>
    </row>
    <row r="6943" spans="1:6" x14ac:dyDescent="0.3">
      <c r="A6943" t="s">
        <v>22</v>
      </c>
      <c r="B6943" s="1">
        <v>45947</v>
      </c>
      <c r="C6943">
        <v>7</v>
      </c>
      <c r="D6943">
        <v>0.88900000000000001</v>
      </c>
      <c r="E6943" t="s">
        <v>6</v>
      </c>
      <c r="F6943">
        <v>0.13797999999999999</v>
      </c>
    </row>
    <row r="6944" spans="1:6" x14ac:dyDescent="0.3">
      <c r="A6944" t="s">
        <v>22</v>
      </c>
      <c r="B6944" s="1">
        <v>45947</v>
      </c>
      <c r="C6944">
        <v>8</v>
      </c>
      <c r="D6944">
        <v>1.1559999999999999</v>
      </c>
      <c r="E6944" t="s">
        <v>6</v>
      </c>
      <c r="F6944">
        <v>0.15583000000000002</v>
      </c>
    </row>
    <row r="6945" spans="1:6" x14ac:dyDescent="0.3">
      <c r="A6945" t="s">
        <v>22</v>
      </c>
      <c r="B6945" s="1">
        <v>45947</v>
      </c>
      <c r="C6945">
        <v>9</v>
      </c>
      <c r="D6945">
        <v>1.4410000000000001</v>
      </c>
      <c r="E6945" t="s">
        <v>6</v>
      </c>
      <c r="F6945">
        <v>0.2127</v>
      </c>
    </row>
    <row r="6946" spans="1:6" x14ac:dyDescent="0.3">
      <c r="A6946" t="s">
        <v>22</v>
      </c>
      <c r="B6946" s="1">
        <v>45947</v>
      </c>
      <c r="C6946">
        <v>10</v>
      </c>
      <c r="D6946">
        <v>1.56</v>
      </c>
      <c r="E6946" t="s">
        <v>6</v>
      </c>
      <c r="F6946">
        <v>0.17219000000000001</v>
      </c>
    </row>
    <row r="6947" spans="1:6" x14ac:dyDescent="0.3">
      <c r="A6947" t="s">
        <v>22</v>
      </c>
      <c r="B6947" s="1">
        <v>45947</v>
      </c>
      <c r="C6947">
        <v>11</v>
      </c>
      <c r="D6947">
        <v>2.5910000000000002</v>
      </c>
      <c r="E6947" t="s">
        <v>6</v>
      </c>
      <c r="F6947">
        <v>0.20793999999999999</v>
      </c>
    </row>
    <row r="6948" spans="1:6" x14ac:dyDescent="0.3">
      <c r="A6948" t="s">
        <v>22</v>
      </c>
      <c r="B6948" s="1">
        <v>45947</v>
      </c>
      <c r="C6948">
        <v>12</v>
      </c>
      <c r="D6948">
        <v>1.0129999999999999</v>
      </c>
      <c r="E6948" t="s">
        <v>6</v>
      </c>
      <c r="F6948">
        <v>0.19269999999999998</v>
      </c>
    </row>
    <row r="6949" spans="1:6" x14ac:dyDescent="0.3">
      <c r="A6949" t="s">
        <v>22</v>
      </c>
      <c r="B6949" s="1">
        <v>45947</v>
      </c>
      <c r="C6949">
        <v>13</v>
      </c>
      <c r="D6949">
        <v>7.3999999999999996E-2</v>
      </c>
      <c r="E6949" t="s">
        <v>6</v>
      </c>
      <c r="F6949">
        <v>0.18403999999999998</v>
      </c>
    </row>
    <row r="6950" spans="1:6" x14ac:dyDescent="0.3">
      <c r="A6950" t="s">
        <v>22</v>
      </c>
      <c r="B6950" s="1">
        <v>45947</v>
      </c>
      <c r="C6950">
        <v>14</v>
      </c>
      <c r="D6950">
        <v>3.31</v>
      </c>
      <c r="E6950" t="s">
        <v>6</v>
      </c>
      <c r="F6950">
        <v>0.16385</v>
      </c>
    </row>
    <row r="6951" spans="1:6" x14ac:dyDescent="0.3">
      <c r="A6951" t="s">
        <v>22</v>
      </c>
      <c r="B6951" s="1">
        <v>45947</v>
      </c>
      <c r="C6951">
        <v>15</v>
      </c>
      <c r="D6951">
        <v>2.6389999999999998</v>
      </c>
      <c r="E6951" t="s">
        <v>6</v>
      </c>
      <c r="F6951">
        <v>8.8219999999999993E-2</v>
      </c>
    </row>
    <row r="6952" spans="1:6" x14ac:dyDescent="0.3">
      <c r="A6952" t="s">
        <v>22</v>
      </c>
      <c r="B6952" s="1">
        <v>45947</v>
      </c>
      <c r="C6952">
        <v>16</v>
      </c>
      <c r="D6952">
        <v>4.149</v>
      </c>
      <c r="E6952" t="s">
        <v>6</v>
      </c>
      <c r="F6952">
        <v>8.5029999999999994E-2</v>
      </c>
    </row>
    <row r="6953" spans="1:6" x14ac:dyDescent="0.3">
      <c r="A6953" t="s">
        <v>22</v>
      </c>
      <c r="B6953" s="1">
        <v>45947</v>
      </c>
      <c r="C6953">
        <v>17</v>
      </c>
      <c r="D6953">
        <v>0.28499999999999998</v>
      </c>
      <c r="E6953" t="s">
        <v>6</v>
      </c>
      <c r="F6953">
        <v>9.912E-2</v>
      </c>
    </row>
    <row r="6954" spans="1:6" x14ac:dyDescent="0.3">
      <c r="A6954" t="s">
        <v>22</v>
      </c>
      <c r="B6954" s="1">
        <v>45947</v>
      </c>
      <c r="C6954">
        <v>18</v>
      </c>
      <c r="D6954">
        <v>0</v>
      </c>
      <c r="E6954" t="s">
        <v>6</v>
      </c>
      <c r="F6954">
        <v>0.14057</v>
      </c>
    </row>
    <row r="6955" spans="1:6" x14ac:dyDescent="0.3">
      <c r="A6955" t="s">
        <v>22</v>
      </c>
      <c r="B6955" s="1">
        <v>45947</v>
      </c>
      <c r="C6955">
        <v>19</v>
      </c>
      <c r="D6955">
        <v>0</v>
      </c>
      <c r="E6955" t="s">
        <v>6</v>
      </c>
      <c r="F6955">
        <v>0.23024</v>
      </c>
    </row>
    <row r="6956" spans="1:6" x14ac:dyDescent="0.3">
      <c r="A6956" t="s">
        <v>22</v>
      </c>
      <c r="B6956" s="1">
        <v>45947</v>
      </c>
      <c r="C6956">
        <v>20</v>
      </c>
      <c r="D6956">
        <v>0.27800000000000002</v>
      </c>
      <c r="E6956" t="s">
        <v>6</v>
      </c>
      <c r="F6956">
        <v>0.25108999999999998</v>
      </c>
    </row>
    <row r="6957" spans="1:6" x14ac:dyDescent="0.3">
      <c r="A6957" t="s">
        <v>22</v>
      </c>
      <c r="B6957" s="1">
        <v>45947</v>
      </c>
      <c r="C6957">
        <v>21</v>
      </c>
      <c r="D6957">
        <v>0.182</v>
      </c>
      <c r="E6957" t="s">
        <v>6</v>
      </c>
      <c r="F6957">
        <v>0.27488000000000001</v>
      </c>
    </row>
    <row r="6958" spans="1:6" x14ac:dyDescent="0.3">
      <c r="A6958" t="s">
        <v>22</v>
      </c>
      <c r="B6958" s="1">
        <v>45947</v>
      </c>
      <c r="C6958">
        <v>22</v>
      </c>
      <c r="D6958">
        <v>0.309</v>
      </c>
      <c r="E6958" t="s">
        <v>6</v>
      </c>
      <c r="F6958">
        <v>0.26067000000000001</v>
      </c>
    </row>
    <row r="6959" spans="1:6" x14ac:dyDescent="0.3">
      <c r="A6959" t="s">
        <v>22</v>
      </c>
      <c r="B6959" s="1">
        <v>45947</v>
      </c>
      <c r="C6959">
        <v>23</v>
      </c>
      <c r="D6959">
        <v>0.41299999999999998</v>
      </c>
      <c r="E6959" t="s">
        <v>6</v>
      </c>
      <c r="F6959">
        <v>0.17499000000000001</v>
      </c>
    </row>
    <row r="6960" spans="1:6" x14ac:dyDescent="0.3">
      <c r="A6960" t="s">
        <v>22</v>
      </c>
      <c r="B6960" s="1">
        <v>45947</v>
      </c>
      <c r="C6960">
        <v>24</v>
      </c>
      <c r="D6960">
        <v>0.23499999999999999</v>
      </c>
      <c r="E6960" t="s">
        <v>6</v>
      </c>
      <c r="F6960">
        <v>0.16974</v>
      </c>
    </row>
    <row r="6961" spans="1:6" x14ac:dyDescent="0.3">
      <c r="A6961" t="s">
        <v>22</v>
      </c>
      <c r="B6961" s="1">
        <v>45948</v>
      </c>
      <c r="C6961">
        <v>1</v>
      </c>
      <c r="D6961">
        <v>0.191</v>
      </c>
      <c r="E6961" t="s">
        <v>6</v>
      </c>
      <c r="F6961">
        <v>0.16857</v>
      </c>
    </row>
    <row r="6962" spans="1:6" x14ac:dyDescent="0.3">
      <c r="A6962" t="s">
        <v>22</v>
      </c>
      <c r="B6962" s="1">
        <v>45948</v>
      </c>
      <c r="C6962">
        <v>2</v>
      </c>
      <c r="D6962">
        <v>0.13400000000000001</v>
      </c>
      <c r="E6962" t="s">
        <v>6</v>
      </c>
      <c r="F6962">
        <v>0.15511000000000003</v>
      </c>
    </row>
    <row r="6963" spans="1:6" x14ac:dyDescent="0.3">
      <c r="A6963" t="s">
        <v>22</v>
      </c>
      <c r="B6963" s="1">
        <v>45948</v>
      </c>
      <c r="C6963">
        <v>3</v>
      </c>
      <c r="D6963">
        <v>0.35799999999999998</v>
      </c>
      <c r="E6963" t="s">
        <v>6</v>
      </c>
      <c r="F6963">
        <v>0.14174999999999999</v>
      </c>
    </row>
    <row r="6964" spans="1:6" x14ac:dyDescent="0.3">
      <c r="A6964" t="s">
        <v>22</v>
      </c>
      <c r="B6964" s="1">
        <v>45948</v>
      </c>
      <c r="C6964">
        <v>4</v>
      </c>
      <c r="D6964">
        <v>1.042</v>
      </c>
      <c r="E6964" t="s">
        <v>6</v>
      </c>
      <c r="F6964">
        <v>0.13916000000000001</v>
      </c>
    </row>
    <row r="6965" spans="1:6" x14ac:dyDescent="0.3">
      <c r="A6965" t="s">
        <v>22</v>
      </c>
      <c r="B6965" s="1">
        <v>45948</v>
      </c>
      <c r="C6965">
        <v>5</v>
      </c>
      <c r="D6965">
        <v>0.57299999999999995</v>
      </c>
      <c r="E6965" t="s">
        <v>6</v>
      </c>
      <c r="F6965">
        <v>0.14077999999999999</v>
      </c>
    </row>
    <row r="6966" spans="1:6" x14ac:dyDescent="0.3">
      <c r="A6966" t="s">
        <v>22</v>
      </c>
      <c r="B6966" s="1">
        <v>45948</v>
      </c>
      <c r="C6966">
        <v>6</v>
      </c>
      <c r="D6966">
        <v>0.90800000000000003</v>
      </c>
      <c r="E6966" t="s">
        <v>6</v>
      </c>
      <c r="F6966">
        <v>0.13521</v>
      </c>
    </row>
    <row r="6967" spans="1:6" x14ac:dyDescent="0.3">
      <c r="A6967" t="s">
        <v>22</v>
      </c>
      <c r="B6967" s="1">
        <v>45948</v>
      </c>
      <c r="C6967">
        <v>7</v>
      </c>
      <c r="D6967">
        <v>0.54</v>
      </c>
      <c r="E6967" t="s">
        <v>6</v>
      </c>
      <c r="F6967">
        <v>0.14102999999999999</v>
      </c>
    </row>
    <row r="6968" spans="1:6" x14ac:dyDescent="0.3">
      <c r="A6968" t="s">
        <v>22</v>
      </c>
      <c r="B6968" s="1">
        <v>45948</v>
      </c>
      <c r="C6968">
        <v>8</v>
      </c>
      <c r="D6968">
        <v>1.1000000000000001</v>
      </c>
      <c r="E6968" t="s">
        <v>6</v>
      </c>
      <c r="F6968">
        <v>0.15302000000000002</v>
      </c>
    </row>
    <row r="6969" spans="1:6" x14ac:dyDescent="0.3">
      <c r="A6969" t="s">
        <v>22</v>
      </c>
      <c r="B6969" s="1">
        <v>45948</v>
      </c>
      <c r="C6969">
        <v>9</v>
      </c>
      <c r="D6969">
        <v>0.95299999999999996</v>
      </c>
      <c r="E6969" t="s">
        <v>6</v>
      </c>
      <c r="F6969">
        <v>0.15637000000000001</v>
      </c>
    </row>
    <row r="6970" spans="1:6" x14ac:dyDescent="0.3">
      <c r="A6970" t="s">
        <v>22</v>
      </c>
      <c r="B6970" s="1">
        <v>45948</v>
      </c>
      <c r="C6970">
        <v>10</v>
      </c>
      <c r="D6970">
        <v>1.3160000000000001</v>
      </c>
      <c r="E6970" t="s">
        <v>6</v>
      </c>
      <c r="F6970">
        <v>0.14708000000000002</v>
      </c>
    </row>
    <row r="6971" spans="1:6" x14ac:dyDescent="0.3">
      <c r="A6971" t="s">
        <v>22</v>
      </c>
      <c r="B6971" s="1">
        <v>45948</v>
      </c>
      <c r="C6971">
        <v>11</v>
      </c>
      <c r="D6971">
        <v>0.91900000000000004</v>
      </c>
      <c r="E6971" t="s">
        <v>6</v>
      </c>
      <c r="F6971">
        <v>0.11388</v>
      </c>
    </row>
    <row r="6972" spans="1:6" x14ac:dyDescent="0.3">
      <c r="A6972" t="s">
        <v>22</v>
      </c>
      <c r="B6972" s="1">
        <v>45948</v>
      </c>
      <c r="C6972">
        <v>12</v>
      </c>
      <c r="D6972">
        <v>0</v>
      </c>
      <c r="E6972" t="s">
        <v>6</v>
      </c>
      <c r="F6972">
        <v>7.3599999999999999E-2</v>
      </c>
    </row>
    <row r="6973" spans="1:6" x14ac:dyDescent="0.3">
      <c r="A6973" t="s">
        <v>22</v>
      </c>
      <c r="B6973" s="1">
        <v>45948</v>
      </c>
      <c r="C6973">
        <v>13</v>
      </c>
      <c r="D6973">
        <v>0</v>
      </c>
      <c r="E6973" t="s">
        <v>6</v>
      </c>
      <c r="F6973">
        <v>5.0659999999999997E-2</v>
      </c>
    </row>
    <row r="6974" spans="1:6" x14ac:dyDescent="0.3">
      <c r="A6974" t="s">
        <v>22</v>
      </c>
      <c r="B6974" s="1">
        <v>45948</v>
      </c>
      <c r="C6974">
        <v>14</v>
      </c>
      <c r="D6974">
        <v>0</v>
      </c>
      <c r="E6974" t="s">
        <v>6</v>
      </c>
      <c r="F6974">
        <v>4.7329999999999997E-2</v>
      </c>
    </row>
    <row r="6975" spans="1:6" x14ac:dyDescent="0.3">
      <c r="A6975" t="s">
        <v>22</v>
      </c>
      <c r="B6975" s="1">
        <v>45948</v>
      </c>
      <c r="C6975">
        <v>15</v>
      </c>
      <c r="D6975">
        <v>0</v>
      </c>
      <c r="E6975" t="s">
        <v>6</v>
      </c>
      <c r="F6975">
        <v>4.4950000000000004E-2</v>
      </c>
    </row>
    <row r="6976" spans="1:6" x14ac:dyDescent="0.3">
      <c r="A6976" t="s">
        <v>22</v>
      </c>
      <c r="B6976" s="1">
        <v>45948</v>
      </c>
      <c r="C6976">
        <v>16</v>
      </c>
      <c r="D6976">
        <v>2.3279999999999998</v>
      </c>
      <c r="E6976" t="s">
        <v>6</v>
      </c>
      <c r="F6976">
        <v>4.3679999999999997E-2</v>
      </c>
    </row>
    <row r="6977" spans="1:6" x14ac:dyDescent="0.3">
      <c r="A6977" t="s">
        <v>22</v>
      </c>
      <c r="B6977" s="1">
        <v>45948</v>
      </c>
      <c r="C6977">
        <v>17</v>
      </c>
      <c r="D6977">
        <v>2.3069999999999999</v>
      </c>
      <c r="E6977" t="s">
        <v>6</v>
      </c>
      <c r="F6977">
        <v>4.8350000000000004E-2</v>
      </c>
    </row>
    <row r="6978" spans="1:6" x14ac:dyDescent="0.3">
      <c r="A6978" t="s">
        <v>22</v>
      </c>
      <c r="B6978" s="1">
        <v>45948</v>
      </c>
      <c r="C6978">
        <v>18</v>
      </c>
      <c r="D6978">
        <v>0</v>
      </c>
      <c r="E6978" t="s">
        <v>6</v>
      </c>
      <c r="F6978">
        <v>9.1730000000000006E-2</v>
      </c>
    </row>
    <row r="6979" spans="1:6" x14ac:dyDescent="0.3">
      <c r="A6979" t="s">
        <v>22</v>
      </c>
      <c r="B6979" s="1">
        <v>45948</v>
      </c>
      <c r="C6979">
        <v>19</v>
      </c>
      <c r="D6979">
        <v>0.19400000000000001</v>
      </c>
      <c r="E6979" t="s">
        <v>6</v>
      </c>
      <c r="F6979">
        <v>0.14044999999999999</v>
      </c>
    </row>
    <row r="6980" spans="1:6" x14ac:dyDescent="0.3">
      <c r="A6980" t="s">
        <v>22</v>
      </c>
      <c r="B6980" s="1">
        <v>45948</v>
      </c>
      <c r="C6980">
        <v>20</v>
      </c>
      <c r="D6980">
        <v>0.54600000000000004</v>
      </c>
      <c r="E6980" t="s">
        <v>6</v>
      </c>
      <c r="F6980">
        <v>0.15249000000000001</v>
      </c>
    </row>
    <row r="6981" spans="1:6" x14ac:dyDescent="0.3">
      <c r="A6981" t="s">
        <v>22</v>
      </c>
      <c r="B6981" s="1">
        <v>45948</v>
      </c>
      <c r="C6981">
        <v>21</v>
      </c>
      <c r="D6981">
        <v>0.18099999999999999</v>
      </c>
      <c r="E6981" t="s">
        <v>6</v>
      </c>
      <c r="F6981">
        <v>0.16193000000000002</v>
      </c>
    </row>
    <row r="6982" spans="1:6" x14ac:dyDescent="0.3">
      <c r="A6982" t="s">
        <v>22</v>
      </c>
      <c r="B6982" s="1">
        <v>45948</v>
      </c>
      <c r="C6982">
        <v>22</v>
      </c>
      <c r="D6982">
        <v>0.627</v>
      </c>
      <c r="E6982" t="s">
        <v>6</v>
      </c>
      <c r="F6982">
        <v>0.15496000000000001</v>
      </c>
    </row>
    <row r="6983" spans="1:6" x14ac:dyDescent="0.3">
      <c r="A6983" t="s">
        <v>22</v>
      </c>
      <c r="B6983" s="1">
        <v>45948</v>
      </c>
      <c r="C6983">
        <v>23</v>
      </c>
      <c r="D6983">
        <v>0.28699999999999998</v>
      </c>
      <c r="E6983" t="s">
        <v>6</v>
      </c>
      <c r="F6983">
        <v>0.14652999999999999</v>
      </c>
    </row>
    <row r="6984" spans="1:6" x14ac:dyDescent="0.3">
      <c r="A6984" t="s">
        <v>22</v>
      </c>
      <c r="B6984" s="1">
        <v>45948</v>
      </c>
      <c r="C6984">
        <v>24</v>
      </c>
      <c r="D6984">
        <v>0.23100000000000001</v>
      </c>
      <c r="E6984" t="s">
        <v>6</v>
      </c>
      <c r="F6984">
        <v>0.1439</v>
      </c>
    </row>
    <row r="6985" spans="1:6" x14ac:dyDescent="0.3">
      <c r="A6985" t="s">
        <v>22</v>
      </c>
      <c r="B6985" s="1">
        <v>45949</v>
      </c>
      <c r="C6985">
        <v>1</v>
      </c>
      <c r="D6985">
        <v>0.14799999999999999</v>
      </c>
      <c r="E6985" t="s">
        <v>6</v>
      </c>
      <c r="F6985">
        <v>0.15633000000000002</v>
      </c>
    </row>
    <row r="6986" spans="1:6" x14ac:dyDescent="0.3">
      <c r="A6986" t="s">
        <v>22</v>
      </c>
      <c r="B6986" s="1">
        <v>45949</v>
      </c>
      <c r="C6986">
        <v>2</v>
      </c>
      <c r="D6986">
        <v>0.17599999999999999</v>
      </c>
      <c r="E6986" t="s">
        <v>6</v>
      </c>
      <c r="F6986">
        <v>0.14429</v>
      </c>
    </row>
    <row r="6987" spans="1:6" x14ac:dyDescent="0.3">
      <c r="A6987" t="s">
        <v>22</v>
      </c>
      <c r="B6987" s="1">
        <v>45949</v>
      </c>
      <c r="C6987">
        <v>3</v>
      </c>
      <c r="D6987">
        <v>0.14499999999999999</v>
      </c>
      <c r="E6987" t="s">
        <v>6</v>
      </c>
      <c r="F6987">
        <v>0.13291</v>
      </c>
    </row>
    <row r="6988" spans="1:6" x14ac:dyDescent="0.3">
      <c r="A6988" t="s">
        <v>22</v>
      </c>
      <c r="B6988" s="1">
        <v>45949</v>
      </c>
      <c r="C6988">
        <v>4</v>
      </c>
      <c r="D6988">
        <v>0.157</v>
      </c>
      <c r="E6988" t="s">
        <v>6</v>
      </c>
      <c r="F6988">
        <v>0.11159000000000001</v>
      </c>
    </row>
    <row r="6989" spans="1:6" x14ac:dyDescent="0.3">
      <c r="A6989" t="s">
        <v>22</v>
      </c>
      <c r="B6989" s="1">
        <v>45949</v>
      </c>
      <c r="C6989">
        <v>5</v>
      </c>
      <c r="D6989">
        <v>0.86799999999999999</v>
      </c>
      <c r="E6989" t="s">
        <v>6</v>
      </c>
      <c r="F6989">
        <v>0.11134999999999999</v>
      </c>
    </row>
    <row r="6990" spans="1:6" x14ac:dyDescent="0.3">
      <c r="A6990" t="s">
        <v>22</v>
      </c>
      <c r="B6990" s="1">
        <v>45949</v>
      </c>
      <c r="C6990">
        <v>6</v>
      </c>
      <c r="D6990">
        <v>0.63600000000000001</v>
      </c>
      <c r="E6990" t="s">
        <v>6</v>
      </c>
      <c r="F6990">
        <v>0.11087000000000001</v>
      </c>
    </row>
    <row r="6991" spans="1:6" x14ac:dyDescent="0.3">
      <c r="A6991" t="s">
        <v>22</v>
      </c>
      <c r="B6991" s="1">
        <v>45949</v>
      </c>
      <c r="C6991">
        <v>7</v>
      </c>
      <c r="D6991">
        <v>0.61299999999999999</v>
      </c>
      <c r="E6991" t="s">
        <v>6</v>
      </c>
      <c r="F6991">
        <v>0.10973000000000001</v>
      </c>
    </row>
    <row r="6992" spans="1:6" x14ac:dyDescent="0.3">
      <c r="A6992" t="s">
        <v>22</v>
      </c>
      <c r="B6992" s="1">
        <v>45949</v>
      </c>
      <c r="C6992">
        <v>8</v>
      </c>
      <c r="D6992">
        <v>0.77500000000000002</v>
      </c>
      <c r="E6992" t="s">
        <v>6</v>
      </c>
      <c r="F6992">
        <v>0.11838</v>
      </c>
    </row>
    <row r="6993" spans="1:6" x14ac:dyDescent="0.3">
      <c r="A6993" t="s">
        <v>22</v>
      </c>
      <c r="B6993" s="1">
        <v>45949</v>
      </c>
      <c r="C6993">
        <v>9</v>
      </c>
      <c r="D6993">
        <v>0.57299999999999995</v>
      </c>
      <c r="E6993" t="s">
        <v>6</v>
      </c>
      <c r="F6993">
        <v>0.13022</v>
      </c>
    </row>
    <row r="6994" spans="1:6" x14ac:dyDescent="0.3">
      <c r="A6994" t="s">
        <v>22</v>
      </c>
      <c r="B6994" s="1">
        <v>45949</v>
      </c>
      <c r="C6994">
        <v>10</v>
      </c>
      <c r="D6994">
        <v>0</v>
      </c>
      <c r="E6994" t="s">
        <v>6</v>
      </c>
      <c r="F6994">
        <v>0.11618000000000001</v>
      </c>
    </row>
    <row r="6995" spans="1:6" x14ac:dyDescent="0.3">
      <c r="A6995" t="s">
        <v>22</v>
      </c>
      <c r="B6995" s="1">
        <v>45949</v>
      </c>
      <c r="C6995">
        <v>11</v>
      </c>
      <c r="D6995">
        <v>0</v>
      </c>
      <c r="E6995" t="s">
        <v>6</v>
      </c>
      <c r="F6995">
        <v>7.9700000000000007E-2</v>
      </c>
    </row>
    <row r="6996" spans="1:6" x14ac:dyDescent="0.3">
      <c r="A6996" t="s">
        <v>22</v>
      </c>
      <c r="B6996" s="1">
        <v>45949</v>
      </c>
      <c r="C6996">
        <v>12</v>
      </c>
      <c r="D6996">
        <v>0</v>
      </c>
      <c r="E6996" t="s">
        <v>6</v>
      </c>
      <c r="F6996">
        <v>7.17E-2</v>
      </c>
    </row>
    <row r="6997" spans="1:6" x14ac:dyDescent="0.3">
      <c r="A6997" t="s">
        <v>22</v>
      </c>
      <c r="B6997" s="1">
        <v>45949</v>
      </c>
      <c r="C6997">
        <v>13</v>
      </c>
      <c r="D6997">
        <v>0</v>
      </c>
      <c r="E6997" t="s">
        <v>6</v>
      </c>
      <c r="F6997">
        <v>6.9540000000000005E-2</v>
      </c>
    </row>
    <row r="6998" spans="1:6" x14ac:dyDescent="0.3">
      <c r="A6998" t="s">
        <v>22</v>
      </c>
      <c r="B6998" s="1">
        <v>45949</v>
      </c>
      <c r="C6998">
        <v>14</v>
      </c>
      <c r="D6998">
        <v>0</v>
      </c>
      <c r="E6998" t="s">
        <v>6</v>
      </c>
      <c r="F6998">
        <v>6.8239999999999995E-2</v>
      </c>
    </row>
    <row r="6999" spans="1:6" x14ac:dyDescent="0.3">
      <c r="A6999" t="s">
        <v>22</v>
      </c>
      <c r="B6999" s="1">
        <v>45949</v>
      </c>
      <c r="C6999">
        <v>15</v>
      </c>
      <c r="D6999">
        <v>0</v>
      </c>
      <c r="E6999" t="s">
        <v>6</v>
      </c>
      <c r="F6999">
        <v>6.8059999999999996E-2</v>
      </c>
    </row>
    <row r="7000" spans="1:6" x14ac:dyDescent="0.3">
      <c r="A7000" t="s">
        <v>22</v>
      </c>
      <c r="B7000" s="1">
        <v>45949</v>
      </c>
      <c r="C7000">
        <v>16</v>
      </c>
      <c r="D7000">
        <v>1.609</v>
      </c>
      <c r="E7000" t="s">
        <v>6</v>
      </c>
      <c r="F7000">
        <v>7.0110000000000006E-2</v>
      </c>
    </row>
    <row r="7001" spans="1:6" x14ac:dyDescent="0.3">
      <c r="A7001" t="s">
        <v>22</v>
      </c>
      <c r="B7001" s="1">
        <v>45949</v>
      </c>
      <c r="C7001">
        <v>17</v>
      </c>
      <c r="D7001">
        <v>0</v>
      </c>
      <c r="E7001" t="s">
        <v>6</v>
      </c>
      <c r="F7001">
        <v>7.1849999999999997E-2</v>
      </c>
    </row>
    <row r="7002" spans="1:6" x14ac:dyDescent="0.3">
      <c r="A7002" t="s">
        <v>22</v>
      </c>
      <c r="B7002" s="1">
        <v>45949</v>
      </c>
      <c r="C7002">
        <v>18</v>
      </c>
      <c r="D7002">
        <v>1.4999999999999999E-2</v>
      </c>
      <c r="E7002" t="s">
        <v>6</v>
      </c>
      <c r="F7002">
        <v>7.9489999999999991E-2</v>
      </c>
    </row>
    <row r="7003" spans="1:6" x14ac:dyDescent="0.3">
      <c r="A7003" t="s">
        <v>22</v>
      </c>
      <c r="B7003" s="1">
        <v>45949</v>
      </c>
      <c r="C7003">
        <v>19</v>
      </c>
      <c r="D7003">
        <v>0.26500000000000001</v>
      </c>
      <c r="E7003" t="s">
        <v>6</v>
      </c>
      <c r="F7003">
        <v>0.1187</v>
      </c>
    </row>
    <row r="7004" spans="1:6" x14ac:dyDescent="0.3">
      <c r="A7004" t="s">
        <v>22</v>
      </c>
      <c r="B7004" s="1">
        <v>45949</v>
      </c>
      <c r="C7004">
        <v>20</v>
      </c>
      <c r="D7004">
        <v>0.78300000000000003</v>
      </c>
      <c r="E7004" t="s">
        <v>6</v>
      </c>
      <c r="F7004">
        <v>0.14230000000000001</v>
      </c>
    </row>
    <row r="7005" spans="1:6" x14ac:dyDescent="0.3">
      <c r="A7005" t="s">
        <v>22</v>
      </c>
      <c r="B7005" s="1">
        <v>45949</v>
      </c>
      <c r="C7005">
        <v>21</v>
      </c>
      <c r="D7005">
        <v>0.49399999999999999</v>
      </c>
      <c r="E7005" t="s">
        <v>6</v>
      </c>
      <c r="F7005">
        <v>0.14068</v>
      </c>
    </row>
    <row r="7006" spans="1:6" x14ac:dyDescent="0.3">
      <c r="A7006" t="s">
        <v>22</v>
      </c>
      <c r="B7006" s="1">
        <v>45949</v>
      </c>
      <c r="C7006">
        <v>22</v>
      </c>
      <c r="D7006">
        <v>0.69</v>
      </c>
      <c r="E7006" t="s">
        <v>6</v>
      </c>
      <c r="F7006">
        <v>0.13275999999999999</v>
      </c>
    </row>
    <row r="7007" spans="1:6" x14ac:dyDescent="0.3">
      <c r="A7007" t="s">
        <v>22</v>
      </c>
      <c r="B7007" s="1">
        <v>45949</v>
      </c>
      <c r="C7007">
        <v>23</v>
      </c>
      <c r="D7007">
        <v>0.5</v>
      </c>
      <c r="E7007" t="s">
        <v>6</v>
      </c>
      <c r="F7007">
        <v>0.11799</v>
      </c>
    </row>
    <row r="7008" spans="1:6" x14ac:dyDescent="0.3">
      <c r="A7008" t="s">
        <v>22</v>
      </c>
      <c r="B7008" s="1">
        <v>45949</v>
      </c>
      <c r="C7008">
        <v>24</v>
      </c>
      <c r="D7008">
        <v>0.308</v>
      </c>
      <c r="E7008" t="s">
        <v>6</v>
      </c>
      <c r="F7008">
        <v>0.10931999999999999</v>
      </c>
    </row>
    <row r="7009" spans="1:6" x14ac:dyDescent="0.3">
      <c r="A7009" t="s">
        <v>22</v>
      </c>
      <c r="B7009" s="1">
        <v>45950</v>
      </c>
      <c r="C7009">
        <v>1</v>
      </c>
      <c r="D7009">
        <v>0.36199999999999999</v>
      </c>
      <c r="E7009" t="s">
        <v>6</v>
      </c>
      <c r="F7009">
        <v>0.11458</v>
      </c>
    </row>
    <row r="7010" spans="1:6" x14ac:dyDescent="0.3">
      <c r="A7010" t="s">
        <v>22</v>
      </c>
      <c r="B7010" s="1">
        <v>45950</v>
      </c>
      <c r="C7010">
        <v>2</v>
      </c>
      <c r="D7010">
        <v>0.27</v>
      </c>
      <c r="E7010" t="s">
        <v>6</v>
      </c>
      <c r="F7010">
        <v>9.7170000000000006E-2</v>
      </c>
    </row>
    <row r="7011" spans="1:6" x14ac:dyDescent="0.3">
      <c r="A7011" t="s">
        <v>22</v>
      </c>
      <c r="B7011" s="1">
        <v>45950</v>
      </c>
      <c r="C7011">
        <v>3</v>
      </c>
      <c r="D7011">
        <v>0.45100000000000001</v>
      </c>
      <c r="E7011" t="s">
        <v>6</v>
      </c>
      <c r="F7011">
        <v>9.572E-2</v>
      </c>
    </row>
    <row r="7012" spans="1:6" x14ac:dyDescent="0.3">
      <c r="A7012" t="s">
        <v>22</v>
      </c>
      <c r="B7012" s="1">
        <v>45950</v>
      </c>
      <c r="C7012">
        <v>4</v>
      </c>
      <c r="D7012">
        <v>0.91700000000000004</v>
      </c>
      <c r="E7012" t="s">
        <v>6</v>
      </c>
      <c r="F7012">
        <v>9.7230000000000011E-2</v>
      </c>
    </row>
    <row r="7013" spans="1:6" x14ac:dyDescent="0.3">
      <c r="A7013" t="s">
        <v>22</v>
      </c>
      <c r="B7013" s="1">
        <v>45950</v>
      </c>
      <c r="C7013">
        <v>5</v>
      </c>
      <c r="D7013">
        <v>0.91600000000000004</v>
      </c>
      <c r="E7013" t="s">
        <v>6</v>
      </c>
      <c r="F7013">
        <v>9.7019999999999995E-2</v>
      </c>
    </row>
    <row r="7014" spans="1:6" x14ac:dyDescent="0.3">
      <c r="A7014" t="s">
        <v>22</v>
      </c>
      <c r="B7014" s="1">
        <v>45950</v>
      </c>
      <c r="C7014">
        <v>6</v>
      </c>
      <c r="D7014">
        <v>0.88400000000000001</v>
      </c>
      <c r="E7014" t="s">
        <v>6</v>
      </c>
      <c r="F7014">
        <v>9.6120000000000011E-2</v>
      </c>
    </row>
    <row r="7015" spans="1:6" x14ac:dyDescent="0.3">
      <c r="A7015" t="s">
        <v>22</v>
      </c>
      <c r="B7015" s="1">
        <v>45950</v>
      </c>
      <c r="C7015">
        <v>7</v>
      </c>
      <c r="D7015">
        <v>1.2130000000000001</v>
      </c>
      <c r="E7015" t="s">
        <v>6</v>
      </c>
      <c r="F7015">
        <v>0.11570999999999999</v>
      </c>
    </row>
    <row r="7016" spans="1:6" x14ac:dyDescent="0.3">
      <c r="A7016" t="s">
        <v>22</v>
      </c>
      <c r="B7016" s="1">
        <v>45950</v>
      </c>
      <c r="C7016">
        <v>8</v>
      </c>
      <c r="D7016">
        <v>1.776</v>
      </c>
      <c r="E7016" t="s">
        <v>6</v>
      </c>
      <c r="F7016">
        <v>0.13572000000000001</v>
      </c>
    </row>
    <row r="7017" spans="1:6" x14ac:dyDescent="0.3">
      <c r="A7017" t="s">
        <v>22</v>
      </c>
      <c r="B7017" s="1">
        <v>45950</v>
      </c>
      <c r="C7017">
        <v>9</v>
      </c>
      <c r="D7017">
        <v>0.84499999999999997</v>
      </c>
      <c r="E7017" t="s">
        <v>6</v>
      </c>
      <c r="F7017">
        <v>0.18678999999999998</v>
      </c>
    </row>
    <row r="7018" spans="1:6" x14ac:dyDescent="0.3">
      <c r="A7018" t="s">
        <v>22</v>
      </c>
      <c r="B7018" s="1">
        <v>45950</v>
      </c>
      <c r="C7018">
        <v>10</v>
      </c>
      <c r="D7018">
        <v>0.83799999999999997</v>
      </c>
      <c r="E7018" t="s">
        <v>6</v>
      </c>
      <c r="F7018">
        <v>0.17243</v>
      </c>
    </row>
    <row r="7019" spans="1:6" x14ac:dyDescent="0.3">
      <c r="A7019" t="s">
        <v>22</v>
      </c>
      <c r="B7019" s="1">
        <v>45950</v>
      </c>
      <c r="C7019">
        <v>11</v>
      </c>
      <c r="D7019">
        <v>0.39200000000000002</v>
      </c>
      <c r="E7019" t="s">
        <v>6</v>
      </c>
      <c r="F7019">
        <v>0.18881000000000001</v>
      </c>
    </row>
    <row r="7020" spans="1:6" x14ac:dyDescent="0.3">
      <c r="A7020" t="s">
        <v>22</v>
      </c>
      <c r="B7020" s="1">
        <v>45950</v>
      </c>
      <c r="C7020">
        <v>12</v>
      </c>
      <c r="D7020">
        <v>0</v>
      </c>
      <c r="E7020" t="s">
        <v>6</v>
      </c>
      <c r="F7020">
        <v>0.16511000000000001</v>
      </c>
    </row>
    <row r="7021" spans="1:6" x14ac:dyDescent="0.3">
      <c r="A7021" t="s">
        <v>22</v>
      </c>
      <c r="B7021" s="1">
        <v>45950</v>
      </c>
      <c r="C7021">
        <v>13</v>
      </c>
      <c r="D7021">
        <v>0</v>
      </c>
      <c r="E7021" t="s">
        <v>6</v>
      </c>
      <c r="F7021">
        <v>0.15392</v>
      </c>
    </row>
    <row r="7022" spans="1:6" x14ac:dyDescent="0.3">
      <c r="A7022" t="s">
        <v>22</v>
      </c>
      <c r="B7022" s="1">
        <v>45950</v>
      </c>
      <c r="C7022">
        <v>14</v>
      </c>
      <c r="D7022">
        <v>0</v>
      </c>
      <c r="E7022" t="s">
        <v>6</v>
      </c>
      <c r="F7022">
        <v>0.15028</v>
      </c>
    </row>
    <row r="7023" spans="1:6" x14ac:dyDescent="0.3">
      <c r="A7023" t="s">
        <v>22</v>
      </c>
      <c r="B7023" s="1">
        <v>45950</v>
      </c>
      <c r="C7023">
        <v>15</v>
      </c>
      <c r="D7023">
        <v>0</v>
      </c>
      <c r="E7023" t="s">
        <v>6</v>
      </c>
      <c r="F7023">
        <v>8.3830000000000002E-2</v>
      </c>
    </row>
    <row r="7024" spans="1:6" x14ac:dyDescent="0.3">
      <c r="A7024" t="s">
        <v>22</v>
      </c>
      <c r="B7024" s="1">
        <v>45950</v>
      </c>
      <c r="C7024">
        <v>16</v>
      </c>
      <c r="D7024">
        <v>1.8819999999999999</v>
      </c>
      <c r="E7024" t="s">
        <v>6</v>
      </c>
      <c r="F7024">
        <v>8.4209999999999993E-2</v>
      </c>
    </row>
    <row r="7025" spans="1:6" x14ac:dyDescent="0.3">
      <c r="A7025" t="s">
        <v>22</v>
      </c>
      <c r="B7025" s="1">
        <v>45950</v>
      </c>
      <c r="C7025">
        <v>17</v>
      </c>
      <c r="D7025">
        <v>4.0679999999999996</v>
      </c>
      <c r="E7025" t="s">
        <v>6</v>
      </c>
      <c r="F7025">
        <v>8.6209999999999995E-2</v>
      </c>
    </row>
    <row r="7026" spans="1:6" x14ac:dyDescent="0.3">
      <c r="A7026" t="s">
        <v>22</v>
      </c>
      <c r="B7026" s="1">
        <v>45950</v>
      </c>
      <c r="C7026">
        <v>18</v>
      </c>
      <c r="D7026">
        <v>3.8420000000000001</v>
      </c>
      <c r="E7026" t="s">
        <v>6</v>
      </c>
      <c r="F7026">
        <v>9.7049999999999997E-2</v>
      </c>
    </row>
    <row r="7027" spans="1:6" x14ac:dyDescent="0.3">
      <c r="A7027" t="s">
        <v>22</v>
      </c>
      <c r="B7027" s="1">
        <v>45950</v>
      </c>
      <c r="C7027">
        <v>19</v>
      </c>
      <c r="D7027">
        <v>1.1519999999999999</v>
      </c>
      <c r="E7027" t="s">
        <v>6</v>
      </c>
      <c r="F7027">
        <v>0.19028</v>
      </c>
    </row>
    <row r="7028" spans="1:6" x14ac:dyDescent="0.3">
      <c r="A7028" t="s">
        <v>22</v>
      </c>
      <c r="B7028" s="1">
        <v>45950</v>
      </c>
      <c r="C7028">
        <v>20</v>
      </c>
      <c r="D7028">
        <v>0.32400000000000001</v>
      </c>
      <c r="E7028" t="s">
        <v>6</v>
      </c>
      <c r="F7028">
        <v>0.23263</v>
      </c>
    </row>
    <row r="7029" spans="1:6" x14ac:dyDescent="0.3">
      <c r="A7029" t="s">
        <v>22</v>
      </c>
      <c r="B7029" s="1">
        <v>45950</v>
      </c>
      <c r="C7029">
        <v>21</v>
      </c>
      <c r="D7029">
        <v>0.85399999999999998</v>
      </c>
      <c r="E7029" t="s">
        <v>6</v>
      </c>
      <c r="F7029">
        <v>0.25295000000000001</v>
      </c>
    </row>
    <row r="7030" spans="1:6" x14ac:dyDescent="0.3">
      <c r="A7030" t="s">
        <v>22</v>
      </c>
      <c r="B7030" s="1">
        <v>45950</v>
      </c>
      <c r="C7030">
        <v>22</v>
      </c>
      <c r="D7030">
        <v>0.66600000000000004</v>
      </c>
      <c r="E7030" t="s">
        <v>6</v>
      </c>
      <c r="F7030">
        <v>0.24132000000000001</v>
      </c>
    </row>
    <row r="7031" spans="1:6" x14ac:dyDescent="0.3">
      <c r="A7031" t="s">
        <v>22</v>
      </c>
      <c r="B7031" s="1">
        <v>45950</v>
      </c>
      <c r="C7031">
        <v>23</v>
      </c>
      <c r="D7031">
        <v>0.51800000000000002</v>
      </c>
      <c r="E7031" t="s">
        <v>6</v>
      </c>
      <c r="F7031">
        <v>0.15086000000000002</v>
      </c>
    </row>
    <row r="7032" spans="1:6" x14ac:dyDescent="0.3">
      <c r="A7032" t="s">
        <v>22</v>
      </c>
      <c r="B7032" s="1">
        <v>45950</v>
      </c>
      <c r="C7032">
        <v>24</v>
      </c>
      <c r="D7032">
        <v>0.30499999999999999</v>
      </c>
      <c r="E7032" t="s">
        <v>6</v>
      </c>
      <c r="F7032">
        <v>0.13186</v>
      </c>
    </row>
    <row r="7033" spans="1:6" x14ac:dyDescent="0.3">
      <c r="A7033" t="s">
        <v>22</v>
      </c>
      <c r="B7033" s="1">
        <v>45951</v>
      </c>
      <c r="C7033">
        <v>1</v>
      </c>
      <c r="D7033">
        <v>0.20499999999999999</v>
      </c>
      <c r="E7033" t="s">
        <v>6</v>
      </c>
      <c r="F7033">
        <v>0.10281</v>
      </c>
    </row>
    <row r="7034" spans="1:6" x14ac:dyDescent="0.3">
      <c r="A7034" t="s">
        <v>22</v>
      </c>
      <c r="B7034" s="1">
        <v>45951</v>
      </c>
      <c r="C7034">
        <v>2</v>
      </c>
      <c r="D7034">
        <v>0.21</v>
      </c>
      <c r="E7034" t="s">
        <v>6</v>
      </c>
      <c r="F7034">
        <v>9.1980000000000006E-2</v>
      </c>
    </row>
    <row r="7035" spans="1:6" x14ac:dyDescent="0.3">
      <c r="A7035" t="s">
        <v>22</v>
      </c>
      <c r="B7035" s="1">
        <v>45951</v>
      </c>
      <c r="C7035">
        <v>3</v>
      </c>
      <c r="D7035">
        <v>0.156</v>
      </c>
      <c r="E7035" t="s">
        <v>6</v>
      </c>
      <c r="F7035">
        <v>8.1540000000000001E-2</v>
      </c>
    </row>
    <row r="7036" spans="1:6" x14ac:dyDescent="0.3">
      <c r="A7036" t="s">
        <v>22</v>
      </c>
      <c r="B7036" s="1">
        <v>45951</v>
      </c>
      <c r="C7036">
        <v>4</v>
      </c>
      <c r="D7036">
        <v>0.33400000000000002</v>
      </c>
      <c r="E7036" t="s">
        <v>6</v>
      </c>
      <c r="F7036">
        <v>7.6340000000000005E-2</v>
      </c>
    </row>
    <row r="7037" spans="1:6" x14ac:dyDescent="0.3">
      <c r="A7037" t="s">
        <v>22</v>
      </c>
      <c r="B7037" s="1">
        <v>45951</v>
      </c>
      <c r="C7037">
        <v>5</v>
      </c>
      <c r="D7037">
        <v>1.752</v>
      </c>
      <c r="E7037" t="s">
        <v>6</v>
      </c>
      <c r="F7037">
        <v>7.954E-2</v>
      </c>
    </row>
    <row r="7038" spans="1:6" x14ac:dyDescent="0.3">
      <c r="A7038" t="s">
        <v>22</v>
      </c>
      <c r="B7038" s="1">
        <v>45951</v>
      </c>
      <c r="C7038">
        <v>6</v>
      </c>
      <c r="D7038">
        <v>1.163</v>
      </c>
      <c r="E7038" t="s">
        <v>6</v>
      </c>
      <c r="F7038">
        <v>8.3150000000000002E-2</v>
      </c>
    </row>
    <row r="7039" spans="1:6" x14ac:dyDescent="0.3">
      <c r="A7039" t="s">
        <v>22</v>
      </c>
      <c r="B7039" s="1">
        <v>45951</v>
      </c>
      <c r="C7039">
        <v>7</v>
      </c>
      <c r="D7039">
        <v>1.169</v>
      </c>
      <c r="E7039" t="s">
        <v>6</v>
      </c>
      <c r="F7039">
        <v>9.8409999999999997E-2</v>
      </c>
    </row>
    <row r="7040" spans="1:6" x14ac:dyDescent="0.3">
      <c r="A7040" t="s">
        <v>22</v>
      </c>
      <c r="B7040" s="1">
        <v>45951</v>
      </c>
      <c r="C7040">
        <v>8</v>
      </c>
      <c r="D7040">
        <v>2.2429999999999999</v>
      </c>
      <c r="E7040" t="s">
        <v>6</v>
      </c>
      <c r="F7040">
        <v>0.12156</v>
      </c>
    </row>
    <row r="7041" spans="1:6" x14ac:dyDescent="0.3">
      <c r="A7041" t="s">
        <v>22</v>
      </c>
      <c r="B7041" s="1">
        <v>45951</v>
      </c>
      <c r="C7041">
        <v>9</v>
      </c>
      <c r="D7041">
        <v>2.1640000000000001</v>
      </c>
      <c r="E7041" t="s">
        <v>6</v>
      </c>
      <c r="F7041">
        <v>0.18487999999999999</v>
      </c>
    </row>
    <row r="7042" spans="1:6" x14ac:dyDescent="0.3">
      <c r="A7042" t="s">
        <v>22</v>
      </c>
      <c r="B7042" s="1">
        <v>45951</v>
      </c>
      <c r="C7042">
        <v>10</v>
      </c>
      <c r="D7042">
        <v>0.60399999999999998</v>
      </c>
      <c r="E7042" t="s">
        <v>6</v>
      </c>
      <c r="F7042">
        <v>0.16536000000000001</v>
      </c>
    </row>
    <row r="7043" spans="1:6" x14ac:dyDescent="0.3">
      <c r="A7043" t="s">
        <v>22</v>
      </c>
      <c r="B7043" s="1">
        <v>45951</v>
      </c>
      <c r="C7043">
        <v>11</v>
      </c>
      <c r="D7043">
        <v>0</v>
      </c>
      <c r="E7043" t="s">
        <v>6</v>
      </c>
      <c r="F7043">
        <v>0.19518000000000002</v>
      </c>
    </row>
    <row r="7044" spans="1:6" x14ac:dyDescent="0.3">
      <c r="A7044" t="s">
        <v>22</v>
      </c>
      <c r="B7044" s="1">
        <v>45951</v>
      </c>
      <c r="C7044">
        <v>12</v>
      </c>
      <c r="D7044">
        <v>0</v>
      </c>
      <c r="E7044" t="s">
        <v>6</v>
      </c>
      <c r="F7044">
        <v>0.17175000000000001</v>
      </c>
    </row>
    <row r="7045" spans="1:6" x14ac:dyDescent="0.3">
      <c r="A7045" t="s">
        <v>22</v>
      </c>
      <c r="B7045" s="1">
        <v>45951</v>
      </c>
      <c r="C7045">
        <v>13</v>
      </c>
      <c r="D7045">
        <v>0</v>
      </c>
      <c r="E7045" t="s">
        <v>6</v>
      </c>
      <c r="F7045">
        <v>0.15675999999999998</v>
      </c>
    </row>
    <row r="7046" spans="1:6" x14ac:dyDescent="0.3">
      <c r="A7046" t="s">
        <v>22</v>
      </c>
      <c r="B7046" s="1">
        <v>45951</v>
      </c>
      <c r="C7046">
        <v>14</v>
      </c>
      <c r="D7046">
        <v>0</v>
      </c>
      <c r="E7046" t="s">
        <v>6</v>
      </c>
      <c r="F7046">
        <v>0.15153</v>
      </c>
    </row>
    <row r="7047" spans="1:6" x14ac:dyDescent="0.3">
      <c r="A7047" t="s">
        <v>22</v>
      </c>
      <c r="B7047" s="1">
        <v>45951</v>
      </c>
      <c r="C7047">
        <v>15</v>
      </c>
      <c r="D7047">
        <v>0</v>
      </c>
      <c r="E7047" t="s">
        <v>6</v>
      </c>
      <c r="F7047">
        <v>8.7050000000000002E-2</v>
      </c>
    </row>
    <row r="7048" spans="1:6" x14ac:dyDescent="0.3">
      <c r="A7048" t="s">
        <v>22</v>
      </c>
      <c r="B7048" s="1">
        <v>45951</v>
      </c>
      <c r="C7048">
        <v>16</v>
      </c>
      <c r="D7048">
        <v>0</v>
      </c>
      <c r="E7048" t="s">
        <v>6</v>
      </c>
      <c r="F7048">
        <v>8.6489999999999997E-2</v>
      </c>
    </row>
    <row r="7049" spans="1:6" x14ac:dyDescent="0.3">
      <c r="A7049" t="s">
        <v>22</v>
      </c>
      <c r="B7049" s="1">
        <v>45951</v>
      </c>
      <c r="C7049">
        <v>17</v>
      </c>
      <c r="D7049">
        <v>0</v>
      </c>
      <c r="E7049" t="s">
        <v>6</v>
      </c>
      <c r="F7049">
        <v>8.8270000000000001E-2</v>
      </c>
    </row>
    <row r="7050" spans="1:6" x14ac:dyDescent="0.3">
      <c r="A7050" t="s">
        <v>22</v>
      </c>
      <c r="B7050" s="1">
        <v>45951</v>
      </c>
      <c r="C7050">
        <v>18</v>
      </c>
      <c r="D7050">
        <v>0</v>
      </c>
      <c r="E7050" t="s">
        <v>6</v>
      </c>
      <c r="F7050">
        <v>0.10031</v>
      </c>
    </row>
    <row r="7051" spans="1:6" x14ac:dyDescent="0.3">
      <c r="A7051" t="s">
        <v>22</v>
      </c>
      <c r="B7051" s="1">
        <v>45951</v>
      </c>
      <c r="C7051">
        <v>19</v>
      </c>
      <c r="D7051">
        <v>0.51100000000000001</v>
      </c>
      <c r="E7051" t="s">
        <v>6</v>
      </c>
      <c r="F7051">
        <v>0.20338999999999999</v>
      </c>
    </row>
    <row r="7052" spans="1:6" x14ac:dyDescent="0.3">
      <c r="A7052" t="s">
        <v>22</v>
      </c>
      <c r="B7052" s="1">
        <v>45951</v>
      </c>
      <c r="C7052">
        <v>20</v>
      </c>
      <c r="D7052">
        <v>0.93300000000000005</v>
      </c>
      <c r="E7052" t="s">
        <v>6</v>
      </c>
      <c r="F7052">
        <v>0.22988</v>
      </c>
    </row>
    <row r="7053" spans="1:6" x14ac:dyDescent="0.3">
      <c r="A7053" t="s">
        <v>22</v>
      </c>
      <c r="B7053" s="1">
        <v>45951</v>
      </c>
      <c r="C7053">
        <v>21</v>
      </c>
      <c r="D7053">
        <v>1.129</v>
      </c>
      <c r="E7053" t="s">
        <v>6</v>
      </c>
      <c r="F7053">
        <v>0.25183</v>
      </c>
    </row>
    <row r="7054" spans="1:6" x14ac:dyDescent="0.3">
      <c r="A7054" t="s">
        <v>22</v>
      </c>
      <c r="B7054" s="1">
        <v>45951</v>
      </c>
      <c r="C7054">
        <v>22</v>
      </c>
      <c r="D7054">
        <v>2.5390000000000001</v>
      </c>
      <c r="E7054" t="s">
        <v>6</v>
      </c>
      <c r="F7054">
        <v>0.23130000000000001</v>
      </c>
    </row>
    <row r="7055" spans="1:6" x14ac:dyDescent="0.3">
      <c r="A7055" t="s">
        <v>22</v>
      </c>
      <c r="B7055" s="1">
        <v>45951</v>
      </c>
      <c r="C7055">
        <v>23</v>
      </c>
      <c r="D7055">
        <v>1.044</v>
      </c>
      <c r="E7055" t="s">
        <v>6</v>
      </c>
      <c r="F7055">
        <v>0.1658</v>
      </c>
    </row>
    <row r="7056" spans="1:6" x14ac:dyDescent="0.3">
      <c r="A7056" t="s">
        <v>22</v>
      </c>
      <c r="B7056" s="1">
        <v>45951</v>
      </c>
      <c r="C7056">
        <v>24</v>
      </c>
      <c r="D7056">
        <v>0.76</v>
      </c>
      <c r="E7056" t="s">
        <v>6</v>
      </c>
      <c r="F7056">
        <v>0.13897000000000001</v>
      </c>
    </row>
    <row r="7057" spans="1:6" x14ac:dyDescent="0.3">
      <c r="A7057" t="s">
        <v>22</v>
      </c>
      <c r="B7057" s="1">
        <v>45952</v>
      </c>
      <c r="C7057">
        <v>1</v>
      </c>
      <c r="D7057">
        <v>0.96899999999999997</v>
      </c>
      <c r="E7057" t="s">
        <v>6</v>
      </c>
      <c r="F7057">
        <v>0.11287</v>
      </c>
    </row>
    <row r="7058" spans="1:6" x14ac:dyDescent="0.3">
      <c r="A7058" t="s">
        <v>22</v>
      </c>
      <c r="B7058" s="1">
        <v>45952</v>
      </c>
      <c r="C7058">
        <v>2</v>
      </c>
      <c r="D7058">
        <v>0.81799999999999995</v>
      </c>
      <c r="E7058" t="s">
        <v>6</v>
      </c>
      <c r="F7058">
        <v>0.1076</v>
      </c>
    </row>
    <row r="7059" spans="1:6" x14ac:dyDescent="0.3">
      <c r="A7059" t="s">
        <v>22</v>
      </c>
      <c r="B7059" s="1">
        <v>45952</v>
      </c>
      <c r="C7059">
        <v>3</v>
      </c>
      <c r="D7059">
        <v>0.502</v>
      </c>
      <c r="E7059" t="s">
        <v>6</v>
      </c>
      <c r="F7059">
        <v>0.10638</v>
      </c>
    </row>
    <row r="7060" spans="1:6" x14ac:dyDescent="0.3">
      <c r="A7060" t="s">
        <v>22</v>
      </c>
      <c r="B7060" s="1">
        <v>45952</v>
      </c>
      <c r="C7060">
        <v>4</v>
      </c>
      <c r="D7060">
        <v>0.89300000000000002</v>
      </c>
      <c r="E7060" t="s">
        <v>6</v>
      </c>
      <c r="F7060">
        <v>9.9670000000000009E-2</v>
      </c>
    </row>
    <row r="7061" spans="1:6" x14ac:dyDescent="0.3">
      <c r="A7061" t="s">
        <v>22</v>
      </c>
      <c r="B7061" s="1">
        <v>45952</v>
      </c>
      <c r="C7061">
        <v>5</v>
      </c>
      <c r="D7061">
        <v>0.53900000000000003</v>
      </c>
      <c r="E7061" t="s">
        <v>6</v>
      </c>
      <c r="F7061">
        <v>0.10008</v>
      </c>
    </row>
    <row r="7062" spans="1:6" x14ac:dyDescent="0.3">
      <c r="A7062" t="s">
        <v>22</v>
      </c>
      <c r="B7062" s="1">
        <v>45952</v>
      </c>
      <c r="C7062">
        <v>6</v>
      </c>
      <c r="D7062">
        <v>0.96199999999999997</v>
      </c>
      <c r="E7062" t="s">
        <v>6</v>
      </c>
      <c r="F7062">
        <v>0.1028</v>
      </c>
    </row>
    <row r="7063" spans="1:6" x14ac:dyDescent="0.3">
      <c r="A7063" t="s">
        <v>22</v>
      </c>
      <c r="B7063" s="1">
        <v>45952</v>
      </c>
      <c r="C7063">
        <v>7</v>
      </c>
      <c r="D7063">
        <v>0.72699999999999998</v>
      </c>
      <c r="E7063" t="s">
        <v>6</v>
      </c>
      <c r="F7063">
        <v>0.11451</v>
      </c>
    </row>
    <row r="7064" spans="1:6" x14ac:dyDescent="0.3">
      <c r="A7064" t="s">
        <v>22</v>
      </c>
      <c r="B7064" s="1">
        <v>45952</v>
      </c>
      <c r="C7064">
        <v>8</v>
      </c>
      <c r="D7064">
        <v>1.054</v>
      </c>
      <c r="E7064" t="s">
        <v>6</v>
      </c>
      <c r="F7064">
        <v>0.12224</v>
      </c>
    </row>
    <row r="7065" spans="1:6" x14ac:dyDescent="0.3">
      <c r="A7065" t="s">
        <v>22</v>
      </c>
      <c r="B7065" s="1">
        <v>45952</v>
      </c>
      <c r="C7065">
        <v>9</v>
      </c>
      <c r="D7065">
        <v>1.7709999999999999</v>
      </c>
      <c r="E7065" t="s">
        <v>6</v>
      </c>
      <c r="F7065">
        <v>0.17013</v>
      </c>
    </row>
    <row r="7066" spans="1:6" x14ac:dyDescent="0.3">
      <c r="A7066" t="s">
        <v>22</v>
      </c>
      <c r="B7066" s="1">
        <v>45952</v>
      </c>
      <c r="C7066">
        <v>10</v>
      </c>
      <c r="D7066">
        <v>4.0510000000000002</v>
      </c>
      <c r="E7066" t="s">
        <v>6</v>
      </c>
      <c r="F7066">
        <v>0.13938</v>
      </c>
    </row>
    <row r="7067" spans="1:6" x14ac:dyDescent="0.3">
      <c r="A7067" t="s">
        <v>22</v>
      </c>
      <c r="B7067" s="1">
        <v>45952</v>
      </c>
      <c r="C7067">
        <v>11</v>
      </c>
      <c r="D7067">
        <v>0.157</v>
      </c>
      <c r="E7067" t="s">
        <v>6</v>
      </c>
      <c r="F7067">
        <v>0.17418</v>
      </c>
    </row>
    <row r="7068" spans="1:6" x14ac:dyDescent="0.3">
      <c r="A7068" t="s">
        <v>22</v>
      </c>
      <c r="B7068" s="1">
        <v>45952</v>
      </c>
      <c r="C7068">
        <v>12</v>
      </c>
      <c r="D7068">
        <v>1.258</v>
      </c>
      <c r="E7068" t="s">
        <v>6</v>
      </c>
      <c r="F7068">
        <v>0.16463</v>
      </c>
    </row>
    <row r="7069" spans="1:6" x14ac:dyDescent="0.3">
      <c r="A7069" t="s">
        <v>22</v>
      </c>
      <c r="B7069" s="1">
        <v>45952</v>
      </c>
      <c r="C7069">
        <v>13</v>
      </c>
      <c r="D7069">
        <v>1.403</v>
      </c>
      <c r="E7069" t="s">
        <v>6</v>
      </c>
      <c r="F7069">
        <v>0.16258</v>
      </c>
    </row>
    <row r="7070" spans="1:6" x14ac:dyDescent="0.3">
      <c r="A7070" t="s">
        <v>22</v>
      </c>
      <c r="B7070" s="1">
        <v>45952</v>
      </c>
      <c r="C7070">
        <v>14</v>
      </c>
      <c r="D7070">
        <v>0</v>
      </c>
      <c r="E7070" t="s">
        <v>6</v>
      </c>
      <c r="F7070">
        <v>0.16028999999999999</v>
      </c>
    </row>
    <row r="7071" spans="1:6" x14ac:dyDescent="0.3">
      <c r="A7071" t="s">
        <v>22</v>
      </c>
      <c r="B7071" s="1">
        <v>45952</v>
      </c>
      <c r="C7071">
        <v>15</v>
      </c>
      <c r="D7071">
        <v>0</v>
      </c>
      <c r="E7071" t="s">
        <v>6</v>
      </c>
      <c r="F7071">
        <v>9.6329999999999999E-2</v>
      </c>
    </row>
    <row r="7072" spans="1:6" x14ac:dyDescent="0.3">
      <c r="A7072" t="s">
        <v>22</v>
      </c>
      <c r="B7072" s="1">
        <v>45952</v>
      </c>
      <c r="C7072">
        <v>16</v>
      </c>
      <c r="D7072">
        <v>0</v>
      </c>
      <c r="E7072" t="s">
        <v>6</v>
      </c>
      <c r="F7072">
        <v>9.756999999999999E-2</v>
      </c>
    </row>
    <row r="7073" spans="1:6" x14ac:dyDescent="0.3">
      <c r="A7073" t="s">
        <v>22</v>
      </c>
      <c r="B7073" s="1">
        <v>45952</v>
      </c>
      <c r="C7073">
        <v>17</v>
      </c>
      <c r="D7073">
        <v>0</v>
      </c>
      <c r="E7073" t="s">
        <v>6</v>
      </c>
      <c r="F7073">
        <v>9.7989999999999994E-2</v>
      </c>
    </row>
    <row r="7074" spans="1:6" x14ac:dyDescent="0.3">
      <c r="A7074" t="s">
        <v>22</v>
      </c>
      <c r="B7074" s="1">
        <v>45952</v>
      </c>
      <c r="C7074">
        <v>18</v>
      </c>
      <c r="D7074">
        <v>0</v>
      </c>
      <c r="E7074" t="s">
        <v>6</v>
      </c>
      <c r="F7074">
        <v>0.10135</v>
      </c>
    </row>
    <row r="7075" spans="1:6" x14ac:dyDescent="0.3">
      <c r="A7075" t="s">
        <v>22</v>
      </c>
      <c r="B7075" s="1">
        <v>45952</v>
      </c>
      <c r="C7075">
        <v>19</v>
      </c>
      <c r="D7075">
        <v>2.7E-2</v>
      </c>
      <c r="E7075" t="s">
        <v>6</v>
      </c>
      <c r="F7075">
        <v>0.19413999999999998</v>
      </c>
    </row>
    <row r="7076" spans="1:6" x14ac:dyDescent="0.3">
      <c r="A7076" t="s">
        <v>22</v>
      </c>
      <c r="B7076" s="1">
        <v>45952</v>
      </c>
      <c r="C7076">
        <v>20</v>
      </c>
      <c r="D7076">
        <v>0.44</v>
      </c>
      <c r="E7076" t="s">
        <v>6</v>
      </c>
      <c r="F7076">
        <v>0.21686000000000002</v>
      </c>
    </row>
    <row r="7077" spans="1:6" x14ac:dyDescent="0.3">
      <c r="A7077" t="s">
        <v>22</v>
      </c>
      <c r="B7077" s="1">
        <v>45952</v>
      </c>
      <c r="C7077">
        <v>21</v>
      </c>
      <c r="D7077">
        <v>0.76700000000000002</v>
      </c>
      <c r="E7077" t="s">
        <v>6</v>
      </c>
      <c r="F7077">
        <v>0.22287999999999999</v>
      </c>
    </row>
    <row r="7078" spans="1:6" x14ac:dyDescent="0.3">
      <c r="A7078" t="s">
        <v>22</v>
      </c>
      <c r="B7078" s="1">
        <v>45952</v>
      </c>
      <c r="C7078">
        <v>22</v>
      </c>
      <c r="D7078">
        <v>1.2090000000000001</v>
      </c>
      <c r="E7078" t="s">
        <v>6</v>
      </c>
      <c r="F7078">
        <v>0.19375999999999999</v>
      </c>
    </row>
    <row r="7079" spans="1:6" x14ac:dyDescent="0.3">
      <c r="A7079" t="s">
        <v>22</v>
      </c>
      <c r="B7079" s="1">
        <v>45952</v>
      </c>
      <c r="C7079">
        <v>23</v>
      </c>
      <c r="D7079">
        <v>0.41799999999999998</v>
      </c>
      <c r="E7079" t="s">
        <v>6</v>
      </c>
      <c r="F7079">
        <v>0.11524</v>
      </c>
    </row>
    <row r="7080" spans="1:6" x14ac:dyDescent="0.3">
      <c r="A7080" t="s">
        <v>22</v>
      </c>
      <c r="B7080" s="1">
        <v>45952</v>
      </c>
      <c r="C7080">
        <v>24</v>
      </c>
      <c r="D7080">
        <v>0.30499999999999999</v>
      </c>
      <c r="E7080" t="s">
        <v>6</v>
      </c>
      <c r="F7080">
        <v>0.11183</v>
      </c>
    </row>
    <row r="7081" spans="1:6" x14ac:dyDescent="0.3">
      <c r="A7081" t="s">
        <v>22</v>
      </c>
      <c r="B7081" s="1">
        <v>45953</v>
      </c>
      <c r="C7081">
        <v>1</v>
      </c>
      <c r="D7081">
        <v>0.92400000000000004</v>
      </c>
      <c r="E7081" t="s">
        <v>6</v>
      </c>
      <c r="F7081">
        <v>8.3959999999999993E-2</v>
      </c>
    </row>
    <row r="7082" spans="1:6" x14ac:dyDescent="0.3">
      <c r="A7082" t="s">
        <v>22</v>
      </c>
      <c r="B7082" s="1">
        <v>45953</v>
      </c>
      <c r="C7082">
        <v>2</v>
      </c>
      <c r="D7082">
        <v>0.755</v>
      </c>
      <c r="E7082" t="s">
        <v>6</v>
      </c>
      <c r="F7082">
        <v>7.9480000000000009E-2</v>
      </c>
    </row>
    <row r="7083" spans="1:6" x14ac:dyDescent="0.3">
      <c r="A7083" t="s">
        <v>22</v>
      </c>
      <c r="B7083" s="1">
        <v>45953</v>
      </c>
      <c r="C7083">
        <v>3</v>
      </c>
      <c r="D7083">
        <v>0.16500000000000001</v>
      </c>
      <c r="E7083" t="s">
        <v>6</v>
      </c>
      <c r="F7083">
        <v>7.8620000000000009E-2</v>
      </c>
    </row>
    <row r="7084" spans="1:6" x14ac:dyDescent="0.3">
      <c r="A7084" t="s">
        <v>22</v>
      </c>
      <c r="B7084" s="1">
        <v>45953</v>
      </c>
      <c r="C7084">
        <v>4</v>
      </c>
      <c r="D7084">
        <v>0.124</v>
      </c>
      <c r="E7084" t="s">
        <v>6</v>
      </c>
      <c r="F7084">
        <v>7.5950000000000004E-2</v>
      </c>
    </row>
    <row r="7085" spans="1:6" x14ac:dyDescent="0.3">
      <c r="A7085" t="s">
        <v>22</v>
      </c>
      <c r="B7085" s="1">
        <v>45953</v>
      </c>
      <c r="C7085">
        <v>5</v>
      </c>
      <c r="D7085">
        <v>0.17499999999999999</v>
      </c>
      <c r="E7085" t="s">
        <v>6</v>
      </c>
      <c r="F7085">
        <v>7.5749999999999998E-2</v>
      </c>
    </row>
    <row r="7086" spans="1:6" x14ac:dyDescent="0.3">
      <c r="A7086" t="s">
        <v>22</v>
      </c>
      <c r="B7086" s="1">
        <v>45953</v>
      </c>
      <c r="C7086">
        <v>6</v>
      </c>
      <c r="D7086">
        <v>0.127</v>
      </c>
      <c r="E7086" t="s">
        <v>6</v>
      </c>
      <c r="F7086">
        <v>7.4299999999999991E-2</v>
      </c>
    </row>
    <row r="7087" spans="1:6" x14ac:dyDescent="0.3">
      <c r="A7087" t="s">
        <v>22</v>
      </c>
      <c r="B7087" s="1">
        <v>45953</v>
      </c>
      <c r="C7087">
        <v>7</v>
      </c>
      <c r="D7087">
        <v>0.24299999999999999</v>
      </c>
      <c r="E7087" t="s">
        <v>6</v>
      </c>
      <c r="F7087">
        <v>7.4549999999999991E-2</v>
      </c>
    </row>
    <row r="7088" spans="1:6" x14ac:dyDescent="0.3">
      <c r="A7088" t="s">
        <v>22</v>
      </c>
      <c r="B7088" s="1">
        <v>45953</v>
      </c>
      <c r="C7088">
        <v>8</v>
      </c>
      <c r="D7088">
        <v>0.44600000000000001</v>
      </c>
      <c r="E7088" t="s">
        <v>6</v>
      </c>
      <c r="F7088">
        <v>8.4099999999999994E-2</v>
      </c>
    </row>
    <row r="7089" spans="1:6" x14ac:dyDescent="0.3">
      <c r="A7089" t="s">
        <v>22</v>
      </c>
      <c r="B7089" s="1">
        <v>45953</v>
      </c>
      <c r="C7089">
        <v>9</v>
      </c>
      <c r="D7089">
        <v>0.27300000000000002</v>
      </c>
      <c r="E7089" t="s">
        <v>6</v>
      </c>
      <c r="F7089">
        <v>0.12196</v>
      </c>
    </row>
    <row r="7090" spans="1:6" x14ac:dyDescent="0.3">
      <c r="A7090" t="s">
        <v>22</v>
      </c>
      <c r="B7090" s="1">
        <v>45953</v>
      </c>
      <c r="C7090">
        <v>10</v>
      </c>
      <c r="D7090">
        <v>0</v>
      </c>
      <c r="E7090" t="s">
        <v>6</v>
      </c>
      <c r="F7090">
        <v>0.11079</v>
      </c>
    </row>
    <row r="7091" spans="1:6" x14ac:dyDescent="0.3">
      <c r="A7091" t="s">
        <v>22</v>
      </c>
      <c r="B7091" s="1">
        <v>45953</v>
      </c>
      <c r="C7091">
        <v>11</v>
      </c>
      <c r="D7091">
        <v>0</v>
      </c>
      <c r="E7091" t="s">
        <v>6</v>
      </c>
      <c r="F7091">
        <v>0.16225000000000001</v>
      </c>
    </row>
    <row r="7092" spans="1:6" x14ac:dyDescent="0.3">
      <c r="A7092" t="s">
        <v>22</v>
      </c>
      <c r="B7092" s="1">
        <v>45953</v>
      </c>
      <c r="C7092">
        <v>12</v>
      </c>
      <c r="D7092">
        <v>0</v>
      </c>
      <c r="E7092" t="s">
        <v>6</v>
      </c>
      <c r="F7092">
        <v>0.16134999999999999</v>
      </c>
    </row>
    <row r="7093" spans="1:6" x14ac:dyDescent="0.3">
      <c r="A7093" t="s">
        <v>22</v>
      </c>
      <c r="B7093" s="1">
        <v>45953</v>
      </c>
      <c r="C7093">
        <v>13</v>
      </c>
      <c r="D7093">
        <v>0</v>
      </c>
      <c r="E7093" t="s">
        <v>6</v>
      </c>
      <c r="F7093">
        <v>0.16324</v>
      </c>
    </row>
    <row r="7094" spans="1:6" x14ac:dyDescent="0.3">
      <c r="A7094" t="s">
        <v>22</v>
      </c>
      <c r="B7094" s="1">
        <v>45953</v>
      </c>
      <c r="C7094">
        <v>14</v>
      </c>
      <c r="D7094">
        <v>0</v>
      </c>
      <c r="E7094" t="s">
        <v>6</v>
      </c>
      <c r="F7094">
        <v>0.16050999999999999</v>
      </c>
    </row>
    <row r="7095" spans="1:6" x14ac:dyDescent="0.3">
      <c r="A7095" t="s">
        <v>22</v>
      </c>
      <c r="B7095" s="1">
        <v>45953</v>
      </c>
      <c r="C7095">
        <v>15</v>
      </c>
      <c r="D7095">
        <v>0.84099999999999997</v>
      </c>
      <c r="E7095" t="s">
        <v>6</v>
      </c>
      <c r="F7095">
        <v>9.6629999999999994E-2</v>
      </c>
    </row>
    <row r="7096" spans="1:6" x14ac:dyDescent="0.3">
      <c r="A7096" t="s">
        <v>22</v>
      </c>
      <c r="B7096" s="1">
        <v>45953</v>
      </c>
      <c r="C7096">
        <v>16</v>
      </c>
      <c r="D7096">
        <v>1.542</v>
      </c>
      <c r="E7096" t="s">
        <v>6</v>
      </c>
      <c r="F7096">
        <v>9.7729999999999997E-2</v>
      </c>
    </row>
    <row r="7097" spans="1:6" x14ac:dyDescent="0.3">
      <c r="A7097" t="s">
        <v>22</v>
      </c>
      <c r="B7097" s="1">
        <v>45953</v>
      </c>
      <c r="C7097">
        <v>17</v>
      </c>
      <c r="D7097">
        <v>1.32</v>
      </c>
      <c r="E7097" t="s">
        <v>6</v>
      </c>
      <c r="F7097">
        <v>9.7739999999999994E-2</v>
      </c>
    </row>
    <row r="7098" spans="1:6" x14ac:dyDescent="0.3">
      <c r="A7098" t="s">
        <v>22</v>
      </c>
      <c r="B7098" s="1">
        <v>45953</v>
      </c>
      <c r="C7098">
        <v>18</v>
      </c>
      <c r="D7098">
        <v>0</v>
      </c>
      <c r="E7098" t="s">
        <v>6</v>
      </c>
      <c r="F7098">
        <v>9.8379999999999995E-2</v>
      </c>
    </row>
    <row r="7099" spans="1:6" x14ac:dyDescent="0.3">
      <c r="A7099" t="s">
        <v>22</v>
      </c>
      <c r="B7099" s="1">
        <v>45953</v>
      </c>
      <c r="C7099">
        <v>19</v>
      </c>
      <c r="D7099">
        <v>1.161</v>
      </c>
      <c r="E7099" t="s">
        <v>6</v>
      </c>
      <c r="F7099">
        <v>0.17961000000000002</v>
      </c>
    </row>
    <row r="7100" spans="1:6" x14ac:dyDescent="0.3">
      <c r="A7100" t="s">
        <v>22</v>
      </c>
      <c r="B7100" s="1">
        <v>45953</v>
      </c>
      <c r="C7100">
        <v>20</v>
      </c>
      <c r="D7100">
        <v>1.782</v>
      </c>
      <c r="E7100" t="s">
        <v>6</v>
      </c>
      <c r="F7100">
        <v>0.23637</v>
      </c>
    </row>
    <row r="7101" spans="1:6" x14ac:dyDescent="0.3">
      <c r="A7101" t="s">
        <v>22</v>
      </c>
      <c r="B7101" s="1">
        <v>45953</v>
      </c>
      <c r="C7101">
        <v>21</v>
      </c>
      <c r="D7101">
        <v>0.90600000000000003</v>
      </c>
      <c r="E7101" t="s">
        <v>6</v>
      </c>
      <c r="F7101">
        <v>0.27947000000000005</v>
      </c>
    </row>
    <row r="7102" spans="1:6" x14ac:dyDescent="0.3">
      <c r="A7102" t="s">
        <v>22</v>
      </c>
      <c r="B7102" s="1">
        <v>45953</v>
      </c>
      <c r="C7102">
        <v>22</v>
      </c>
      <c r="D7102">
        <v>0.57099999999999995</v>
      </c>
      <c r="E7102" t="s">
        <v>6</v>
      </c>
      <c r="F7102">
        <v>0.28393999999999997</v>
      </c>
    </row>
    <row r="7103" spans="1:6" x14ac:dyDescent="0.3">
      <c r="A7103" t="s">
        <v>22</v>
      </c>
      <c r="B7103" s="1">
        <v>45953</v>
      </c>
      <c r="C7103">
        <v>23</v>
      </c>
      <c r="D7103">
        <v>0.58499999999999996</v>
      </c>
      <c r="E7103" t="s">
        <v>6</v>
      </c>
      <c r="F7103">
        <v>0.20344000000000001</v>
      </c>
    </row>
    <row r="7104" spans="1:6" x14ac:dyDescent="0.3">
      <c r="A7104" t="s">
        <v>22</v>
      </c>
      <c r="B7104" s="1">
        <v>45953</v>
      </c>
      <c r="C7104">
        <v>24</v>
      </c>
      <c r="D7104">
        <v>0.24</v>
      </c>
      <c r="E7104" t="s">
        <v>6</v>
      </c>
      <c r="F7104">
        <v>0.17949000000000001</v>
      </c>
    </row>
    <row r="7105" spans="1:6" x14ac:dyDescent="0.3">
      <c r="A7105" t="s">
        <v>22</v>
      </c>
      <c r="B7105" s="1">
        <v>45954</v>
      </c>
      <c r="C7105">
        <v>1</v>
      </c>
      <c r="D7105">
        <v>0.247</v>
      </c>
      <c r="E7105" t="s">
        <v>6</v>
      </c>
      <c r="F7105">
        <v>0.13437000000000002</v>
      </c>
    </row>
    <row r="7106" spans="1:6" x14ac:dyDescent="0.3">
      <c r="A7106" t="s">
        <v>22</v>
      </c>
      <c r="B7106" s="1">
        <v>45954</v>
      </c>
      <c r="C7106">
        <v>2</v>
      </c>
      <c r="D7106">
        <v>1.871</v>
      </c>
      <c r="E7106" t="s">
        <v>6</v>
      </c>
      <c r="F7106">
        <v>0.12623999999999999</v>
      </c>
    </row>
    <row r="7107" spans="1:6" x14ac:dyDescent="0.3">
      <c r="A7107" t="s">
        <v>22</v>
      </c>
      <c r="B7107" s="1">
        <v>45954</v>
      </c>
      <c r="C7107">
        <v>3</v>
      </c>
      <c r="D7107">
        <v>0.159</v>
      </c>
      <c r="E7107" t="s">
        <v>6</v>
      </c>
      <c r="F7107">
        <v>0.12323999999999999</v>
      </c>
    </row>
    <row r="7108" spans="1:6" x14ac:dyDescent="0.3">
      <c r="A7108" t="s">
        <v>22</v>
      </c>
      <c r="B7108" s="1">
        <v>45954</v>
      </c>
      <c r="C7108">
        <v>4</v>
      </c>
      <c r="D7108">
        <v>0.14299999999999999</v>
      </c>
      <c r="E7108" t="s">
        <v>6</v>
      </c>
      <c r="F7108">
        <v>0.11891</v>
      </c>
    </row>
    <row r="7109" spans="1:6" x14ac:dyDescent="0.3">
      <c r="A7109" t="s">
        <v>22</v>
      </c>
      <c r="B7109" s="1">
        <v>45954</v>
      </c>
      <c r="C7109">
        <v>5</v>
      </c>
      <c r="D7109">
        <v>0.14499999999999999</v>
      </c>
      <c r="E7109" t="s">
        <v>6</v>
      </c>
      <c r="F7109">
        <v>0.11898</v>
      </c>
    </row>
    <row r="7110" spans="1:6" x14ac:dyDescent="0.3">
      <c r="A7110" t="s">
        <v>22</v>
      </c>
      <c r="B7110" s="1">
        <v>45954</v>
      </c>
      <c r="C7110">
        <v>6</v>
      </c>
      <c r="D7110">
        <v>0.13700000000000001</v>
      </c>
      <c r="E7110" t="s">
        <v>6</v>
      </c>
      <c r="F7110">
        <v>0.12237999999999999</v>
      </c>
    </row>
    <row r="7111" spans="1:6" x14ac:dyDescent="0.3">
      <c r="A7111" t="s">
        <v>22</v>
      </c>
      <c r="B7111" s="1">
        <v>45954</v>
      </c>
      <c r="C7111">
        <v>7</v>
      </c>
      <c r="D7111">
        <v>0.18</v>
      </c>
      <c r="E7111" t="s">
        <v>6</v>
      </c>
      <c r="F7111">
        <v>0.13749</v>
      </c>
    </row>
    <row r="7112" spans="1:6" x14ac:dyDescent="0.3">
      <c r="A7112" t="s">
        <v>22</v>
      </c>
      <c r="B7112" s="1">
        <v>45954</v>
      </c>
      <c r="C7112">
        <v>8</v>
      </c>
      <c r="D7112">
        <v>0.90300000000000002</v>
      </c>
      <c r="E7112" t="s">
        <v>6</v>
      </c>
      <c r="F7112">
        <v>0.17380000000000001</v>
      </c>
    </row>
    <row r="7113" spans="1:6" x14ac:dyDescent="0.3">
      <c r="A7113" t="s">
        <v>22</v>
      </c>
      <c r="B7113" s="1">
        <v>45954</v>
      </c>
      <c r="C7113">
        <v>9</v>
      </c>
      <c r="D7113">
        <v>3.6419999999999999</v>
      </c>
      <c r="E7113" t="s">
        <v>6</v>
      </c>
      <c r="F7113">
        <v>0.23502999999999999</v>
      </c>
    </row>
    <row r="7114" spans="1:6" x14ac:dyDescent="0.3">
      <c r="A7114" t="s">
        <v>22</v>
      </c>
      <c r="B7114" s="1">
        <v>45954</v>
      </c>
      <c r="C7114">
        <v>10</v>
      </c>
      <c r="D7114">
        <v>0.35</v>
      </c>
      <c r="E7114" t="s">
        <v>6</v>
      </c>
      <c r="F7114">
        <v>0.19383</v>
      </c>
    </row>
    <row r="7115" spans="1:6" x14ac:dyDescent="0.3">
      <c r="A7115" t="s">
        <v>22</v>
      </c>
      <c r="B7115" s="1">
        <v>45954</v>
      </c>
      <c r="C7115">
        <v>11</v>
      </c>
      <c r="D7115">
        <v>0</v>
      </c>
      <c r="E7115" t="s">
        <v>6</v>
      </c>
      <c r="F7115">
        <v>0.21026</v>
      </c>
    </row>
    <row r="7116" spans="1:6" x14ac:dyDescent="0.3">
      <c r="A7116" t="s">
        <v>22</v>
      </c>
      <c r="B7116" s="1">
        <v>45954</v>
      </c>
      <c r="C7116">
        <v>12</v>
      </c>
      <c r="D7116">
        <v>0</v>
      </c>
      <c r="E7116" t="s">
        <v>6</v>
      </c>
      <c r="F7116">
        <v>0.18006</v>
      </c>
    </row>
    <row r="7117" spans="1:6" x14ac:dyDescent="0.3">
      <c r="A7117" t="s">
        <v>22</v>
      </c>
      <c r="B7117" s="1">
        <v>45954</v>
      </c>
      <c r="C7117">
        <v>13</v>
      </c>
      <c r="D7117">
        <v>0</v>
      </c>
      <c r="E7117" t="s">
        <v>6</v>
      </c>
      <c r="F7117">
        <v>0.16297999999999999</v>
      </c>
    </row>
    <row r="7118" spans="1:6" x14ac:dyDescent="0.3">
      <c r="A7118" t="s">
        <v>22</v>
      </c>
      <c r="B7118" s="1">
        <v>45954</v>
      </c>
      <c r="C7118">
        <v>14</v>
      </c>
      <c r="D7118">
        <v>0</v>
      </c>
      <c r="E7118" t="s">
        <v>6</v>
      </c>
      <c r="F7118">
        <v>0.14208000000000001</v>
      </c>
    </row>
    <row r="7119" spans="1:6" x14ac:dyDescent="0.3">
      <c r="A7119" t="s">
        <v>22</v>
      </c>
      <c r="B7119" s="1">
        <v>45954</v>
      </c>
      <c r="C7119">
        <v>15</v>
      </c>
      <c r="D7119">
        <v>0</v>
      </c>
      <c r="E7119" t="s">
        <v>6</v>
      </c>
      <c r="F7119">
        <v>6.3600000000000004E-2</v>
      </c>
    </row>
    <row r="7120" spans="1:6" x14ac:dyDescent="0.3">
      <c r="A7120" t="s">
        <v>22</v>
      </c>
      <c r="B7120" s="1">
        <v>45954</v>
      </c>
      <c r="C7120">
        <v>16</v>
      </c>
      <c r="D7120">
        <v>0</v>
      </c>
      <c r="E7120" t="s">
        <v>6</v>
      </c>
      <c r="F7120">
        <v>6.404E-2</v>
      </c>
    </row>
    <row r="7121" spans="1:6" x14ac:dyDescent="0.3">
      <c r="A7121" t="s">
        <v>22</v>
      </c>
      <c r="B7121" s="1">
        <v>45954</v>
      </c>
      <c r="C7121">
        <v>17</v>
      </c>
      <c r="D7121">
        <v>0</v>
      </c>
      <c r="E7121" t="s">
        <v>6</v>
      </c>
      <c r="F7121">
        <v>8.2360000000000003E-2</v>
      </c>
    </row>
    <row r="7122" spans="1:6" x14ac:dyDescent="0.3">
      <c r="A7122" t="s">
        <v>22</v>
      </c>
      <c r="B7122" s="1">
        <v>45954</v>
      </c>
      <c r="C7122">
        <v>18</v>
      </c>
      <c r="D7122">
        <v>0</v>
      </c>
      <c r="E7122" t="s">
        <v>6</v>
      </c>
      <c r="F7122">
        <v>0.12013</v>
      </c>
    </row>
    <row r="7123" spans="1:6" x14ac:dyDescent="0.3">
      <c r="A7123" t="s">
        <v>22</v>
      </c>
      <c r="B7123" s="1">
        <v>45954</v>
      </c>
      <c r="C7123">
        <v>19</v>
      </c>
      <c r="D7123">
        <v>0.26600000000000001</v>
      </c>
      <c r="E7123" t="s">
        <v>6</v>
      </c>
      <c r="F7123">
        <v>0.22338999999999998</v>
      </c>
    </row>
    <row r="7124" spans="1:6" x14ac:dyDescent="0.3">
      <c r="A7124" t="s">
        <v>22</v>
      </c>
      <c r="B7124" s="1">
        <v>45954</v>
      </c>
      <c r="C7124">
        <v>20</v>
      </c>
      <c r="D7124">
        <v>0.66500000000000004</v>
      </c>
      <c r="E7124" t="s">
        <v>6</v>
      </c>
      <c r="F7124">
        <v>0.25413000000000002</v>
      </c>
    </row>
    <row r="7125" spans="1:6" x14ac:dyDescent="0.3">
      <c r="A7125" t="s">
        <v>22</v>
      </c>
      <c r="B7125" s="1">
        <v>45954</v>
      </c>
      <c r="C7125">
        <v>21</v>
      </c>
      <c r="D7125">
        <v>0.28399999999999997</v>
      </c>
      <c r="E7125" t="s">
        <v>6</v>
      </c>
      <c r="F7125">
        <v>0.29281000000000001</v>
      </c>
    </row>
    <row r="7126" spans="1:6" x14ac:dyDescent="0.3">
      <c r="A7126" t="s">
        <v>22</v>
      </c>
      <c r="B7126" s="1">
        <v>45954</v>
      </c>
      <c r="C7126">
        <v>22</v>
      </c>
      <c r="D7126">
        <v>0.318</v>
      </c>
      <c r="E7126" t="s">
        <v>6</v>
      </c>
      <c r="F7126">
        <v>0.27518999999999999</v>
      </c>
    </row>
    <row r="7127" spans="1:6" x14ac:dyDescent="0.3">
      <c r="A7127" t="s">
        <v>22</v>
      </c>
      <c r="B7127" s="1">
        <v>45954</v>
      </c>
      <c r="C7127">
        <v>23</v>
      </c>
      <c r="D7127">
        <v>1.26</v>
      </c>
      <c r="E7127" t="s">
        <v>6</v>
      </c>
      <c r="F7127">
        <v>0.17102999999999999</v>
      </c>
    </row>
    <row r="7128" spans="1:6" x14ac:dyDescent="0.3">
      <c r="A7128" t="s">
        <v>22</v>
      </c>
      <c r="B7128" s="1">
        <v>45954</v>
      </c>
      <c r="C7128">
        <v>24</v>
      </c>
      <c r="D7128">
        <v>1.583</v>
      </c>
      <c r="E7128" t="s">
        <v>6</v>
      </c>
      <c r="F7128">
        <v>0.16094999999999998</v>
      </c>
    </row>
    <row r="7129" spans="1:6" x14ac:dyDescent="0.3">
      <c r="A7129" t="s">
        <v>22</v>
      </c>
      <c r="B7129" s="1">
        <v>45955</v>
      </c>
      <c r="C7129">
        <v>1</v>
      </c>
      <c r="D7129">
        <v>1.194</v>
      </c>
      <c r="E7129" t="s">
        <v>6</v>
      </c>
      <c r="F7129">
        <v>0.13828000000000001</v>
      </c>
    </row>
    <row r="7130" spans="1:6" x14ac:dyDescent="0.3">
      <c r="A7130" t="s">
        <v>22</v>
      </c>
      <c r="B7130" s="1">
        <v>45955</v>
      </c>
      <c r="C7130">
        <v>2</v>
      </c>
      <c r="D7130">
        <v>1.0900000000000001</v>
      </c>
      <c r="E7130" t="s">
        <v>6</v>
      </c>
      <c r="F7130">
        <v>0.13516999999999998</v>
      </c>
    </row>
    <row r="7131" spans="1:6" x14ac:dyDescent="0.3">
      <c r="A7131" t="s">
        <v>22</v>
      </c>
      <c r="B7131" s="1">
        <v>45955</v>
      </c>
      <c r="C7131">
        <v>3</v>
      </c>
      <c r="D7131">
        <v>1.4450000000000001</v>
      </c>
      <c r="E7131" t="s">
        <v>6</v>
      </c>
      <c r="F7131">
        <v>0.13141999999999998</v>
      </c>
    </row>
    <row r="7132" spans="1:6" x14ac:dyDescent="0.3">
      <c r="A7132" t="s">
        <v>22</v>
      </c>
      <c r="B7132" s="1">
        <v>45955</v>
      </c>
      <c r="C7132">
        <v>4</v>
      </c>
      <c r="D7132">
        <v>1.8260000000000001</v>
      </c>
      <c r="E7132" t="s">
        <v>6</v>
      </c>
      <c r="F7132">
        <v>0.12537999999999999</v>
      </c>
    </row>
    <row r="7133" spans="1:6" x14ac:dyDescent="0.3">
      <c r="A7133" t="s">
        <v>22</v>
      </c>
      <c r="B7133" s="1">
        <v>45955</v>
      </c>
      <c r="C7133">
        <v>5</v>
      </c>
      <c r="D7133">
        <v>1.7869999999999999</v>
      </c>
      <c r="E7133" t="s">
        <v>6</v>
      </c>
      <c r="F7133">
        <v>0.13578999999999999</v>
      </c>
    </row>
    <row r="7134" spans="1:6" x14ac:dyDescent="0.3">
      <c r="A7134" t="s">
        <v>22</v>
      </c>
      <c r="B7134" s="1">
        <v>45955</v>
      </c>
      <c r="C7134">
        <v>6</v>
      </c>
      <c r="D7134">
        <v>1.625</v>
      </c>
      <c r="E7134" t="s">
        <v>6</v>
      </c>
      <c r="F7134">
        <v>0.13666</v>
      </c>
    </row>
    <row r="7135" spans="1:6" x14ac:dyDescent="0.3">
      <c r="A7135" t="s">
        <v>22</v>
      </c>
      <c r="B7135" s="1">
        <v>45955</v>
      </c>
      <c r="C7135">
        <v>7</v>
      </c>
      <c r="D7135">
        <v>2.7069999999999999</v>
      </c>
      <c r="E7135" t="s">
        <v>6</v>
      </c>
      <c r="F7135">
        <v>0.13958999999999999</v>
      </c>
    </row>
    <row r="7136" spans="1:6" x14ac:dyDescent="0.3">
      <c r="A7136" t="s">
        <v>22</v>
      </c>
      <c r="B7136" s="1">
        <v>45955</v>
      </c>
      <c r="C7136">
        <v>8</v>
      </c>
      <c r="D7136">
        <v>1.7110000000000001</v>
      </c>
      <c r="E7136" t="s">
        <v>6</v>
      </c>
      <c r="F7136">
        <v>0.14677000000000001</v>
      </c>
    </row>
    <row r="7137" spans="1:6" x14ac:dyDescent="0.3">
      <c r="A7137" t="s">
        <v>22</v>
      </c>
      <c r="B7137" s="1">
        <v>45955</v>
      </c>
      <c r="C7137">
        <v>9</v>
      </c>
      <c r="D7137">
        <v>1.625</v>
      </c>
      <c r="E7137" t="s">
        <v>6</v>
      </c>
      <c r="F7137">
        <v>0.15734999999999999</v>
      </c>
    </row>
    <row r="7138" spans="1:6" x14ac:dyDescent="0.3">
      <c r="A7138" t="s">
        <v>22</v>
      </c>
      <c r="B7138" s="1">
        <v>45955</v>
      </c>
      <c r="C7138">
        <v>10</v>
      </c>
      <c r="D7138">
        <v>1.1140000000000001</v>
      </c>
      <c r="E7138" t="s">
        <v>6</v>
      </c>
      <c r="F7138">
        <v>0.14709</v>
      </c>
    </row>
    <row r="7139" spans="1:6" x14ac:dyDescent="0.3">
      <c r="A7139" t="s">
        <v>22</v>
      </c>
      <c r="B7139" s="1">
        <v>45955</v>
      </c>
      <c r="C7139">
        <v>11</v>
      </c>
      <c r="D7139">
        <v>3.6999999999999998E-2</v>
      </c>
      <c r="E7139" t="s">
        <v>6</v>
      </c>
      <c r="F7139">
        <v>0.12504000000000001</v>
      </c>
    </row>
    <row r="7140" spans="1:6" x14ac:dyDescent="0.3">
      <c r="A7140" t="s">
        <v>22</v>
      </c>
      <c r="B7140" s="1">
        <v>45955</v>
      </c>
      <c r="C7140">
        <v>12</v>
      </c>
      <c r="D7140">
        <v>0.86099999999999999</v>
      </c>
      <c r="E7140" t="s">
        <v>6</v>
      </c>
      <c r="F7140">
        <v>9.734000000000001E-2</v>
      </c>
    </row>
    <row r="7141" spans="1:6" x14ac:dyDescent="0.3">
      <c r="A7141" t="s">
        <v>22</v>
      </c>
      <c r="B7141" s="1">
        <v>45955</v>
      </c>
      <c r="C7141">
        <v>13</v>
      </c>
      <c r="D7141">
        <v>0.20399999999999999</v>
      </c>
      <c r="E7141" t="s">
        <v>6</v>
      </c>
      <c r="F7141">
        <v>7.6769999999999991E-2</v>
      </c>
    </row>
    <row r="7142" spans="1:6" x14ac:dyDescent="0.3">
      <c r="A7142" t="s">
        <v>22</v>
      </c>
      <c r="B7142" s="1">
        <v>45955</v>
      </c>
      <c r="C7142">
        <v>14</v>
      </c>
      <c r="D7142">
        <v>1.917</v>
      </c>
      <c r="E7142" t="s">
        <v>6</v>
      </c>
      <c r="F7142">
        <v>6.8239999999999995E-2</v>
      </c>
    </row>
    <row r="7143" spans="1:6" x14ac:dyDescent="0.3">
      <c r="A7143" t="s">
        <v>22</v>
      </c>
      <c r="B7143" s="1">
        <v>45955</v>
      </c>
      <c r="C7143">
        <v>15</v>
      </c>
      <c r="D7143">
        <v>3.4220000000000002</v>
      </c>
      <c r="E7143" t="s">
        <v>6</v>
      </c>
      <c r="F7143">
        <v>6.0109999999999997E-2</v>
      </c>
    </row>
    <row r="7144" spans="1:6" x14ac:dyDescent="0.3">
      <c r="A7144" t="s">
        <v>22</v>
      </c>
      <c r="B7144" s="1">
        <v>45955</v>
      </c>
      <c r="C7144">
        <v>16</v>
      </c>
      <c r="D7144">
        <v>3.343</v>
      </c>
      <c r="E7144" t="s">
        <v>6</v>
      </c>
      <c r="F7144">
        <v>5.7790000000000001E-2</v>
      </c>
    </row>
    <row r="7145" spans="1:6" x14ac:dyDescent="0.3">
      <c r="A7145" t="s">
        <v>22</v>
      </c>
      <c r="B7145" s="1">
        <v>45955</v>
      </c>
      <c r="C7145">
        <v>17</v>
      </c>
      <c r="D7145">
        <v>2.3769999999999998</v>
      </c>
      <c r="E7145" t="s">
        <v>6</v>
      </c>
      <c r="F7145">
        <v>6.1289999999999997E-2</v>
      </c>
    </row>
    <row r="7146" spans="1:6" x14ac:dyDescent="0.3">
      <c r="A7146" t="s">
        <v>22</v>
      </c>
      <c r="B7146" s="1">
        <v>45955</v>
      </c>
      <c r="C7146">
        <v>18</v>
      </c>
      <c r="D7146">
        <v>0.127</v>
      </c>
      <c r="E7146" t="s">
        <v>6</v>
      </c>
      <c r="F7146">
        <v>9.5200000000000007E-2</v>
      </c>
    </row>
    <row r="7147" spans="1:6" x14ac:dyDescent="0.3">
      <c r="A7147" t="s">
        <v>22</v>
      </c>
      <c r="B7147" s="1">
        <v>45955</v>
      </c>
      <c r="C7147">
        <v>19</v>
      </c>
      <c r="D7147">
        <v>0.79400000000000004</v>
      </c>
      <c r="E7147" t="s">
        <v>6</v>
      </c>
      <c r="F7147">
        <v>0.13936000000000001</v>
      </c>
    </row>
    <row r="7148" spans="1:6" x14ac:dyDescent="0.3">
      <c r="A7148" t="s">
        <v>22</v>
      </c>
      <c r="B7148" s="1">
        <v>45955</v>
      </c>
      <c r="C7148">
        <v>20</v>
      </c>
      <c r="D7148">
        <v>1.0549999999999999</v>
      </c>
      <c r="E7148" t="s">
        <v>6</v>
      </c>
      <c r="F7148">
        <v>0.15858</v>
      </c>
    </row>
    <row r="7149" spans="1:6" x14ac:dyDescent="0.3">
      <c r="A7149" t="s">
        <v>22</v>
      </c>
      <c r="B7149" s="1">
        <v>45955</v>
      </c>
      <c r="C7149">
        <v>21</v>
      </c>
      <c r="D7149">
        <v>1.171</v>
      </c>
      <c r="E7149" t="s">
        <v>6</v>
      </c>
      <c r="F7149">
        <v>0.16933000000000001</v>
      </c>
    </row>
    <row r="7150" spans="1:6" x14ac:dyDescent="0.3">
      <c r="A7150" t="s">
        <v>22</v>
      </c>
      <c r="B7150" s="1">
        <v>45955</v>
      </c>
      <c r="C7150">
        <v>22</v>
      </c>
      <c r="D7150">
        <v>0.75900000000000001</v>
      </c>
      <c r="E7150" t="s">
        <v>6</v>
      </c>
      <c r="F7150">
        <v>0.15087</v>
      </c>
    </row>
    <row r="7151" spans="1:6" x14ac:dyDescent="0.3">
      <c r="A7151" t="s">
        <v>22</v>
      </c>
      <c r="B7151" s="1">
        <v>45955</v>
      </c>
      <c r="C7151">
        <v>23</v>
      </c>
      <c r="D7151">
        <v>0.997</v>
      </c>
      <c r="E7151" t="s">
        <v>6</v>
      </c>
      <c r="F7151">
        <v>0.14430000000000001</v>
      </c>
    </row>
    <row r="7152" spans="1:6" x14ac:dyDescent="0.3">
      <c r="A7152" t="s">
        <v>22</v>
      </c>
      <c r="B7152" s="1">
        <v>45955</v>
      </c>
      <c r="C7152">
        <v>24</v>
      </c>
      <c r="D7152">
        <v>0.73199999999999998</v>
      </c>
      <c r="E7152" t="s">
        <v>6</v>
      </c>
      <c r="F7152">
        <v>0.13503000000000001</v>
      </c>
    </row>
    <row r="7153" spans="1:6" x14ac:dyDescent="0.3">
      <c r="A7153" t="s">
        <v>22</v>
      </c>
      <c r="B7153" s="1">
        <v>45956</v>
      </c>
      <c r="C7153">
        <v>1</v>
      </c>
      <c r="D7153">
        <v>0.91200000000000003</v>
      </c>
      <c r="E7153" t="s">
        <v>6</v>
      </c>
      <c r="F7153">
        <v>0.16031000000000001</v>
      </c>
    </row>
    <row r="7154" spans="1:6" x14ac:dyDescent="0.3">
      <c r="A7154" t="s">
        <v>22</v>
      </c>
      <c r="B7154" s="1">
        <v>45956</v>
      </c>
      <c r="C7154">
        <v>2</v>
      </c>
      <c r="D7154">
        <v>1.208</v>
      </c>
      <c r="E7154" t="s">
        <v>6</v>
      </c>
      <c r="F7154">
        <v>0.15483000000000002</v>
      </c>
    </row>
    <row r="7155" spans="1:6" x14ac:dyDescent="0.3">
      <c r="A7155" t="s">
        <v>22</v>
      </c>
      <c r="B7155" s="1">
        <v>45956</v>
      </c>
      <c r="C7155">
        <v>3</v>
      </c>
      <c r="D7155">
        <v>2.327</v>
      </c>
      <c r="E7155" t="s">
        <v>6</v>
      </c>
      <c r="F7155">
        <v>0.13106999999999999</v>
      </c>
    </row>
    <row r="7156" spans="1:6" x14ac:dyDescent="0.3">
      <c r="A7156" t="s">
        <v>22</v>
      </c>
      <c r="B7156" s="1">
        <v>45956</v>
      </c>
      <c r="C7156">
        <v>4</v>
      </c>
      <c r="D7156">
        <v>1.17</v>
      </c>
      <c r="E7156" t="s">
        <v>6</v>
      </c>
      <c r="F7156">
        <v>0.12645999999999999</v>
      </c>
    </row>
    <row r="7157" spans="1:6" x14ac:dyDescent="0.3">
      <c r="A7157" t="s">
        <v>22</v>
      </c>
      <c r="B7157" s="1">
        <v>45956</v>
      </c>
      <c r="C7157">
        <v>5</v>
      </c>
      <c r="D7157">
        <v>1.0329999999999999</v>
      </c>
      <c r="E7157" t="s">
        <v>6</v>
      </c>
      <c r="F7157">
        <v>0.12815000000000001</v>
      </c>
    </row>
    <row r="7158" spans="1:6" x14ac:dyDescent="0.3">
      <c r="A7158" t="s">
        <v>22</v>
      </c>
      <c r="B7158" s="1">
        <v>45956</v>
      </c>
      <c r="C7158">
        <v>6</v>
      </c>
      <c r="D7158">
        <v>1.1870000000000001</v>
      </c>
      <c r="E7158" t="s">
        <v>6</v>
      </c>
      <c r="F7158">
        <v>0.12748000000000001</v>
      </c>
    </row>
    <row r="7159" spans="1:6" x14ac:dyDescent="0.3">
      <c r="A7159" t="s">
        <v>22</v>
      </c>
      <c r="B7159" s="1">
        <v>45956</v>
      </c>
      <c r="C7159">
        <v>7</v>
      </c>
      <c r="D7159">
        <v>1.0289999999999999</v>
      </c>
      <c r="E7159" t="s">
        <v>6</v>
      </c>
      <c r="F7159">
        <v>0.12537000000000001</v>
      </c>
    </row>
    <row r="7160" spans="1:6" x14ac:dyDescent="0.3">
      <c r="A7160" t="s">
        <v>22</v>
      </c>
      <c r="B7160" s="1">
        <v>45956</v>
      </c>
      <c r="C7160">
        <v>8</v>
      </c>
      <c r="D7160">
        <v>1.202</v>
      </c>
      <c r="E7160" t="s">
        <v>6</v>
      </c>
      <c r="F7160">
        <v>0.12098</v>
      </c>
    </row>
    <row r="7161" spans="1:6" x14ac:dyDescent="0.3">
      <c r="A7161" t="s">
        <v>22</v>
      </c>
      <c r="B7161" s="1">
        <v>45956</v>
      </c>
      <c r="C7161">
        <v>9</v>
      </c>
      <c r="D7161">
        <v>1.3640000000000001</v>
      </c>
      <c r="E7161" t="s">
        <v>6</v>
      </c>
      <c r="F7161">
        <v>0.11799999999999999</v>
      </c>
    </row>
    <row r="7162" spans="1:6" x14ac:dyDescent="0.3">
      <c r="A7162" t="s">
        <v>22</v>
      </c>
      <c r="B7162" s="1">
        <v>45956</v>
      </c>
      <c r="C7162">
        <v>10</v>
      </c>
      <c r="D7162">
        <v>1.706</v>
      </c>
      <c r="E7162" t="s">
        <v>6</v>
      </c>
      <c r="F7162">
        <v>0.11918000000000001</v>
      </c>
    </row>
    <row r="7163" spans="1:6" x14ac:dyDescent="0.3">
      <c r="A7163" t="s">
        <v>22</v>
      </c>
      <c r="B7163" s="1">
        <v>45956</v>
      </c>
      <c r="C7163">
        <v>11</v>
      </c>
      <c r="D7163">
        <v>2.577</v>
      </c>
      <c r="E7163" t="s">
        <v>6</v>
      </c>
      <c r="F7163">
        <v>9.0879999999999989E-2</v>
      </c>
    </row>
    <row r="7164" spans="1:6" x14ac:dyDescent="0.3">
      <c r="A7164" t="s">
        <v>22</v>
      </c>
      <c r="B7164" s="1">
        <v>45956</v>
      </c>
      <c r="C7164">
        <v>12</v>
      </c>
      <c r="D7164">
        <v>3.1589999999999998</v>
      </c>
      <c r="E7164" t="s">
        <v>6</v>
      </c>
      <c r="F7164">
        <v>7.1800000000000003E-2</v>
      </c>
    </row>
    <row r="7165" spans="1:6" x14ac:dyDescent="0.3">
      <c r="A7165" t="s">
        <v>22</v>
      </c>
      <c r="B7165" s="1">
        <v>45956</v>
      </c>
      <c r="C7165">
        <v>13</v>
      </c>
      <c r="D7165">
        <v>2.2850000000000001</v>
      </c>
      <c r="E7165" t="s">
        <v>6</v>
      </c>
      <c r="F7165">
        <v>6.7209999999999992E-2</v>
      </c>
    </row>
    <row r="7166" spans="1:6" x14ac:dyDescent="0.3">
      <c r="A7166" t="s">
        <v>22</v>
      </c>
      <c r="B7166" s="1">
        <v>45956</v>
      </c>
      <c r="C7166">
        <v>14</v>
      </c>
      <c r="D7166">
        <v>0.70899999999999996</v>
      </c>
      <c r="E7166" t="s">
        <v>6</v>
      </c>
      <c r="F7166">
        <v>6.6239999999999993E-2</v>
      </c>
    </row>
    <row r="7167" spans="1:6" x14ac:dyDescent="0.3">
      <c r="A7167" t="s">
        <v>22</v>
      </c>
      <c r="B7167" s="1">
        <v>45956</v>
      </c>
      <c r="C7167">
        <v>15</v>
      </c>
      <c r="D7167">
        <v>0</v>
      </c>
      <c r="E7167" t="s">
        <v>6</v>
      </c>
      <c r="F7167">
        <v>6.5540000000000001E-2</v>
      </c>
    </row>
    <row r="7168" spans="1:6" x14ac:dyDescent="0.3">
      <c r="A7168" t="s">
        <v>22</v>
      </c>
      <c r="B7168" s="1">
        <v>45956</v>
      </c>
      <c r="C7168">
        <v>16</v>
      </c>
      <c r="D7168">
        <v>0</v>
      </c>
      <c r="E7168" t="s">
        <v>6</v>
      </c>
      <c r="F7168">
        <v>6.8209999999999993E-2</v>
      </c>
    </row>
    <row r="7169" spans="1:6" x14ac:dyDescent="0.3">
      <c r="A7169" t="s">
        <v>22</v>
      </c>
      <c r="B7169" s="1">
        <v>45956</v>
      </c>
      <c r="C7169">
        <v>17</v>
      </c>
      <c r="D7169">
        <v>0</v>
      </c>
      <c r="E7169" t="s">
        <v>6</v>
      </c>
      <c r="F7169">
        <v>7.3980000000000004E-2</v>
      </c>
    </row>
    <row r="7170" spans="1:6" x14ac:dyDescent="0.3">
      <c r="A7170" t="s">
        <v>22</v>
      </c>
      <c r="B7170" s="1">
        <v>45956</v>
      </c>
      <c r="C7170">
        <v>18</v>
      </c>
      <c r="D7170">
        <v>0</v>
      </c>
      <c r="E7170" t="s">
        <v>6</v>
      </c>
      <c r="F7170">
        <v>8.7709999999999996E-2</v>
      </c>
    </row>
    <row r="7171" spans="1:6" x14ac:dyDescent="0.3">
      <c r="A7171" t="s">
        <v>22</v>
      </c>
      <c r="B7171" s="1">
        <v>45956</v>
      </c>
      <c r="C7171">
        <v>19</v>
      </c>
      <c r="D7171">
        <v>0.621</v>
      </c>
      <c r="E7171" t="s">
        <v>6</v>
      </c>
      <c r="F7171">
        <v>0.11427</v>
      </c>
    </row>
    <row r="7172" spans="1:6" x14ac:dyDescent="0.3">
      <c r="A7172" t="s">
        <v>22</v>
      </c>
      <c r="B7172" s="1">
        <v>45956</v>
      </c>
      <c r="C7172">
        <v>20</v>
      </c>
      <c r="D7172">
        <v>1.194</v>
      </c>
      <c r="E7172" t="s">
        <v>6</v>
      </c>
      <c r="F7172">
        <v>0.14599999999999999</v>
      </c>
    </row>
    <row r="7173" spans="1:6" x14ac:dyDescent="0.3">
      <c r="A7173" t="s">
        <v>22</v>
      </c>
      <c r="B7173" s="1">
        <v>45956</v>
      </c>
      <c r="C7173">
        <v>21</v>
      </c>
      <c r="D7173">
        <v>1.0960000000000001</v>
      </c>
      <c r="E7173" t="s">
        <v>6</v>
      </c>
      <c r="F7173">
        <v>0.15418999999999999</v>
      </c>
    </row>
    <row r="7174" spans="1:6" x14ac:dyDescent="0.3">
      <c r="A7174" t="s">
        <v>22</v>
      </c>
      <c r="B7174" s="1">
        <v>45956</v>
      </c>
      <c r="C7174">
        <v>22</v>
      </c>
      <c r="D7174">
        <v>1.1910000000000001</v>
      </c>
      <c r="E7174" t="s">
        <v>6</v>
      </c>
      <c r="F7174">
        <v>0.16216999999999998</v>
      </c>
    </row>
    <row r="7175" spans="1:6" x14ac:dyDescent="0.3">
      <c r="A7175" t="s">
        <v>22</v>
      </c>
      <c r="B7175" s="1">
        <v>45956</v>
      </c>
      <c r="C7175">
        <v>23</v>
      </c>
      <c r="D7175">
        <v>1.496</v>
      </c>
      <c r="E7175" t="s">
        <v>6</v>
      </c>
      <c r="F7175">
        <v>0.15127000000000002</v>
      </c>
    </row>
    <row r="7176" spans="1:6" x14ac:dyDescent="0.3">
      <c r="A7176" t="s">
        <v>22</v>
      </c>
      <c r="B7176" s="1">
        <v>45956</v>
      </c>
      <c r="C7176">
        <v>24</v>
      </c>
      <c r="D7176">
        <v>1.536</v>
      </c>
      <c r="E7176" t="s">
        <v>6</v>
      </c>
      <c r="F7176">
        <v>0.14699000000000001</v>
      </c>
    </row>
    <row r="7177" spans="1:6" x14ac:dyDescent="0.3">
      <c r="A7177" t="s">
        <v>22</v>
      </c>
      <c r="B7177" s="1">
        <v>45956</v>
      </c>
      <c r="C7177">
        <v>25</v>
      </c>
      <c r="D7177">
        <v>1.718</v>
      </c>
      <c r="E7177" t="s">
        <v>6</v>
      </c>
      <c r="F7177">
        <v>0.14608000000000002</v>
      </c>
    </row>
    <row r="7178" spans="1:6" x14ac:dyDescent="0.3">
      <c r="A7178" t="s">
        <v>22</v>
      </c>
      <c r="B7178" s="1">
        <v>45957</v>
      </c>
      <c r="C7178">
        <v>1</v>
      </c>
      <c r="D7178">
        <v>1.5620000000000001</v>
      </c>
      <c r="E7178" t="s">
        <v>6</v>
      </c>
      <c r="F7178">
        <v>0.12493000000000001</v>
      </c>
    </row>
    <row r="7179" spans="1:6" x14ac:dyDescent="0.3">
      <c r="A7179" t="s">
        <v>22</v>
      </c>
      <c r="B7179" s="1">
        <v>45957</v>
      </c>
      <c r="C7179">
        <v>2</v>
      </c>
      <c r="D7179">
        <v>1.341</v>
      </c>
      <c r="E7179" t="s">
        <v>6</v>
      </c>
      <c r="F7179">
        <v>0.11616</v>
      </c>
    </row>
    <row r="7180" spans="1:6" x14ac:dyDescent="0.3">
      <c r="A7180" t="s">
        <v>22</v>
      </c>
      <c r="B7180" s="1">
        <v>45957</v>
      </c>
      <c r="C7180">
        <v>3</v>
      </c>
      <c r="D7180">
        <v>1.4810000000000001</v>
      </c>
      <c r="E7180" t="s">
        <v>6</v>
      </c>
      <c r="F7180">
        <v>0.11700000000000001</v>
      </c>
    </row>
    <row r="7181" spans="1:6" x14ac:dyDescent="0.3">
      <c r="A7181" t="s">
        <v>22</v>
      </c>
      <c r="B7181" s="1">
        <v>45957</v>
      </c>
      <c r="C7181">
        <v>4</v>
      </c>
      <c r="D7181">
        <v>1.607</v>
      </c>
      <c r="E7181" t="s">
        <v>6</v>
      </c>
      <c r="F7181">
        <v>0.11773</v>
      </c>
    </row>
    <row r="7182" spans="1:6" x14ac:dyDescent="0.3">
      <c r="A7182" t="s">
        <v>22</v>
      </c>
      <c r="B7182" s="1">
        <v>45957</v>
      </c>
      <c r="C7182">
        <v>5</v>
      </c>
      <c r="D7182">
        <v>1.597</v>
      </c>
      <c r="E7182" t="s">
        <v>6</v>
      </c>
      <c r="F7182">
        <v>0.11989</v>
      </c>
    </row>
    <row r="7183" spans="1:6" x14ac:dyDescent="0.3">
      <c r="A7183" t="s">
        <v>22</v>
      </c>
      <c r="B7183" s="1">
        <v>45957</v>
      </c>
      <c r="C7183">
        <v>6</v>
      </c>
      <c r="D7183">
        <v>1.65</v>
      </c>
      <c r="E7183" t="s">
        <v>6</v>
      </c>
      <c r="F7183">
        <v>0.14315</v>
      </c>
    </row>
    <row r="7184" spans="1:6" x14ac:dyDescent="0.3">
      <c r="A7184" t="s">
        <v>22</v>
      </c>
      <c r="B7184" s="1">
        <v>45957</v>
      </c>
      <c r="C7184">
        <v>7</v>
      </c>
      <c r="D7184">
        <v>1.5960000000000001</v>
      </c>
      <c r="E7184" t="s">
        <v>6</v>
      </c>
      <c r="F7184">
        <v>0.14962999999999999</v>
      </c>
    </row>
    <row r="7185" spans="1:6" x14ac:dyDescent="0.3">
      <c r="A7185" t="s">
        <v>22</v>
      </c>
      <c r="B7185" s="1">
        <v>45957</v>
      </c>
      <c r="C7185">
        <v>8</v>
      </c>
      <c r="D7185">
        <v>1.361</v>
      </c>
      <c r="E7185" t="s">
        <v>6</v>
      </c>
      <c r="F7185">
        <v>0.19284999999999999</v>
      </c>
    </row>
    <row r="7186" spans="1:6" x14ac:dyDescent="0.3">
      <c r="A7186" t="s">
        <v>22</v>
      </c>
      <c r="B7186" s="1">
        <v>45957</v>
      </c>
      <c r="C7186">
        <v>9</v>
      </c>
      <c r="D7186">
        <v>2.0139999999999998</v>
      </c>
      <c r="E7186" t="s">
        <v>6</v>
      </c>
      <c r="F7186">
        <v>0.18690000000000001</v>
      </c>
    </row>
    <row r="7187" spans="1:6" x14ac:dyDescent="0.3">
      <c r="A7187" t="s">
        <v>22</v>
      </c>
      <c r="B7187" s="1">
        <v>45957</v>
      </c>
      <c r="C7187">
        <v>10</v>
      </c>
      <c r="D7187">
        <v>0</v>
      </c>
      <c r="E7187" t="s">
        <v>6</v>
      </c>
      <c r="F7187">
        <v>0.13980999999999999</v>
      </c>
    </row>
    <row r="7188" spans="1:6" x14ac:dyDescent="0.3">
      <c r="A7188" t="s">
        <v>22</v>
      </c>
      <c r="B7188" s="1">
        <v>45957</v>
      </c>
      <c r="C7188">
        <v>11</v>
      </c>
      <c r="D7188">
        <v>0</v>
      </c>
      <c r="E7188" t="s">
        <v>6</v>
      </c>
      <c r="F7188">
        <v>0.17104</v>
      </c>
    </row>
    <row r="7189" spans="1:6" x14ac:dyDescent="0.3">
      <c r="A7189" t="s">
        <v>22</v>
      </c>
      <c r="B7189" s="1">
        <v>45957</v>
      </c>
      <c r="C7189">
        <v>12</v>
      </c>
      <c r="D7189">
        <v>0</v>
      </c>
      <c r="E7189" t="s">
        <v>6</v>
      </c>
      <c r="F7189">
        <v>0.14479</v>
      </c>
    </row>
    <row r="7190" spans="1:6" x14ac:dyDescent="0.3">
      <c r="A7190" t="s">
        <v>22</v>
      </c>
      <c r="B7190" s="1">
        <v>45957</v>
      </c>
      <c r="C7190">
        <v>13</v>
      </c>
      <c r="D7190">
        <v>0</v>
      </c>
      <c r="E7190" t="s">
        <v>6</v>
      </c>
      <c r="F7190">
        <v>0.14865</v>
      </c>
    </row>
    <row r="7191" spans="1:6" x14ac:dyDescent="0.3">
      <c r="A7191" t="s">
        <v>22</v>
      </c>
      <c r="B7191" s="1">
        <v>45957</v>
      </c>
      <c r="C7191">
        <v>14</v>
      </c>
      <c r="D7191">
        <v>0</v>
      </c>
      <c r="E7191" t="s">
        <v>6</v>
      </c>
      <c r="F7191">
        <v>0.13708000000000001</v>
      </c>
    </row>
    <row r="7192" spans="1:6" x14ac:dyDescent="0.3">
      <c r="A7192" t="s">
        <v>22</v>
      </c>
      <c r="B7192" s="1">
        <v>45957</v>
      </c>
      <c r="C7192">
        <v>15</v>
      </c>
      <c r="D7192">
        <v>0</v>
      </c>
      <c r="E7192" t="s">
        <v>6</v>
      </c>
      <c r="F7192">
        <v>7.1099999999999997E-2</v>
      </c>
    </row>
    <row r="7193" spans="1:6" x14ac:dyDescent="0.3">
      <c r="A7193" t="s">
        <v>22</v>
      </c>
      <c r="B7193" s="1">
        <v>45957</v>
      </c>
      <c r="C7193">
        <v>16</v>
      </c>
      <c r="D7193">
        <v>0</v>
      </c>
      <c r="E7193" t="s">
        <v>6</v>
      </c>
      <c r="F7193">
        <v>9.8650000000000002E-2</v>
      </c>
    </row>
    <row r="7194" spans="1:6" x14ac:dyDescent="0.3">
      <c r="A7194" t="s">
        <v>22</v>
      </c>
      <c r="B7194" s="1">
        <v>45957</v>
      </c>
      <c r="C7194">
        <v>17</v>
      </c>
      <c r="D7194">
        <v>0</v>
      </c>
      <c r="E7194" t="s">
        <v>6</v>
      </c>
      <c r="F7194">
        <v>0.12522</v>
      </c>
    </row>
    <row r="7195" spans="1:6" x14ac:dyDescent="0.3">
      <c r="A7195" t="s">
        <v>22</v>
      </c>
      <c r="B7195" s="1">
        <v>45957</v>
      </c>
      <c r="C7195">
        <v>18</v>
      </c>
      <c r="D7195">
        <v>0.32500000000000001</v>
      </c>
      <c r="E7195" t="s">
        <v>6</v>
      </c>
      <c r="F7195">
        <v>0.17593</v>
      </c>
    </row>
    <row r="7196" spans="1:6" x14ac:dyDescent="0.3">
      <c r="A7196" t="s">
        <v>22</v>
      </c>
      <c r="B7196" s="1">
        <v>45957</v>
      </c>
      <c r="C7196">
        <v>19</v>
      </c>
      <c r="D7196">
        <v>1.1519999999999999</v>
      </c>
      <c r="E7196" t="s">
        <v>6</v>
      </c>
      <c r="F7196">
        <v>0.26416000000000001</v>
      </c>
    </row>
    <row r="7197" spans="1:6" x14ac:dyDescent="0.3">
      <c r="A7197" t="s">
        <v>22</v>
      </c>
      <c r="B7197" s="1">
        <v>45957</v>
      </c>
      <c r="C7197">
        <v>20</v>
      </c>
      <c r="D7197">
        <v>0.68300000000000005</v>
      </c>
      <c r="E7197" t="s">
        <v>6</v>
      </c>
      <c r="F7197">
        <v>0.27268000000000003</v>
      </c>
    </row>
    <row r="7198" spans="1:6" x14ac:dyDescent="0.3">
      <c r="A7198" t="s">
        <v>22</v>
      </c>
      <c r="B7198" s="1">
        <v>45957</v>
      </c>
      <c r="C7198">
        <v>21</v>
      </c>
      <c r="D7198">
        <v>1.9530000000000001</v>
      </c>
      <c r="E7198" t="s">
        <v>6</v>
      </c>
      <c r="F7198">
        <v>0.28729000000000005</v>
      </c>
    </row>
    <row r="7199" spans="1:6" x14ac:dyDescent="0.3">
      <c r="A7199" t="s">
        <v>22</v>
      </c>
      <c r="B7199" s="1">
        <v>45957</v>
      </c>
      <c r="C7199">
        <v>22</v>
      </c>
      <c r="D7199">
        <v>1.9790000000000001</v>
      </c>
      <c r="E7199" t="s">
        <v>6</v>
      </c>
      <c r="F7199">
        <v>0.26458999999999999</v>
      </c>
    </row>
    <row r="7200" spans="1:6" x14ac:dyDescent="0.3">
      <c r="A7200" t="s">
        <v>22</v>
      </c>
      <c r="B7200" s="1">
        <v>45957</v>
      </c>
      <c r="C7200">
        <v>23</v>
      </c>
      <c r="D7200">
        <v>1.8859999999999999</v>
      </c>
      <c r="E7200" t="s">
        <v>6</v>
      </c>
      <c r="F7200">
        <v>0.17746000000000001</v>
      </c>
    </row>
    <row r="7201" spans="1:6" x14ac:dyDescent="0.3">
      <c r="A7201" t="s">
        <v>22</v>
      </c>
      <c r="B7201" s="1">
        <v>45957</v>
      </c>
      <c r="C7201">
        <v>24</v>
      </c>
      <c r="D7201">
        <v>1.4339999999999999</v>
      </c>
      <c r="E7201" t="s">
        <v>6</v>
      </c>
      <c r="F7201">
        <v>0.17202999999999999</v>
      </c>
    </row>
    <row r="7202" spans="1:6" x14ac:dyDescent="0.3">
      <c r="A7202" t="s">
        <v>22</v>
      </c>
      <c r="B7202" s="1">
        <v>45958</v>
      </c>
      <c r="C7202">
        <v>1</v>
      </c>
      <c r="D7202">
        <v>1.8759999999999999</v>
      </c>
      <c r="E7202" t="s">
        <v>6</v>
      </c>
      <c r="F7202">
        <v>0.13538</v>
      </c>
    </row>
    <row r="7203" spans="1:6" x14ac:dyDescent="0.3">
      <c r="A7203" t="s">
        <v>22</v>
      </c>
      <c r="B7203" s="1">
        <v>45958</v>
      </c>
      <c r="C7203">
        <v>2</v>
      </c>
      <c r="D7203">
        <v>1.2869999999999999</v>
      </c>
      <c r="E7203" t="s">
        <v>6</v>
      </c>
      <c r="F7203">
        <v>0.13331999999999999</v>
      </c>
    </row>
    <row r="7204" spans="1:6" x14ac:dyDescent="0.3">
      <c r="A7204" t="s">
        <v>22</v>
      </c>
      <c r="B7204" s="1">
        <v>45958</v>
      </c>
      <c r="C7204">
        <v>3</v>
      </c>
      <c r="D7204">
        <v>1.7150000000000001</v>
      </c>
      <c r="E7204" t="s">
        <v>6</v>
      </c>
      <c r="F7204">
        <v>0.13502</v>
      </c>
    </row>
    <row r="7205" spans="1:6" x14ac:dyDescent="0.3">
      <c r="A7205" t="s">
        <v>22</v>
      </c>
      <c r="B7205" s="1">
        <v>45958</v>
      </c>
      <c r="C7205">
        <v>4</v>
      </c>
      <c r="D7205">
        <v>1.593</v>
      </c>
      <c r="E7205" t="s">
        <v>6</v>
      </c>
      <c r="F7205">
        <v>0.13077</v>
      </c>
    </row>
    <row r="7206" spans="1:6" x14ac:dyDescent="0.3">
      <c r="A7206" t="s">
        <v>22</v>
      </c>
      <c r="B7206" s="1">
        <v>45958</v>
      </c>
      <c r="C7206">
        <v>5</v>
      </c>
      <c r="D7206">
        <v>1.3520000000000001</v>
      </c>
      <c r="E7206" t="s">
        <v>6</v>
      </c>
      <c r="F7206">
        <v>0.13056999999999999</v>
      </c>
    </row>
    <row r="7207" spans="1:6" x14ac:dyDescent="0.3">
      <c r="A7207" t="s">
        <v>22</v>
      </c>
      <c r="B7207" s="1">
        <v>45958</v>
      </c>
      <c r="C7207">
        <v>6</v>
      </c>
      <c r="D7207">
        <v>1.4379999999999999</v>
      </c>
      <c r="E7207" t="s">
        <v>6</v>
      </c>
      <c r="F7207">
        <v>0.12562999999999999</v>
      </c>
    </row>
    <row r="7208" spans="1:6" x14ac:dyDescent="0.3">
      <c r="A7208" t="s">
        <v>22</v>
      </c>
      <c r="B7208" s="1">
        <v>45958</v>
      </c>
      <c r="C7208">
        <v>7</v>
      </c>
      <c r="D7208">
        <v>1.208</v>
      </c>
      <c r="E7208" t="s">
        <v>6</v>
      </c>
      <c r="F7208">
        <v>0.14019999999999999</v>
      </c>
    </row>
    <row r="7209" spans="1:6" x14ac:dyDescent="0.3">
      <c r="A7209" t="s">
        <v>22</v>
      </c>
      <c r="B7209" s="1">
        <v>45958</v>
      </c>
      <c r="C7209">
        <v>8</v>
      </c>
      <c r="D7209">
        <v>2.06</v>
      </c>
      <c r="E7209" t="s">
        <v>6</v>
      </c>
      <c r="F7209">
        <v>0.15562999999999999</v>
      </c>
    </row>
    <row r="7210" spans="1:6" x14ac:dyDescent="0.3">
      <c r="A7210" t="s">
        <v>22</v>
      </c>
      <c r="B7210" s="1">
        <v>45958</v>
      </c>
      <c r="C7210">
        <v>9</v>
      </c>
      <c r="D7210">
        <v>0.505</v>
      </c>
      <c r="E7210" t="s">
        <v>6</v>
      </c>
      <c r="F7210">
        <v>0.17213000000000001</v>
      </c>
    </row>
    <row r="7211" spans="1:6" x14ac:dyDescent="0.3">
      <c r="A7211" t="s">
        <v>22</v>
      </c>
      <c r="B7211" s="1">
        <v>45958</v>
      </c>
      <c r="C7211">
        <v>10</v>
      </c>
      <c r="D7211">
        <v>3.5419999999999998</v>
      </c>
      <c r="E7211" t="s">
        <v>6</v>
      </c>
      <c r="F7211">
        <v>0.14965000000000001</v>
      </c>
    </row>
    <row r="7212" spans="1:6" x14ac:dyDescent="0.3">
      <c r="A7212" t="s">
        <v>22</v>
      </c>
      <c r="B7212" s="1">
        <v>45958</v>
      </c>
      <c r="C7212">
        <v>11</v>
      </c>
      <c r="D7212">
        <v>2.5219999999999998</v>
      </c>
      <c r="E7212" t="s">
        <v>6</v>
      </c>
      <c r="F7212">
        <v>0.19058</v>
      </c>
    </row>
    <row r="7213" spans="1:6" x14ac:dyDescent="0.3">
      <c r="A7213" t="s">
        <v>22</v>
      </c>
      <c r="B7213" s="1">
        <v>45958</v>
      </c>
      <c r="C7213">
        <v>12</v>
      </c>
      <c r="D7213">
        <v>1.367</v>
      </c>
      <c r="E7213" t="s">
        <v>6</v>
      </c>
      <c r="F7213">
        <v>0.17561000000000002</v>
      </c>
    </row>
    <row r="7214" spans="1:6" x14ac:dyDescent="0.3">
      <c r="A7214" t="s">
        <v>22</v>
      </c>
      <c r="B7214" s="1">
        <v>45958</v>
      </c>
      <c r="C7214">
        <v>13</v>
      </c>
      <c r="D7214">
        <v>0</v>
      </c>
      <c r="E7214" t="s">
        <v>6</v>
      </c>
      <c r="F7214">
        <v>0.17394999999999999</v>
      </c>
    </row>
    <row r="7215" spans="1:6" x14ac:dyDescent="0.3">
      <c r="A7215" t="s">
        <v>22</v>
      </c>
      <c r="B7215" s="1">
        <v>45958</v>
      </c>
      <c r="C7215">
        <v>14</v>
      </c>
      <c r="D7215">
        <v>0</v>
      </c>
      <c r="E7215" t="s">
        <v>6</v>
      </c>
      <c r="F7215">
        <v>0.17498</v>
      </c>
    </row>
    <row r="7216" spans="1:6" x14ac:dyDescent="0.3">
      <c r="A7216" t="s">
        <v>22</v>
      </c>
      <c r="B7216" s="1">
        <v>45958</v>
      </c>
      <c r="C7216">
        <v>15</v>
      </c>
      <c r="D7216">
        <v>0</v>
      </c>
      <c r="E7216" t="s">
        <v>6</v>
      </c>
      <c r="F7216">
        <v>0.11949</v>
      </c>
    </row>
    <row r="7217" spans="1:6" x14ac:dyDescent="0.3">
      <c r="A7217" t="s">
        <v>22</v>
      </c>
      <c r="B7217" s="1">
        <v>45958</v>
      </c>
      <c r="C7217">
        <v>16</v>
      </c>
      <c r="D7217">
        <v>0</v>
      </c>
      <c r="E7217" t="s">
        <v>6</v>
      </c>
      <c r="F7217">
        <v>0.13088999999999998</v>
      </c>
    </row>
    <row r="7218" spans="1:6" x14ac:dyDescent="0.3">
      <c r="A7218" t="s">
        <v>22</v>
      </c>
      <c r="B7218" s="1">
        <v>45958</v>
      </c>
      <c r="C7218">
        <v>17</v>
      </c>
      <c r="D7218">
        <v>0</v>
      </c>
      <c r="E7218" t="s">
        <v>6</v>
      </c>
      <c r="F7218">
        <v>0.15480000000000002</v>
      </c>
    </row>
    <row r="7219" spans="1:6" x14ac:dyDescent="0.3">
      <c r="A7219" t="s">
        <v>22</v>
      </c>
      <c r="B7219" s="1">
        <v>45958</v>
      </c>
      <c r="C7219">
        <v>18</v>
      </c>
      <c r="D7219">
        <v>7.2999999999999995E-2</v>
      </c>
      <c r="E7219" t="s">
        <v>6</v>
      </c>
      <c r="F7219">
        <v>0.1668</v>
      </c>
    </row>
    <row r="7220" spans="1:6" x14ac:dyDescent="0.3">
      <c r="A7220" t="s">
        <v>22</v>
      </c>
      <c r="B7220" s="1">
        <v>45958</v>
      </c>
      <c r="C7220">
        <v>19</v>
      </c>
      <c r="D7220">
        <v>0.128</v>
      </c>
      <c r="E7220" t="s">
        <v>6</v>
      </c>
      <c r="F7220">
        <v>0.24912000000000001</v>
      </c>
    </row>
    <row r="7221" spans="1:6" x14ac:dyDescent="0.3">
      <c r="A7221" t="s">
        <v>22</v>
      </c>
      <c r="B7221" s="1">
        <v>45958</v>
      </c>
      <c r="C7221">
        <v>20</v>
      </c>
      <c r="D7221">
        <v>0.54700000000000004</v>
      </c>
      <c r="E7221" t="s">
        <v>6</v>
      </c>
      <c r="F7221">
        <v>0.25237999999999999</v>
      </c>
    </row>
    <row r="7222" spans="1:6" x14ac:dyDescent="0.3">
      <c r="A7222" t="s">
        <v>22</v>
      </c>
      <c r="B7222" s="1">
        <v>45958</v>
      </c>
      <c r="C7222">
        <v>21</v>
      </c>
      <c r="D7222">
        <v>0.69499999999999995</v>
      </c>
      <c r="E7222" t="s">
        <v>6</v>
      </c>
      <c r="F7222">
        <v>0.26558999999999999</v>
      </c>
    </row>
    <row r="7223" spans="1:6" x14ac:dyDescent="0.3">
      <c r="A7223" t="s">
        <v>22</v>
      </c>
      <c r="B7223" s="1">
        <v>45958</v>
      </c>
      <c r="C7223">
        <v>22</v>
      </c>
      <c r="D7223">
        <v>2.8570000000000002</v>
      </c>
      <c r="E7223" t="s">
        <v>6</v>
      </c>
      <c r="F7223">
        <v>0.25308999999999998</v>
      </c>
    </row>
    <row r="7224" spans="1:6" x14ac:dyDescent="0.3">
      <c r="A7224" t="s">
        <v>22</v>
      </c>
      <c r="B7224" s="1">
        <v>45958</v>
      </c>
      <c r="C7224">
        <v>23</v>
      </c>
      <c r="D7224">
        <v>1.6479999999999999</v>
      </c>
      <c r="E7224" t="s">
        <v>6</v>
      </c>
      <c r="F7224">
        <v>0.1706</v>
      </c>
    </row>
    <row r="7225" spans="1:6" x14ac:dyDescent="0.3">
      <c r="A7225" t="s">
        <v>22</v>
      </c>
      <c r="B7225" s="1">
        <v>45958</v>
      </c>
      <c r="C7225">
        <v>24</v>
      </c>
      <c r="D7225">
        <v>1.6419999999999999</v>
      </c>
      <c r="E7225" t="s">
        <v>6</v>
      </c>
      <c r="F7225">
        <v>0.16361000000000001</v>
      </c>
    </row>
    <row r="7226" spans="1:6" x14ac:dyDescent="0.3">
      <c r="A7226" t="s">
        <v>22</v>
      </c>
      <c r="B7226" s="1">
        <v>45959</v>
      </c>
      <c r="C7226">
        <v>1</v>
      </c>
      <c r="D7226">
        <v>1.6870000000000001</v>
      </c>
      <c r="E7226" t="s">
        <v>6</v>
      </c>
      <c r="F7226">
        <v>0.11415</v>
      </c>
    </row>
    <row r="7227" spans="1:6" x14ac:dyDescent="0.3">
      <c r="A7227" t="s">
        <v>22</v>
      </c>
      <c r="B7227" s="1">
        <v>45959</v>
      </c>
      <c r="C7227">
        <v>2</v>
      </c>
      <c r="D7227">
        <v>1.8169999999999999</v>
      </c>
      <c r="E7227" t="s">
        <v>6</v>
      </c>
      <c r="F7227">
        <v>0.11259000000000001</v>
      </c>
    </row>
    <row r="7228" spans="1:6" x14ac:dyDescent="0.3">
      <c r="A7228" t="s">
        <v>22</v>
      </c>
      <c r="B7228" s="1">
        <v>45959</v>
      </c>
      <c r="C7228">
        <v>3</v>
      </c>
      <c r="D7228">
        <v>2.3620000000000001</v>
      </c>
      <c r="E7228" t="s">
        <v>6</v>
      </c>
      <c r="F7228">
        <v>0.11087999999999999</v>
      </c>
    </row>
    <row r="7229" spans="1:6" x14ac:dyDescent="0.3">
      <c r="A7229" t="s">
        <v>22</v>
      </c>
      <c r="B7229" s="1">
        <v>45959</v>
      </c>
      <c r="C7229">
        <v>4</v>
      </c>
      <c r="D7229">
        <v>1.4450000000000001</v>
      </c>
      <c r="E7229" t="s">
        <v>6</v>
      </c>
      <c r="F7229">
        <v>0.10434</v>
      </c>
    </row>
    <row r="7230" spans="1:6" x14ac:dyDescent="0.3">
      <c r="A7230" t="s">
        <v>22</v>
      </c>
      <c r="B7230" s="1">
        <v>45959</v>
      </c>
      <c r="C7230">
        <v>5</v>
      </c>
      <c r="D7230">
        <v>1.571</v>
      </c>
      <c r="E7230" t="s">
        <v>6</v>
      </c>
      <c r="F7230">
        <v>0.1061</v>
      </c>
    </row>
    <row r="7231" spans="1:6" x14ac:dyDescent="0.3">
      <c r="A7231" t="s">
        <v>22</v>
      </c>
      <c r="B7231" s="1">
        <v>45959</v>
      </c>
      <c r="C7231">
        <v>6</v>
      </c>
      <c r="D7231">
        <v>1.583</v>
      </c>
      <c r="E7231" t="s">
        <v>6</v>
      </c>
      <c r="F7231">
        <v>0.10723999999999999</v>
      </c>
    </row>
    <row r="7232" spans="1:6" x14ac:dyDescent="0.3">
      <c r="A7232" t="s">
        <v>22</v>
      </c>
      <c r="B7232" s="1">
        <v>45959</v>
      </c>
      <c r="C7232">
        <v>7</v>
      </c>
      <c r="D7232">
        <v>1.47</v>
      </c>
      <c r="E7232" t="s">
        <v>6</v>
      </c>
      <c r="F7232">
        <v>0.11502</v>
      </c>
    </row>
    <row r="7233" spans="1:6" x14ac:dyDescent="0.3">
      <c r="A7233" t="s">
        <v>22</v>
      </c>
      <c r="B7233" s="1">
        <v>45959</v>
      </c>
      <c r="C7233">
        <v>8</v>
      </c>
      <c r="D7233">
        <v>1.8129999999999999</v>
      </c>
      <c r="E7233" t="s">
        <v>6</v>
      </c>
      <c r="F7233">
        <v>0.13569999999999999</v>
      </c>
    </row>
    <row r="7234" spans="1:6" x14ac:dyDescent="0.3">
      <c r="A7234" t="s">
        <v>22</v>
      </c>
      <c r="B7234" s="1">
        <v>45959</v>
      </c>
      <c r="C7234">
        <v>9</v>
      </c>
      <c r="D7234">
        <v>2.4289999999999998</v>
      </c>
      <c r="E7234" t="s">
        <v>6</v>
      </c>
      <c r="F7234">
        <v>0.16718</v>
      </c>
    </row>
    <row r="7235" spans="1:6" x14ac:dyDescent="0.3">
      <c r="A7235" t="s">
        <v>22</v>
      </c>
      <c r="B7235" s="1">
        <v>45959</v>
      </c>
      <c r="C7235">
        <v>10</v>
      </c>
      <c r="D7235">
        <v>2.9319999999999999</v>
      </c>
      <c r="E7235" t="s">
        <v>6</v>
      </c>
      <c r="F7235">
        <v>0.14909999999999998</v>
      </c>
    </row>
    <row r="7236" spans="1:6" x14ac:dyDescent="0.3">
      <c r="A7236" t="s">
        <v>22</v>
      </c>
      <c r="B7236" s="1">
        <v>45959</v>
      </c>
      <c r="C7236">
        <v>11</v>
      </c>
      <c r="D7236">
        <v>2.9020000000000001</v>
      </c>
      <c r="E7236" t="s">
        <v>6</v>
      </c>
      <c r="F7236">
        <v>0.20074</v>
      </c>
    </row>
    <row r="7237" spans="1:6" x14ac:dyDescent="0.3">
      <c r="A7237" t="s">
        <v>22</v>
      </c>
      <c r="B7237" s="1">
        <v>45959</v>
      </c>
      <c r="C7237">
        <v>12</v>
      </c>
      <c r="D7237">
        <v>2.37</v>
      </c>
      <c r="E7237" t="s">
        <v>6</v>
      </c>
      <c r="F7237">
        <v>0.19374</v>
      </c>
    </row>
    <row r="7238" spans="1:6" x14ac:dyDescent="0.3">
      <c r="A7238" t="s">
        <v>22</v>
      </c>
      <c r="B7238" s="1">
        <v>45959</v>
      </c>
      <c r="C7238">
        <v>13</v>
      </c>
      <c r="D7238">
        <v>0.57499999999999996</v>
      </c>
      <c r="E7238" t="s">
        <v>6</v>
      </c>
      <c r="F7238">
        <v>0.19346000000000002</v>
      </c>
    </row>
    <row r="7239" spans="1:6" x14ac:dyDescent="0.3">
      <c r="A7239" t="s">
        <v>22</v>
      </c>
      <c r="B7239" s="1">
        <v>45959</v>
      </c>
      <c r="C7239">
        <v>14</v>
      </c>
      <c r="D7239">
        <v>0.71699999999999997</v>
      </c>
      <c r="E7239" t="s">
        <v>6</v>
      </c>
      <c r="F7239">
        <v>0.19294999999999998</v>
      </c>
    </row>
    <row r="7240" spans="1:6" x14ac:dyDescent="0.3">
      <c r="A7240" t="s">
        <v>22</v>
      </c>
      <c r="B7240" s="1">
        <v>45959</v>
      </c>
      <c r="C7240">
        <v>15</v>
      </c>
      <c r="D7240">
        <v>0.1</v>
      </c>
      <c r="E7240" t="s">
        <v>6</v>
      </c>
      <c r="F7240">
        <v>0.13885</v>
      </c>
    </row>
    <row r="7241" spans="1:6" x14ac:dyDescent="0.3">
      <c r="A7241" t="s">
        <v>22</v>
      </c>
      <c r="B7241" s="1">
        <v>45959</v>
      </c>
      <c r="C7241">
        <v>16</v>
      </c>
      <c r="D7241">
        <v>0.41599999999999998</v>
      </c>
      <c r="E7241" t="s">
        <v>6</v>
      </c>
      <c r="F7241">
        <v>0.15090000000000001</v>
      </c>
    </row>
    <row r="7242" spans="1:6" x14ac:dyDescent="0.3">
      <c r="A7242" t="s">
        <v>22</v>
      </c>
      <c r="B7242" s="1">
        <v>45959</v>
      </c>
      <c r="C7242">
        <v>17</v>
      </c>
      <c r="D7242">
        <v>0.73799999999999999</v>
      </c>
      <c r="E7242" t="s">
        <v>6</v>
      </c>
      <c r="F7242">
        <v>0.16188999999999998</v>
      </c>
    </row>
    <row r="7243" spans="1:6" x14ac:dyDescent="0.3">
      <c r="A7243" t="s">
        <v>22</v>
      </c>
      <c r="B7243" s="1">
        <v>45959</v>
      </c>
      <c r="C7243">
        <v>18</v>
      </c>
      <c r="D7243">
        <v>1.246</v>
      </c>
      <c r="E7243" t="s">
        <v>6</v>
      </c>
      <c r="F7243">
        <v>0.18029000000000001</v>
      </c>
    </row>
    <row r="7244" spans="1:6" x14ac:dyDescent="0.3">
      <c r="A7244" t="s">
        <v>22</v>
      </c>
      <c r="B7244" s="1">
        <v>45959</v>
      </c>
      <c r="C7244">
        <v>19</v>
      </c>
      <c r="D7244">
        <v>1.3140000000000001</v>
      </c>
      <c r="E7244" t="s">
        <v>6</v>
      </c>
      <c r="F7244">
        <v>0.26602999999999999</v>
      </c>
    </row>
    <row r="7245" spans="1:6" x14ac:dyDescent="0.3">
      <c r="A7245" t="s">
        <v>22</v>
      </c>
      <c r="B7245" s="1">
        <v>45959</v>
      </c>
      <c r="C7245">
        <v>20</v>
      </c>
      <c r="D7245">
        <v>1.242</v>
      </c>
      <c r="E7245" t="s">
        <v>6</v>
      </c>
      <c r="F7245">
        <v>0.28285000000000005</v>
      </c>
    </row>
    <row r="7246" spans="1:6" x14ac:dyDescent="0.3">
      <c r="A7246" t="s">
        <v>22</v>
      </c>
      <c r="B7246" s="1">
        <v>45959</v>
      </c>
      <c r="C7246">
        <v>21</v>
      </c>
      <c r="D7246">
        <v>1.423</v>
      </c>
      <c r="E7246" t="s">
        <v>6</v>
      </c>
      <c r="F7246">
        <v>0.29082999999999998</v>
      </c>
    </row>
    <row r="7247" spans="1:6" x14ac:dyDescent="0.3">
      <c r="A7247" t="s">
        <v>22</v>
      </c>
      <c r="B7247" s="1">
        <v>45959</v>
      </c>
      <c r="C7247">
        <v>22</v>
      </c>
      <c r="D7247">
        <v>1.3859999999999999</v>
      </c>
      <c r="E7247" t="s">
        <v>6</v>
      </c>
      <c r="F7247">
        <v>0.27788999999999997</v>
      </c>
    </row>
    <row r="7248" spans="1:6" x14ac:dyDescent="0.3">
      <c r="A7248" t="s">
        <v>22</v>
      </c>
      <c r="B7248" s="1">
        <v>45959</v>
      </c>
      <c r="C7248">
        <v>23</v>
      </c>
      <c r="D7248">
        <v>1.417</v>
      </c>
      <c r="E7248" t="s">
        <v>6</v>
      </c>
      <c r="F7248">
        <v>0.18922999999999998</v>
      </c>
    </row>
    <row r="7249" spans="1:6" x14ac:dyDescent="0.3">
      <c r="A7249" t="s">
        <v>22</v>
      </c>
      <c r="B7249" s="1">
        <v>45959</v>
      </c>
      <c r="C7249">
        <v>24</v>
      </c>
      <c r="D7249">
        <v>1.3140000000000001</v>
      </c>
      <c r="E7249" t="s">
        <v>6</v>
      </c>
      <c r="F7249">
        <v>0.17157</v>
      </c>
    </row>
    <row r="7250" spans="1:6" x14ac:dyDescent="0.3">
      <c r="A7250" t="s">
        <v>22</v>
      </c>
      <c r="B7250" s="1">
        <v>45960</v>
      </c>
      <c r="C7250">
        <v>1</v>
      </c>
      <c r="D7250">
        <v>0.83599999999999997</v>
      </c>
      <c r="E7250" t="s">
        <v>6</v>
      </c>
      <c r="F7250">
        <v>0.15499000000000002</v>
      </c>
    </row>
    <row r="7251" spans="1:6" x14ac:dyDescent="0.3">
      <c r="A7251" t="s">
        <v>22</v>
      </c>
      <c r="B7251" s="1">
        <v>45960</v>
      </c>
      <c r="C7251">
        <v>2</v>
      </c>
      <c r="D7251">
        <v>0.95699999999999996</v>
      </c>
      <c r="E7251" t="s">
        <v>6</v>
      </c>
      <c r="F7251">
        <v>0.14604</v>
      </c>
    </row>
    <row r="7252" spans="1:6" x14ac:dyDescent="0.3">
      <c r="A7252" t="s">
        <v>22</v>
      </c>
      <c r="B7252" s="1">
        <v>45960</v>
      </c>
      <c r="C7252">
        <v>3</v>
      </c>
      <c r="D7252">
        <v>0.85299999999999998</v>
      </c>
      <c r="E7252" t="s">
        <v>6</v>
      </c>
      <c r="F7252">
        <v>0.13880999999999999</v>
      </c>
    </row>
    <row r="7253" spans="1:6" x14ac:dyDescent="0.3">
      <c r="A7253" t="s">
        <v>22</v>
      </c>
      <c r="B7253" s="1">
        <v>45960</v>
      </c>
      <c r="C7253">
        <v>4</v>
      </c>
      <c r="D7253">
        <v>0.89500000000000002</v>
      </c>
      <c r="E7253" t="s">
        <v>6</v>
      </c>
      <c r="F7253">
        <v>0.13361000000000001</v>
      </c>
    </row>
    <row r="7254" spans="1:6" x14ac:dyDescent="0.3">
      <c r="A7254" t="s">
        <v>22</v>
      </c>
      <c r="B7254" s="1">
        <v>45960</v>
      </c>
      <c r="C7254">
        <v>5</v>
      </c>
      <c r="D7254">
        <v>1.145</v>
      </c>
      <c r="E7254" t="s">
        <v>6</v>
      </c>
      <c r="F7254">
        <v>0.12362000000000001</v>
      </c>
    </row>
    <row r="7255" spans="1:6" x14ac:dyDescent="0.3">
      <c r="A7255" t="s">
        <v>22</v>
      </c>
      <c r="B7255" s="1">
        <v>45960</v>
      </c>
      <c r="C7255">
        <v>6</v>
      </c>
      <c r="D7255">
        <v>0.95199999999999996</v>
      </c>
      <c r="E7255" t="s">
        <v>6</v>
      </c>
      <c r="F7255">
        <v>0.12138</v>
      </c>
    </row>
    <row r="7256" spans="1:6" x14ac:dyDescent="0.3">
      <c r="A7256" t="s">
        <v>22</v>
      </c>
      <c r="B7256" s="1">
        <v>45960</v>
      </c>
      <c r="C7256">
        <v>7</v>
      </c>
      <c r="D7256">
        <v>1.157</v>
      </c>
      <c r="E7256" t="s">
        <v>6</v>
      </c>
      <c r="F7256">
        <v>0.13994000000000001</v>
      </c>
    </row>
    <row r="7257" spans="1:6" x14ac:dyDescent="0.3">
      <c r="A7257" t="s">
        <v>22</v>
      </c>
      <c r="B7257" s="1">
        <v>45960</v>
      </c>
      <c r="C7257">
        <v>8</v>
      </c>
      <c r="D7257">
        <v>1.042</v>
      </c>
      <c r="E7257" t="s">
        <v>6</v>
      </c>
      <c r="F7257">
        <v>0.15968000000000002</v>
      </c>
    </row>
    <row r="7258" spans="1:6" x14ac:dyDescent="0.3">
      <c r="A7258" t="s">
        <v>22</v>
      </c>
      <c r="B7258" s="1">
        <v>45960</v>
      </c>
      <c r="C7258">
        <v>9</v>
      </c>
      <c r="D7258">
        <v>1.966</v>
      </c>
      <c r="E7258" t="s">
        <v>6</v>
      </c>
      <c r="F7258">
        <v>0.18390000000000001</v>
      </c>
    </row>
    <row r="7259" spans="1:6" x14ac:dyDescent="0.3">
      <c r="A7259" t="s">
        <v>22</v>
      </c>
      <c r="B7259" s="1">
        <v>45960</v>
      </c>
      <c r="C7259">
        <v>10</v>
      </c>
      <c r="D7259">
        <v>1.4330000000000001</v>
      </c>
      <c r="E7259" t="s">
        <v>6</v>
      </c>
      <c r="F7259">
        <v>0.16622000000000001</v>
      </c>
    </row>
    <row r="7260" spans="1:6" x14ac:dyDescent="0.3">
      <c r="A7260" t="s">
        <v>22</v>
      </c>
      <c r="B7260" s="1">
        <v>45960</v>
      </c>
      <c r="C7260">
        <v>11</v>
      </c>
      <c r="D7260">
        <v>1.8680000000000001</v>
      </c>
      <c r="E7260" t="s">
        <v>6</v>
      </c>
      <c r="F7260">
        <v>0.18487999999999999</v>
      </c>
    </row>
    <row r="7261" spans="1:6" x14ac:dyDescent="0.3">
      <c r="A7261" t="s">
        <v>22</v>
      </c>
      <c r="B7261" s="1">
        <v>45960</v>
      </c>
      <c r="C7261">
        <v>12</v>
      </c>
      <c r="D7261">
        <v>0.157</v>
      </c>
      <c r="E7261" t="s">
        <v>6</v>
      </c>
      <c r="F7261">
        <v>0.15746000000000002</v>
      </c>
    </row>
    <row r="7262" spans="1:6" x14ac:dyDescent="0.3">
      <c r="A7262" t="s">
        <v>22</v>
      </c>
      <c r="B7262" s="1">
        <v>45960</v>
      </c>
      <c r="C7262">
        <v>13</v>
      </c>
      <c r="D7262">
        <v>0</v>
      </c>
      <c r="E7262" t="s">
        <v>6</v>
      </c>
      <c r="F7262">
        <v>0.13346</v>
      </c>
    </row>
    <row r="7263" spans="1:6" x14ac:dyDescent="0.3">
      <c r="A7263" t="s">
        <v>22</v>
      </c>
      <c r="B7263" s="1">
        <v>45960</v>
      </c>
      <c r="C7263">
        <v>14</v>
      </c>
      <c r="D7263">
        <v>0</v>
      </c>
      <c r="E7263" t="s">
        <v>6</v>
      </c>
      <c r="F7263">
        <v>0.13172</v>
      </c>
    </row>
    <row r="7264" spans="1:6" x14ac:dyDescent="0.3">
      <c r="A7264" t="s">
        <v>22</v>
      </c>
      <c r="B7264" s="1">
        <v>45960</v>
      </c>
      <c r="C7264">
        <v>15</v>
      </c>
      <c r="D7264">
        <v>0</v>
      </c>
      <c r="E7264" t="s">
        <v>6</v>
      </c>
      <c r="F7264">
        <v>6.5349999999999991E-2</v>
      </c>
    </row>
    <row r="7265" spans="1:6" x14ac:dyDescent="0.3">
      <c r="A7265" t="s">
        <v>22</v>
      </c>
      <c r="B7265" s="1">
        <v>45960</v>
      </c>
      <c r="C7265">
        <v>16</v>
      </c>
      <c r="D7265">
        <v>0</v>
      </c>
      <c r="E7265" t="s">
        <v>6</v>
      </c>
      <c r="F7265">
        <v>7.8290000000000012E-2</v>
      </c>
    </row>
    <row r="7266" spans="1:6" x14ac:dyDescent="0.3">
      <c r="A7266" t="s">
        <v>22</v>
      </c>
      <c r="B7266" s="1">
        <v>45960</v>
      </c>
      <c r="C7266">
        <v>17</v>
      </c>
      <c r="D7266">
        <v>0</v>
      </c>
      <c r="E7266" t="s">
        <v>6</v>
      </c>
      <c r="F7266">
        <v>0.11971999999999999</v>
      </c>
    </row>
    <row r="7267" spans="1:6" x14ac:dyDescent="0.3">
      <c r="A7267" t="s">
        <v>22</v>
      </c>
      <c r="B7267" s="1">
        <v>45960</v>
      </c>
      <c r="C7267">
        <v>18</v>
      </c>
      <c r="D7267">
        <v>2.5150000000000001</v>
      </c>
      <c r="E7267" t="s">
        <v>6</v>
      </c>
      <c r="F7267">
        <v>0.16803999999999999</v>
      </c>
    </row>
    <row r="7268" spans="1:6" x14ac:dyDescent="0.3">
      <c r="A7268" t="s">
        <v>22</v>
      </c>
      <c r="B7268" s="1">
        <v>45960</v>
      </c>
      <c r="C7268">
        <v>19</v>
      </c>
      <c r="D7268">
        <v>1.7969999999999999</v>
      </c>
      <c r="E7268" t="s">
        <v>6</v>
      </c>
      <c r="F7268">
        <v>0.24672999999999998</v>
      </c>
    </row>
    <row r="7269" spans="1:6" x14ac:dyDescent="0.3">
      <c r="A7269" t="s">
        <v>22</v>
      </c>
      <c r="B7269" s="1">
        <v>45960</v>
      </c>
      <c r="C7269">
        <v>20</v>
      </c>
      <c r="D7269">
        <v>1.605</v>
      </c>
      <c r="E7269" t="s">
        <v>6</v>
      </c>
      <c r="F7269">
        <v>0.24765000000000001</v>
      </c>
    </row>
    <row r="7270" spans="1:6" x14ac:dyDescent="0.3">
      <c r="A7270" t="s">
        <v>22</v>
      </c>
      <c r="B7270" s="1">
        <v>45960</v>
      </c>
      <c r="C7270">
        <v>21</v>
      </c>
      <c r="D7270">
        <v>1.4059999999999999</v>
      </c>
      <c r="E7270" t="s">
        <v>6</v>
      </c>
      <c r="F7270">
        <v>0.26433000000000001</v>
      </c>
    </row>
    <row r="7271" spans="1:6" x14ac:dyDescent="0.3">
      <c r="A7271" t="s">
        <v>22</v>
      </c>
      <c r="B7271" s="1">
        <v>45960</v>
      </c>
      <c r="C7271">
        <v>22</v>
      </c>
      <c r="D7271">
        <v>1.915</v>
      </c>
      <c r="E7271" t="s">
        <v>6</v>
      </c>
      <c r="F7271">
        <v>0.24296999999999999</v>
      </c>
    </row>
    <row r="7272" spans="1:6" x14ac:dyDescent="0.3">
      <c r="A7272" t="s">
        <v>22</v>
      </c>
      <c r="B7272" s="1">
        <v>45960</v>
      </c>
      <c r="C7272">
        <v>23</v>
      </c>
      <c r="D7272">
        <v>1.256</v>
      </c>
      <c r="E7272" t="s">
        <v>6</v>
      </c>
      <c r="F7272">
        <v>0.16833999999999999</v>
      </c>
    </row>
    <row r="7273" spans="1:6" x14ac:dyDescent="0.3">
      <c r="A7273" t="s">
        <v>22</v>
      </c>
      <c r="B7273" s="1">
        <v>45960</v>
      </c>
      <c r="C7273">
        <v>24</v>
      </c>
      <c r="D7273">
        <v>1.095</v>
      </c>
      <c r="E7273" t="s">
        <v>6</v>
      </c>
      <c r="F7273">
        <v>0.15506</v>
      </c>
    </row>
    <row r="7274" spans="1:6" x14ac:dyDescent="0.3">
      <c r="A7274" t="s">
        <v>22</v>
      </c>
      <c r="B7274" s="1">
        <v>45961</v>
      </c>
      <c r="C7274">
        <v>1</v>
      </c>
      <c r="D7274">
        <v>1.236</v>
      </c>
      <c r="E7274" t="s">
        <v>6</v>
      </c>
      <c r="F7274">
        <v>0.12433</v>
      </c>
    </row>
    <row r="7275" spans="1:6" x14ac:dyDescent="0.3">
      <c r="A7275" t="s">
        <v>22</v>
      </c>
      <c r="B7275" s="1">
        <v>45961</v>
      </c>
      <c r="C7275">
        <v>2</v>
      </c>
      <c r="D7275">
        <v>1.0629999999999999</v>
      </c>
      <c r="E7275" t="s">
        <v>6</v>
      </c>
      <c r="F7275">
        <v>0.11072</v>
      </c>
    </row>
    <row r="7276" spans="1:6" x14ac:dyDescent="0.3">
      <c r="A7276" t="s">
        <v>22</v>
      </c>
      <c r="B7276" s="1">
        <v>45961</v>
      </c>
      <c r="C7276">
        <v>3</v>
      </c>
      <c r="D7276">
        <v>0.96499999999999997</v>
      </c>
      <c r="E7276" t="s">
        <v>6</v>
      </c>
      <c r="F7276">
        <v>0.11328000000000001</v>
      </c>
    </row>
    <row r="7277" spans="1:6" x14ac:dyDescent="0.3">
      <c r="A7277" t="s">
        <v>22</v>
      </c>
      <c r="B7277" s="1">
        <v>45961</v>
      </c>
      <c r="C7277">
        <v>4</v>
      </c>
      <c r="D7277">
        <v>1.0980000000000001</v>
      </c>
      <c r="E7277" t="s">
        <v>6</v>
      </c>
      <c r="F7277">
        <v>0.10895000000000001</v>
      </c>
    </row>
    <row r="7278" spans="1:6" x14ac:dyDescent="0.3">
      <c r="A7278" t="s">
        <v>22</v>
      </c>
      <c r="B7278" s="1">
        <v>45961</v>
      </c>
      <c r="C7278">
        <v>5</v>
      </c>
      <c r="D7278">
        <v>1.1240000000000001</v>
      </c>
      <c r="E7278" t="s">
        <v>6</v>
      </c>
      <c r="F7278">
        <v>0.10882</v>
      </c>
    </row>
    <row r="7279" spans="1:6" x14ac:dyDescent="0.3">
      <c r="A7279" t="s">
        <v>22</v>
      </c>
      <c r="B7279" s="1">
        <v>45961</v>
      </c>
      <c r="C7279">
        <v>6</v>
      </c>
      <c r="D7279">
        <v>0.91400000000000003</v>
      </c>
      <c r="E7279" t="s">
        <v>6</v>
      </c>
      <c r="F7279">
        <v>0.10818000000000001</v>
      </c>
    </row>
    <row r="7280" spans="1:6" x14ac:dyDescent="0.3">
      <c r="A7280" t="s">
        <v>22</v>
      </c>
      <c r="B7280" s="1">
        <v>45961</v>
      </c>
      <c r="C7280">
        <v>7</v>
      </c>
      <c r="D7280">
        <v>0.91</v>
      </c>
      <c r="E7280" t="s">
        <v>6</v>
      </c>
      <c r="F7280">
        <v>0.12203</v>
      </c>
    </row>
    <row r="7281" spans="1:6" x14ac:dyDescent="0.3">
      <c r="A7281" t="s">
        <v>22</v>
      </c>
      <c r="B7281" s="1">
        <v>45961</v>
      </c>
      <c r="C7281">
        <v>8</v>
      </c>
      <c r="D7281">
        <v>1.1679999999999999</v>
      </c>
      <c r="E7281" t="s">
        <v>6</v>
      </c>
      <c r="F7281">
        <v>0.12859000000000001</v>
      </c>
    </row>
    <row r="7282" spans="1:6" x14ac:dyDescent="0.3">
      <c r="A7282" t="s">
        <v>22</v>
      </c>
      <c r="B7282" s="1">
        <v>45961</v>
      </c>
      <c r="C7282">
        <v>9</v>
      </c>
      <c r="D7282">
        <v>0.90100000000000002</v>
      </c>
      <c r="E7282" t="s">
        <v>6</v>
      </c>
      <c r="F7282">
        <v>0.15691999999999998</v>
      </c>
    </row>
    <row r="7283" spans="1:6" x14ac:dyDescent="0.3">
      <c r="A7283" t="s">
        <v>22</v>
      </c>
      <c r="B7283" s="1">
        <v>45961</v>
      </c>
      <c r="C7283">
        <v>10</v>
      </c>
      <c r="D7283">
        <v>0</v>
      </c>
      <c r="E7283" t="s">
        <v>6</v>
      </c>
      <c r="F7283">
        <v>0.13478000000000001</v>
      </c>
    </row>
    <row r="7284" spans="1:6" x14ac:dyDescent="0.3">
      <c r="A7284" t="s">
        <v>22</v>
      </c>
      <c r="B7284" s="1">
        <v>45961</v>
      </c>
      <c r="C7284">
        <v>11</v>
      </c>
      <c r="D7284">
        <v>0</v>
      </c>
      <c r="E7284" t="s">
        <v>6</v>
      </c>
      <c r="F7284">
        <v>0.17274999999999999</v>
      </c>
    </row>
    <row r="7285" spans="1:6" x14ac:dyDescent="0.3">
      <c r="A7285" t="s">
        <v>22</v>
      </c>
      <c r="B7285" s="1">
        <v>45961</v>
      </c>
      <c r="C7285">
        <v>12</v>
      </c>
      <c r="D7285">
        <v>0</v>
      </c>
      <c r="E7285" t="s">
        <v>6</v>
      </c>
      <c r="F7285">
        <v>0.15490000000000001</v>
      </c>
    </row>
    <row r="7286" spans="1:6" x14ac:dyDescent="0.3">
      <c r="A7286" t="s">
        <v>22</v>
      </c>
      <c r="B7286" s="1">
        <v>45961</v>
      </c>
      <c r="C7286">
        <v>13</v>
      </c>
      <c r="D7286">
        <v>0</v>
      </c>
      <c r="E7286" t="s">
        <v>6</v>
      </c>
      <c r="F7286">
        <v>0.15392</v>
      </c>
    </row>
    <row r="7287" spans="1:6" x14ac:dyDescent="0.3">
      <c r="A7287" t="s">
        <v>22</v>
      </c>
      <c r="B7287" s="1">
        <v>45961</v>
      </c>
      <c r="C7287">
        <v>14</v>
      </c>
      <c r="D7287">
        <v>0</v>
      </c>
      <c r="E7287" t="s">
        <v>6</v>
      </c>
      <c r="F7287">
        <v>0.14995</v>
      </c>
    </row>
    <row r="7288" spans="1:6" x14ac:dyDescent="0.3">
      <c r="A7288" t="s">
        <v>22</v>
      </c>
      <c r="B7288" s="1">
        <v>45961</v>
      </c>
      <c r="C7288">
        <v>15</v>
      </c>
      <c r="D7288">
        <v>0</v>
      </c>
      <c r="E7288" t="s">
        <v>6</v>
      </c>
      <c r="F7288">
        <v>8.5790000000000005E-2</v>
      </c>
    </row>
    <row r="7289" spans="1:6" x14ac:dyDescent="0.3">
      <c r="A7289" t="s">
        <v>22</v>
      </c>
      <c r="B7289" s="1">
        <v>45961</v>
      </c>
      <c r="C7289">
        <v>16</v>
      </c>
      <c r="D7289">
        <v>0.64500000000000002</v>
      </c>
      <c r="E7289" t="s">
        <v>6</v>
      </c>
      <c r="F7289">
        <v>9.5129999999999992E-2</v>
      </c>
    </row>
    <row r="7290" spans="1:6" x14ac:dyDescent="0.3">
      <c r="A7290" t="s">
        <v>22</v>
      </c>
      <c r="B7290" s="1">
        <v>45961</v>
      </c>
      <c r="C7290">
        <v>17</v>
      </c>
      <c r="D7290">
        <v>4.28</v>
      </c>
      <c r="E7290" t="s">
        <v>6</v>
      </c>
      <c r="F7290">
        <v>0.11973</v>
      </c>
    </row>
    <row r="7291" spans="1:6" x14ac:dyDescent="0.3">
      <c r="A7291" t="s">
        <v>22</v>
      </c>
      <c r="B7291" s="1">
        <v>45961</v>
      </c>
      <c r="C7291">
        <v>18</v>
      </c>
      <c r="D7291">
        <v>5.5549999999999997</v>
      </c>
      <c r="E7291" t="s">
        <v>6</v>
      </c>
      <c r="F7291">
        <v>0.14956</v>
      </c>
    </row>
    <row r="7292" spans="1:6" x14ac:dyDescent="0.3">
      <c r="A7292" t="s">
        <v>22</v>
      </c>
      <c r="B7292" s="1">
        <v>45961</v>
      </c>
      <c r="C7292">
        <v>19</v>
      </c>
      <c r="D7292">
        <v>2.4569999999999999</v>
      </c>
      <c r="E7292" t="s">
        <v>6</v>
      </c>
      <c r="F7292">
        <v>0.22733</v>
      </c>
    </row>
    <row r="7293" spans="1:6" x14ac:dyDescent="0.3">
      <c r="A7293" t="s">
        <v>22</v>
      </c>
      <c r="B7293" s="1">
        <v>45961</v>
      </c>
      <c r="C7293">
        <v>20</v>
      </c>
      <c r="D7293">
        <v>2.1230000000000002</v>
      </c>
      <c r="E7293" t="s">
        <v>6</v>
      </c>
      <c r="F7293">
        <v>0.23483000000000001</v>
      </c>
    </row>
    <row r="7294" spans="1:6" x14ac:dyDescent="0.3">
      <c r="A7294" t="s">
        <v>22</v>
      </c>
      <c r="B7294" s="1">
        <v>45961</v>
      </c>
      <c r="C7294">
        <v>21</v>
      </c>
      <c r="D7294">
        <v>1.228</v>
      </c>
      <c r="E7294" t="s">
        <v>6</v>
      </c>
      <c r="F7294">
        <v>0.23798</v>
      </c>
    </row>
    <row r="7295" spans="1:6" x14ac:dyDescent="0.3">
      <c r="A7295" t="s">
        <v>22</v>
      </c>
      <c r="B7295" s="1">
        <v>45961</v>
      </c>
      <c r="C7295">
        <v>22</v>
      </c>
      <c r="D7295">
        <v>1.24</v>
      </c>
      <c r="E7295" t="s">
        <v>6</v>
      </c>
      <c r="F7295">
        <v>0.2278</v>
      </c>
    </row>
    <row r="7296" spans="1:6" x14ac:dyDescent="0.3">
      <c r="A7296" t="s">
        <v>22</v>
      </c>
      <c r="B7296" s="1">
        <v>45961</v>
      </c>
      <c r="C7296">
        <v>23</v>
      </c>
      <c r="D7296">
        <v>0.99</v>
      </c>
      <c r="E7296" t="s">
        <v>6</v>
      </c>
      <c r="F7296">
        <v>0.15850999999999998</v>
      </c>
    </row>
    <row r="7297" spans="1:6" x14ac:dyDescent="0.3">
      <c r="A7297" t="s">
        <v>22</v>
      </c>
      <c r="B7297" s="1">
        <v>45961</v>
      </c>
      <c r="C7297">
        <v>24</v>
      </c>
      <c r="D7297">
        <v>1.2230000000000001</v>
      </c>
      <c r="E7297" t="s">
        <v>6</v>
      </c>
      <c r="F7297">
        <v>0.14874999999999999</v>
      </c>
    </row>
    <row r="7298" spans="1:6" x14ac:dyDescent="0.3">
      <c r="A7298" t="s">
        <v>22</v>
      </c>
      <c r="B7298" s="1">
        <v>45962</v>
      </c>
      <c r="C7298">
        <v>1</v>
      </c>
      <c r="D7298">
        <v>0.96599999999999997</v>
      </c>
      <c r="E7298" t="s">
        <v>6</v>
      </c>
      <c r="F7298">
        <v>0.10854000000000001</v>
      </c>
    </row>
    <row r="7299" spans="1:6" x14ac:dyDescent="0.3">
      <c r="A7299" t="s">
        <v>22</v>
      </c>
      <c r="B7299" s="1">
        <v>45962</v>
      </c>
      <c r="C7299">
        <v>2</v>
      </c>
      <c r="D7299">
        <v>1.25</v>
      </c>
      <c r="E7299" t="s">
        <v>6</v>
      </c>
      <c r="F7299">
        <v>8.8069999999999996E-2</v>
      </c>
    </row>
    <row r="7300" spans="1:6" x14ac:dyDescent="0.3">
      <c r="A7300" t="s">
        <v>22</v>
      </c>
      <c r="B7300" s="1">
        <v>45962</v>
      </c>
      <c r="C7300">
        <v>3</v>
      </c>
      <c r="D7300">
        <v>1.119</v>
      </c>
      <c r="E7300" t="s">
        <v>6</v>
      </c>
      <c r="F7300">
        <v>8.992E-2</v>
      </c>
    </row>
    <row r="7301" spans="1:6" x14ac:dyDescent="0.3">
      <c r="A7301" t="s">
        <v>22</v>
      </c>
      <c r="B7301" s="1">
        <v>45962</v>
      </c>
      <c r="C7301">
        <v>4</v>
      </c>
      <c r="D7301">
        <v>0.83099999999999996</v>
      </c>
      <c r="E7301" t="s">
        <v>6</v>
      </c>
      <c r="F7301">
        <v>9.5469999999999999E-2</v>
      </c>
    </row>
    <row r="7302" spans="1:6" x14ac:dyDescent="0.3">
      <c r="A7302" t="s">
        <v>22</v>
      </c>
      <c r="B7302" s="1">
        <v>45962</v>
      </c>
      <c r="C7302">
        <v>5</v>
      </c>
      <c r="D7302">
        <v>1.254</v>
      </c>
      <c r="E7302" t="s">
        <v>6</v>
      </c>
      <c r="F7302">
        <v>9.6120000000000011E-2</v>
      </c>
    </row>
    <row r="7303" spans="1:6" x14ac:dyDescent="0.3">
      <c r="A7303" t="s">
        <v>22</v>
      </c>
      <c r="B7303" s="1">
        <v>45962</v>
      </c>
      <c r="C7303">
        <v>6</v>
      </c>
      <c r="D7303">
        <v>1.2350000000000001</v>
      </c>
      <c r="E7303" t="s">
        <v>6</v>
      </c>
      <c r="F7303">
        <v>9.9170000000000008E-2</v>
      </c>
    </row>
    <row r="7304" spans="1:6" x14ac:dyDescent="0.3">
      <c r="A7304" t="s">
        <v>22</v>
      </c>
      <c r="B7304" s="1">
        <v>45962</v>
      </c>
      <c r="C7304">
        <v>7</v>
      </c>
      <c r="D7304">
        <v>1.038</v>
      </c>
      <c r="E7304" t="s">
        <v>6</v>
      </c>
      <c r="F7304">
        <v>0.11101999999999999</v>
      </c>
    </row>
    <row r="7305" spans="1:6" x14ac:dyDescent="0.3">
      <c r="A7305" t="s">
        <v>22</v>
      </c>
      <c r="B7305" s="1">
        <v>45962</v>
      </c>
      <c r="C7305">
        <v>8</v>
      </c>
      <c r="D7305">
        <v>1.032</v>
      </c>
      <c r="E7305" t="s">
        <v>6</v>
      </c>
      <c r="F7305">
        <v>0.11839</v>
      </c>
    </row>
    <row r="7306" spans="1:6" x14ac:dyDescent="0.3">
      <c r="A7306" t="s">
        <v>22</v>
      </c>
      <c r="B7306" s="1">
        <v>45962</v>
      </c>
      <c r="C7306">
        <v>9</v>
      </c>
      <c r="D7306">
        <v>0.92800000000000005</v>
      </c>
      <c r="E7306" t="s">
        <v>6</v>
      </c>
      <c r="F7306">
        <v>0.12963999999999998</v>
      </c>
    </row>
    <row r="7307" spans="1:6" x14ac:dyDescent="0.3">
      <c r="A7307" t="s">
        <v>22</v>
      </c>
      <c r="B7307" s="1">
        <v>45962</v>
      </c>
      <c r="C7307">
        <v>10</v>
      </c>
      <c r="D7307">
        <v>0.40300000000000002</v>
      </c>
      <c r="E7307" t="s">
        <v>6</v>
      </c>
      <c r="F7307">
        <v>8.9340000000000003E-2</v>
      </c>
    </row>
    <row r="7308" spans="1:6" x14ac:dyDescent="0.3">
      <c r="A7308" t="s">
        <v>22</v>
      </c>
      <c r="B7308" s="1">
        <v>45962</v>
      </c>
      <c r="C7308">
        <v>11</v>
      </c>
      <c r="D7308">
        <v>0</v>
      </c>
      <c r="E7308" t="s">
        <v>6</v>
      </c>
      <c r="F7308">
        <v>7.7200000000000005E-2</v>
      </c>
    </row>
    <row r="7309" spans="1:6" x14ac:dyDescent="0.3">
      <c r="A7309" t="s">
        <v>22</v>
      </c>
      <c r="B7309" s="1">
        <v>45962</v>
      </c>
      <c r="C7309">
        <v>12</v>
      </c>
      <c r="D7309">
        <v>1.823</v>
      </c>
      <c r="E7309" t="s">
        <v>6</v>
      </c>
      <c r="F7309">
        <v>7.2849999999999998E-2</v>
      </c>
    </row>
    <row r="7310" spans="1:6" x14ac:dyDescent="0.3">
      <c r="A7310" t="s">
        <v>22</v>
      </c>
      <c r="B7310" s="1">
        <v>45962</v>
      </c>
      <c r="C7310">
        <v>13</v>
      </c>
      <c r="D7310">
        <v>0</v>
      </c>
      <c r="E7310" t="s">
        <v>6</v>
      </c>
      <c r="F7310">
        <v>6.8589999999999998E-2</v>
      </c>
    </row>
    <row r="7311" spans="1:6" x14ac:dyDescent="0.3">
      <c r="A7311" t="s">
        <v>22</v>
      </c>
      <c r="B7311" s="1">
        <v>45962</v>
      </c>
      <c r="C7311">
        <v>14</v>
      </c>
      <c r="D7311">
        <v>0</v>
      </c>
      <c r="E7311" t="s">
        <v>6</v>
      </c>
      <c r="F7311">
        <v>7.442E-2</v>
      </c>
    </row>
    <row r="7312" spans="1:6" x14ac:dyDescent="0.3">
      <c r="A7312" t="s">
        <v>22</v>
      </c>
      <c r="B7312" s="1">
        <v>45962</v>
      </c>
      <c r="C7312">
        <v>15</v>
      </c>
      <c r="D7312">
        <v>0</v>
      </c>
      <c r="E7312" t="s">
        <v>6</v>
      </c>
      <c r="F7312">
        <v>7.5260000000000007E-2</v>
      </c>
    </row>
    <row r="7313" spans="1:6" x14ac:dyDescent="0.3">
      <c r="A7313" t="s">
        <v>22</v>
      </c>
      <c r="B7313" s="1">
        <v>45962</v>
      </c>
      <c r="C7313">
        <v>16</v>
      </c>
      <c r="D7313">
        <v>0</v>
      </c>
      <c r="E7313" t="s">
        <v>6</v>
      </c>
      <c r="F7313">
        <v>8.516E-2</v>
      </c>
    </row>
    <row r="7314" spans="1:6" x14ac:dyDescent="0.3">
      <c r="A7314" t="s">
        <v>22</v>
      </c>
      <c r="B7314" s="1">
        <v>45962</v>
      </c>
      <c r="C7314">
        <v>17</v>
      </c>
      <c r="D7314">
        <v>0</v>
      </c>
      <c r="E7314" t="s">
        <v>6</v>
      </c>
      <c r="F7314">
        <v>0.10737999999999999</v>
      </c>
    </row>
    <row r="7315" spans="1:6" x14ac:dyDescent="0.3">
      <c r="A7315" t="s">
        <v>22</v>
      </c>
      <c r="B7315" s="1">
        <v>45962</v>
      </c>
      <c r="C7315">
        <v>18</v>
      </c>
      <c r="D7315">
        <v>1.3009999999999999</v>
      </c>
      <c r="E7315" t="s">
        <v>6</v>
      </c>
      <c r="F7315">
        <v>0.13109000000000001</v>
      </c>
    </row>
    <row r="7316" spans="1:6" x14ac:dyDescent="0.3">
      <c r="A7316" t="s">
        <v>22</v>
      </c>
      <c r="B7316" s="1">
        <v>45962</v>
      </c>
      <c r="C7316">
        <v>19</v>
      </c>
      <c r="D7316">
        <v>2.0179999999999998</v>
      </c>
      <c r="E7316" t="s">
        <v>6</v>
      </c>
      <c r="F7316">
        <v>0.14536000000000002</v>
      </c>
    </row>
    <row r="7317" spans="1:6" x14ac:dyDescent="0.3">
      <c r="A7317" t="s">
        <v>22</v>
      </c>
      <c r="B7317" s="1">
        <v>45962</v>
      </c>
      <c r="C7317">
        <v>20</v>
      </c>
      <c r="D7317">
        <v>1.399</v>
      </c>
      <c r="E7317" t="s">
        <v>6</v>
      </c>
      <c r="F7317">
        <v>0.16238</v>
      </c>
    </row>
    <row r="7318" spans="1:6" x14ac:dyDescent="0.3">
      <c r="A7318" t="s">
        <v>22</v>
      </c>
      <c r="B7318" s="1">
        <v>45962</v>
      </c>
      <c r="C7318">
        <v>21</v>
      </c>
      <c r="D7318">
        <v>1.641</v>
      </c>
      <c r="E7318" t="s">
        <v>6</v>
      </c>
      <c r="F7318">
        <v>0.16368000000000002</v>
      </c>
    </row>
    <row r="7319" spans="1:6" x14ac:dyDescent="0.3">
      <c r="A7319" t="s">
        <v>22</v>
      </c>
      <c r="B7319" s="1">
        <v>45962</v>
      </c>
      <c r="C7319">
        <v>22</v>
      </c>
      <c r="D7319">
        <v>1.254</v>
      </c>
      <c r="E7319" t="s">
        <v>6</v>
      </c>
      <c r="F7319">
        <v>0.15906999999999999</v>
      </c>
    </row>
    <row r="7320" spans="1:6" x14ac:dyDescent="0.3">
      <c r="A7320" t="s">
        <v>22</v>
      </c>
      <c r="B7320" s="1">
        <v>45962</v>
      </c>
      <c r="C7320">
        <v>23</v>
      </c>
      <c r="D7320">
        <v>1.151</v>
      </c>
      <c r="E7320" t="s">
        <v>6</v>
      </c>
      <c r="F7320">
        <v>0.13738999999999998</v>
      </c>
    </row>
    <row r="7321" spans="1:6" x14ac:dyDescent="0.3">
      <c r="A7321" t="s">
        <v>22</v>
      </c>
      <c r="B7321" s="1">
        <v>45962</v>
      </c>
      <c r="C7321">
        <v>24</v>
      </c>
      <c r="D7321">
        <v>0.97</v>
      </c>
      <c r="E7321" t="s">
        <v>6</v>
      </c>
      <c r="F7321">
        <v>0.13072999999999999</v>
      </c>
    </row>
    <row r="7322" spans="1:6" x14ac:dyDescent="0.3">
      <c r="A7322" t="s">
        <v>22</v>
      </c>
      <c r="B7322" s="1">
        <v>45963</v>
      </c>
      <c r="C7322">
        <v>1</v>
      </c>
      <c r="D7322">
        <v>0.97699999999999998</v>
      </c>
      <c r="E7322" t="s">
        <v>6</v>
      </c>
      <c r="F7322">
        <v>0.14308000000000001</v>
      </c>
    </row>
    <row r="7323" spans="1:6" x14ac:dyDescent="0.3">
      <c r="A7323" t="s">
        <v>22</v>
      </c>
      <c r="B7323" s="1">
        <v>45963</v>
      </c>
      <c r="C7323">
        <v>2</v>
      </c>
      <c r="D7323">
        <v>0.82899999999999996</v>
      </c>
      <c r="E7323" t="s">
        <v>6</v>
      </c>
      <c r="F7323">
        <v>0.12497</v>
      </c>
    </row>
    <row r="7324" spans="1:6" x14ac:dyDescent="0.3">
      <c r="A7324" t="s">
        <v>22</v>
      </c>
      <c r="B7324" s="1">
        <v>45963</v>
      </c>
      <c r="C7324">
        <v>3</v>
      </c>
      <c r="D7324">
        <v>0.77</v>
      </c>
      <c r="E7324" t="s">
        <v>6</v>
      </c>
      <c r="F7324">
        <v>0.10643999999999999</v>
      </c>
    </row>
    <row r="7325" spans="1:6" x14ac:dyDescent="0.3">
      <c r="A7325" t="s">
        <v>22</v>
      </c>
      <c r="B7325" s="1">
        <v>45963</v>
      </c>
      <c r="C7325">
        <v>4</v>
      </c>
      <c r="D7325">
        <v>1.022</v>
      </c>
      <c r="E7325" t="s">
        <v>6</v>
      </c>
      <c r="F7325">
        <v>9.373999999999999E-2</v>
      </c>
    </row>
    <row r="7326" spans="1:6" x14ac:dyDescent="0.3">
      <c r="A7326" t="s">
        <v>22</v>
      </c>
      <c r="B7326" s="1">
        <v>45963</v>
      </c>
      <c r="C7326">
        <v>5</v>
      </c>
      <c r="D7326">
        <v>0.92700000000000005</v>
      </c>
      <c r="E7326" t="s">
        <v>6</v>
      </c>
      <c r="F7326">
        <v>9.3599999999999989E-2</v>
      </c>
    </row>
    <row r="7327" spans="1:6" x14ac:dyDescent="0.3">
      <c r="A7327" t="s">
        <v>22</v>
      </c>
      <c r="B7327" s="1">
        <v>45963</v>
      </c>
      <c r="C7327">
        <v>6</v>
      </c>
      <c r="D7327">
        <v>0.86099999999999999</v>
      </c>
      <c r="E7327" t="s">
        <v>6</v>
      </c>
      <c r="F7327">
        <v>9.3870000000000009E-2</v>
      </c>
    </row>
    <row r="7328" spans="1:6" x14ac:dyDescent="0.3">
      <c r="A7328" t="s">
        <v>22</v>
      </c>
      <c r="B7328" s="1">
        <v>45963</v>
      </c>
      <c r="C7328">
        <v>7</v>
      </c>
      <c r="D7328">
        <v>1.2210000000000001</v>
      </c>
      <c r="E7328" t="s">
        <v>6</v>
      </c>
      <c r="F7328">
        <v>0.10345</v>
      </c>
    </row>
    <row r="7329" spans="1:6" x14ac:dyDescent="0.3">
      <c r="A7329" t="s">
        <v>22</v>
      </c>
      <c r="B7329" s="1">
        <v>45963</v>
      </c>
      <c r="C7329">
        <v>8</v>
      </c>
      <c r="D7329">
        <v>0.99099999999999999</v>
      </c>
      <c r="E7329" t="s">
        <v>6</v>
      </c>
      <c r="F7329">
        <v>0.11051000000000001</v>
      </c>
    </row>
    <row r="7330" spans="1:6" x14ac:dyDescent="0.3">
      <c r="A7330" t="s">
        <v>22</v>
      </c>
      <c r="B7330" s="1">
        <v>45963</v>
      </c>
      <c r="C7330">
        <v>9</v>
      </c>
      <c r="D7330">
        <v>0.03</v>
      </c>
      <c r="E7330" t="s">
        <v>6</v>
      </c>
      <c r="F7330">
        <v>0.10748999999999999</v>
      </c>
    </row>
    <row r="7331" spans="1:6" x14ac:dyDescent="0.3">
      <c r="A7331" t="s">
        <v>22</v>
      </c>
      <c r="B7331" s="1">
        <v>45963</v>
      </c>
      <c r="C7331">
        <v>10</v>
      </c>
      <c r="D7331">
        <v>0</v>
      </c>
      <c r="E7331" t="s">
        <v>6</v>
      </c>
      <c r="F7331">
        <v>8.1920000000000007E-2</v>
      </c>
    </row>
    <row r="7332" spans="1:6" x14ac:dyDescent="0.3">
      <c r="A7332" t="s">
        <v>22</v>
      </c>
      <c r="B7332" s="1">
        <v>45963</v>
      </c>
      <c r="C7332">
        <v>11</v>
      </c>
      <c r="D7332">
        <v>0</v>
      </c>
      <c r="E7332" t="s">
        <v>6</v>
      </c>
      <c r="F7332">
        <v>6.6900000000000001E-2</v>
      </c>
    </row>
    <row r="7333" spans="1:6" x14ac:dyDescent="0.3">
      <c r="A7333" t="s">
        <v>22</v>
      </c>
      <c r="B7333" s="1">
        <v>45963</v>
      </c>
      <c r="C7333">
        <v>12</v>
      </c>
      <c r="D7333">
        <v>0</v>
      </c>
      <c r="E7333" t="s">
        <v>6</v>
      </c>
      <c r="F7333">
        <v>6.5879999999999994E-2</v>
      </c>
    </row>
    <row r="7334" spans="1:6" x14ac:dyDescent="0.3">
      <c r="A7334" t="s">
        <v>22</v>
      </c>
      <c r="B7334" s="1">
        <v>45963</v>
      </c>
      <c r="C7334">
        <v>13</v>
      </c>
      <c r="D7334">
        <v>0</v>
      </c>
      <c r="E7334" t="s">
        <v>6</v>
      </c>
      <c r="F7334">
        <v>6.547E-2</v>
      </c>
    </row>
    <row r="7335" spans="1:6" x14ac:dyDescent="0.3">
      <c r="A7335" t="s">
        <v>22</v>
      </c>
      <c r="B7335" s="1">
        <v>45963</v>
      </c>
      <c r="C7335">
        <v>14</v>
      </c>
      <c r="D7335">
        <v>0</v>
      </c>
      <c r="E7335" t="s">
        <v>6</v>
      </c>
      <c r="F7335">
        <v>6.5530000000000005E-2</v>
      </c>
    </row>
    <row r="7336" spans="1:6" x14ac:dyDescent="0.3">
      <c r="A7336" t="s">
        <v>22</v>
      </c>
      <c r="B7336" s="1">
        <v>45963</v>
      </c>
      <c r="C7336">
        <v>15</v>
      </c>
      <c r="D7336">
        <v>0</v>
      </c>
      <c r="E7336" t="s">
        <v>6</v>
      </c>
      <c r="F7336">
        <v>6.5890000000000004E-2</v>
      </c>
    </row>
    <row r="7337" spans="1:6" x14ac:dyDescent="0.3">
      <c r="A7337" t="s">
        <v>22</v>
      </c>
      <c r="B7337" s="1">
        <v>45963</v>
      </c>
      <c r="C7337">
        <v>16</v>
      </c>
      <c r="D7337">
        <v>0</v>
      </c>
      <c r="E7337" t="s">
        <v>6</v>
      </c>
      <c r="F7337">
        <v>6.8500000000000005E-2</v>
      </c>
    </row>
    <row r="7338" spans="1:6" x14ac:dyDescent="0.3">
      <c r="A7338" t="s">
        <v>22</v>
      </c>
      <c r="B7338" s="1">
        <v>45963</v>
      </c>
      <c r="C7338">
        <v>17</v>
      </c>
      <c r="D7338">
        <v>0.39700000000000002</v>
      </c>
      <c r="E7338" t="s">
        <v>6</v>
      </c>
      <c r="F7338">
        <v>7.6439999999999994E-2</v>
      </c>
    </row>
    <row r="7339" spans="1:6" x14ac:dyDescent="0.3">
      <c r="A7339" t="s">
        <v>22</v>
      </c>
      <c r="B7339" s="1">
        <v>45963</v>
      </c>
      <c r="C7339">
        <v>18</v>
      </c>
      <c r="D7339">
        <v>1.548</v>
      </c>
      <c r="E7339" t="s">
        <v>6</v>
      </c>
      <c r="F7339">
        <v>0.11279</v>
      </c>
    </row>
    <row r="7340" spans="1:6" x14ac:dyDescent="0.3">
      <c r="A7340" t="s">
        <v>22</v>
      </c>
      <c r="B7340" s="1">
        <v>45963</v>
      </c>
      <c r="C7340">
        <v>19</v>
      </c>
      <c r="D7340">
        <v>1.8460000000000001</v>
      </c>
      <c r="E7340" t="s">
        <v>6</v>
      </c>
      <c r="F7340">
        <v>0.14762999999999998</v>
      </c>
    </row>
    <row r="7341" spans="1:6" x14ac:dyDescent="0.3">
      <c r="A7341" t="s">
        <v>22</v>
      </c>
      <c r="B7341" s="1">
        <v>45963</v>
      </c>
      <c r="C7341">
        <v>20</v>
      </c>
      <c r="D7341">
        <v>1.2509999999999999</v>
      </c>
      <c r="E7341" t="s">
        <v>6</v>
      </c>
      <c r="F7341">
        <v>0.17211000000000001</v>
      </c>
    </row>
    <row r="7342" spans="1:6" x14ac:dyDescent="0.3">
      <c r="A7342" t="s">
        <v>22</v>
      </c>
      <c r="B7342" s="1">
        <v>45963</v>
      </c>
      <c r="C7342">
        <v>21</v>
      </c>
      <c r="D7342">
        <v>1.329</v>
      </c>
      <c r="E7342" t="s">
        <v>6</v>
      </c>
      <c r="F7342">
        <v>0.17746999999999999</v>
      </c>
    </row>
    <row r="7343" spans="1:6" x14ac:dyDescent="0.3">
      <c r="A7343" t="s">
        <v>22</v>
      </c>
      <c r="B7343" s="1">
        <v>45963</v>
      </c>
      <c r="C7343">
        <v>22</v>
      </c>
      <c r="D7343">
        <v>1.8260000000000001</v>
      </c>
      <c r="E7343" t="s">
        <v>6</v>
      </c>
      <c r="F7343">
        <v>0.18001</v>
      </c>
    </row>
    <row r="7344" spans="1:6" x14ac:dyDescent="0.3">
      <c r="A7344" t="s">
        <v>22</v>
      </c>
      <c r="B7344" s="1">
        <v>45963</v>
      </c>
      <c r="C7344">
        <v>23</v>
      </c>
      <c r="D7344">
        <v>1.756</v>
      </c>
      <c r="E7344" t="s">
        <v>6</v>
      </c>
      <c r="F7344">
        <v>0.17019999999999999</v>
      </c>
    </row>
    <row r="7345" spans="1:6" x14ac:dyDescent="0.3">
      <c r="A7345" t="s">
        <v>22</v>
      </c>
      <c r="B7345" s="1">
        <v>45963</v>
      </c>
      <c r="C7345">
        <v>24</v>
      </c>
      <c r="D7345">
        <v>1.444</v>
      </c>
      <c r="E7345" t="s">
        <v>6</v>
      </c>
      <c r="F7345">
        <v>0.16782</v>
      </c>
    </row>
    <row r="7346" spans="1:6" x14ac:dyDescent="0.3">
      <c r="A7346" t="s">
        <v>22</v>
      </c>
      <c r="B7346" s="1">
        <v>45964</v>
      </c>
      <c r="C7346">
        <v>1</v>
      </c>
      <c r="D7346">
        <v>1.0269999999999999</v>
      </c>
      <c r="E7346" t="s">
        <v>6</v>
      </c>
      <c r="F7346">
        <v>0.13088</v>
      </c>
    </row>
    <row r="7347" spans="1:6" x14ac:dyDescent="0.3">
      <c r="A7347" t="s">
        <v>22</v>
      </c>
      <c r="B7347" s="1">
        <v>45964</v>
      </c>
      <c r="C7347">
        <v>2</v>
      </c>
      <c r="D7347">
        <v>1.744</v>
      </c>
      <c r="E7347" t="s">
        <v>6</v>
      </c>
      <c r="F7347">
        <v>0.12693000000000002</v>
      </c>
    </row>
    <row r="7348" spans="1:6" x14ac:dyDescent="0.3">
      <c r="A7348" t="s">
        <v>22</v>
      </c>
      <c r="B7348" s="1">
        <v>45964</v>
      </c>
      <c r="C7348">
        <v>3</v>
      </c>
      <c r="D7348">
        <v>1.4730000000000001</v>
      </c>
      <c r="E7348" t="s">
        <v>6</v>
      </c>
      <c r="F7348">
        <v>0.12737000000000001</v>
      </c>
    </row>
    <row r="7349" spans="1:6" x14ac:dyDescent="0.3">
      <c r="A7349" t="s">
        <v>22</v>
      </c>
      <c r="B7349" s="1">
        <v>45964</v>
      </c>
      <c r="C7349">
        <v>4</v>
      </c>
      <c r="D7349">
        <v>1.4410000000000001</v>
      </c>
      <c r="E7349" t="s">
        <v>6</v>
      </c>
      <c r="F7349">
        <v>0.12759999999999999</v>
      </c>
    </row>
    <row r="7350" spans="1:6" x14ac:dyDescent="0.3">
      <c r="A7350" t="s">
        <v>22</v>
      </c>
      <c r="B7350" s="1">
        <v>45964</v>
      </c>
      <c r="C7350">
        <v>5</v>
      </c>
      <c r="D7350">
        <v>1.0329999999999999</v>
      </c>
      <c r="E7350" t="s">
        <v>6</v>
      </c>
      <c r="F7350">
        <v>0.12753</v>
      </c>
    </row>
    <row r="7351" spans="1:6" x14ac:dyDescent="0.3">
      <c r="A7351" t="s">
        <v>22</v>
      </c>
      <c r="B7351" s="1">
        <v>45964</v>
      </c>
      <c r="C7351">
        <v>6</v>
      </c>
      <c r="D7351">
        <v>1.625</v>
      </c>
      <c r="E7351" t="s">
        <v>6</v>
      </c>
      <c r="F7351">
        <v>0.12891</v>
      </c>
    </row>
    <row r="7352" spans="1:6" x14ac:dyDescent="0.3">
      <c r="A7352" t="s">
        <v>22</v>
      </c>
      <c r="B7352" s="1">
        <v>45964</v>
      </c>
      <c r="C7352">
        <v>7</v>
      </c>
      <c r="D7352">
        <v>1.5629999999999999</v>
      </c>
      <c r="E7352" t="s">
        <v>6</v>
      </c>
      <c r="F7352">
        <v>0.14715999999999999</v>
      </c>
    </row>
    <row r="7353" spans="1:6" x14ac:dyDescent="0.3">
      <c r="A7353" t="s">
        <v>22</v>
      </c>
      <c r="B7353" s="1">
        <v>45964</v>
      </c>
      <c r="C7353">
        <v>8</v>
      </c>
      <c r="D7353">
        <v>2.3719999999999999</v>
      </c>
      <c r="E7353" t="s">
        <v>6</v>
      </c>
      <c r="F7353">
        <v>0.1799</v>
      </c>
    </row>
    <row r="7354" spans="1:6" x14ac:dyDescent="0.3">
      <c r="A7354" t="s">
        <v>22</v>
      </c>
      <c r="B7354" s="1">
        <v>45964</v>
      </c>
      <c r="C7354">
        <v>9</v>
      </c>
      <c r="D7354">
        <v>0</v>
      </c>
      <c r="E7354" t="s">
        <v>6</v>
      </c>
      <c r="F7354">
        <v>0.18346000000000001</v>
      </c>
    </row>
    <row r="7355" spans="1:6" x14ac:dyDescent="0.3">
      <c r="A7355" t="s">
        <v>22</v>
      </c>
      <c r="B7355" s="1">
        <v>45964</v>
      </c>
      <c r="C7355">
        <v>10</v>
      </c>
      <c r="D7355">
        <v>0</v>
      </c>
      <c r="E7355" t="s">
        <v>6</v>
      </c>
      <c r="F7355">
        <v>0.13294999999999998</v>
      </c>
    </row>
    <row r="7356" spans="1:6" x14ac:dyDescent="0.3">
      <c r="A7356" t="s">
        <v>22</v>
      </c>
      <c r="B7356" s="1">
        <v>45964</v>
      </c>
      <c r="C7356">
        <v>11</v>
      </c>
      <c r="D7356">
        <v>0</v>
      </c>
      <c r="E7356" t="s">
        <v>6</v>
      </c>
      <c r="F7356">
        <v>0.15812000000000001</v>
      </c>
    </row>
    <row r="7357" spans="1:6" x14ac:dyDescent="0.3">
      <c r="A7357" t="s">
        <v>22</v>
      </c>
      <c r="B7357" s="1">
        <v>45964</v>
      </c>
      <c r="C7357">
        <v>12</v>
      </c>
      <c r="D7357">
        <v>0</v>
      </c>
      <c r="E7357" t="s">
        <v>6</v>
      </c>
      <c r="F7357">
        <v>0.14366999999999999</v>
      </c>
    </row>
    <row r="7358" spans="1:6" x14ac:dyDescent="0.3">
      <c r="A7358" t="s">
        <v>22</v>
      </c>
      <c r="B7358" s="1">
        <v>45964</v>
      </c>
      <c r="C7358">
        <v>13</v>
      </c>
      <c r="D7358">
        <v>0</v>
      </c>
      <c r="E7358" t="s">
        <v>6</v>
      </c>
      <c r="F7358">
        <v>0.1401</v>
      </c>
    </row>
    <row r="7359" spans="1:6" x14ac:dyDescent="0.3">
      <c r="A7359" t="s">
        <v>22</v>
      </c>
      <c r="B7359" s="1">
        <v>45964</v>
      </c>
      <c r="C7359">
        <v>14</v>
      </c>
      <c r="D7359">
        <v>0</v>
      </c>
      <c r="E7359" t="s">
        <v>6</v>
      </c>
      <c r="F7359">
        <v>0.13447999999999999</v>
      </c>
    </row>
    <row r="7360" spans="1:6" x14ac:dyDescent="0.3">
      <c r="A7360" t="s">
        <v>22</v>
      </c>
      <c r="B7360" s="1">
        <v>45964</v>
      </c>
      <c r="C7360">
        <v>15</v>
      </c>
      <c r="D7360">
        <v>0</v>
      </c>
      <c r="E7360" t="s">
        <v>6</v>
      </c>
      <c r="F7360">
        <v>7.467E-2</v>
      </c>
    </row>
    <row r="7361" spans="1:6" x14ac:dyDescent="0.3">
      <c r="A7361" t="s">
        <v>22</v>
      </c>
      <c r="B7361" s="1">
        <v>45964</v>
      </c>
      <c r="C7361">
        <v>16</v>
      </c>
      <c r="D7361">
        <v>0</v>
      </c>
      <c r="E7361" t="s">
        <v>6</v>
      </c>
      <c r="F7361">
        <v>9.1670000000000001E-2</v>
      </c>
    </row>
    <row r="7362" spans="1:6" x14ac:dyDescent="0.3">
      <c r="A7362" t="s">
        <v>22</v>
      </c>
      <c r="B7362" s="1">
        <v>45964</v>
      </c>
      <c r="C7362">
        <v>17</v>
      </c>
      <c r="D7362">
        <v>0</v>
      </c>
      <c r="E7362" t="s">
        <v>6</v>
      </c>
      <c r="F7362">
        <v>0.12248000000000001</v>
      </c>
    </row>
    <row r="7363" spans="1:6" x14ac:dyDescent="0.3">
      <c r="A7363" t="s">
        <v>22</v>
      </c>
      <c r="B7363" s="1">
        <v>45964</v>
      </c>
      <c r="C7363">
        <v>18</v>
      </c>
      <c r="D7363">
        <v>1.641</v>
      </c>
      <c r="E7363" t="s">
        <v>6</v>
      </c>
      <c r="F7363">
        <v>0.17291000000000001</v>
      </c>
    </row>
    <row r="7364" spans="1:6" x14ac:dyDescent="0.3">
      <c r="A7364" t="s">
        <v>22</v>
      </c>
      <c r="B7364" s="1">
        <v>45964</v>
      </c>
      <c r="C7364">
        <v>19</v>
      </c>
      <c r="D7364">
        <v>2.2429999999999999</v>
      </c>
      <c r="E7364" t="s">
        <v>6</v>
      </c>
      <c r="F7364">
        <v>0.26292000000000004</v>
      </c>
    </row>
    <row r="7365" spans="1:6" x14ac:dyDescent="0.3">
      <c r="A7365" t="s">
        <v>22</v>
      </c>
      <c r="B7365" s="1">
        <v>45964</v>
      </c>
      <c r="C7365">
        <v>20</v>
      </c>
      <c r="D7365">
        <v>0.94099999999999995</v>
      </c>
      <c r="E7365" t="s">
        <v>6</v>
      </c>
      <c r="F7365">
        <v>0.28936000000000001</v>
      </c>
    </row>
    <row r="7366" spans="1:6" x14ac:dyDescent="0.3">
      <c r="A7366" t="s">
        <v>22</v>
      </c>
      <c r="B7366" s="1">
        <v>45964</v>
      </c>
      <c r="C7366">
        <v>21</v>
      </c>
      <c r="D7366">
        <v>1.9870000000000001</v>
      </c>
      <c r="E7366" t="s">
        <v>6</v>
      </c>
      <c r="F7366">
        <v>0.29436000000000001</v>
      </c>
    </row>
    <row r="7367" spans="1:6" x14ac:dyDescent="0.3">
      <c r="A7367" t="s">
        <v>22</v>
      </c>
      <c r="B7367" s="1">
        <v>45964</v>
      </c>
      <c r="C7367">
        <v>22</v>
      </c>
      <c r="D7367">
        <v>1.4410000000000001</v>
      </c>
      <c r="E7367" t="s">
        <v>6</v>
      </c>
      <c r="F7367">
        <v>0.26238</v>
      </c>
    </row>
    <row r="7368" spans="1:6" x14ac:dyDescent="0.3">
      <c r="A7368" t="s">
        <v>22</v>
      </c>
      <c r="B7368" s="1">
        <v>45964</v>
      </c>
      <c r="C7368">
        <v>23</v>
      </c>
      <c r="D7368">
        <v>1.085</v>
      </c>
      <c r="E7368" t="s">
        <v>6</v>
      </c>
      <c r="F7368">
        <v>0.16716999999999999</v>
      </c>
    </row>
    <row r="7369" spans="1:6" x14ac:dyDescent="0.3">
      <c r="A7369" t="s">
        <v>22</v>
      </c>
      <c r="B7369" s="1">
        <v>45964</v>
      </c>
      <c r="C7369">
        <v>24</v>
      </c>
      <c r="D7369">
        <v>1.3129999999999999</v>
      </c>
      <c r="E7369" t="s">
        <v>6</v>
      </c>
      <c r="F7369">
        <v>0.15297999999999998</v>
      </c>
    </row>
    <row r="7370" spans="1:6" x14ac:dyDescent="0.3">
      <c r="A7370" t="s">
        <v>22</v>
      </c>
      <c r="B7370" s="1">
        <v>45965</v>
      </c>
      <c r="C7370">
        <v>1</v>
      </c>
      <c r="D7370">
        <v>2.109</v>
      </c>
      <c r="E7370" t="s">
        <v>6</v>
      </c>
      <c r="F7370">
        <v>0.13825999999999999</v>
      </c>
    </row>
    <row r="7371" spans="1:6" x14ac:dyDescent="0.3">
      <c r="A7371" t="s">
        <v>22</v>
      </c>
      <c r="B7371" s="1">
        <v>45965</v>
      </c>
      <c r="C7371">
        <v>2</v>
      </c>
      <c r="D7371">
        <v>1.1990000000000001</v>
      </c>
      <c r="E7371" t="s">
        <v>6</v>
      </c>
      <c r="F7371">
        <v>0.13015000000000002</v>
      </c>
    </row>
    <row r="7372" spans="1:6" x14ac:dyDescent="0.3">
      <c r="A7372" t="s">
        <v>22</v>
      </c>
      <c r="B7372" s="1">
        <v>45965</v>
      </c>
      <c r="C7372">
        <v>3</v>
      </c>
      <c r="D7372">
        <v>1.129</v>
      </c>
      <c r="E7372" t="s">
        <v>6</v>
      </c>
      <c r="F7372">
        <v>0.13322999999999999</v>
      </c>
    </row>
    <row r="7373" spans="1:6" x14ac:dyDescent="0.3">
      <c r="A7373" t="s">
        <v>22</v>
      </c>
      <c r="B7373" s="1">
        <v>45965</v>
      </c>
      <c r="C7373">
        <v>4</v>
      </c>
      <c r="D7373">
        <v>1.2969999999999999</v>
      </c>
      <c r="E7373" t="s">
        <v>6</v>
      </c>
      <c r="F7373">
        <v>0.11827</v>
      </c>
    </row>
    <row r="7374" spans="1:6" x14ac:dyDescent="0.3">
      <c r="A7374" t="s">
        <v>22</v>
      </c>
      <c r="B7374" s="1">
        <v>45965</v>
      </c>
      <c r="C7374">
        <v>5</v>
      </c>
      <c r="D7374">
        <v>1.51</v>
      </c>
      <c r="E7374" t="s">
        <v>6</v>
      </c>
      <c r="F7374">
        <v>0.11233</v>
      </c>
    </row>
    <row r="7375" spans="1:6" x14ac:dyDescent="0.3">
      <c r="A7375" t="s">
        <v>22</v>
      </c>
      <c r="B7375" s="1">
        <v>45965</v>
      </c>
      <c r="C7375">
        <v>6</v>
      </c>
      <c r="D7375">
        <v>1.6890000000000001</v>
      </c>
      <c r="E7375" t="s">
        <v>6</v>
      </c>
      <c r="F7375">
        <v>0.11579</v>
      </c>
    </row>
    <row r="7376" spans="1:6" x14ac:dyDescent="0.3">
      <c r="A7376" t="s">
        <v>22</v>
      </c>
      <c r="B7376" s="1">
        <v>45965</v>
      </c>
      <c r="C7376">
        <v>7</v>
      </c>
      <c r="D7376">
        <v>1.6579999999999999</v>
      </c>
      <c r="E7376" t="s">
        <v>6</v>
      </c>
      <c r="F7376">
        <v>0.12417</v>
      </c>
    </row>
    <row r="7377" spans="1:6" x14ac:dyDescent="0.3">
      <c r="A7377" t="s">
        <v>22</v>
      </c>
      <c r="B7377" s="1">
        <v>45965</v>
      </c>
      <c r="C7377">
        <v>8</v>
      </c>
      <c r="D7377">
        <v>1.845</v>
      </c>
      <c r="E7377" t="s">
        <v>6</v>
      </c>
      <c r="F7377">
        <v>0.13324</v>
      </c>
    </row>
    <row r="7378" spans="1:6" x14ac:dyDescent="0.3">
      <c r="A7378" t="s">
        <v>22</v>
      </c>
      <c r="B7378" s="1">
        <v>45965</v>
      </c>
      <c r="C7378">
        <v>9</v>
      </c>
      <c r="D7378">
        <v>1</v>
      </c>
      <c r="E7378" t="s">
        <v>6</v>
      </c>
      <c r="F7378">
        <v>0.15390000000000001</v>
      </c>
    </row>
    <row r="7379" spans="1:6" x14ac:dyDescent="0.3">
      <c r="A7379" t="s">
        <v>22</v>
      </c>
      <c r="B7379" s="1">
        <v>45965</v>
      </c>
      <c r="C7379">
        <v>10</v>
      </c>
      <c r="D7379">
        <v>1.0049999999999999</v>
      </c>
      <c r="E7379" t="s">
        <v>6</v>
      </c>
      <c r="F7379">
        <v>0.11081000000000001</v>
      </c>
    </row>
    <row r="7380" spans="1:6" x14ac:dyDescent="0.3">
      <c r="A7380" t="s">
        <v>22</v>
      </c>
      <c r="B7380" s="1">
        <v>45965</v>
      </c>
      <c r="C7380">
        <v>11</v>
      </c>
      <c r="D7380">
        <v>0</v>
      </c>
      <c r="E7380" t="s">
        <v>6</v>
      </c>
      <c r="F7380">
        <v>0.15578999999999998</v>
      </c>
    </row>
    <row r="7381" spans="1:6" x14ac:dyDescent="0.3">
      <c r="A7381" t="s">
        <v>22</v>
      </c>
      <c r="B7381" s="1">
        <v>45965</v>
      </c>
      <c r="C7381">
        <v>12</v>
      </c>
      <c r="D7381">
        <v>0</v>
      </c>
      <c r="E7381" t="s">
        <v>6</v>
      </c>
      <c r="F7381">
        <v>0.14783000000000002</v>
      </c>
    </row>
    <row r="7382" spans="1:6" x14ac:dyDescent="0.3">
      <c r="A7382" t="s">
        <v>22</v>
      </c>
      <c r="B7382" s="1">
        <v>45965</v>
      </c>
      <c r="C7382">
        <v>13</v>
      </c>
      <c r="D7382">
        <v>0</v>
      </c>
      <c r="E7382" t="s">
        <v>6</v>
      </c>
      <c r="F7382">
        <v>0.14734999999999998</v>
      </c>
    </row>
    <row r="7383" spans="1:6" x14ac:dyDescent="0.3">
      <c r="A7383" t="s">
        <v>22</v>
      </c>
      <c r="B7383" s="1">
        <v>45965</v>
      </c>
      <c r="C7383">
        <v>14</v>
      </c>
      <c r="D7383">
        <v>0</v>
      </c>
      <c r="E7383" t="s">
        <v>6</v>
      </c>
      <c r="F7383">
        <v>0.14423</v>
      </c>
    </row>
    <row r="7384" spans="1:6" x14ac:dyDescent="0.3">
      <c r="A7384" t="s">
        <v>22</v>
      </c>
      <c r="B7384" s="1">
        <v>45965</v>
      </c>
      <c r="C7384">
        <v>15</v>
      </c>
      <c r="D7384">
        <v>0</v>
      </c>
      <c r="E7384" t="s">
        <v>6</v>
      </c>
      <c r="F7384">
        <v>8.0260000000000012E-2</v>
      </c>
    </row>
    <row r="7385" spans="1:6" x14ac:dyDescent="0.3">
      <c r="A7385" t="s">
        <v>22</v>
      </c>
      <c r="B7385" s="1">
        <v>45965</v>
      </c>
      <c r="C7385">
        <v>16</v>
      </c>
      <c r="D7385">
        <v>0</v>
      </c>
      <c r="E7385" t="s">
        <v>6</v>
      </c>
      <c r="F7385">
        <v>8.9799999999999991E-2</v>
      </c>
    </row>
    <row r="7386" spans="1:6" x14ac:dyDescent="0.3">
      <c r="A7386" t="s">
        <v>22</v>
      </c>
      <c r="B7386" s="1">
        <v>45965</v>
      </c>
      <c r="C7386">
        <v>17</v>
      </c>
      <c r="D7386">
        <v>0.85</v>
      </c>
      <c r="E7386" t="s">
        <v>6</v>
      </c>
      <c r="F7386">
        <v>9.9000000000000005E-2</v>
      </c>
    </row>
    <row r="7387" spans="1:6" x14ac:dyDescent="0.3">
      <c r="A7387" t="s">
        <v>22</v>
      </c>
      <c r="B7387" s="1">
        <v>45965</v>
      </c>
      <c r="C7387">
        <v>18</v>
      </c>
      <c r="D7387">
        <v>3.2519999999999998</v>
      </c>
      <c r="E7387" t="s">
        <v>6</v>
      </c>
      <c r="F7387">
        <v>0.13757</v>
      </c>
    </row>
    <row r="7388" spans="1:6" x14ac:dyDescent="0.3">
      <c r="A7388" t="s">
        <v>22</v>
      </c>
      <c r="B7388" s="1">
        <v>45965</v>
      </c>
      <c r="C7388">
        <v>19</v>
      </c>
      <c r="D7388">
        <v>2.0169999999999999</v>
      </c>
      <c r="E7388" t="s">
        <v>6</v>
      </c>
      <c r="F7388">
        <v>0.22353000000000001</v>
      </c>
    </row>
    <row r="7389" spans="1:6" x14ac:dyDescent="0.3">
      <c r="A7389" t="s">
        <v>22</v>
      </c>
      <c r="B7389" s="1">
        <v>45965</v>
      </c>
      <c r="C7389">
        <v>20</v>
      </c>
      <c r="D7389">
        <v>1.125</v>
      </c>
      <c r="E7389" t="s">
        <v>6</v>
      </c>
      <c r="F7389">
        <v>0.23014999999999999</v>
      </c>
    </row>
    <row r="7390" spans="1:6" x14ac:dyDescent="0.3">
      <c r="A7390" t="s">
        <v>22</v>
      </c>
      <c r="B7390" s="1">
        <v>45965</v>
      </c>
      <c r="C7390">
        <v>21</v>
      </c>
      <c r="D7390">
        <v>1.5840000000000001</v>
      </c>
      <c r="E7390" t="s">
        <v>6</v>
      </c>
      <c r="F7390">
        <v>0.2293</v>
      </c>
    </row>
    <row r="7391" spans="1:6" x14ac:dyDescent="0.3">
      <c r="A7391" t="s">
        <v>22</v>
      </c>
      <c r="B7391" s="1">
        <v>45965</v>
      </c>
      <c r="C7391">
        <v>22</v>
      </c>
      <c r="D7391">
        <v>1.5660000000000001</v>
      </c>
      <c r="E7391" t="s">
        <v>6</v>
      </c>
      <c r="F7391">
        <v>0.21969999999999998</v>
      </c>
    </row>
    <row r="7392" spans="1:6" x14ac:dyDescent="0.3">
      <c r="A7392" t="s">
        <v>22</v>
      </c>
      <c r="B7392" s="1">
        <v>45965</v>
      </c>
      <c r="C7392">
        <v>23</v>
      </c>
      <c r="D7392">
        <v>1.3620000000000001</v>
      </c>
      <c r="E7392" t="s">
        <v>6</v>
      </c>
      <c r="F7392">
        <v>0.1502</v>
      </c>
    </row>
    <row r="7393" spans="1:6" x14ac:dyDescent="0.3">
      <c r="A7393" t="s">
        <v>22</v>
      </c>
      <c r="B7393" s="1">
        <v>45965</v>
      </c>
      <c r="C7393">
        <v>24</v>
      </c>
      <c r="D7393">
        <v>1.0589999999999999</v>
      </c>
      <c r="E7393" t="s">
        <v>6</v>
      </c>
      <c r="F7393">
        <v>0.12124</v>
      </c>
    </row>
    <row r="7394" spans="1:6" x14ac:dyDescent="0.3">
      <c r="A7394" t="s">
        <v>22</v>
      </c>
      <c r="B7394" s="1">
        <v>45966</v>
      </c>
      <c r="C7394">
        <v>1</v>
      </c>
      <c r="D7394">
        <v>0.89600000000000002</v>
      </c>
      <c r="E7394" t="s">
        <v>6</v>
      </c>
      <c r="F7394">
        <v>0.10100000000000001</v>
      </c>
    </row>
    <row r="7395" spans="1:6" x14ac:dyDescent="0.3">
      <c r="A7395" t="s">
        <v>22</v>
      </c>
      <c r="B7395" s="1">
        <v>45966</v>
      </c>
      <c r="C7395">
        <v>2</v>
      </c>
      <c r="D7395">
        <v>1.837</v>
      </c>
      <c r="E7395" t="s">
        <v>6</v>
      </c>
      <c r="F7395">
        <v>9.6340000000000009E-2</v>
      </c>
    </row>
    <row r="7396" spans="1:6" x14ac:dyDescent="0.3">
      <c r="A7396" t="s">
        <v>22</v>
      </c>
      <c r="B7396" s="1">
        <v>45966</v>
      </c>
      <c r="C7396">
        <v>3</v>
      </c>
      <c r="D7396">
        <v>1.502</v>
      </c>
      <c r="E7396" t="s">
        <v>6</v>
      </c>
      <c r="F7396">
        <v>8.9569999999999997E-2</v>
      </c>
    </row>
    <row r="7397" spans="1:6" x14ac:dyDescent="0.3">
      <c r="A7397" t="s">
        <v>22</v>
      </c>
      <c r="B7397" s="1">
        <v>45966</v>
      </c>
      <c r="C7397">
        <v>4</v>
      </c>
      <c r="D7397">
        <v>1.002</v>
      </c>
      <c r="E7397" t="s">
        <v>6</v>
      </c>
      <c r="F7397">
        <v>8.2819999999999991E-2</v>
      </c>
    </row>
    <row r="7398" spans="1:6" x14ac:dyDescent="0.3">
      <c r="A7398" t="s">
        <v>22</v>
      </c>
      <c r="B7398" s="1">
        <v>45966</v>
      </c>
      <c r="C7398">
        <v>5</v>
      </c>
      <c r="D7398">
        <v>1.329</v>
      </c>
      <c r="E7398" t="s">
        <v>6</v>
      </c>
      <c r="F7398">
        <v>7.5060000000000002E-2</v>
      </c>
    </row>
    <row r="7399" spans="1:6" x14ac:dyDescent="0.3">
      <c r="A7399" t="s">
        <v>22</v>
      </c>
      <c r="B7399" s="1">
        <v>45966</v>
      </c>
      <c r="C7399">
        <v>6</v>
      </c>
      <c r="D7399">
        <v>1.083</v>
      </c>
      <c r="E7399" t="s">
        <v>6</v>
      </c>
      <c r="F7399">
        <v>8.1480000000000011E-2</v>
      </c>
    </row>
    <row r="7400" spans="1:6" x14ac:dyDescent="0.3">
      <c r="A7400" t="s">
        <v>22</v>
      </c>
      <c r="B7400" s="1">
        <v>45966</v>
      </c>
      <c r="C7400">
        <v>7</v>
      </c>
      <c r="D7400">
        <v>1.1779999999999999</v>
      </c>
      <c r="E7400" t="s">
        <v>6</v>
      </c>
      <c r="F7400">
        <v>9.6049999999999996E-2</v>
      </c>
    </row>
    <row r="7401" spans="1:6" x14ac:dyDescent="0.3">
      <c r="A7401" t="s">
        <v>22</v>
      </c>
      <c r="B7401" s="1">
        <v>45966</v>
      </c>
      <c r="C7401">
        <v>8</v>
      </c>
      <c r="D7401">
        <v>1.8640000000000001</v>
      </c>
      <c r="E7401" t="s">
        <v>6</v>
      </c>
      <c r="F7401">
        <v>9.706999999999999E-2</v>
      </c>
    </row>
    <row r="7402" spans="1:6" x14ac:dyDescent="0.3">
      <c r="A7402" t="s">
        <v>22</v>
      </c>
      <c r="B7402" s="1">
        <v>45966</v>
      </c>
      <c r="C7402">
        <v>9</v>
      </c>
      <c r="D7402">
        <v>0.56799999999999995</v>
      </c>
      <c r="E7402" t="s">
        <v>6</v>
      </c>
      <c r="F7402">
        <v>0.1273</v>
      </c>
    </row>
    <row r="7403" spans="1:6" x14ac:dyDescent="0.3">
      <c r="A7403" t="s">
        <v>22</v>
      </c>
      <c r="B7403" s="1">
        <v>45966</v>
      </c>
      <c r="C7403">
        <v>10</v>
      </c>
      <c r="D7403">
        <v>1.73</v>
      </c>
      <c r="E7403" t="s">
        <v>6</v>
      </c>
      <c r="F7403">
        <v>0.11318</v>
      </c>
    </row>
    <row r="7404" spans="1:6" x14ac:dyDescent="0.3">
      <c r="A7404" t="s">
        <v>22</v>
      </c>
      <c r="B7404" s="1">
        <v>45966</v>
      </c>
      <c r="C7404">
        <v>11</v>
      </c>
      <c r="D7404">
        <v>0</v>
      </c>
      <c r="E7404" t="s">
        <v>6</v>
      </c>
      <c r="F7404">
        <v>0.16462000000000002</v>
      </c>
    </row>
    <row r="7405" spans="1:6" x14ac:dyDescent="0.3">
      <c r="A7405" t="s">
        <v>22</v>
      </c>
      <c r="B7405" s="1">
        <v>45966</v>
      </c>
      <c r="C7405">
        <v>12</v>
      </c>
      <c r="D7405">
        <v>0</v>
      </c>
      <c r="E7405" t="s">
        <v>6</v>
      </c>
      <c r="F7405">
        <v>0.15959000000000001</v>
      </c>
    </row>
    <row r="7406" spans="1:6" x14ac:dyDescent="0.3">
      <c r="A7406" t="s">
        <v>22</v>
      </c>
      <c r="B7406" s="1">
        <v>45966</v>
      </c>
      <c r="C7406">
        <v>13</v>
      </c>
      <c r="D7406">
        <v>0</v>
      </c>
      <c r="E7406" t="s">
        <v>6</v>
      </c>
      <c r="F7406">
        <v>0.16171000000000002</v>
      </c>
    </row>
    <row r="7407" spans="1:6" x14ac:dyDescent="0.3">
      <c r="A7407" t="s">
        <v>22</v>
      </c>
      <c r="B7407" s="1">
        <v>45966</v>
      </c>
      <c r="C7407">
        <v>14</v>
      </c>
      <c r="D7407">
        <v>0</v>
      </c>
      <c r="E7407" t="s">
        <v>6</v>
      </c>
      <c r="F7407">
        <v>0.15880000000000002</v>
      </c>
    </row>
    <row r="7408" spans="1:6" x14ac:dyDescent="0.3">
      <c r="A7408" t="s">
        <v>22</v>
      </c>
      <c r="B7408" s="1">
        <v>45966</v>
      </c>
      <c r="C7408">
        <v>15</v>
      </c>
      <c r="D7408">
        <v>0</v>
      </c>
      <c r="E7408" t="s">
        <v>6</v>
      </c>
      <c r="F7408">
        <v>9.8790000000000003E-2</v>
      </c>
    </row>
    <row r="7409" spans="1:6" x14ac:dyDescent="0.3">
      <c r="A7409" t="s">
        <v>22</v>
      </c>
      <c r="B7409" s="1">
        <v>45966</v>
      </c>
      <c r="C7409">
        <v>16</v>
      </c>
      <c r="D7409">
        <v>0.82</v>
      </c>
      <c r="E7409" t="s">
        <v>6</v>
      </c>
      <c r="F7409">
        <v>0.10797</v>
      </c>
    </row>
    <row r="7410" spans="1:6" x14ac:dyDescent="0.3">
      <c r="A7410" t="s">
        <v>22</v>
      </c>
      <c r="B7410" s="1">
        <v>45966</v>
      </c>
      <c r="C7410">
        <v>17</v>
      </c>
      <c r="D7410">
        <v>1.8340000000000001</v>
      </c>
      <c r="E7410" t="s">
        <v>6</v>
      </c>
      <c r="F7410">
        <v>0.11766</v>
      </c>
    </row>
    <row r="7411" spans="1:6" x14ac:dyDescent="0.3">
      <c r="A7411" t="s">
        <v>22</v>
      </c>
      <c r="B7411" s="1">
        <v>45966</v>
      </c>
      <c r="C7411">
        <v>18</v>
      </c>
      <c r="D7411">
        <v>1.7609999999999999</v>
      </c>
      <c r="E7411" t="s">
        <v>6</v>
      </c>
      <c r="F7411">
        <v>0.12497</v>
      </c>
    </row>
    <row r="7412" spans="1:6" x14ac:dyDescent="0.3">
      <c r="A7412" t="s">
        <v>22</v>
      </c>
      <c r="B7412" s="1">
        <v>45966</v>
      </c>
      <c r="C7412">
        <v>19</v>
      </c>
      <c r="D7412">
        <v>1.8029999999999999</v>
      </c>
      <c r="E7412" t="s">
        <v>6</v>
      </c>
      <c r="F7412">
        <v>0.20200000000000001</v>
      </c>
    </row>
    <row r="7413" spans="1:6" x14ac:dyDescent="0.3">
      <c r="A7413" t="s">
        <v>22</v>
      </c>
      <c r="B7413" s="1">
        <v>45966</v>
      </c>
      <c r="C7413">
        <v>20</v>
      </c>
      <c r="D7413">
        <v>1.07</v>
      </c>
      <c r="E7413" t="s">
        <v>6</v>
      </c>
      <c r="F7413">
        <v>0.22300999999999999</v>
      </c>
    </row>
    <row r="7414" spans="1:6" x14ac:dyDescent="0.3">
      <c r="A7414" t="s">
        <v>22</v>
      </c>
      <c r="B7414" s="1">
        <v>45966</v>
      </c>
      <c r="C7414">
        <v>21</v>
      </c>
      <c r="D7414">
        <v>1.635</v>
      </c>
      <c r="E7414" t="s">
        <v>6</v>
      </c>
      <c r="F7414">
        <v>0.22805</v>
      </c>
    </row>
    <row r="7415" spans="1:6" x14ac:dyDescent="0.3">
      <c r="A7415" t="s">
        <v>22</v>
      </c>
      <c r="B7415" s="1">
        <v>45966</v>
      </c>
      <c r="C7415">
        <v>22</v>
      </c>
      <c r="D7415">
        <v>1.004</v>
      </c>
      <c r="E7415" t="s">
        <v>6</v>
      </c>
      <c r="F7415">
        <v>0.22086</v>
      </c>
    </row>
    <row r="7416" spans="1:6" x14ac:dyDescent="0.3">
      <c r="A7416" t="s">
        <v>22</v>
      </c>
      <c r="B7416" s="1">
        <v>45966</v>
      </c>
      <c r="C7416">
        <v>23</v>
      </c>
      <c r="D7416">
        <v>1.0580000000000001</v>
      </c>
      <c r="E7416" t="s">
        <v>6</v>
      </c>
      <c r="F7416">
        <v>0.13628000000000001</v>
      </c>
    </row>
    <row r="7417" spans="1:6" x14ac:dyDescent="0.3">
      <c r="A7417" t="s">
        <v>22</v>
      </c>
      <c r="B7417" s="1">
        <v>45966</v>
      </c>
      <c r="C7417">
        <v>24</v>
      </c>
      <c r="D7417">
        <v>1.1279999999999999</v>
      </c>
      <c r="E7417" t="s">
        <v>6</v>
      </c>
      <c r="F7417">
        <v>0.12387000000000001</v>
      </c>
    </row>
    <row r="7418" spans="1:6" x14ac:dyDescent="0.3">
      <c r="A7418" t="s">
        <v>22</v>
      </c>
      <c r="B7418" s="1">
        <v>45967</v>
      </c>
      <c r="C7418">
        <v>1</v>
      </c>
      <c r="D7418">
        <v>0.79600000000000004</v>
      </c>
      <c r="E7418" t="s">
        <v>6</v>
      </c>
      <c r="F7418">
        <v>8.6430000000000007E-2</v>
      </c>
    </row>
    <row r="7419" spans="1:6" x14ac:dyDescent="0.3">
      <c r="A7419" t="s">
        <v>22</v>
      </c>
      <c r="B7419" s="1">
        <v>45967</v>
      </c>
      <c r="C7419">
        <v>2</v>
      </c>
      <c r="D7419">
        <v>1.712</v>
      </c>
      <c r="E7419" t="s">
        <v>6</v>
      </c>
      <c r="F7419">
        <v>8.0670000000000006E-2</v>
      </c>
    </row>
    <row r="7420" spans="1:6" x14ac:dyDescent="0.3">
      <c r="A7420" t="s">
        <v>22</v>
      </c>
      <c r="B7420" s="1">
        <v>45967</v>
      </c>
      <c r="C7420">
        <v>3</v>
      </c>
      <c r="D7420">
        <v>0.68</v>
      </c>
      <c r="E7420" t="s">
        <v>6</v>
      </c>
      <c r="F7420">
        <v>8.251E-2</v>
      </c>
    </row>
    <row r="7421" spans="1:6" x14ac:dyDescent="0.3">
      <c r="A7421" t="s">
        <v>22</v>
      </c>
      <c r="B7421" s="1">
        <v>45967</v>
      </c>
      <c r="C7421">
        <v>4</v>
      </c>
      <c r="D7421">
        <v>0.80800000000000005</v>
      </c>
      <c r="E7421" t="s">
        <v>6</v>
      </c>
      <c r="F7421">
        <v>7.5569999999999998E-2</v>
      </c>
    </row>
    <row r="7422" spans="1:6" x14ac:dyDescent="0.3">
      <c r="A7422" t="s">
        <v>22</v>
      </c>
      <c r="B7422" s="1">
        <v>45967</v>
      </c>
      <c r="C7422">
        <v>5</v>
      </c>
      <c r="D7422">
        <v>0.59799999999999998</v>
      </c>
      <c r="E7422" t="s">
        <v>6</v>
      </c>
      <c r="F7422">
        <v>7.0440000000000003E-2</v>
      </c>
    </row>
    <row r="7423" spans="1:6" x14ac:dyDescent="0.3">
      <c r="A7423" t="s">
        <v>22</v>
      </c>
      <c r="B7423" s="1">
        <v>45967</v>
      </c>
      <c r="C7423">
        <v>6</v>
      </c>
      <c r="D7423">
        <v>0.754</v>
      </c>
      <c r="E7423" t="s">
        <v>6</v>
      </c>
      <c r="F7423">
        <v>7.8980000000000009E-2</v>
      </c>
    </row>
    <row r="7424" spans="1:6" x14ac:dyDescent="0.3">
      <c r="A7424" t="s">
        <v>22</v>
      </c>
      <c r="B7424" s="1">
        <v>45967</v>
      </c>
      <c r="C7424">
        <v>7</v>
      </c>
      <c r="D7424">
        <v>0.66700000000000004</v>
      </c>
      <c r="E7424" t="s">
        <v>6</v>
      </c>
      <c r="F7424">
        <v>0.10728</v>
      </c>
    </row>
    <row r="7425" spans="1:6" x14ac:dyDescent="0.3">
      <c r="A7425" t="s">
        <v>22</v>
      </c>
      <c r="B7425" s="1">
        <v>45967</v>
      </c>
      <c r="C7425">
        <v>8</v>
      </c>
      <c r="D7425">
        <v>1.0840000000000001</v>
      </c>
      <c r="E7425" t="s">
        <v>6</v>
      </c>
      <c r="F7425">
        <v>0.13156999999999999</v>
      </c>
    </row>
    <row r="7426" spans="1:6" x14ac:dyDescent="0.3">
      <c r="A7426" t="s">
        <v>22</v>
      </c>
      <c r="B7426" s="1">
        <v>45967</v>
      </c>
      <c r="C7426">
        <v>9</v>
      </c>
      <c r="D7426">
        <v>0.95499999999999996</v>
      </c>
      <c r="E7426" t="s">
        <v>6</v>
      </c>
      <c r="F7426">
        <v>0.15137999999999999</v>
      </c>
    </row>
    <row r="7427" spans="1:6" x14ac:dyDescent="0.3">
      <c r="A7427" t="s">
        <v>22</v>
      </c>
      <c r="B7427" s="1">
        <v>45967</v>
      </c>
      <c r="C7427">
        <v>10</v>
      </c>
      <c r="D7427">
        <v>2.1040000000000001</v>
      </c>
      <c r="E7427" t="s">
        <v>6</v>
      </c>
      <c r="F7427">
        <v>0.10138999999999999</v>
      </c>
    </row>
    <row r="7428" spans="1:6" x14ac:dyDescent="0.3">
      <c r="A7428" t="s">
        <v>22</v>
      </c>
      <c r="B7428" s="1">
        <v>45967</v>
      </c>
      <c r="C7428">
        <v>11</v>
      </c>
      <c r="D7428">
        <v>1.7310000000000001</v>
      </c>
      <c r="E7428" t="s">
        <v>6</v>
      </c>
      <c r="F7428">
        <v>0.15156</v>
      </c>
    </row>
    <row r="7429" spans="1:6" x14ac:dyDescent="0.3">
      <c r="A7429" t="s">
        <v>22</v>
      </c>
      <c r="B7429" s="1">
        <v>45967</v>
      </c>
      <c r="C7429">
        <v>12</v>
      </c>
      <c r="D7429">
        <v>0.47699999999999998</v>
      </c>
      <c r="E7429" t="s">
        <v>6</v>
      </c>
      <c r="F7429">
        <v>0.14874999999999999</v>
      </c>
    </row>
    <row r="7430" spans="1:6" x14ac:dyDescent="0.3">
      <c r="A7430" t="s">
        <v>22</v>
      </c>
      <c r="B7430" s="1">
        <v>45967</v>
      </c>
      <c r="C7430">
        <v>13</v>
      </c>
      <c r="D7430">
        <v>0.20799999999999999</v>
      </c>
      <c r="E7430" t="s">
        <v>6</v>
      </c>
      <c r="F7430">
        <v>0.14862999999999998</v>
      </c>
    </row>
    <row r="7431" spans="1:6" x14ac:dyDescent="0.3">
      <c r="A7431" t="s">
        <v>22</v>
      </c>
      <c r="B7431" s="1">
        <v>45967</v>
      </c>
      <c r="C7431">
        <v>14</v>
      </c>
      <c r="D7431">
        <v>0</v>
      </c>
      <c r="E7431" t="s">
        <v>6</v>
      </c>
      <c r="F7431">
        <v>0.14574000000000001</v>
      </c>
    </row>
    <row r="7432" spans="1:6" x14ac:dyDescent="0.3">
      <c r="A7432" t="s">
        <v>22</v>
      </c>
      <c r="B7432" s="1">
        <v>45967</v>
      </c>
      <c r="C7432">
        <v>15</v>
      </c>
      <c r="D7432">
        <v>0.39900000000000002</v>
      </c>
      <c r="E7432" t="s">
        <v>6</v>
      </c>
      <c r="F7432">
        <v>8.1409999999999996E-2</v>
      </c>
    </row>
    <row r="7433" spans="1:6" x14ac:dyDescent="0.3">
      <c r="A7433" t="s">
        <v>22</v>
      </c>
      <c r="B7433" s="1">
        <v>45967</v>
      </c>
      <c r="C7433">
        <v>16</v>
      </c>
      <c r="D7433">
        <v>0.28000000000000003</v>
      </c>
      <c r="E7433" t="s">
        <v>6</v>
      </c>
      <c r="F7433">
        <v>8.455E-2</v>
      </c>
    </row>
    <row r="7434" spans="1:6" x14ac:dyDescent="0.3">
      <c r="A7434" t="s">
        <v>22</v>
      </c>
      <c r="B7434" s="1">
        <v>45967</v>
      </c>
      <c r="C7434">
        <v>17</v>
      </c>
      <c r="D7434">
        <v>0.96699999999999997</v>
      </c>
      <c r="E7434" t="s">
        <v>6</v>
      </c>
      <c r="F7434">
        <v>0.10245</v>
      </c>
    </row>
    <row r="7435" spans="1:6" x14ac:dyDescent="0.3">
      <c r="A7435" t="s">
        <v>22</v>
      </c>
      <c r="B7435" s="1">
        <v>45967</v>
      </c>
      <c r="C7435">
        <v>18</v>
      </c>
      <c r="D7435">
        <v>1.913</v>
      </c>
      <c r="E7435" t="s">
        <v>6</v>
      </c>
      <c r="F7435">
        <v>0.16336000000000001</v>
      </c>
    </row>
    <row r="7436" spans="1:6" x14ac:dyDescent="0.3">
      <c r="A7436" t="s">
        <v>22</v>
      </c>
      <c r="B7436" s="1">
        <v>45967</v>
      </c>
      <c r="C7436">
        <v>19</v>
      </c>
      <c r="D7436">
        <v>1.85</v>
      </c>
      <c r="E7436" t="s">
        <v>6</v>
      </c>
      <c r="F7436">
        <v>0.26212000000000002</v>
      </c>
    </row>
    <row r="7437" spans="1:6" x14ac:dyDescent="0.3">
      <c r="A7437" t="s">
        <v>22</v>
      </c>
      <c r="B7437" s="1">
        <v>45967</v>
      </c>
      <c r="C7437">
        <v>20</v>
      </c>
      <c r="D7437">
        <v>1.54</v>
      </c>
      <c r="E7437" t="s">
        <v>6</v>
      </c>
      <c r="F7437">
        <v>0.28129999999999999</v>
      </c>
    </row>
    <row r="7438" spans="1:6" x14ac:dyDescent="0.3">
      <c r="A7438" t="s">
        <v>22</v>
      </c>
      <c r="B7438" s="1">
        <v>45967</v>
      </c>
      <c r="C7438">
        <v>21</v>
      </c>
      <c r="D7438">
        <v>1.19</v>
      </c>
      <c r="E7438" t="s">
        <v>6</v>
      </c>
      <c r="F7438">
        <v>0.27145999999999998</v>
      </c>
    </row>
    <row r="7439" spans="1:6" x14ac:dyDescent="0.3">
      <c r="A7439" t="s">
        <v>22</v>
      </c>
      <c r="B7439" s="1">
        <v>45967</v>
      </c>
      <c r="C7439">
        <v>22</v>
      </c>
      <c r="D7439">
        <v>1.089</v>
      </c>
      <c r="E7439" t="s">
        <v>6</v>
      </c>
      <c r="F7439">
        <v>0.24753999999999998</v>
      </c>
    </row>
    <row r="7440" spans="1:6" x14ac:dyDescent="0.3">
      <c r="A7440" t="s">
        <v>22</v>
      </c>
      <c r="B7440" s="1">
        <v>45967</v>
      </c>
      <c r="C7440">
        <v>23</v>
      </c>
      <c r="D7440">
        <v>1.4359999999999999</v>
      </c>
      <c r="E7440" t="s">
        <v>6</v>
      </c>
      <c r="F7440">
        <v>0.17687</v>
      </c>
    </row>
    <row r="7441" spans="1:6" x14ac:dyDescent="0.3">
      <c r="A7441" t="s">
        <v>22</v>
      </c>
      <c r="B7441" s="1">
        <v>45967</v>
      </c>
      <c r="C7441">
        <v>24</v>
      </c>
      <c r="D7441">
        <v>1.204</v>
      </c>
      <c r="E7441" t="s">
        <v>6</v>
      </c>
      <c r="F7441">
        <v>0.16613999999999998</v>
      </c>
    </row>
    <row r="7442" spans="1:6" x14ac:dyDescent="0.3">
      <c r="A7442" t="s">
        <v>22</v>
      </c>
      <c r="B7442" s="1">
        <v>45968</v>
      </c>
      <c r="C7442">
        <v>1</v>
      </c>
      <c r="D7442">
        <v>1.304</v>
      </c>
      <c r="E7442" t="s">
        <v>6</v>
      </c>
      <c r="F7442">
        <v>0.10923999999999999</v>
      </c>
    </row>
    <row r="7443" spans="1:6" x14ac:dyDescent="0.3">
      <c r="A7443" t="s">
        <v>22</v>
      </c>
      <c r="B7443" s="1">
        <v>45968</v>
      </c>
      <c r="C7443">
        <v>2</v>
      </c>
      <c r="D7443">
        <v>1.32</v>
      </c>
      <c r="E7443" t="s">
        <v>6</v>
      </c>
      <c r="F7443">
        <v>0.10423</v>
      </c>
    </row>
    <row r="7444" spans="1:6" x14ac:dyDescent="0.3">
      <c r="A7444" t="s">
        <v>22</v>
      </c>
      <c r="B7444" s="1">
        <v>45968</v>
      </c>
      <c r="C7444">
        <v>3</v>
      </c>
      <c r="D7444">
        <v>1.117</v>
      </c>
      <c r="E7444" t="s">
        <v>6</v>
      </c>
      <c r="F7444">
        <v>0.10256</v>
      </c>
    </row>
    <row r="7445" spans="1:6" x14ac:dyDescent="0.3">
      <c r="A7445" t="s">
        <v>22</v>
      </c>
      <c r="B7445" s="1">
        <v>45968</v>
      </c>
      <c r="C7445">
        <v>4</v>
      </c>
      <c r="D7445">
        <v>1.1379999999999999</v>
      </c>
      <c r="E7445" t="s">
        <v>6</v>
      </c>
      <c r="F7445">
        <v>8.6489999999999997E-2</v>
      </c>
    </row>
    <row r="7446" spans="1:6" x14ac:dyDescent="0.3">
      <c r="A7446" t="s">
        <v>22</v>
      </c>
      <c r="B7446" s="1">
        <v>45968</v>
      </c>
      <c r="C7446">
        <v>5</v>
      </c>
      <c r="D7446">
        <v>1.129</v>
      </c>
      <c r="E7446" t="s">
        <v>6</v>
      </c>
      <c r="F7446">
        <v>8.183E-2</v>
      </c>
    </row>
    <row r="7447" spans="1:6" x14ac:dyDescent="0.3">
      <c r="A7447" t="s">
        <v>22</v>
      </c>
      <c r="B7447" s="1">
        <v>45968</v>
      </c>
      <c r="C7447">
        <v>6</v>
      </c>
      <c r="D7447">
        <v>1.18</v>
      </c>
      <c r="E7447" t="s">
        <v>6</v>
      </c>
      <c r="F7447">
        <v>9.1359999999999997E-2</v>
      </c>
    </row>
    <row r="7448" spans="1:6" x14ac:dyDescent="0.3">
      <c r="A7448" t="s">
        <v>22</v>
      </c>
      <c r="B7448" s="1">
        <v>45968</v>
      </c>
      <c r="C7448">
        <v>7</v>
      </c>
      <c r="D7448">
        <v>1.2130000000000001</v>
      </c>
      <c r="E7448" t="s">
        <v>6</v>
      </c>
      <c r="F7448">
        <v>0.11187000000000001</v>
      </c>
    </row>
    <row r="7449" spans="1:6" x14ac:dyDescent="0.3">
      <c r="A7449" t="s">
        <v>22</v>
      </c>
      <c r="B7449" s="1">
        <v>45968</v>
      </c>
      <c r="C7449">
        <v>8</v>
      </c>
      <c r="D7449">
        <v>1.4630000000000001</v>
      </c>
      <c r="E7449" t="s">
        <v>6</v>
      </c>
      <c r="F7449">
        <v>0.12401999999999999</v>
      </c>
    </row>
    <row r="7450" spans="1:6" x14ac:dyDescent="0.3">
      <c r="A7450" t="s">
        <v>22</v>
      </c>
      <c r="B7450" s="1">
        <v>45968</v>
      </c>
      <c r="C7450">
        <v>9</v>
      </c>
      <c r="D7450">
        <v>0.85099999999999998</v>
      </c>
      <c r="E7450" t="s">
        <v>6</v>
      </c>
      <c r="F7450">
        <v>0.16166</v>
      </c>
    </row>
    <row r="7451" spans="1:6" x14ac:dyDescent="0.3">
      <c r="A7451" t="s">
        <v>22</v>
      </c>
      <c r="B7451" s="1">
        <v>45968</v>
      </c>
      <c r="C7451">
        <v>10</v>
      </c>
      <c r="D7451">
        <v>0.20100000000000001</v>
      </c>
      <c r="E7451" t="s">
        <v>6</v>
      </c>
      <c r="F7451">
        <v>0.14201</v>
      </c>
    </row>
    <row r="7452" spans="1:6" x14ac:dyDescent="0.3">
      <c r="A7452" t="s">
        <v>22</v>
      </c>
      <c r="B7452" s="1">
        <v>45968</v>
      </c>
      <c r="C7452">
        <v>11</v>
      </c>
      <c r="D7452">
        <v>0.25600000000000001</v>
      </c>
      <c r="E7452" t="s">
        <v>6</v>
      </c>
      <c r="F7452">
        <v>0.19069999999999998</v>
      </c>
    </row>
    <row r="7453" spans="1:6" x14ac:dyDescent="0.3">
      <c r="A7453" t="s">
        <v>22</v>
      </c>
      <c r="B7453" s="1">
        <v>45968</v>
      </c>
      <c r="C7453">
        <v>12</v>
      </c>
      <c r="D7453">
        <v>0</v>
      </c>
      <c r="E7453" t="s">
        <v>6</v>
      </c>
      <c r="F7453">
        <v>0.18193000000000001</v>
      </c>
    </row>
    <row r="7454" spans="1:6" x14ac:dyDescent="0.3">
      <c r="A7454" t="s">
        <v>22</v>
      </c>
      <c r="B7454" s="1">
        <v>45968</v>
      </c>
      <c r="C7454">
        <v>13</v>
      </c>
      <c r="D7454">
        <v>0</v>
      </c>
      <c r="E7454" t="s">
        <v>6</v>
      </c>
      <c r="F7454">
        <v>0.18102000000000001</v>
      </c>
    </row>
    <row r="7455" spans="1:6" x14ac:dyDescent="0.3">
      <c r="A7455" t="s">
        <v>22</v>
      </c>
      <c r="B7455" s="1">
        <v>45968</v>
      </c>
      <c r="C7455">
        <v>14</v>
      </c>
      <c r="D7455">
        <v>0</v>
      </c>
      <c r="E7455" t="s">
        <v>6</v>
      </c>
      <c r="F7455">
        <v>0.17188999999999999</v>
      </c>
    </row>
    <row r="7456" spans="1:6" x14ac:dyDescent="0.3">
      <c r="A7456" t="s">
        <v>22</v>
      </c>
      <c r="B7456" s="1">
        <v>45968</v>
      </c>
      <c r="C7456">
        <v>15</v>
      </c>
      <c r="D7456">
        <v>0</v>
      </c>
      <c r="E7456" t="s">
        <v>6</v>
      </c>
      <c r="F7456">
        <v>0.11481999999999999</v>
      </c>
    </row>
    <row r="7457" spans="1:6" x14ac:dyDescent="0.3">
      <c r="A7457" t="s">
        <v>22</v>
      </c>
      <c r="B7457" s="1">
        <v>45968</v>
      </c>
      <c r="C7457">
        <v>16</v>
      </c>
      <c r="D7457">
        <v>0</v>
      </c>
      <c r="E7457" t="s">
        <v>6</v>
      </c>
      <c r="F7457">
        <v>0.12759000000000001</v>
      </c>
    </row>
    <row r="7458" spans="1:6" x14ac:dyDescent="0.3">
      <c r="A7458" t="s">
        <v>22</v>
      </c>
      <c r="B7458" s="1">
        <v>45968</v>
      </c>
      <c r="C7458">
        <v>17</v>
      </c>
      <c r="D7458">
        <v>3.4830000000000001</v>
      </c>
      <c r="E7458" t="s">
        <v>6</v>
      </c>
      <c r="F7458">
        <v>0.14776</v>
      </c>
    </row>
    <row r="7459" spans="1:6" x14ac:dyDescent="0.3">
      <c r="A7459" t="s">
        <v>22</v>
      </c>
      <c r="B7459" s="1">
        <v>45968</v>
      </c>
      <c r="C7459">
        <v>18</v>
      </c>
      <c r="D7459">
        <v>2.6110000000000002</v>
      </c>
      <c r="E7459" t="s">
        <v>6</v>
      </c>
      <c r="F7459">
        <v>0.16459000000000001</v>
      </c>
    </row>
    <row r="7460" spans="1:6" x14ac:dyDescent="0.3">
      <c r="A7460" t="s">
        <v>22</v>
      </c>
      <c r="B7460" s="1">
        <v>45968</v>
      </c>
      <c r="C7460">
        <v>19</v>
      </c>
      <c r="D7460">
        <v>3.45</v>
      </c>
      <c r="E7460" t="s">
        <v>6</v>
      </c>
      <c r="F7460">
        <v>0.25124000000000002</v>
      </c>
    </row>
    <row r="7461" spans="1:6" x14ac:dyDescent="0.3">
      <c r="A7461" t="s">
        <v>22</v>
      </c>
      <c r="B7461" s="1">
        <v>45968</v>
      </c>
      <c r="C7461">
        <v>20</v>
      </c>
      <c r="D7461">
        <v>2.13</v>
      </c>
      <c r="E7461" t="s">
        <v>6</v>
      </c>
      <c r="F7461">
        <v>0.25236999999999998</v>
      </c>
    </row>
    <row r="7462" spans="1:6" x14ac:dyDescent="0.3">
      <c r="A7462" t="s">
        <v>22</v>
      </c>
      <c r="B7462" s="1">
        <v>45968</v>
      </c>
      <c r="C7462">
        <v>21</v>
      </c>
      <c r="D7462">
        <v>2.48</v>
      </c>
      <c r="E7462" t="s">
        <v>6</v>
      </c>
      <c r="F7462">
        <v>0.24718000000000001</v>
      </c>
    </row>
    <row r="7463" spans="1:6" x14ac:dyDescent="0.3">
      <c r="A7463" t="s">
        <v>22</v>
      </c>
      <c r="B7463" s="1">
        <v>45968</v>
      </c>
      <c r="C7463">
        <v>22</v>
      </c>
      <c r="D7463">
        <v>2.6</v>
      </c>
      <c r="E7463" t="s">
        <v>6</v>
      </c>
      <c r="F7463">
        <v>0.23243</v>
      </c>
    </row>
    <row r="7464" spans="1:6" x14ac:dyDescent="0.3">
      <c r="A7464" t="s">
        <v>22</v>
      </c>
      <c r="B7464" s="1">
        <v>45968</v>
      </c>
      <c r="C7464">
        <v>23</v>
      </c>
      <c r="D7464">
        <v>2.028</v>
      </c>
      <c r="E7464" t="s">
        <v>6</v>
      </c>
      <c r="F7464">
        <v>0.15828999999999999</v>
      </c>
    </row>
    <row r="7465" spans="1:6" x14ac:dyDescent="0.3">
      <c r="A7465" t="s">
        <v>22</v>
      </c>
      <c r="B7465" s="1">
        <v>45968</v>
      </c>
      <c r="C7465">
        <v>24</v>
      </c>
      <c r="D7465">
        <v>1.8480000000000001</v>
      </c>
      <c r="E7465" t="s">
        <v>6</v>
      </c>
      <c r="F7465">
        <v>0.14191999999999999</v>
      </c>
    </row>
    <row r="7466" spans="1:6" x14ac:dyDescent="0.3">
      <c r="A7466" t="s">
        <v>22</v>
      </c>
      <c r="B7466" s="1">
        <v>45969</v>
      </c>
      <c r="C7466">
        <v>1</v>
      </c>
      <c r="D7466">
        <v>1.899</v>
      </c>
      <c r="E7466" t="s">
        <v>6</v>
      </c>
      <c r="F7466">
        <v>0.13102</v>
      </c>
    </row>
    <row r="7467" spans="1:6" x14ac:dyDescent="0.3">
      <c r="A7467" t="s">
        <v>22</v>
      </c>
      <c r="B7467" s="1">
        <v>45969</v>
      </c>
      <c r="C7467">
        <v>2</v>
      </c>
      <c r="D7467">
        <v>2.165</v>
      </c>
      <c r="E7467" t="s">
        <v>6</v>
      </c>
      <c r="F7467">
        <v>0.12196</v>
      </c>
    </row>
    <row r="7468" spans="1:6" x14ac:dyDescent="0.3">
      <c r="A7468" t="s">
        <v>22</v>
      </c>
      <c r="B7468" s="1">
        <v>45969</v>
      </c>
      <c r="C7468">
        <v>3</v>
      </c>
      <c r="D7468">
        <v>1.7450000000000001</v>
      </c>
      <c r="E7468" t="s">
        <v>6</v>
      </c>
      <c r="F7468">
        <v>0.11826</v>
      </c>
    </row>
    <row r="7469" spans="1:6" x14ac:dyDescent="0.3">
      <c r="A7469" t="s">
        <v>22</v>
      </c>
      <c r="B7469" s="1">
        <v>45969</v>
      </c>
      <c r="C7469">
        <v>4</v>
      </c>
      <c r="D7469">
        <v>1.7829999999999999</v>
      </c>
      <c r="E7469" t="s">
        <v>6</v>
      </c>
      <c r="F7469">
        <v>0.11005</v>
      </c>
    </row>
    <row r="7470" spans="1:6" x14ac:dyDescent="0.3">
      <c r="A7470" t="s">
        <v>22</v>
      </c>
      <c r="B7470" s="1">
        <v>45969</v>
      </c>
      <c r="C7470">
        <v>5</v>
      </c>
      <c r="D7470">
        <v>1.5649999999999999</v>
      </c>
      <c r="E7470" t="s">
        <v>6</v>
      </c>
      <c r="F7470">
        <v>9.9140000000000006E-2</v>
      </c>
    </row>
    <row r="7471" spans="1:6" x14ac:dyDescent="0.3">
      <c r="A7471" t="s">
        <v>22</v>
      </c>
      <c r="B7471" s="1">
        <v>45969</v>
      </c>
      <c r="C7471">
        <v>6</v>
      </c>
      <c r="D7471">
        <v>1.534</v>
      </c>
      <c r="E7471" t="s">
        <v>6</v>
      </c>
      <c r="F7471">
        <v>0.10111000000000001</v>
      </c>
    </row>
    <row r="7472" spans="1:6" x14ac:dyDescent="0.3">
      <c r="A7472" t="s">
        <v>22</v>
      </c>
      <c r="B7472" s="1">
        <v>45969</v>
      </c>
      <c r="C7472">
        <v>7</v>
      </c>
      <c r="D7472">
        <v>1.518</v>
      </c>
      <c r="E7472" t="s">
        <v>6</v>
      </c>
      <c r="F7472">
        <v>0.11061</v>
      </c>
    </row>
    <row r="7473" spans="1:6" x14ac:dyDescent="0.3">
      <c r="A7473" t="s">
        <v>22</v>
      </c>
      <c r="B7473" s="1">
        <v>45969</v>
      </c>
      <c r="C7473">
        <v>8</v>
      </c>
      <c r="D7473">
        <v>1.569</v>
      </c>
      <c r="E7473" t="s">
        <v>6</v>
      </c>
      <c r="F7473">
        <v>0.11244</v>
      </c>
    </row>
    <row r="7474" spans="1:6" x14ac:dyDescent="0.3">
      <c r="A7474" t="s">
        <v>22</v>
      </c>
      <c r="B7474" s="1">
        <v>45969</v>
      </c>
      <c r="C7474">
        <v>9</v>
      </c>
      <c r="D7474">
        <v>2.0489999999999999</v>
      </c>
      <c r="E7474" t="s">
        <v>6</v>
      </c>
      <c r="F7474">
        <v>9.9760000000000001E-2</v>
      </c>
    </row>
    <row r="7475" spans="1:6" x14ac:dyDescent="0.3">
      <c r="A7475" t="s">
        <v>22</v>
      </c>
      <c r="B7475" s="1">
        <v>45969</v>
      </c>
      <c r="C7475">
        <v>10</v>
      </c>
      <c r="D7475">
        <v>4.25</v>
      </c>
      <c r="E7475" t="s">
        <v>6</v>
      </c>
      <c r="F7475">
        <v>6.6040000000000001E-2</v>
      </c>
    </row>
    <row r="7476" spans="1:6" x14ac:dyDescent="0.3">
      <c r="A7476" t="s">
        <v>22</v>
      </c>
      <c r="B7476" s="1">
        <v>45969</v>
      </c>
      <c r="C7476">
        <v>11</v>
      </c>
      <c r="D7476">
        <v>2.8319999999999999</v>
      </c>
      <c r="E7476" t="s">
        <v>6</v>
      </c>
      <c r="F7476">
        <v>6.2789999999999999E-2</v>
      </c>
    </row>
    <row r="7477" spans="1:6" x14ac:dyDescent="0.3">
      <c r="A7477" t="s">
        <v>22</v>
      </c>
      <c r="B7477" s="1">
        <v>45969</v>
      </c>
      <c r="C7477">
        <v>12</v>
      </c>
      <c r="D7477">
        <v>1.339</v>
      </c>
      <c r="E7477" t="s">
        <v>6</v>
      </c>
      <c r="F7477">
        <v>6.3090000000000007E-2</v>
      </c>
    </row>
    <row r="7478" spans="1:6" x14ac:dyDescent="0.3">
      <c r="A7478" t="s">
        <v>22</v>
      </c>
      <c r="B7478" s="1">
        <v>45969</v>
      </c>
      <c r="C7478">
        <v>13</v>
      </c>
      <c r="D7478">
        <v>0</v>
      </c>
      <c r="E7478" t="s">
        <v>6</v>
      </c>
      <c r="F7478">
        <v>6.3829999999999998E-2</v>
      </c>
    </row>
    <row r="7479" spans="1:6" x14ac:dyDescent="0.3">
      <c r="A7479" t="s">
        <v>22</v>
      </c>
      <c r="B7479" s="1">
        <v>45969</v>
      </c>
      <c r="C7479">
        <v>14</v>
      </c>
      <c r="D7479">
        <v>0</v>
      </c>
      <c r="E7479" t="s">
        <v>6</v>
      </c>
      <c r="F7479">
        <v>6.5079999999999999E-2</v>
      </c>
    </row>
    <row r="7480" spans="1:6" x14ac:dyDescent="0.3">
      <c r="A7480" t="s">
        <v>22</v>
      </c>
      <c r="B7480" s="1">
        <v>45969</v>
      </c>
      <c r="C7480">
        <v>15</v>
      </c>
      <c r="D7480">
        <v>0</v>
      </c>
      <c r="E7480" t="s">
        <v>6</v>
      </c>
      <c r="F7480">
        <v>6.5390000000000004E-2</v>
      </c>
    </row>
    <row r="7481" spans="1:6" x14ac:dyDescent="0.3">
      <c r="A7481" t="s">
        <v>22</v>
      </c>
      <c r="B7481" s="1">
        <v>45969</v>
      </c>
      <c r="C7481">
        <v>16</v>
      </c>
      <c r="D7481">
        <v>0</v>
      </c>
      <c r="E7481" t="s">
        <v>6</v>
      </c>
      <c r="F7481">
        <v>6.3530000000000003E-2</v>
      </c>
    </row>
    <row r="7482" spans="1:6" x14ac:dyDescent="0.3">
      <c r="A7482" t="s">
        <v>22</v>
      </c>
      <c r="B7482" s="1">
        <v>45969</v>
      </c>
      <c r="C7482">
        <v>17</v>
      </c>
      <c r="D7482">
        <v>0</v>
      </c>
      <c r="E7482" t="s">
        <v>6</v>
      </c>
      <c r="F7482">
        <v>6.6900000000000001E-2</v>
      </c>
    </row>
    <row r="7483" spans="1:6" x14ac:dyDescent="0.3">
      <c r="A7483" t="s">
        <v>22</v>
      </c>
      <c r="B7483" s="1">
        <v>45969</v>
      </c>
      <c r="C7483">
        <v>18</v>
      </c>
      <c r="D7483">
        <v>1.0629999999999999</v>
      </c>
      <c r="E7483" t="s">
        <v>6</v>
      </c>
      <c r="F7483">
        <v>0.12772</v>
      </c>
    </row>
    <row r="7484" spans="1:6" x14ac:dyDescent="0.3">
      <c r="A7484" t="s">
        <v>22</v>
      </c>
      <c r="B7484" s="1">
        <v>45969</v>
      </c>
      <c r="C7484">
        <v>19</v>
      </c>
      <c r="D7484">
        <v>1.0720000000000001</v>
      </c>
      <c r="E7484" t="s">
        <v>6</v>
      </c>
      <c r="F7484">
        <v>0.14886000000000002</v>
      </c>
    </row>
    <row r="7485" spans="1:6" x14ac:dyDescent="0.3">
      <c r="A7485" t="s">
        <v>22</v>
      </c>
      <c r="B7485" s="1">
        <v>45969</v>
      </c>
      <c r="C7485">
        <v>20</v>
      </c>
      <c r="D7485">
        <v>0.92900000000000005</v>
      </c>
      <c r="E7485" t="s">
        <v>6</v>
      </c>
      <c r="F7485">
        <v>0.14637999999999998</v>
      </c>
    </row>
    <row r="7486" spans="1:6" x14ac:dyDescent="0.3">
      <c r="A7486" t="s">
        <v>22</v>
      </c>
      <c r="B7486" s="1">
        <v>45969</v>
      </c>
      <c r="C7486">
        <v>21</v>
      </c>
      <c r="D7486">
        <v>2.431</v>
      </c>
      <c r="E7486" t="s">
        <v>6</v>
      </c>
      <c r="F7486">
        <v>0.1406</v>
      </c>
    </row>
    <row r="7487" spans="1:6" x14ac:dyDescent="0.3">
      <c r="A7487" t="s">
        <v>22</v>
      </c>
      <c r="B7487" s="1">
        <v>45969</v>
      </c>
      <c r="C7487">
        <v>22</v>
      </c>
      <c r="D7487">
        <v>0.51200000000000001</v>
      </c>
      <c r="E7487" t="s">
        <v>6</v>
      </c>
      <c r="F7487">
        <v>0.13534000000000002</v>
      </c>
    </row>
    <row r="7488" spans="1:6" x14ac:dyDescent="0.3">
      <c r="A7488" t="s">
        <v>22</v>
      </c>
      <c r="B7488" s="1">
        <v>45969</v>
      </c>
      <c r="C7488">
        <v>23</v>
      </c>
      <c r="D7488">
        <v>0.29199999999999998</v>
      </c>
      <c r="E7488" t="s">
        <v>6</v>
      </c>
      <c r="F7488">
        <v>0.13355</v>
      </c>
    </row>
    <row r="7489" spans="1:6" x14ac:dyDescent="0.3">
      <c r="A7489" t="s">
        <v>22</v>
      </c>
      <c r="B7489" s="1">
        <v>45969</v>
      </c>
      <c r="C7489">
        <v>24</v>
      </c>
      <c r="D7489">
        <v>1.2529999999999999</v>
      </c>
      <c r="E7489" t="s">
        <v>6</v>
      </c>
      <c r="F7489">
        <v>0.1318</v>
      </c>
    </row>
    <row r="7490" spans="1:6" x14ac:dyDescent="0.3">
      <c r="A7490" t="s">
        <v>22</v>
      </c>
      <c r="B7490" s="1">
        <v>45970</v>
      </c>
      <c r="C7490">
        <v>1</v>
      </c>
      <c r="D7490">
        <v>2.5190000000000001</v>
      </c>
      <c r="E7490" t="s">
        <v>6</v>
      </c>
      <c r="F7490">
        <v>0.12278</v>
      </c>
    </row>
    <row r="7491" spans="1:6" x14ac:dyDescent="0.3">
      <c r="A7491" t="s">
        <v>22</v>
      </c>
      <c r="B7491" s="1">
        <v>45970</v>
      </c>
      <c r="C7491">
        <v>2</v>
      </c>
      <c r="D7491">
        <v>1.913</v>
      </c>
      <c r="E7491" t="s">
        <v>6</v>
      </c>
      <c r="F7491">
        <v>0.11848</v>
      </c>
    </row>
    <row r="7492" spans="1:6" x14ac:dyDescent="0.3">
      <c r="A7492" t="s">
        <v>22</v>
      </c>
      <c r="B7492" s="1">
        <v>45970</v>
      </c>
      <c r="C7492">
        <v>3</v>
      </c>
      <c r="D7492">
        <v>1.903</v>
      </c>
      <c r="E7492" t="s">
        <v>6</v>
      </c>
      <c r="F7492">
        <v>0.11409999999999999</v>
      </c>
    </row>
    <row r="7493" spans="1:6" x14ac:dyDescent="0.3">
      <c r="A7493" t="s">
        <v>22</v>
      </c>
      <c r="B7493" s="1">
        <v>45970</v>
      </c>
      <c r="C7493">
        <v>4</v>
      </c>
      <c r="D7493">
        <v>1.89</v>
      </c>
      <c r="E7493" t="s">
        <v>6</v>
      </c>
      <c r="F7493">
        <v>0.11398</v>
      </c>
    </row>
    <row r="7494" spans="1:6" x14ac:dyDescent="0.3">
      <c r="A7494" t="s">
        <v>22</v>
      </c>
      <c r="B7494" s="1">
        <v>45970</v>
      </c>
      <c r="C7494">
        <v>5</v>
      </c>
      <c r="D7494">
        <v>1.899</v>
      </c>
      <c r="E7494" t="s">
        <v>6</v>
      </c>
      <c r="F7494">
        <v>0.11414000000000001</v>
      </c>
    </row>
    <row r="7495" spans="1:6" x14ac:dyDescent="0.3">
      <c r="A7495" t="s">
        <v>22</v>
      </c>
      <c r="B7495" s="1">
        <v>45970</v>
      </c>
      <c r="C7495">
        <v>6</v>
      </c>
      <c r="D7495">
        <v>1.956</v>
      </c>
      <c r="E7495" t="s">
        <v>6</v>
      </c>
      <c r="F7495">
        <v>0.1172</v>
      </c>
    </row>
    <row r="7496" spans="1:6" x14ac:dyDescent="0.3">
      <c r="A7496" t="s">
        <v>22</v>
      </c>
      <c r="B7496" s="1">
        <v>45970</v>
      </c>
      <c r="C7496">
        <v>7</v>
      </c>
      <c r="D7496">
        <v>1.7769999999999999</v>
      </c>
      <c r="E7496" t="s">
        <v>6</v>
      </c>
      <c r="F7496">
        <v>0.12725</v>
      </c>
    </row>
    <row r="7497" spans="1:6" x14ac:dyDescent="0.3">
      <c r="A7497" t="s">
        <v>22</v>
      </c>
      <c r="B7497" s="1">
        <v>45970</v>
      </c>
      <c r="C7497">
        <v>8</v>
      </c>
      <c r="D7497">
        <v>1.6870000000000001</v>
      </c>
      <c r="E7497" t="s">
        <v>6</v>
      </c>
      <c r="F7497">
        <v>0.13392999999999999</v>
      </c>
    </row>
    <row r="7498" spans="1:6" x14ac:dyDescent="0.3">
      <c r="A7498" t="s">
        <v>22</v>
      </c>
      <c r="B7498" s="1">
        <v>45970</v>
      </c>
      <c r="C7498">
        <v>9</v>
      </c>
      <c r="D7498">
        <v>1.8129999999999999</v>
      </c>
      <c r="E7498" t="s">
        <v>6</v>
      </c>
      <c r="F7498">
        <v>0.1331</v>
      </c>
    </row>
    <row r="7499" spans="1:6" x14ac:dyDescent="0.3">
      <c r="A7499" t="s">
        <v>22</v>
      </c>
      <c r="B7499" s="1">
        <v>45970</v>
      </c>
      <c r="C7499">
        <v>10</v>
      </c>
      <c r="D7499">
        <v>2.3119999999999998</v>
      </c>
      <c r="E7499" t="s">
        <v>6</v>
      </c>
      <c r="F7499">
        <v>0.10128</v>
      </c>
    </row>
    <row r="7500" spans="1:6" x14ac:dyDescent="0.3">
      <c r="A7500" t="s">
        <v>22</v>
      </c>
      <c r="B7500" s="1">
        <v>45970</v>
      </c>
      <c r="C7500">
        <v>11</v>
      </c>
      <c r="D7500">
        <v>1.9630000000000001</v>
      </c>
      <c r="E7500" t="s">
        <v>6</v>
      </c>
      <c r="F7500">
        <v>5.4700000000000006E-2</v>
      </c>
    </row>
    <row r="7501" spans="1:6" x14ac:dyDescent="0.3">
      <c r="A7501" t="s">
        <v>22</v>
      </c>
      <c r="B7501" s="1">
        <v>45970</v>
      </c>
      <c r="C7501">
        <v>12</v>
      </c>
      <c r="D7501">
        <v>0</v>
      </c>
      <c r="E7501" t="s">
        <v>6</v>
      </c>
      <c r="F7501">
        <v>5.1810000000000002E-2</v>
      </c>
    </row>
    <row r="7502" spans="1:6" x14ac:dyDescent="0.3">
      <c r="A7502" t="s">
        <v>22</v>
      </c>
      <c r="B7502" s="1">
        <v>45970</v>
      </c>
      <c r="C7502">
        <v>13</v>
      </c>
      <c r="D7502">
        <v>0</v>
      </c>
      <c r="E7502" t="s">
        <v>6</v>
      </c>
      <c r="F7502">
        <v>5.2600000000000001E-2</v>
      </c>
    </row>
    <row r="7503" spans="1:6" x14ac:dyDescent="0.3">
      <c r="A7503" t="s">
        <v>22</v>
      </c>
      <c r="B7503" s="1">
        <v>45970</v>
      </c>
      <c r="C7503">
        <v>14</v>
      </c>
      <c r="D7503">
        <v>0</v>
      </c>
      <c r="E7503" t="s">
        <v>6</v>
      </c>
      <c r="F7503">
        <v>5.45E-2</v>
      </c>
    </row>
    <row r="7504" spans="1:6" x14ac:dyDescent="0.3">
      <c r="A7504" t="s">
        <v>22</v>
      </c>
      <c r="B7504" s="1">
        <v>45970</v>
      </c>
      <c r="C7504">
        <v>15</v>
      </c>
      <c r="D7504">
        <v>1.7749999999999999</v>
      </c>
      <c r="E7504" t="s">
        <v>6</v>
      </c>
      <c r="F7504">
        <v>5.6060000000000006E-2</v>
      </c>
    </row>
    <row r="7505" spans="1:6" x14ac:dyDescent="0.3">
      <c r="A7505" t="s">
        <v>22</v>
      </c>
      <c r="B7505" s="1">
        <v>45970</v>
      </c>
      <c r="C7505">
        <v>16</v>
      </c>
      <c r="D7505">
        <v>3.2360000000000002</v>
      </c>
      <c r="E7505" t="s">
        <v>6</v>
      </c>
      <c r="F7505">
        <v>7.2930000000000009E-2</v>
      </c>
    </row>
    <row r="7506" spans="1:6" x14ac:dyDescent="0.3">
      <c r="A7506" t="s">
        <v>22</v>
      </c>
      <c r="B7506" s="1">
        <v>45970</v>
      </c>
      <c r="C7506">
        <v>17</v>
      </c>
      <c r="D7506">
        <v>4.7969999999999997</v>
      </c>
      <c r="E7506" t="s">
        <v>6</v>
      </c>
      <c r="F7506">
        <v>0.11429</v>
      </c>
    </row>
    <row r="7507" spans="1:6" x14ac:dyDescent="0.3">
      <c r="A7507" t="s">
        <v>22</v>
      </c>
      <c r="B7507" s="1">
        <v>45970</v>
      </c>
      <c r="C7507">
        <v>18</v>
      </c>
      <c r="D7507">
        <v>3.0710000000000002</v>
      </c>
      <c r="E7507" t="s">
        <v>6</v>
      </c>
      <c r="F7507">
        <v>0.14165</v>
      </c>
    </row>
    <row r="7508" spans="1:6" x14ac:dyDescent="0.3">
      <c r="A7508" t="s">
        <v>22</v>
      </c>
      <c r="B7508" s="1">
        <v>45970</v>
      </c>
      <c r="C7508">
        <v>19</v>
      </c>
      <c r="D7508">
        <v>2.7130000000000001</v>
      </c>
      <c r="E7508" t="s">
        <v>6</v>
      </c>
      <c r="F7508">
        <v>0.14812999999999998</v>
      </c>
    </row>
    <row r="7509" spans="1:6" x14ac:dyDescent="0.3">
      <c r="A7509" t="s">
        <v>22</v>
      </c>
      <c r="B7509" s="1">
        <v>45970</v>
      </c>
      <c r="C7509">
        <v>20</v>
      </c>
      <c r="D7509">
        <v>0.752</v>
      </c>
      <c r="E7509" t="s">
        <v>6</v>
      </c>
      <c r="F7509">
        <v>0.15784999999999999</v>
      </c>
    </row>
    <row r="7510" spans="1:6" x14ac:dyDescent="0.3">
      <c r="A7510" t="s">
        <v>22</v>
      </c>
      <c r="B7510" s="1">
        <v>45970</v>
      </c>
      <c r="C7510">
        <v>21</v>
      </c>
      <c r="D7510">
        <v>0.79200000000000004</v>
      </c>
      <c r="E7510" t="s">
        <v>6</v>
      </c>
      <c r="F7510">
        <v>0.16400999999999999</v>
      </c>
    </row>
    <row r="7511" spans="1:6" x14ac:dyDescent="0.3">
      <c r="A7511" t="s">
        <v>22</v>
      </c>
      <c r="B7511" s="1">
        <v>45970</v>
      </c>
      <c r="C7511">
        <v>22</v>
      </c>
      <c r="D7511">
        <v>0.98099999999999998</v>
      </c>
      <c r="E7511" t="s">
        <v>6</v>
      </c>
      <c r="F7511">
        <v>0.16878000000000001</v>
      </c>
    </row>
    <row r="7512" spans="1:6" x14ac:dyDescent="0.3">
      <c r="A7512" t="s">
        <v>22</v>
      </c>
      <c r="B7512" s="1">
        <v>45970</v>
      </c>
      <c r="C7512">
        <v>23</v>
      </c>
      <c r="D7512">
        <v>0.35799999999999998</v>
      </c>
      <c r="E7512" t="s">
        <v>6</v>
      </c>
      <c r="F7512">
        <v>0.15543999999999999</v>
      </c>
    </row>
    <row r="7513" spans="1:6" x14ac:dyDescent="0.3">
      <c r="A7513" t="s">
        <v>22</v>
      </c>
      <c r="B7513" s="1">
        <v>45970</v>
      </c>
      <c r="C7513">
        <v>24</v>
      </c>
      <c r="D7513">
        <v>2.0880000000000001</v>
      </c>
      <c r="E7513" t="s">
        <v>6</v>
      </c>
      <c r="F7513">
        <v>0.14286000000000001</v>
      </c>
    </row>
    <row r="7514" spans="1:6" x14ac:dyDescent="0.3">
      <c r="A7514" t="s">
        <v>22</v>
      </c>
      <c r="B7514" s="1">
        <v>45971</v>
      </c>
      <c r="C7514">
        <v>1</v>
      </c>
      <c r="D7514">
        <v>0.183</v>
      </c>
      <c r="E7514" t="s">
        <v>6</v>
      </c>
      <c r="F7514">
        <v>0.13049000000000002</v>
      </c>
    </row>
    <row r="7515" spans="1:6" x14ac:dyDescent="0.3">
      <c r="A7515" t="s">
        <v>22</v>
      </c>
      <c r="B7515" s="1">
        <v>45971</v>
      </c>
      <c r="C7515">
        <v>2</v>
      </c>
      <c r="D7515">
        <v>0.13400000000000001</v>
      </c>
      <c r="E7515" t="s">
        <v>6</v>
      </c>
      <c r="F7515">
        <v>0.12179000000000001</v>
      </c>
    </row>
    <row r="7516" spans="1:6" x14ac:dyDescent="0.3">
      <c r="A7516" t="s">
        <v>22</v>
      </c>
      <c r="B7516" s="1">
        <v>45971</v>
      </c>
      <c r="C7516">
        <v>3</v>
      </c>
      <c r="D7516">
        <v>0.14299999999999999</v>
      </c>
      <c r="E7516" t="s">
        <v>6</v>
      </c>
      <c r="F7516">
        <v>0.11112000000000001</v>
      </c>
    </row>
    <row r="7517" spans="1:6" x14ac:dyDescent="0.3">
      <c r="A7517" t="s">
        <v>22</v>
      </c>
      <c r="B7517" s="1">
        <v>45971</v>
      </c>
      <c r="C7517">
        <v>4</v>
      </c>
      <c r="D7517">
        <v>0.17399999999999999</v>
      </c>
      <c r="E7517" t="s">
        <v>6</v>
      </c>
      <c r="F7517">
        <v>0.10525</v>
      </c>
    </row>
    <row r="7518" spans="1:6" x14ac:dyDescent="0.3">
      <c r="A7518" t="s">
        <v>22</v>
      </c>
      <c r="B7518" s="1">
        <v>45971</v>
      </c>
      <c r="C7518">
        <v>5</v>
      </c>
      <c r="D7518">
        <v>0.127</v>
      </c>
      <c r="E7518" t="s">
        <v>6</v>
      </c>
      <c r="F7518">
        <v>0.10468000000000001</v>
      </c>
    </row>
    <row r="7519" spans="1:6" x14ac:dyDescent="0.3">
      <c r="A7519" t="s">
        <v>22</v>
      </c>
      <c r="B7519" s="1">
        <v>45971</v>
      </c>
      <c r="C7519">
        <v>6</v>
      </c>
      <c r="D7519">
        <v>2.3010000000000002</v>
      </c>
      <c r="E7519" t="s">
        <v>6</v>
      </c>
      <c r="F7519">
        <v>0.11004000000000001</v>
      </c>
    </row>
    <row r="7520" spans="1:6" x14ac:dyDescent="0.3">
      <c r="A7520" t="s">
        <v>22</v>
      </c>
      <c r="B7520" s="1">
        <v>45971</v>
      </c>
      <c r="C7520">
        <v>7</v>
      </c>
      <c r="D7520">
        <v>2.7989999999999999</v>
      </c>
      <c r="E7520" t="s">
        <v>6</v>
      </c>
      <c r="F7520">
        <v>0.13294</v>
      </c>
    </row>
    <row r="7521" spans="1:6" x14ac:dyDescent="0.3">
      <c r="A7521" t="s">
        <v>22</v>
      </c>
      <c r="B7521" s="1">
        <v>45971</v>
      </c>
      <c r="C7521">
        <v>8</v>
      </c>
      <c r="D7521">
        <v>3.0979999999999999</v>
      </c>
      <c r="E7521" t="s">
        <v>6</v>
      </c>
      <c r="F7521">
        <v>0.14745</v>
      </c>
    </row>
    <row r="7522" spans="1:6" x14ac:dyDescent="0.3">
      <c r="A7522" t="s">
        <v>22</v>
      </c>
      <c r="B7522" s="1">
        <v>45971</v>
      </c>
      <c r="C7522">
        <v>9</v>
      </c>
      <c r="D7522">
        <v>2.4289999999999998</v>
      </c>
      <c r="E7522" t="s">
        <v>6</v>
      </c>
      <c r="F7522">
        <v>0.17221</v>
      </c>
    </row>
    <row r="7523" spans="1:6" x14ac:dyDescent="0.3">
      <c r="A7523" t="s">
        <v>22</v>
      </c>
      <c r="B7523" s="1">
        <v>45971</v>
      </c>
      <c r="C7523">
        <v>10</v>
      </c>
      <c r="D7523">
        <v>1.2809999999999999</v>
      </c>
      <c r="E7523" t="s">
        <v>6</v>
      </c>
      <c r="F7523">
        <v>0.13134000000000001</v>
      </c>
    </row>
    <row r="7524" spans="1:6" x14ac:dyDescent="0.3">
      <c r="A7524" t="s">
        <v>22</v>
      </c>
      <c r="B7524" s="1">
        <v>45971</v>
      </c>
      <c r="C7524">
        <v>11</v>
      </c>
      <c r="D7524">
        <v>2.3E-2</v>
      </c>
      <c r="E7524" t="s">
        <v>6</v>
      </c>
      <c r="F7524">
        <v>0.1676</v>
      </c>
    </row>
    <row r="7525" spans="1:6" x14ac:dyDescent="0.3">
      <c r="A7525" t="s">
        <v>22</v>
      </c>
      <c r="B7525" s="1">
        <v>45971</v>
      </c>
      <c r="C7525">
        <v>12</v>
      </c>
      <c r="D7525">
        <v>0</v>
      </c>
      <c r="E7525" t="s">
        <v>6</v>
      </c>
      <c r="F7525">
        <v>0.15834000000000001</v>
      </c>
    </row>
    <row r="7526" spans="1:6" x14ac:dyDescent="0.3">
      <c r="A7526" t="s">
        <v>22</v>
      </c>
      <c r="B7526" s="1">
        <v>45971</v>
      </c>
      <c r="C7526">
        <v>13</v>
      </c>
      <c r="D7526">
        <v>0</v>
      </c>
      <c r="E7526" t="s">
        <v>6</v>
      </c>
      <c r="F7526">
        <v>0.16027000000000002</v>
      </c>
    </row>
    <row r="7527" spans="1:6" x14ac:dyDescent="0.3">
      <c r="A7527" t="s">
        <v>22</v>
      </c>
      <c r="B7527" s="1">
        <v>45971</v>
      </c>
      <c r="C7527">
        <v>14</v>
      </c>
      <c r="D7527">
        <v>0</v>
      </c>
      <c r="E7527" t="s">
        <v>6</v>
      </c>
      <c r="F7527">
        <v>0.15059</v>
      </c>
    </row>
    <row r="7528" spans="1:6" x14ac:dyDescent="0.3">
      <c r="A7528" t="s">
        <v>22</v>
      </c>
      <c r="B7528" s="1">
        <v>45971</v>
      </c>
      <c r="C7528">
        <v>15</v>
      </c>
      <c r="D7528">
        <v>0</v>
      </c>
      <c r="E7528" t="s">
        <v>6</v>
      </c>
      <c r="F7528">
        <v>8.7889999999999996E-2</v>
      </c>
    </row>
    <row r="7529" spans="1:6" x14ac:dyDescent="0.3">
      <c r="A7529" t="s">
        <v>22</v>
      </c>
      <c r="B7529" s="1">
        <v>45971</v>
      </c>
      <c r="C7529">
        <v>16</v>
      </c>
      <c r="D7529">
        <v>0</v>
      </c>
      <c r="E7529" t="s">
        <v>6</v>
      </c>
      <c r="F7529">
        <v>0.10711</v>
      </c>
    </row>
    <row r="7530" spans="1:6" x14ac:dyDescent="0.3">
      <c r="A7530" t="s">
        <v>22</v>
      </c>
      <c r="B7530" s="1">
        <v>45971</v>
      </c>
      <c r="C7530">
        <v>17</v>
      </c>
      <c r="D7530">
        <v>1.891</v>
      </c>
      <c r="E7530" t="s">
        <v>6</v>
      </c>
      <c r="F7530">
        <v>0.12966</v>
      </c>
    </row>
    <row r="7531" spans="1:6" x14ac:dyDescent="0.3">
      <c r="A7531" t="s">
        <v>22</v>
      </c>
      <c r="B7531" s="1">
        <v>45971</v>
      </c>
      <c r="C7531">
        <v>18</v>
      </c>
      <c r="D7531">
        <v>2.0859999999999999</v>
      </c>
      <c r="E7531" t="s">
        <v>6</v>
      </c>
      <c r="F7531">
        <v>0.17282</v>
      </c>
    </row>
    <row r="7532" spans="1:6" x14ac:dyDescent="0.3">
      <c r="A7532" t="s">
        <v>22</v>
      </c>
      <c r="B7532" s="1">
        <v>45971</v>
      </c>
      <c r="C7532">
        <v>19</v>
      </c>
      <c r="D7532">
        <v>2.1640000000000001</v>
      </c>
      <c r="E7532" t="s">
        <v>6</v>
      </c>
      <c r="F7532">
        <v>0.26330999999999999</v>
      </c>
    </row>
    <row r="7533" spans="1:6" x14ac:dyDescent="0.3">
      <c r="A7533" t="s">
        <v>22</v>
      </c>
      <c r="B7533" s="1">
        <v>45971</v>
      </c>
      <c r="C7533">
        <v>20</v>
      </c>
      <c r="D7533">
        <v>1.833</v>
      </c>
      <c r="E7533" t="s">
        <v>6</v>
      </c>
      <c r="F7533">
        <v>0.27726999999999996</v>
      </c>
    </row>
    <row r="7534" spans="1:6" x14ac:dyDescent="0.3">
      <c r="A7534" t="s">
        <v>22</v>
      </c>
      <c r="B7534" s="1">
        <v>45971</v>
      </c>
      <c r="C7534">
        <v>21</v>
      </c>
      <c r="D7534">
        <v>2.2010000000000001</v>
      </c>
      <c r="E7534" t="s">
        <v>6</v>
      </c>
      <c r="F7534">
        <v>0.27054</v>
      </c>
    </row>
    <row r="7535" spans="1:6" x14ac:dyDescent="0.3">
      <c r="A7535" t="s">
        <v>22</v>
      </c>
      <c r="B7535" s="1">
        <v>45971</v>
      </c>
      <c r="C7535">
        <v>22</v>
      </c>
      <c r="D7535">
        <v>3.016</v>
      </c>
      <c r="E7535" t="s">
        <v>6</v>
      </c>
      <c r="F7535">
        <v>0.26486000000000004</v>
      </c>
    </row>
    <row r="7536" spans="1:6" x14ac:dyDescent="0.3">
      <c r="A7536" t="s">
        <v>22</v>
      </c>
      <c r="B7536" s="1">
        <v>45971</v>
      </c>
      <c r="C7536">
        <v>23</v>
      </c>
      <c r="D7536">
        <v>3.1880000000000002</v>
      </c>
      <c r="E7536" t="s">
        <v>6</v>
      </c>
      <c r="F7536">
        <v>0.17510000000000001</v>
      </c>
    </row>
    <row r="7537" spans="1:6" x14ac:dyDescent="0.3">
      <c r="A7537" t="s">
        <v>22</v>
      </c>
      <c r="B7537" s="1">
        <v>45971</v>
      </c>
      <c r="C7537">
        <v>24</v>
      </c>
      <c r="D7537">
        <v>1.85</v>
      </c>
      <c r="E7537" t="s">
        <v>6</v>
      </c>
      <c r="F7537">
        <v>0.16284999999999999</v>
      </c>
    </row>
    <row r="7538" spans="1:6" x14ac:dyDescent="0.3">
      <c r="A7538" t="s">
        <v>22</v>
      </c>
      <c r="B7538" s="1">
        <v>45972</v>
      </c>
      <c r="C7538">
        <v>1</v>
      </c>
      <c r="D7538">
        <v>1.92</v>
      </c>
      <c r="E7538" t="s">
        <v>6</v>
      </c>
      <c r="F7538">
        <v>0.14252999999999999</v>
      </c>
    </row>
    <row r="7539" spans="1:6" x14ac:dyDescent="0.3">
      <c r="A7539" t="s">
        <v>22</v>
      </c>
      <c r="B7539" s="1">
        <v>45972</v>
      </c>
      <c r="C7539">
        <v>2</v>
      </c>
      <c r="D7539">
        <v>2.1819999999999999</v>
      </c>
      <c r="E7539" t="s">
        <v>6</v>
      </c>
      <c r="F7539">
        <v>0.14138000000000001</v>
      </c>
    </row>
    <row r="7540" spans="1:6" x14ac:dyDescent="0.3">
      <c r="A7540" t="s">
        <v>22</v>
      </c>
      <c r="B7540" s="1">
        <v>45972</v>
      </c>
      <c r="C7540">
        <v>3</v>
      </c>
      <c r="D7540">
        <v>1.921</v>
      </c>
      <c r="E7540" t="s">
        <v>6</v>
      </c>
      <c r="F7540">
        <v>0.14293</v>
      </c>
    </row>
    <row r="7541" spans="1:6" x14ac:dyDescent="0.3">
      <c r="A7541" t="s">
        <v>22</v>
      </c>
      <c r="B7541" s="1">
        <v>45972</v>
      </c>
      <c r="C7541">
        <v>4</v>
      </c>
      <c r="D7541">
        <v>2.0630000000000002</v>
      </c>
      <c r="E7541" t="s">
        <v>6</v>
      </c>
      <c r="F7541">
        <v>0.13955999999999999</v>
      </c>
    </row>
    <row r="7542" spans="1:6" x14ac:dyDescent="0.3">
      <c r="A7542" t="s">
        <v>22</v>
      </c>
      <c r="B7542" s="1">
        <v>45972</v>
      </c>
      <c r="C7542">
        <v>5</v>
      </c>
      <c r="D7542">
        <v>2.0819999999999999</v>
      </c>
      <c r="E7542" t="s">
        <v>6</v>
      </c>
      <c r="F7542">
        <v>0.13961999999999999</v>
      </c>
    </row>
    <row r="7543" spans="1:6" x14ac:dyDescent="0.3">
      <c r="A7543" t="s">
        <v>22</v>
      </c>
      <c r="B7543" s="1">
        <v>45972</v>
      </c>
      <c r="C7543">
        <v>6</v>
      </c>
      <c r="D7543">
        <v>2.1440000000000001</v>
      </c>
      <c r="E7543" t="s">
        <v>6</v>
      </c>
      <c r="F7543">
        <v>0.13807</v>
      </c>
    </row>
    <row r="7544" spans="1:6" x14ac:dyDescent="0.3">
      <c r="A7544" t="s">
        <v>22</v>
      </c>
      <c r="B7544" s="1">
        <v>45972</v>
      </c>
      <c r="C7544">
        <v>7</v>
      </c>
      <c r="D7544">
        <v>2.2000000000000002</v>
      </c>
      <c r="E7544" t="s">
        <v>6</v>
      </c>
      <c r="F7544">
        <v>0.13925999999999999</v>
      </c>
    </row>
    <row r="7545" spans="1:6" x14ac:dyDescent="0.3">
      <c r="A7545" t="s">
        <v>22</v>
      </c>
      <c r="B7545" s="1">
        <v>45972</v>
      </c>
      <c r="C7545">
        <v>8</v>
      </c>
      <c r="D7545">
        <v>2.2989999999999999</v>
      </c>
      <c r="E7545" t="s">
        <v>6</v>
      </c>
      <c r="F7545">
        <v>0.14138000000000001</v>
      </c>
    </row>
    <row r="7546" spans="1:6" x14ac:dyDescent="0.3">
      <c r="A7546" t="s">
        <v>22</v>
      </c>
      <c r="B7546" s="1">
        <v>45972</v>
      </c>
      <c r="C7546">
        <v>9</v>
      </c>
      <c r="D7546">
        <v>1.36</v>
      </c>
      <c r="E7546" t="s">
        <v>6</v>
      </c>
      <c r="F7546">
        <v>0.16347</v>
      </c>
    </row>
    <row r="7547" spans="1:6" x14ac:dyDescent="0.3">
      <c r="A7547" t="s">
        <v>22</v>
      </c>
      <c r="B7547" s="1">
        <v>45972</v>
      </c>
      <c r="C7547">
        <v>10</v>
      </c>
      <c r="D7547">
        <v>0.59299999999999997</v>
      </c>
      <c r="E7547" t="s">
        <v>6</v>
      </c>
      <c r="F7547">
        <v>0.11731</v>
      </c>
    </row>
    <row r="7548" spans="1:6" x14ac:dyDescent="0.3">
      <c r="A7548" t="s">
        <v>22</v>
      </c>
      <c r="B7548" s="1">
        <v>45972</v>
      </c>
      <c r="C7548">
        <v>11</v>
      </c>
      <c r="D7548">
        <v>0</v>
      </c>
      <c r="E7548" t="s">
        <v>6</v>
      </c>
      <c r="F7548">
        <v>0.14349000000000001</v>
      </c>
    </row>
    <row r="7549" spans="1:6" x14ac:dyDescent="0.3">
      <c r="A7549" t="s">
        <v>22</v>
      </c>
      <c r="B7549" s="1">
        <v>45972</v>
      </c>
      <c r="C7549">
        <v>12</v>
      </c>
      <c r="D7549">
        <v>0</v>
      </c>
      <c r="E7549" t="s">
        <v>6</v>
      </c>
      <c r="F7549">
        <v>0.14305999999999999</v>
      </c>
    </row>
    <row r="7550" spans="1:6" x14ac:dyDescent="0.3">
      <c r="A7550" t="s">
        <v>22</v>
      </c>
      <c r="B7550" s="1">
        <v>45972</v>
      </c>
      <c r="C7550">
        <v>13</v>
      </c>
      <c r="D7550">
        <v>0</v>
      </c>
      <c r="E7550" t="s">
        <v>6</v>
      </c>
      <c r="F7550">
        <v>0.14537</v>
      </c>
    </row>
    <row r="7551" spans="1:6" x14ac:dyDescent="0.3">
      <c r="A7551" t="s">
        <v>22</v>
      </c>
      <c r="B7551" s="1">
        <v>45972</v>
      </c>
      <c r="C7551">
        <v>14</v>
      </c>
      <c r="D7551">
        <v>0</v>
      </c>
      <c r="E7551" t="s">
        <v>6</v>
      </c>
      <c r="F7551">
        <v>0.13835</v>
      </c>
    </row>
    <row r="7552" spans="1:6" x14ac:dyDescent="0.3">
      <c r="A7552" t="s">
        <v>22</v>
      </c>
      <c r="B7552" s="1">
        <v>45972</v>
      </c>
      <c r="C7552">
        <v>15</v>
      </c>
      <c r="D7552">
        <v>0</v>
      </c>
      <c r="E7552" t="s">
        <v>6</v>
      </c>
      <c r="F7552">
        <v>6.9889999999999994E-2</v>
      </c>
    </row>
    <row r="7553" spans="1:6" x14ac:dyDescent="0.3">
      <c r="A7553" t="s">
        <v>22</v>
      </c>
      <c r="B7553" s="1">
        <v>45972</v>
      </c>
      <c r="C7553">
        <v>16</v>
      </c>
      <c r="D7553">
        <v>0</v>
      </c>
      <c r="E7553" t="s">
        <v>6</v>
      </c>
      <c r="F7553">
        <v>7.8E-2</v>
      </c>
    </row>
    <row r="7554" spans="1:6" x14ac:dyDescent="0.3">
      <c r="A7554" t="s">
        <v>22</v>
      </c>
      <c r="B7554" s="1">
        <v>45972</v>
      </c>
      <c r="C7554">
        <v>17</v>
      </c>
      <c r="D7554">
        <v>1.5069999999999999</v>
      </c>
      <c r="E7554" t="s">
        <v>6</v>
      </c>
      <c r="F7554">
        <v>0.10689</v>
      </c>
    </row>
    <row r="7555" spans="1:6" x14ac:dyDescent="0.3">
      <c r="A7555" t="s">
        <v>22</v>
      </c>
      <c r="B7555" s="1">
        <v>45972</v>
      </c>
      <c r="C7555">
        <v>18</v>
      </c>
      <c r="D7555">
        <v>0.747</v>
      </c>
      <c r="E7555" t="s">
        <v>6</v>
      </c>
      <c r="F7555">
        <v>0.14692</v>
      </c>
    </row>
    <row r="7556" spans="1:6" x14ac:dyDescent="0.3">
      <c r="A7556" t="s">
        <v>22</v>
      </c>
      <c r="B7556" s="1">
        <v>45972</v>
      </c>
      <c r="C7556">
        <v>19</v>
      </c>
      <c r="D7556">
        <v>0.27500000000000002</v>
      </c>
      <c r="E7556" t="s">
        <v>6</v>
      </c>
      <c r="F7556">
        <v>0.22991999999999999</v>
      </c>
    </row>
    <row r="7557" spans="1:6" x14ac:dyDescent="0.3">
      <c r="A7557" t="s">
        <v>22</v>
      </c>
      <c r="B7557" s="1">
        <v>45972</v>
      </c>
      <c r="C7557">
        <v>20</v>
      </c>
      <c r="D7557">
        <v>0.43099999999999999</v>
      </c>
      <c r="E7557" t="s">
        <v>6</v>
      </c>
      <c r="F7557">
        <v>0.23711000000000002</v>
      </c>
    </row>
    <row r="7558" spans="1:6" x14ac:dyDescent="0.3">
      <c r="A7558" t="s">
        <v>22</v>
      </c>
      <c r="B7558" s="1">
        <v>45972</v>
      </c>
      <c r="C7558">
        <v>21</v>
      </c>
      <c r="D7558">
        <v>0.32800000000000001</v>
      </c>
      <c r="E7558" t="s">
        <v>6</v>
      </c>
      <c r="F7558">
        <v>0.23760000000000001</v>
      </c>
    </row>
    <row r="7559" spans="1:6" x14ac:dyDescent="0.3">
      <c r="A7559" t="s">
        <v>22</v>
      </c>
      <c r="B7559" s="1">
        <v>45972</v>
      </c>
      <c r="C7559">
        <v>22</v>
      </c>
      <c r="D7559">
        <v>1.1080000000000001</v>
      </c>
      <c r="E7559" t="s">
        <v>6</v>
      </c>
      <c r="F7559">
        <v>0.22953999999999999</v>
      </c>
    </row>
    <row r="7560" spans="1:6" x14ac:dyDescent="0.3">
      <c r="A7560" t="s">
        <v>22</v>
      </c>
      <c r="B7560" s="1">
        <v>45972</v>
      </c>
      <c r="C7560">
        <v>23</v>
      </c>
      <c r="D7560">
        <v>1.0069999999999999</v>
      </c>
      <c r="E7560" t="s">
        <v>6</v>
      </c>
      <c r="F7560">
        <v>0.15594999999999998</v>
      </c>
    </row>
    <row r="7561" spans="1:6" x14ac:dyDescent="0.3">
      <c r="A7561" t="s">
        <v>22</v>
      </c>
      <c r="B7561" s="1">
        <v>45972</v>
      </c>
      <c r="C7561">
        <v>24</v>
      </c>
      <c r="D7561">
        <v>1.786</v>
      </c>
      <c r="E7561" t="s">
        <v>6</v>
      </c>
      <c r="F7561">
        <v>0.13916000000000001</v>
      </c>
    </row>
    <row r="7562" spans="1:6" x14ac:dyDescent="0.3">
      <c r="A7562" t="s">
        <v>22</v>
      </c>
      <c r="B7562" s="1">
        <v>45973</v>
      </c>
      <c r="C7562">
        <v>1</v>
      </c>
      <c r="D7562">
        <v>1.5109999999999999</v>
      </c>
      <c r="E7562" t="s">
        <v>6</v>
      </c>
      <c r="F7562">
        <v>0.10878</v>
      </c>
    </row>
    <row r="7563" spans="1:6" x14ac:dyDescent="0.3">
      <c r="A7563" t="s">
        <v>22</v>
      </c>
      <c r="B7563" s="1">
        <v>45973</v>
      </c>
      <c r="C7563">
        <v>2</v>
      </c>
      <c r="D7563">
        <v>2.77</v>
      </c>
      <c r="E7563" t="s">
        <v>6</v>
      </c>
      <c r="F7563">
        <v>9.0219999999999995E-2</v>
      </c>
    </row>
    <row r="7564" spans="1:6" x14ac:dyDescent="0.3">
      <c r="A7564" t="s">
        <v>22</v>
      </c>
      <c r="B7564" s="1">
        <v>45973</v>
      </c>
      <c r="C7564">
        <v>3</v>
      </c>
      <c r="D7564">
        <v>1.4750000000000001</v>
      </c>
      <c r="E7564" t="s">
        <v>6</v>
      </c>
      <c r="F7564">
        <v>8.7639999999999996E-2</v>
      </c>
    </row>
    <row r="7565" spans="1:6" x14ac:dyDescent="0.3">
      <c r="A7565" t="s">
        <v>22</v>
      </c>
      <c r="B7565" s="1">
        <v>45973</v>
      </c>
      <c r="C7565">
        <v>4</v>
      </c>
      <c r="D7565">
        <v>1.55</v>
      </c>
      <c r="E7565" t="s">
        <v>6</v>
      </c>
      <c r="F7565">
        <v>7.9799999999999996E-2</v>
      </c>
    </row>
    <row r="7566" spans="1:6" x14ac:dyDescent="0.3">
      <c r="A7566" t="s">
        <v>22</v>
      </c>
      <c r="B7566" s="1">
        <v>45973</v>
      </c>
      <c r="C7566">
        <v>5</v>
      </c>
      <c r="D7566">
        <v>1.623</v>
      </c>
      <c r="E7566" t="s">
        <v>6</v>
      </c>
      <c r="F7566">
        <v>7.5850000000000001E-2</v>
      </c>
    </row>
    <row r="7567" spans="1:6" x14ac:dyDescent="0.3">
      <c r="A7567" t="s">
        <v>22</v>
      </c>
      <c r="B7567" s="1">
        <v>45973</v>
      </c>
      <c r="C7567">
        <v>6</v>
      </c>
      <c r="D7567">
        <v>2.637</v>
      </c>
      <c r="E7567" t="s">
        <v>6</v>
      </c>
      <c r="F7567">
        <v>8.0879999999999994E-2</v>
      </c>
    </row>
    <row r="7568" spans="1:6" x14ac:dyDescent="0.3">
      <c r="A7568" t="s">
        <v>22</v>
      </c>
      <c r="B7568" s="1">
        <v>45973</v>
      </c>
      <c r="C7568">
        <v>7</v>
      </c>
      <c r="D7568">
        <v>2.5019999999999998</v>
      </c>
      <c r="E7568" t="s">
        <v>6</v>
      </c>
      <c r="F7568">
        <v>0.10842</v>
      </c>
    </row>
    <row r="7569" spans="1:6" x14ac:dyDescent="0.3">
      <c r="A7569" t="s">
        <v>22</v>
      </c>
      <c r="B7569" s="1">
        <v>45973</v>
      </c>
      <c r="C7569">
        <v>8</v>
      </c>
      <c r="D7569">
        <v>2.7149999999999999</v>
      </c>
      <c r="E7569" t="s">
        <v>6</v>
      </c>
      <c r="F7569">
        <v>0.11788</v>
      </c>
    </row>
    <row r="7570" spans="1:6" x14ac:dyDescent="0.3">
      <c r="A7570" t="s">
        <v>22</v>
      </c>
      <c r="B7570" s="1">
        <v>45973</v>
      </c>
      <c r="C7570">
        <v>9</v>
      </c>
      <c r="D7570">
        <v>0.89700000000000002</v>
      </c>
      <c r="E7570" t="s">
        <v>6</v>
      </c>
      <c r="F7570">
        <v>0.13738999999999998</v>
      </c>
    </row>
    <row r="7571" spans="1:6" x14ac:dyDescent="0.3">
      <c r="A7571" t="s">
        <v>22</v>
      </c>
      <c r="B7571" s="1">
        <v>45973</v>
      </c>
      <c r="C7571">
        <v>10</v>
      </c>
      <c r="D7571">
        <v>0</v>
      </c>
      <c r="E7571" t="s">
        <v>6</v>
      </c>
      <c r="F7571">
        <v>9.987E-2</v>
      </c>
    </row>
    <row r="7572" spans="1:6" x14ac:dyDescent="0.3">
      <c r="A7572" t="s">
        <v>22</v>
      </c>
      <c r="B7572" s="1">
        <v>45973</v>
      </c>
      <c r="C7572">
        <v>11</v>
      </c>
      <c r="D7572">
        <v>0</v>
      </c>
      <c r="E7572" t="s">
        <v>6</v>
      </c>
      <c r="F7572">
        <v>0.15480000000000002</v>
      </c>
    </row>
    <row r="7573" spans="1:6" x14ac:dyDescent="0.3">
      <c r="A7573" t="s">
        <v>22</v>
      </c>
      <c r="B7573" s="1">
        <v>45973</v>
      </c>
      <c r="C7573">
        <v>12</v>
      </c>
      <c r="D7573">
        <v>0</v>
      </c>
      <c r="E7573" t="s">
        <v>6</v>
      </c>
      <c r="F7573">
        <v>0.15343999999999999</v>
      </c>
    </row>
    <row r="7574" spans="1:6" x14ac:dyDescent="0.3">
      <c r="A7574" t="s">
        <v>22</v>
      </c>
      <c r="B7574" s="1">
        <v>45973</v>
      </c>
      <c r="C7574">
        <v>13</v>
      </c>
      <c r="D7574">
        <v>0</v>
      </c>
      <c r="E7574" t="s">
        <v>6</v>
      </c>
      <c r="F7574">
        <v>0.15787000000000001</v>
      </c>
    </row>
    <row r="7575" spans="1:6" x14ac:dyDescent="0.3">
      <c r="A7575" t="s">
        <v>22</v>
      </c>
      <c r="B7575" s="1">
        <v>45973</v>
      </c>
      <c r="C7575">
        <v>14</v>
      </c>
      <c r="D7575">
        <v>0</v>
      </c>
      <c r="E7575" t="s">
        <v>6</v>
      </c>
      <c r="F7575">
        <v>0.15465000000000001</v>
      </c>
    </row>
    <row r="7576" spans="1:6" x14ac:dyDescent="0.3">
      <c r="A7576" t="s">
        <v>22</v>
      </c>
      <c r="B7576" s="1">
        <v>45973</v>
      </c>
      <c r="C7576">
        <v>15</v>
      </c>
      <c r="D7576">
        <v>0</v>
      </c>
      <c r="E7576" t="s">
        <v>6</v>
      </c>
      <c r="F7576">
        <v>9.0060000000000001E-2</v>
      </c>
    </row>
    <row r="7577" spans="1:6" x14ac:dyDescent="0.3">
      <c r="A7577" t="s">
        <v>22</v>
      </c>
      <c r="B7577" s="1">
        <v>45973</v>
      </c>
      <c r="C7577">
        <v>16</v>
      </c>
      <c r="D7577">
        <v>0</v>
      </c>
      <c r="E7577" t="s">
        <v>6</v>
      </c>
      <c r="F7577">
        <v>9.2780000000000001E-2</v>
      </c>
    </row>
    <row r="7578" spans="1:6" x14ac:dyDescent="0.3">
      <c r="A7578" t="s">
        <v>22</v>
      </c>
      <c r="B7578" s="1">
        <v>45973</v>
      </c>
      <c r="C7578">
        <v>17</v>
      </c>
      <c r="D7578">
        <v>1.524</v>
      </c>
      <c r="E7578" t="s">
        <v>6</v>
      </c>
      <c r="F7578">
        <v>0.10471999999999999</v>
      </c>
    </row>
    <row r="7579" spans="1:6" x14ac:dyDescent="0.3">
      <c r="A7579" t="s">
        <v>22</v>
      </c>
      <c r="B7579" s="1">
        <v>45973</v>
      </c>
      <c r="C7579">
        <v>18</v>
      </c>
      <c r="D7579">
        <v>1.0469999999999999</v>
      </c>
      <c r="E7579" t="s">
        <v>6</v>
      </c>
      <c r="F7579">
        <v>0.13408</v>
      </c>
    </row>
    <row r="7580" spans="1:6" x14ac:dyDescent="0.3">
      <c r="A7580" t="s">
        <v>22</v>
      </c>
      <c r="B7580" s="1">
        <v>45973</v>
      </c>
      <c r="C7580">
        <v>19</v>
      </c>
      <c r="D7580">
        <v>1.034</v>
      </c>
      <c r="E7580" t="s">
        <v>6</v>
      </c>
      <c r="F7580">
        <v>0.20793999999999999</v>
      </c>
    </row>
    <row r="7581" spans="1:6" x14ac:dyDescent="0.3">
      <c r="A7581" t="s">
        <v>22</v>
      </c>
      <c r="B7581" s="1">
        <v>45973</v>
      </c>
      <c r="C7581">
        <v>20</v>
      </c>
      <c r="D7581">
        <v>1.44</v>
      </c>
      <c r="E7581" t="s">
        <v>6</v>
      </c>
      <c r="F7581">
        <v>0.21678999999999998</v>
      </c>
    </row>
    <row r="7582" spans="1:6" x14ac:dyDescent="0.3">
      <c r="A7582" t="s">
        <v>22</v>
      </c>
      <c r="B7582" s="1">
        <v>45973</v>
      </c>
      <c r="C7582">
        <v>21</v>
      </c>
      <c r="D7582">
        <v>1.8120000000000001</v>
      </c>
      <c r="E7582" t="s">
        <v>6</v>
      </c>
      <c r="F7582">
        <v>0.22521000000000002</v>
      </c>
    </row>
    <row r="7583" spans="1:6" x14ac:dyDescent="0.3">
      <c r="A7583" t="s">
        <v>22</v>
      </c>
      <c r="B7583" s="1">
        <v>45973</v>
      </c>
      <c r="C7583">
        <v>22</v>
      </c>
      <c r="D7583">
        <v>2.9089999999999998</v>
      </c>
      <c r="E7583" t="s">
        <v>6</v>
      </c>
      <c r="F7583">
        <v>0.21777000000000002</v>
      </c>
    </row>
    <row r="7584" spans="1:6" x14ac:dyDescent="0.3">
      <c r="A7584" t="s">
        <v>22</v>
      </c>
      <c r="B7584" s="1">
        <v>45973</v>
      </c>
      <c r="C7584">
        <v>23</v>
      </c>
      <c r="D7584">
        <v>1.4550000000000001</v>
      </c>
      <c r="E7584" t="s">
        <v>6</v>
      </c>
      <c r="F7584">
        <v>0.13704</v>
      </c>
    </row>
    <row r="7585" spans="1:6" x14ac:dyDescent="0.3">
      <c r="A7585" t="s">
        <v>22</v>
      </c>
      <c r="B7585" s="1">
        <v>45973</v>
      </c>
      <c r="C7585">
        <v>24</v>
      </c>
      <c r="D7585">
        <v>0.91500000000000004</v>
      </c>
      <c r="E7585" t="s">
        <v>6</v>
      </c>
      <c r="F7585">
        <v>0.11913</v>
      </c>
    </row>
    <row r="7586" spans="1:6" x14ac:dyDescent="0.3">
      <c r="A7586" t="s">
        <v>22</v>
      </c>
      <c r="B7586" s="1">
        <v>45974</v>
      </c>
      <c r="C7586">
        <v>1</v>
      </c>
      <c r="D7586">
        <v>1.2589999999999999</v>
      </c>
      <c r="E7586" t="s">
        <v>6</v>
      </c>
      <c r="F7586">
        <v>9.0040000000000009E-2</v>
      </c>
    </row>
    <row r="7587" spans="1:6" x14ac:dyDescent="0.3">
      <c r="A7587" t="s">
        <v>22</v>
      </c>
      <c r="B7587" s="1">
        <v>45974</v>
      </c>
      <c r="C7587">
        <v>2</v>
      </c>
      <c r="D7587">
        <v>1.8560000000000001</v>
      </c>
      <c r="E7587" t="s">
        <v>6</v>
      </c>
      <c r="F7587">
        <v>8.9200000000000002E-2</v>
      </c>
    </row>
    <row r="7588" spans="1:6" x14ac:dyDescent="0.3">
      <c r="A7588" t="s">
        <v>22</v>
      </c>
      <c r="B7588" s="1">
        <v>45974</v>
      </c>
      <c r="C7588">
        <v>3</v>
      </c>
      <c r="D7588">
        <v>2.13</v>
      </c>
      <c r="E7588" t="s">
        <v>6</v>
      </c>
      <c r="F7588">
        <v>8.5690000000000002E-2</v>
      </c>
    </row>
    <row r="7589" spans="1:6" x14ac:dyDescent="0.3">
      <c r="A7589" t="s">
        <v>22</v>
      </c>
      <c r="B7589" s="1">
        <v>45974</v>
      </c>
      <c r="C7589">
        <v>4</v>
      </c>
      <c r="D7589">
        <v>2.0110000000000001</v>
      </c>
      <c r="E7589" t="s">
        <v>6</v>
      </c>
      <c r="F7589">
        <v>8.0079999999999998E-2</v>
      </c>
    </row>
    <row r="7590" spans="1:6" x14ac:dyDescent="0.3">
      <c r="A7590" t="s">
        <v>22</v>
      </c>
      <c r="B7590" s="1">
        <v>45974</v>
      </c>
      <c r="C7590">
        <v>5</v>
      </c>
      <c r="D7590">
        <v>1.8120000000000001</v>
      </c>
      <c r="E7590" t="s">
        <v>6</v>
      </c>
      <c r="F7590">
        <v>7.9519999999999993E-2</v>
      </c>
    </row>
    <row r="7591" spans="1:6" x14ac:dyDescent="0.3">
      <c r="A7591" t="s">
        <v>22</v>
      </c>
      <c r="B7591" s="1">
        <v>45974</v>
      </c>
      <c r="C7591">
        <v>6</v>
      </c>
      <c r="D7591">
        <v>1.9139999999999999</v>
      </c>
      <c r="E7591" t="s">
        <v>6</v>
      </c>
      <c r="F7591">
        <v>8.1930000000000003E-2</v>
      </c>
    </row>
    <row r="7592" spans="1:6" x14ac:dyDescent="0.3">
      <c r="A7592" t="s">
        <v>22</v>
      </c>
      <c r="B7592" s="1">
        <v>45974</v>
      </c>
      <c r="C7592">
        <v>7</v>
      </c>
      <c r="D7592">
        <v>1.9079999999999999</v>
      </c>
      <c r="E7592" t="s">
        <v>6</v>
      </c>
      <c r="F7592">
        <v>9.7409999999999997E-2</v>
      </c>
    </row>
    <row r="7593" spans="1:6" x14ac:dyDescent="0.3">
      <c r="A7593" t="s">
        <v>22</v>
      </c>
      <c r="B7593" s="1">
        <v>45974</v>
      </c>
      <c r="C7593">
        <v>8</v>
      </c>
      <c r="D7593">
        <v>2.0990000000000002</v>
      </c>
      <c r="E7593" t="s">
        <v>6</v>
      </c>
      <c r="F7593">
        <v>0.10499</v>
      </c>
    </row>
    <row r="7594" spans="1:6" x14ac:dyDescent="0.3">
      <c r="A7594" t="s">
        <v>22</v>
      </c>
      <c r="B7594" s="1">
        <v>45974</v>
      </c>
      <c r="C7594">
        <v>9</v>
      </c>
      <c r="D7594">
        <v>0.34699999999999998</v>
      </c>
      <c r="E7594" t="s">
        <v>6</v>
      </c>
      <c r="F7594">
        <v>0.13833999999999999</v>
      </c>
    </row>
    <row r="7595" spans="1:6" x14ac:dyDescent="0.3">
      <c r="A7595" t="s">
        <v>22</v>
      </c>
      <c r="B7595" s="1">
        <v>45974</v>
      </c>
      <c r="C7595">
        <v>10</v>
      </c>
      <c r="D7595">
        <v>0</v>
      </c>
      <c r="E7595" t="s">
        <v>6</v>
      </c>
      <c r="F7595">
        <v>0.13019999999999998</v>
      </c>
    </row>
    <row r="7596" spans="1:6" x14ac:dyDescent="0.3">
      <c r="A7596" t="s">
        <v>22</v>
      </c>
      <c r="B7596" s="1">
        <v>45974</v>
      </c>
      <c r="C7596">
        <v>11</v>
      </c>
      <c r="D7596">
        <v>0</v>
      </c>
      <c r="E7596" t="s">
        <v>6</v>
      </c>
      <c r="F7596">
        <v>0.18246000000000001</v>
      </c>
    </row>
    <row r="7597" spans="1:6" x14ac:dyDescent="0.3">
      <c r="A7597" t="s">
        <v>22</v>
      </c>
      <c r="B7597" s="1">
        <v>45974</v>
      </c>
      <c r="C7597">
        <v>12</v>
      </c>
      <c r="D7597">
        <v>0</v>
      </c>
      <c r="E7597" t="s">
        <v>6</v>
      </c>
      <c r="F7597">
        <v>0.17258000000000001</v>
      </c>
    </row>
    <row r="7598" spans="1:6" x14ac:dyDescent="0.3">
      <c r="A7598" t="s">
        <v>22</v>
      </c>
      <c r="B7598" s="1">
        <v>45974</v>
      </c>
      <c r="C7598">
        <v>13</v>
      </c>
      <c r="D7598">
        <v>0</v>
      </c>
      <c r="E7598" t="s">
        <v>6</v>
      </c>
      <c r="F7598">
        <v>0.17474999999999999</v>
      </c>
    </row>
    <row r="7599" spans="1:6" x14ac:dyDescent="0.3">
      <c r="A7599" t="s">
        <v>22</v>
      </c>
      <c r="B7599" s="1">
        <v>45974</v>
      </c>
      <c r="C7599">
        <v>14</v>
      </c>
      <c r="D7599">
        <v>0</v>
      </c>
      <c r="E7599" t="s">
        <v>6</v>
      </c>
      <c r="F7599">
        <v>0.17080999999999999</v>
      </c>
    </row>
    <row r="7600" spans="1:6" x14ac:dyDescent="0.3">
      <c r="A7600" t="s">
        <v>22</v>
      </c>
      <c r="B7600" s="1">
        <v>45974</v>
      </c>
      <c r="C7600">
        <v>15</v>
      </c>
      <c r="D7600">
        <v>0</v>
      </c>
      <c r="E7600" t="s">
        <v>6</v>
      </c>
      <c r="F7600">
        <v>0.10692</v>
      </c>
    </row>
    <row r="7601" spans="1:6" x14ac:dyDescent="0.3">
      <c r="A7601" t="s">
        <v>22</v>
      </c>
      <c r="B7601" s="1">
        <v>45974</v>
      </c>
      <c r="C7601">
        <v>16</v>
      </c>
      <c r="D7601">
        <v>0.34899999999999998</v>
      </c>
      <c r="E7601" t="s">
        <v>6</v>
      </c>
      <c r="F7601">
        <v>0.11475</v>
      </c>
    </row>
    <row r="7602" spans="1:6" x14ac:dyDescent="0.3">
      <c r="A7602" t="s">
        <v>22</v>
      </c>
      <c r="B7602" s="1">
        <v>45974</v>
      </c>
      <c r="C7602">
        <v>17</v>
      </c>
      <c r="D7602">
        <v>2.04</v>
      </c>
      <c r="E7602" t="s">
        <v>6</v>
      </c>
      <c r="F7602">
        <v>0.12428</v>
      </c>
    </row>
    <row r="7603" spans="1:6" x14ac:dyDescent="0.3">
      <c r="A7603" t="s">
        <v>22</v>
      </c>
      <c r="B7603" s="1">
        <v>45974</v>
      </c>
      <c r="C7603">
        <v>18</v>
      </c>
      <c r="D7603">
        <v>1.2190000000000001</v>
      </c>
      <c r="E7603" t="s">
        <v>6</v>
      </c>
      <c r="F7603">
        <v>0.13109999999999999</v>
      </c>
    </row>
    <row r="7604" spans="1:6" x14ac:dyDescent="0.3">
      <c r="A7604" t="s">
        <v>22</v>
      </c>
      <c r="B7604" s="1">
        <v>45974</v>
      </c>
      <c r="C7604">
        <v>19</v>
      </c>
      <c r="D7604">
        <v>1.0489999999999999</v>
      </c>
      <c r="E7604" t="s">
        <v>6</v>
      </c>
      <c r="F7604">
        <v>0.20477000000000001</v>
      </c>
    </row>
    <row r="7605" spans="1:6" x14ac:dyDescent="0.3">
      <c r="A7605" t="s">
        <v>22</v>
      </c>
      <c r="B7605" s="1">
        <v>45974</v>
      </c>
      <c r="C7605">
        <v>20</v>
      </c>
      <c r="D7605">
        <v>1.1539999999999999</v>
      </c>
      <c r="E7605" t="s">
        <v>6</v>
      </c>
      <c r="F7605">
        <v>0.20397999999999999</v>
      </c>
    </row>
    <row r="7606" spans="1:6" x14ac:dyDescent="0.3">
      <c r="A7606" t="s">
        <v>22</v>
      </c>
      <c r="B7606" s="1">
        <v>45974</v>
      </c>
      <c r="C7606">
        <v>21</v>
      </c>
      <c r="D7606">
        <v>1.577</v>
      </c>
      <c r="E7606" t="s">
        <v>6</v>
      </c>
      <c r="F7606">
        <v>0.19869000000000001</v>
      </c>
    </row>
    <row r="7607" spans="1:6" x14ac:dyDescent="0.3">
      <c r="A7607" t="s">
        <v>22</v>
      </c>
      <c r="B7607" s="1">
        <v>45974</v>
      </c>
      <c r="C7607">
        <v>22</v>
      </c>
      <c r="D7607">
        <v>0.93100000000000005</v>
      </c>
      <c r="E7607" t="s">
        <v>6</v>
      </c>
      <c r="F7607">
        <v>0.19066999999999998</v>
      </c>
    </row>
    <row r="7608" spans="1:6" x14ac:dyDescent="0.3">
      <c r="A7608" t="s">
        <v>22</v>
      </c>
      <c r="B7608" s="1">
        <v>45974</v>
      </c>
      <c r="C7608">
        <v>23</v>
      </c>
      <c r="D7608">
        <v>1.042</v>
      </c>
      <c r="E7608" t="s">
        <v>6</v>
      </c>
      <c r="F7608">
        <v>0.11461</v>
      </c>
    </row>
    <row r="7609" spans="1:6" x14ac:dyDescent="0.3">
      <c r="A7609" t="s">
        <v>22</v>
      </c>
      <c r="B7609" s="1">
        <v>45974</v>
      </c>
      <c r="C7609">
        <v>24</v>
      </c>
      <c r="D7609">
        <v>1.1539999999999999</v>
      </c>
      <c r="E7609" t="s">
        <v>6</v>
      </c>
      <c r="F7609">
        <v>0.10465000000000001</v>
      </c>
    </row>
    <row r="7610" spans="1:6" x14ac:dyDescent="0.3">
      <c r="A7610" t="s">
        <v>22</v>
      </c>
      <c r="B7610" s="1">
        <v>45975</v>
      </c>
      <c r="C7610">
        <v>1</v>
      </c>
      <c r="D7610">
        <v>0.80200000000000005</v>
      </c>
      <c r="E7610" t="s">
        <v>6</v>
      </c>
      <c r="F7610">
        <v>8.4190000000000001E-2</v>
      </c>
    </row>
    <row r="7611" spans="1:6" x14ac:dyDescent="0.3">
      <c r="A7611" t="s">
        <v>22</v>
      </c>
      <c r="B7611" s="1">
        <v>45975</v>
      </c>
      <c r="C7611">
        <v>2</v>
      </c>
      <c r="D7611">
        <v>1.754</v>
      </c>
      <c r="E7611" t="s">
        <v>6</v>
      </c>
      <c r="F7611">
        <v>8.5870000000000002E-2</v>
      </c>
    </row>
    <row r="7612" spans="1:6" x14ac:dyDescent="0.3">
      <c r="A7612" t="s">
        <v>22</v>
      </c>
      <c r="B7612" s="1">
        <v>45975</v>
      </c>
      <c r="C7612">
        <v>3</v>
      </c>
      <c r="D7612">
        <v>1.637</v>
      </c>
      <c r="E7612" t="s">
        <v>6</v>
      </c>
      <c r="F7612">
        <v>7.9739999999999991E-2</v>
      </c>
    </row>
    <row r="7613" spans="1:6" x14ac:dyDescent="0.3">
      <c r="A7613" t="s">
        <v>22</v>
      </c>
      <c r="B7613" s="1">
        <v>45975</v>
      </c>
      <c r="C7613">
        <v>4</v>
      </c>
      <c r="D7613">
        <v>1.6240000000000001</v>
      </c>
      <c r="E7613" t="s">
        <v>6</v>
      </c>
      <c r="F7613">
        <v>7.3469999999999994E-2</v>
      </c>
    </row>
    <row r="7614" spans="1:6" x14ac:dyDescent="0.3">
      <c r="A7614" t="s">
        <v>22</v>
      </c>
      <c r="B7614" s="1">
        <v>45975</v>
      </c>
      <c r="C7614">
        <v>5</v>
      </c>
      <c r="D7614">
        <v>1.468</v>
      </c>
      <c r="E7614" t="s">
        <v>6</v>
      </c>
      <c r="F7614">
        <v>7.0010000000000003E-2</v>
      </c>
    </row>
    <row r="7615" spans="1:6" x14ac:dyDescent="0.3">
      <c r="A7615" t="s">
        <v>22</v>
      </c>
      <c r="B7615" s="1">
        <v>45975</v>
      </c>
      <c r="C7615">
        <v>6</v>
      </c>
      <c r="D7615">
        <v>1.504</v>
      </c>
      <c r="E7615" t="s">
        <v>6</v>
      </c>
      <c r="F7615">
        <v>7.5049999999999992E-2</v>
      </c>
    </row>
    <row r="7616" spans="1:6" x14ac:dyDescent="0.3">
      <c r="A7616" t="s">
        <v>22</v>
      </c>
      <c r="B7616" s="1">
        <v>45975</v>
      </c>
      <c r="C7616">
        <v>7</v>
      </c>
      <c r="D7616">
        <v>1.5760000000000001</v>
      </c>
      <c r="E7616" t="s">
        <v>6</v>
      </c>
      <c r="F7616">
        <v>8.1409999999999996E-2</v>
      </c>
    </row>
    <row r="7617" spans="1:6" x14ac:dyDescent="0.3">
      <c r="A7617" t="s">
        <v>22</v>
      </c>
      <c r="B7617" s="1">
        <v>45975</v>
      </c>
      <c r="C7617">
        <v>8</v>
      </c>
      <c r="D7617">
        <v>2.4020000000000001</v>
      </c>
      <c r="E7617" t="s">
        <v>6</v>
      </c>
      <c r="F7617">
        <v>0.1026</v>
      </c>
    </row>
    <row r="7618" spans="1:6" x14ac:dyDescent="0.3">
      <c r="A7618" t="s">
        <v>22</v>
      </c>
      <c r="B7618" s="1">
        <v>45975</v>
      </c>
      <c r="C7618">
        <v>9</v>
      </c>
      <c r="D7618">
        <v>1.421</v>
      </c>
      <c r="E7618" t="s">
        <v>6</v>
      </c>
      <c r="F7618">
        <v>0.14016999999999999</v>
      </c>
    </row>
    <row r="7619" spans="1:6" x14ac:dyDescent="0.3">
      <c r="A7619" t="s">
        <v>22</v>
      </c>
      <c r="B7619" s="1">
        <v>45975</v>
      </c>
      <c r="C7619">
        <v>10</v>
      </c>
      <c r="D7619">
        <v>0.47399999999999998</v>
      </c>
      <c r="E7619" t="s">
        <v>6</v>
      </c>
      <c r="F7619">
        <v>0.12136</v>
      </c>
    </row>
    <row r="7620" spans="1:6" x14ac:dyDescent="0.3">
      <c r="A7620" t="s">
        <v>22</v>
      </c>
      <c r="B7620" s="1">
        <v>45975</v>
      </c>
      <c r="C7620">
        <v>11</v>
      </c>
      <c r="D7620">
        <v>0.51400000000000001</v>
      </c>
      <c r="E7620" t="s">
        <v>6</v>
      </c>
      <c r="F7620">
        <v>0.16420999999999999</v>
      </c>
    </row>
    <row r="7621" spans="1:6" x14ac:dyDescent="0.3">
      <c r="A7621" t="s">
        <v>22</v>
      </c>
      <c r="B7621" s="1">
        <v>45975</v>
      </c>
      <c r="C7621">
        <v>12</v>
      </c>
      <c r="D7621">
        <v>0</v>
      </c>
      <c r="E7621" t="s">
        <v>6</v>
      </c>
      <c r="F7621">
        <v>0.1706</v>
      </c>
    </row>
    <row r="7622" spans="1:6" x14ac:dyDescent="0.3">
      <c r="A7622" t="s">
        <v>22</v>
      </c>
      <c r="B7622" s="1">
        <v>45975</v>
      </c>
      <c r="C7622">
        <v>13</v>
      </c>
      <c r="D7622">
        <v>0.44800000000000001</v>
      </c>
      <c r="E7622" t="s">
        <v>6</v>
      </c>
      <c r="F7622">
        <v>0.17262</v>
      </c>
    </row>
    <row r="7623" spans="1:6" x14ac:dyDescent="0.3">
      <c r="A7623" t="s">
        <v>22</v>
      </c>
      <c r="B7623" s="1">
        <v>45975</v>
      </c>
      <c r="C7623">
        <v>14</v>
      </c>
      <c r="D7623">
        <v>0</v>
      </c>
      <c r="E7623" t="s">
        <v>6</v>
      </c>
      <c r="F7623">
        <v>0.16571</v>
      </c>
    </row>
    <row r="7624" spans="1:6" x14ac:dyDescent="0.3">
      <c r="A7624" t="s">
        <v>22</v>
      </c>
      <c r="B7624" s="1">
        <v>45975</v>
      </c>
      <c r="C7624">
        <v>15</v>
      </c>
      <c r="D7624">
        <v>0.161</v>
      </c>
      <c r="E7624" t="s">
        <v>6</v>
      </c>
      <c r="F7624">
        <v>0.10501000000000001</v>
      </c>
    </row>
    <row r="7625" spans="1:6" x14ac:dyDescent="0.3">
      <c r="A7625" t="s">
        <v>22</v>
      </c>
      <c r="B7625" s="1">
        <v>45975</v>
      </c>
      <c r="C7625">
        <v>16</v>
      </c>
      <c r="D7625">
        <v>0.46899999999999997</v>
      </c>
      <c r="E7625" t="s">
        <v>6</v>
      </c>
      <c r="F7625">
        <v>0.109</v>
      </c>
    </row>
    <row r="7626" spans="1:6" x14ac:dyDescent="0.3">
      <c r="A7626" t="s">
        <v>22</v>
      </c>
      <c r="B7626" s="1">
        <v>45975</v>
      </c>
      <c r="C7626">
        <v>17</v>
      </c>
      <c r="D7626">
        <v>1.9990000000000001</v>
      </c>
      <c r="E7626" t="s">
        <v>6</v>
      </c>
      <c r="F7626">
        <v>0.11391</v>
      </c>
    </row>
    <row r="7627" spans="1:6" x14ac:dyDescent="0.3">
      <c r="A7627" t="s">
        <v>22</v>
      </c>
      <c r="B7627" s="1">
        <v>45975</v>
      </c>
      <c r="C7627">
        <v>18</v>
      </c>
      <c r="D7627">
        <v>1.165</v>
      </c>
      <c r="E7627" t="s">
        <v>6</v>
      </c>
      <c r="F7627">
        <v>0.13399</v>
      </c>
    </row>
    <row r="7628" spans="1:6" x14ac:dyDescent="0.3">
      <c r="A7628" t="s">
        <v>22</v>
      </c>
      <c r="B7628" s="1">
        <v>45975</v>
      </c>
      <c r="C7628">
        <v>19</v>
      </c>
      <c r="D7628">
        <v>2.7690000000000001</v>
      </c>
      <c r="E7628" t="s">
        <v>6</v>
      </c>
      <c r="F7628">
        <v>0.20571</v>
      </c>
    </row>
    <row r="7629" spans="1:6" x14ac:dyDescent="0.3">
      <c r="A7629" t="s">
        <v>22</v>
      </c>
      <c r="B7629" s="1">
        <v>45975</v>
      </c>
      <c r="C7629">
        <v>20</v>
      </c>
      <c r="D7629">
        <v>2.5009999999999999</v>
      </c>
      <c r="E7629" t="s">
        <v>6</v>
      </c>
      <c r="F7629">
        <v>0.20986000000000002</v>
      </c>
    </row>
    <row r="7630" spans="1:6" x14ac:dyDescent="0.3">
      <c r="A7630" t="s">
        <v>22</v>
      </c>
      <c r="B7630" s="1">
        <v>45975</v>
      </c>
      <c r="C7630">
        <v>21</v>
      </c>
      <c r="D7630">
        <v>1.34</v>
      </c>
      <c r="E7630" t="s">
        <v>6</v>
      </c>
      <c r="F7630">
        <v>0.20605000000000001</v>
      </c>
    </row>
    <row r="7631" spans="1:6" x14ac:dyDescent="0.3">
      <c r="A7631" t="s">
        <v>22</v>
      </c>
      <c r="B7631" s="1">
        <v>45975</v>
      </c>
      <c r="C7631">
        <v>22</v>
      </c>
      <c r="D7631">
        <v>1.38</v>
      </c>
      <c r="E7631" t="s">
        <v>6</v>
      </c>
      <c r="F7631">
        <v>0.19738999999999998</v>
      </c>
    </row>
    <row r="7632" spans="1:6" x14ac:dyDescent="0.3">
      <c r="A7632" t="s">
        <v>22</v>
      </c>
      <c r="B7632" s="1">
        <v>45975</v>
      </c>
      <c r="C7632">
        <v>23</v>
      </c>
      <c r="D7632">
        <v>1.4570000000000001</v>
      </c>
      <c r="E7632" t="s">
        <v>6</v>
      </c>
      <c r="F7632">
        <v>0.12493000000000001</v>
      </c>
    </row>
    <row r="7633" spans="1:6" x14ac:dyDescent="0.3">
      <c r="A7633" t="s">
        <v>22</v>
      </c>
      <c r="B7633" s="1">
        <v>45975</v>
      </c>
      <c r="C7633">
        <v>24</v>
      </c>
      <c r="D7633">
        <v>1.246</v>
      </c>
      <c r="E7633" t="s">
        <v>6</v>
      </c>
      <c r="F7633">
        <v>0.11777</v>
      </c>
    </row>
    <row r="7634" spans="1:6" x14ac:dyDescent="0.3">
      <c r="A7634" t="s">
        <v>22</v>
      </c>
      <c r="B7634" s="1">
        <v>45976</v>
      </c>
      <c r="C7634">
        <v>1</v>
      </c>
      <c r="D7634">
        <v>1.3120000000000001</v>
      </c>
      <c r="E7634" t="s">
        <v>6</v>
      </c>
      <c r="F7634">
        <v>9.1590000000000005E-2</v>
      </c>
    </row>
    <row r="7635" spans="1:6" x14ac:dyDescent="0.3">
      <c r="A7635" t="s">
        <v>22</v>
      </c>
      <c r="B7635" s="1">
        <v>45976</v>
      </c>
      <c r="C7635">
        <v>2</v>
      </c>
      <c r="D7635">
        <v>1.0309999999999999</v>
      </c>
      <c r="E7635" t="s">
        <v>6</v>
      </c>
      <c r="F7635">
        <v>8.9900000000000008E-2</v>
      </c>
    </row>
    <row r="7636" spans="1:6" x14ac:dyDescent="0.3">
      <c r="A7636" t="s">
        <v>22</v>
      </c>
      <c r="B7636" s="1">
        <v>45976</v>
      </c>
      <c r="C7636">
        <v>3</v>
      </c>
      <c r="D7636">
        <v>1.4259999999999999</v>
      </c>
      <c r="E7636" t="s">
        <v>6</v>
      </c>
      <c r="F7636">
        <v>9.0450000000000003E-2</v>
      </c>
    </row>
    <row r="7637" spans="1:6" x14ac:dyDescent="0.3">
      <c r="A7637" t="s">
        <v>22</v>
      </c>
      <c r="B7637" s="1">
        <v>45976</v>
      </c>
      <c r="C7637">
        <v>4</v>
      </c>
      <c r="D7637">
        <v>1.357</v>
      </c>
      <c r="E7637" t="s">
        <v>6</v>
      </c>
      <c r="F7637">
        <v>8.7840000000000001E-2</v>
      </c>
    </row>
    <row r="7638" spans="1:6" x14ac:dyDescent="0.3">
      <c r="A7638" t="s">
        <v>22</v>
      </c>
      <c r="B7638" s="1">
        <v>45976</v>
      </c>
      <c r="C7638">
        <v>5</v>
      </c>
      <c r="D7638">
        <v>1.31</v>
      </c>
      <c r="E7638" t="s">
        <v>6</v>
      </c>
      <c r="F7638">
        <v>8.8079999999999992E-2</v>
      </c>
    </row>
    <row r="7639" spans="1:6" x14ac:dyDescent="0.3">
      <c r="A7639" t="s">
        <v>22</v>
      </c>
      <c r="B7639" s="1">
        <v>45976</v>
      </c>
      <c r="C7639">
        <v>6</v>
      </c>
      <c r="D7639">
        <v>0.96699999999999997</v>
      </c>
      <c r="E7639" t="s">
        <v>6</v>
      </c>
      <c r="F7639">
        <v>8.8900000000000007E-2</v>
      </c>
    </row>
    <row r="7640" spans="1:6" x14ac:dyDescent="0.3">
      <c r="A7640" t="s">
        <v>22</v>
      </c>
      <c r="B7640" s="1">
        <v>45976</v>
      </c>
      <c r="C7640">
        <v>7</v>
      </c>
      <c r="D7640">
        <v>0.13500000000000001</v>
      </c>
      <c r="E7640" t="s">
        <v>6</v>
      </c>
      <c r="F7640">
        <v>8.8939999999999991E-2</v>
      </c>
    </row>
    <row r="7641" spans="1:6" x14ac:dyDescent="0.3">
      <c r="A7641" t="s">
        <v>22</v>
      </c>
      <c r="B7641" s="1">
        <v>45976</v>
      </c>
      <c r="C7641">
        <v>8</v>
      </c>
      <c r="D7641">
        <v>9.6000000000000002E-2</v>
      </c>
      <c r="E7641" t="s">
        <v>6</v>
      </c>
      <c r="F7641">
        <v>8.9120000000000005E-2</v>
      </c>
    </row>
    <row r="7642" spans="1:6" x14ac:dyDescent="0.3">
      <c r="A7642" t="s">
        <v>22</v>
      </c>
      <c r="B7642" s="1">
        <v>45976</v>
      </c>
      <c r="C7642">
        <v>9</v>
      </c>
      <c r="D7642">
        <v>0</v>
      </c>
      <c r="E7642" t="s">
        <v>6</v>
      </c>
      <c r="F7642">
        <v>0.1066</v>
      </c>
    </row>
    <row r="7643" spans="1:6" x14ac:dyDescent="0.3">
      <c r="A7643" t="s">
        <v>22</v>
      </c>
      <c r="B7643" s="1">
        <v>45976</v>
      </c>
      <c r="C7643">
        <v>10</v>
      </c>
      <c r="D7643">
        <v>2.1819999999999999</v>
      </c>
      <c r="E7643" t="s">
        <v>6</v>
      </c>
      <c r="F7643">
        <v>9.5750000000000002E-2</v>
      </c>
    </row>
    <row r="7644" spans="1:6" x14ac:dyDescent="0.3">
      <c r="A7644" t="s">
        <v>22</v>
      </c>
      <c r="B7644" s="1">
        <v>45976</v>
      </c>
      <c r="C7644">
        <v>11</v>
      </c>
      <c r="D7644">
        <v>1.847</v>
      </c>
      <c r="E7644" t="s">
        <v>6</v>
      </c>
      <c r="F7644">
        <v>8.7489999999999998E-2</v>
      </c>
    </row>
    <row r="7645" spans="1:6" x14ac:dyDescent="0.3">
      <c r="A7645" t="s">
        <v>22</v>
      </c>
      <c r="B7645" s="1">
        <v>45976</v>
      </c>
      <c r="C7645">
        <v>12</v>
      </c>
      <c r="D7645">
        <v>0</v>
      </c>
      <c r="E7645" t="s">
        <v>6</v>
      </c>
      <c r="F7645">
        <v>8.1349999999999992E-2</v>
      </c>
    </row>
    <row r="7646" spans="1:6" x14ac:dyDescent="0.3">
      <c r="A7646" t="s">
        <v>22</v>
      </c>
      <c r="B7646" s="1">
        <v>45976</v>
      </c>
      <c r="C7646">
        <v>13</v>
      </c>
      <c r="D7646">
        <v>0</v>
      </c>
      <c r="E7646" t="s">
        <v>6</v>
      </c>
      <c r="F7646">
        <v>8.7540000000000007E-2</v>
      </c>
    </row>
    <row r="7647" spans="1:6" x14ac:dyDescent="0.3">
      <c r="A7647" t="s">
        <v>22</v>
      </c>
      <c r="B7647" s="1">
        <v>45976</v>
      </c>
      <c r="C7647">
        <v>14</v>
      </c>
      <c r="D7647">
        <v>0</v>
      </c>
      <c r="E7647" t="s">
        <v>6</v>
      </c>
      <c r="F7647">
        <v>8.8439999999999991E-2</v>
      </c>
    </row>
    <row r="7648" spans="1:6" x14ac:dyDescent="0.3">
      <c r="A7648" t="s">
        <v>22</v>
      </c>
      <c r="B7648" s="1">
        <v>45976</v>
      </c>
      <c r="C7648">
        <v>15</v>
      </c>
      <c r="D7648">
        <v>0</v>
      </c>
      <c r="E7648" t="s">
        <v>6</v>
      </c>
      <c r="F7648">
        <v>9.5340000000000008E-2</v>
      </c>
    </row>
    <row r="7649" spans="1:6" x14ac:dyDescent="0.3">
      <c r="A7649" t="s">
        <v>22</v>
      </c>
      <c r="B7649" s="1">
        <v>45976</v>
      </c>
      <c r="C7649">
        <v>16</v>
      </c>
      <c r="D7649">
        <v>0</v>
      </c>
      <c r="E7649" t="s">
        <v>6</v>
      </c>
      <c r="F7649">
        <v>0.10292</v>
      </c>
    </row>
    <row r="7650" spans="1:6" x14ac:dyDescent="0.3">
      <c r="A7650" t="s">
        <v>22</v>
      </c>
      <c r="B7650" s="1">
        <v>45976</v>
      </c>
      <c r="C7650">
        <v>17</v>
      </c>
      <c r="D7650">
        <v>1.141</v>
      </c>
      <c r="E7650" t="s">
        <v>6</v>
      </c>
      <c r="F7650">
        <v>0.10865999999999999</v>
      </c>
    </row>
    <row r="7651" spans="1:6" x14ac:dyDescent="0.3">
      <c r="A7651" t="s">
        <v>22</v>
      </c>
      <c r="B7651" s="1">
        <v>45976</v>
      </c>
      <c r="C7651">
        <v>18</v>
      </c>
      <c r="D7651">
        <v>0.30399999999999999</v>
      </c>
      <c r="E7651" t="s">
        <v>6</v>
      </c>
      <c r="F7651">
        <v>0.11395999999999999</v>
      </c>
    </row>
    <row r="7652" spans="1:6" x14ac:dyDescent="0.3">
      <c r="A7652" t="s">
        <v>22</v>
      </c>
      <c r="B7652" s="1">
        <v>45976</v>
      </c>
      <c r="C7652">
        <v>19</v>
      </c>
      <c r="D7652">
        <v>1.851</v>
      </c>
      <c r="E7652" t="s">
        <v>6</v>
      </c>
      <c r="F7652">
        <v>0.12773000000000001</v>
      </c>
    </row>
    <row r="7653" spans="1:6" x14ac:dyDescent="0.3">
      <c r="A7653" t="s">
        <v>22</v>
      </c>
      <c r="B7653" s="1">
        <v>45976</v>
      </c>
      <c r="C7653">
        <v>20</v>
      </c>
      <c r="D7653">
        <v>1.665</v>
      </c>
      <c r="E7653" t="s">
        <v>6</v>
      </c>
      <c r="F7653">
        <v>0.1167</v>
      </c>
    </row>
    <row r="7654" spans="1:6" x14ac:dyDescent="0.3">
      <c r="A7654" t="s">
        <v>22</v>
      </c>
      <c r="B7654" s="1">
        <v>45976</v>
      </c>
      <c r="C7654">
        <v>21</v>
      </c>
      <c r="D7654">
        <v>0.22800000000000001</v>
      </c>
      <c r="E7654" t="s">
        <v>6</v>
      </c>
      <c r="F7654">
        <v>0.10527</v>
      </c>
    </row>
    <row r="7655" spans="1:6" x14ac:dyDescent="0.3">
      <c r="A7655" t="s">
        <v>22</v>
      </c>
      <c r="B7655" s="1">
        <v>45976</v>
      </c>
      <c r="C7655">
        <v>22</v>
      </c>
      <c r="D7655">
        <v>0.192</v>
      </c>
      <c r="E7655" t="s">
        <v>6</v>
      </c>
      <c r="F7655">
        <v>0.10113</v>
      </c>
    </row>
    <row r="7656" spans="1:6" x14ac:dyDescent="0.3">
      <c r="A7656" t="s">
        <v>22</v>
      </c>
      <c r="B7656" s="1">
        <v>45976</v>
      </c>
      <c r="C7656">
        <v>23</v>
      </c>
      <c r="D7656">
        <v>1.905</v>
      </c>
      <c r="E7656" t="s">
        <v>6</v>
      </c>
      <c r="F7656">
        <v>9.7650000000000001E-2</v>
      </c>
    </row>
    <row r="7657" spans="1:6" x14ac:dyDescent="0.3">
      <c r="A7657" t="s">
        <v>22</v>
      </c>
      <c r="B7657" s="1">
        <v>45976</v>
      </c>
      <c r="C7657">
        <v>24</v>
      </c>
      <c r="D7657">
        <v>2.0089999999999999</v>
      </c>
      <c r="E7657" t="s">
        <v>6</v>
      </c>
      <c r="F7657">
        <v>9.6840000000000009E-2</v>
      </c>
    </row>
    <row r="7658" spans="1:6" x14ac:dyDescent="0.3">
      <c r="A7658" t="s">
        <v>22</v>
      </c>
      <c r="B7658" s="1">
        <v>45977</v>
      </c>
      <c r="C7658">
        <v>1</v>
      </c>
      <c r="D7658">
        <v>1.62</v>
      </c>
      <c r="E7658" t="s">
        <v>6</v>
      </c>
      <c r="F7658">
        <v>9.7739999999999994E-2</v>
      </c>
    </row>
    <row r="7659" spans="1:6" x14ac:dyDescent="0.3">
      <c r="A7659" t="s">
        <v>22</v>
      </c>
      <c r="B7659" s="1">
        <v>45977</v>
      </c>
      <c r="C7659">
        <v>2</v>
      </c>
      <c r="D7659">
        <v>1.4890000000000001</v>
      </c>
      <c r="E7659" t="s">
        <v>6</v>
      </c>
      <c r="F7659">
        <v>9.2760000000000009E-2</v>
      </c>
    </row>
    <row r="7660" spans="1:6" x14ac:dyDescent="0.3">
      <c r="A7660" t="s">
        <v>22</v>
      </c>
      <c r="B7660" s="1">
        <v>45977</v>
      </c>
      <c r="C7660">
        <v>3</v>
      </c>
      <c r="D7660">
        <v>1.4490000000000001</v>
      </c>
      <c r="E7660" t="s">
        <v>6</v>
      </c>
      <c r="F7660">
        <v>9.1730000000000006E-2</v>
      </c>
    </row>
    <row r="7661" spans="1:6" x14ac:dyDescent="0.3">
      <c r="A7661" t="s">
        <v>22</v>
      </c>
      <c r="B7661" s="1">
        <v>45977</v>
      </c>
      <c r="C7661">
        <v>4</v>
      </c>
      <c r="D7661">
        <v>1.3</v>
      </c>
      <c r="E7661" t="s">
        <v>6</v>
      </c>
      <c r="F7661">
        <v>8.9700000000000002E-2</v>
      </c>
    </row>
    <row r="7662" spans="1:6" x14ac:dyDescent="0.3">
      <c r="A7662" t="s">
        <v>22</v>
      </c>
      <c r="B7662" s="1">
        <v>45977</v>
      </c>
      <c r="C7662">
        <v>5</v>
      </c>
      <c r="D7662">
        <v>1.5069999999999999</v>
      </c>
      <c r="E7662" t="s">
        <v>6</v>
      </c>
      <c r="F7662">
        <v>8.8529999999999998E-2</v>
      </c>
    </row>
    <row r="7663" spans="1:6" x14ac:dyDescent="0.3">
      <c r="A7663" t="s">
        <v>22</v>
      </c>
      <c r="B7663" s="1">
        <v>45977</v>
      </c>
      <c r="C7663">
        <v>6</v>
      </c>
      <c r="D7663">
        <v>1.2909999999999999</v>
      </c>
      <c r="E7663" t="s">
        <v>6</v>
      </c>
      <c r="F7663">
        <v>8.8410000000000002E-2</v>
      </c>
    </row>
    <row r="7664" spans="1:6" x14ac:dyDescent="0.3">
      <c r="A7664" t="s">
        <v>22</v>
      </c>
      <c r="B7664" s="1">
        <v>45977</v>
      </c>
      <c r="C7664">
        <v>7</v>
      </c>
      <c r="D7664">
        <v>0.152</v>
      </c>
      <c r="E7664" t="s">
        <v>6</v>
      </c>
      <c r="F7664">
        <v>8.8059999999999999E-2</v>
      </c>
    </row>
    <row r="7665" spans="1:6" x14ac:dyDescent="0.3">
      <c r="A7665" t="s">
        <v>22</v>
      </c>
      <c r="B7665" s="1">
        <v>45977</v>
      </c>
      <c r="C7665">
        <v>8</v>
      </c>
      <c r="D7665">
        <v>0.10299999999999999</v>
      </c>
      <c r="E7665" t="s">
        <v>6</v>
      </c>
      <c r="F7665">
        <v>9.5640000000000003E-2</v>
      </c>
    </row>
    <row r="7666" spans="1:6" x14ac:dyDescent="0.3">
      <c r="A7666" t="s">
        <v>22</v>
      </c>
      <c r="B7666" s="1">
        <v>45977</v>
      </c>
      <c r="C7666">
        <v>9</v>
      </c>
      <c r="D7666">
        <v>0</v>
      </c>
      <c r="E7666" t="s">
        <v>6</v>
      </c>
      <c r="F7666">
        <v>9.4840000000000008E-2</v>
      </c>
    </row>
    <row r="7667" spans="1:6" x14ac:dyDescent="0.3">
      <c r="A7667" t="s">
        <v>22</v>
      </c>
      <c r="B7667" s="1">
        <v>45977</v>
      </c>
      <c r="C7667">
        <v>10</v>
      </c>
      <c r="D7667">
        <v>0</v>
      </c>
      <c r="E7667" t="s">
        <v>6</v>
      </c>
      <c r="F7667">
        <v>8.0129999999999993E-2</v>
      </c>
    </row>
    <row r="7668" spans="1:6" x14ac:dyDescent="0.3">
      <c r="A7668" t="s">
        <v>22</v>
      </c>
      <c r="B7668" s="1">
        <v>45977</v>
      </c>
      <c r="C7668">
        <v>11</v>
      </c>
      <c r="D7668">
        <v>0</v>
      </c>
      <c r="E7668" t="s">
        <v>6</v>
      </c>
      <c r="F7668">
        <v>6.3340000000000007E-2</v>
      </c>
    </row>
    <row r="7669" spans="1:6" x14ac:dyDescent="0.3">
      <c r="A7669" t="s">
        <v>22</v>
      </c>
      <c r="B7669" s="1">
        <v>45977</v>
      </c>
      <c r="C7669">
        <v>12</v>
      </c>
      <c r="D7669">
        <v>0</v>
      </c>
      <c r="E7669" t="s">
        <v>6</v>
      </c>
      <c r="F7669">
        <v>5.919E-2</v>
      </c>
    </row>
    <row r="7670" spans="1:6" x14ac:dyDescent="0.3">
      <c r="A7670" t="s">
        <v>22</v>
      </c>
      <c r="B7670" s="1">
        <v>45977</v>
      </c>
      <c r="C7670">
        <v>13</v>
      </c>
      <c r="D7670">
        <v>0</v>
      </c>
      <c r="E7670" t="s">
        <v>6</v>
      </c>
      <c r="F7670">
        <v>6.2520000000000006E-2</v>
      </c>
    </row>
    <row r="7671" spans="1:6" x14ac:dyDescent="0.3">
      <c r="A7671" t="s">
        <v>22</v>
      </c>
      <c r="B7671" s="1">
        <v>45977</v>
      </c>
      <c r="C7671">
        <v>14</v>
      </c>
      <c r="D7671">
        <v>0</v>
      </c>
      <c r="E7671" t="s">
        <v>6</v>
      </c>
      <c r="F7671">
        <v>6.173E-2</v>
      </c>
    </row>
    <row r="7672" spans="1:6" x14ac:dyDescent="0.3">
      <c r="A7672" t="s">
        <v>22</v>
      </c>
      <c r="B7672" s="1">
        <v>45977</v>
      </c>
      <c r="C7672">
        <v>15</v>
      </c>
      <c r="D7672">
        <v>0</v>
      </c>
      <c r="E7672" t="s">
        <v>6</v>
      </c>
      <c r="F7672">
        <v>6.1530000000000001E-2</v>
      </c>
    </row>
    <row r="7673" spans="1:6" x14ac:dyDescent="0.3">
      <c r="A7673" t="s">
        <v>22</v>
      </c>
      <c r="B7673" s="1">
        <v>45977</v>
      </c>
      <c r="C7673">
        <v>16</v>
      </c>
      <c r="D7673">
        <v>0</v>
      </c>
      <c r="E7673" t="s">
        <v>6</v>
      </c>
      <c r="F7673">
        <v>6.581999999999999E-2</v>
      </c>
    </row>
    <row r="7674" spans="1:6" x14ac:dyDescent="0.3">
      <c r="A7674" t="s">
        <v>22</v>
      </c>
      <c r="B7674" s="1">
        <v>45977</v>
      </c>
      <c r="C7674">
        <v>17</v>
      </c>
      <c r="D7674">
        <v>0.78900000000000003</v>
      </c>
      <c r="E7674" t="s">
        <v>6</v>
      </c>
      <c r="F7674">
        <v>8.4760000000000002E-2</v>
      </c>
    </row>
    <row r="7675" spans="1:6" x14ac:dyDescent="0.3">
      <c r="A7675" t="s">
        <v>22</v>
      </c>
      <c r="B7675" s="1">
        <v>45977</v>
      </c>
      <c r="C7675">
        <v>18</v>
      </c>
      <c r="D7675">
        <v>0.40899999999999997</v>
      </c>
      <c r="E7675" t="s">
        <v>6</v>
      </c>
      <c r="F7675">
        <v>0.12015000000000001</v>
      </c>
    </row>
    <row r="7676" spans="1:6" x14ac:dyDescent="0.3">
      <c r="A7676" t="s">
        <v>22</v>
      </c>
      <c r="B7676" s="1">
        <v>45977</v>
      </c>
      <c r="C7676">
        <v>19</v>
      </c>
      <c r="D7676">
        <v>0.57999999999999996</v>
      </c>
      <c r="E7676" t="s">
        <v>6</v>
      </c>
      <c r="F7676">
        <v>0.13450000000000001</v>
      </c>
    </row>
    <row r="7677" spans="1:6" x14ac:dyDescent="0.3">
      <c r="A7677" t="s">
        <v>22</v>
      </c>
      <c r="B7677" s="1">
        <v>45977</v>
      </c>
      <c r="C7677">
        <v>20</v>
      </c>
      <c r="D7677">
        <v>0.94499999999999995</v>
      </c>
      <c r="E7677" t="s">
        <v>6</v>
      </c>
      <c r="F7677">
        <v>0.14460000000000001</v>
      </c>
    </row>
    <row r="7678" spans="1:6" x14ac:dyDescent="0.3">
      <c r="A7678" t="s">
        <v>22</v>
      </c>
      <c r="B7678" s="1">
        <v>45977</v>
      </c>
      <c r="C7678">
        <v>21</v>
      </c>
      <c r="D7678">
        <v>2.2010000000000001</v>
      </c>
      <c r="E7678" t="s">
        <v>6</v>
      </c>
      <c r="F7678">
        <v>0.15359</v>
      </c>
    </row>
    <row r="7679" spans="1:6" x14ac:dyDescent="0.3">
      <c r="A7679" t="s">
        <v>22</v>
      </c>
      <c r="B7679" s="1">
        <v>45977</v>
      </c>
      <c r="C7679">
        <v>22</v>
      </c>
      <c r="D7679">
        <v>0.373</v>
      </c>
      <c r="E7679" t="s">
        <v>6</v>
      </c>
      <c r="F7679">
        <v>0.15721000000000002</v>
      </c>
    </row>
    <row r="7680" spans="1:6" x14ac:dyDescent="0.3">
      <c r="A7680" t="s">
        <v>22</v>
      </c>
      <c r="B7680" s="1">
        <v>45977</v>
      </c>
      <c r="C7680">
        <v>23</v>
      </c>
      <c r="D7680">
        <v>1.002</v>
      </c>
      <c r="E7680" t="s">
        <v>6</v>
      </c>
      <c r="F7680">
        <v>0.13882</v>
      </c>
    </row>
    <row r="7681" spans="1:6" x14ac:dyDescent="0.3">
      <c r="A7681" t="s">
        <v>22</v>
      </c>
      <c r="B7681" s="1">
        <v>45977</v>
      </c>
      <c r="C7681">
        <v>24</v>
      </c>
      <c r="D7681">
        <v>2.0329999999999999</v>
      </c>
      <c r="E7681" t="s">
        <v>6</v>
      </c>
      <c r="F7681">
        <v>0.12348999999999999</v>
      </c>
    </row>
    <row r="7682" spans="1:6" x14ac:dyDescent="0.3">
      <c r="A7682" t="s">
        <v>22</v>
      </c>
      <c r="B7682" s="1">
        <v>45978</v>
      </c>
      <c r="C7682">
        <v>1</v>
      </c>
      <c r="D7682">
        <v>1.8580000000000001</v>
      </c>
      <c r="E7682" t="s">
        <v>6</v>
      </c>
      <c r="F7682">
        <v>0.12282999999999999</v>
      </c>
    </row>
    <row r="7683" spans="1:6" x14ac:dyDescent="0.3">
      <c r="A7683" t="s">
        <v>22</v>
      </c>
      <c r="B7683" s="1">
        <v>45978</v>
      </c>
      <c r="C7683">
        <v>2</v>
      </c>
      <c r="D7683">
        <v>2.7589999999999999</v>
      </c>
      <c r="E7683" t="s">
        <v>6</v>
      </c>
      <c r="F7683">
        <v>0.11763</v>
      </c>
    </row>
    <row r="7684" spans="1:6" x14ac:dyDescent="0.3">
      <c r="A7684" t="s">
        <v>22</v>
      </c>
      <c r="B7684" s="1">
        <v>45978</v>
      </c>
      <c r="C7684">
        <v>3</v>
      </c>
      <c r="D7684">
        <v>2.21</v>
      </c>
      <c r="E7684" t="s">
        <v>6</v>
      </c>
      <c r="F7684">
        <v>0.11550000000000001</v>
      </c>
    </row>
    <row r="7685" spans="1:6" x14ac:dyDescent="0.3">
      <c r="A7685" t="s">
        <v>22</v>
      </c>
      <c r="B7685" s="1">
        <v>45978</v>
      </c>
      <c r="C7685">
        <v>4</v>
      </c>
      <c r="D7685">
        <v>2.1429999999999998</v>
      </c>
      <c r="E7685" t="s">
        <v>6</v>
      </c>
      <c r="F7685">
        <v>0.11453000000000001</v>
      </c>
    </row>
    <row r="7686" spans="1:6" x14ac:dyDescent="0.3">
      <c r="A7686" t="s">
        <v>22</v>
      </c>
      <c r="B7686" s="1">
        <v>45978</v>
      </c>
      <c r="C7686">
        <v>5</v>
      </c>
      <c r="D7686">
        <v>2.5760000000000001</v>
      </c>
      <c r="E7686" t="s">
        <v>6</v>
      </c>
      <c r="F7686">
        <v>0.11481999999999999</v>
      </c>
    </row>
    <row r="7687" spans="1:6" x14ac:dyDescent="0.3">
      <c r="A7687" t="s">
        <v>22</v>
      </c>
      <c r="B7687" s="1">
        <v>45978</v>
      </c>
      <c r="C7687">
        <v>6</v>
      </c>
      <c r="D7687">
        <v>1.925</v>
      </c>
      <c r="E7687" t="s">
        <v>6</v>
      </c>
      <c r="F7687">
        <v>0.12125</v>
      </c>
    </row>
    <row r="7688" spans="1:6" x14ac:dyDescent="0.3">
      <c r="A7688" t="s">
        <v>22</v>
      </c>
      <c r="B7688" s="1">
        <v>45978</v>
      </c>
      <c r="C7688">
        <v>7</v>
      </c>
      <c r="D7688">
        <v>1.548</v>
      </c>
      <c r="E7688" t="s">
        <v>6</v>
      </c>
      <c r="F7688">
        <v>0.13596</v>
      </c>
    </row>
    <row r="7689" spans="1:6" x14ac:dyDescent="0.3">
      <c r="A7689" t="s">
        <v>22</v>
      </c>
      <c r="B7689" s="1">
        <v>45978</v>
      </c>
      <c r="C7689">
        <v>8</v>
      </c>
      <c r="D7689">
        <v>1.895</v>
      </c>
      <c r="E7689" t="s">
        <v>6</v>
      </c>
      <c r="F7689">
        <v>0.16533</v>
      </c>
    </row>
    <row r="7690" spans="1:6" x14ac:dyDescent="0.3">
      <c r="A7690" t="s">
        <v>22</v>
      </c>
      <c r="B7690" s="1">
        <v>45978</v>
      </c>
      <c r="C7690">
        <v>9</v>
      </c>
      <c r="D7690">
        <v>1.048</v>
      </c>
      <c r="E7690" t="s">
        <v>6</v>
      </c>
      <c r="F7690">
        <v>0.20630000000000001</v>
      </c>
    </row>
    <row r="7691" spans="1:6" x14ac:dyDescent="0.3">
      <c r="A7691" t="s">
        <v>22</v>
      </c>
      <c r="B7691" s="1">
        <v>45978</v>
      </c>
      <c r="C7691">
        <v>10</v>
      </c>
      <c r="D7691">
        <v>0</v>
      </c>
      <c r="E7691" t="s">
        <v>6</v>
      </c>
      <c r="F7691">
        <v>0.1464</v>
      </c>
    </row>
    <row r="7692" spans="1:6" x14ac:dyDescent="0.3">
      <c r="A7692" t="s">
        <v>22</v>
      </c>
      <c r="B7692" s="1">
        <v>45978</v>
      </c>
      <c r="C7692">
        <v>11</v>
      </c>
      <c r="D7692">
        <v>0</v>
      </c>
      <c r="E7692" t="s">
        <v>6</v>
      </c>
      <c r="F7692">
        <v>0.19412000000000001</v>
      </c>
    </row>
    <row r="7693" spans="1:6" x14ac:dyDescent="0.3">
      <c r="A7693" t="s">
        <v>22</v>
      </c>
      <c r="B7693" s="1">
        <v>45978</v>
      </c>
      <c r="C7693">
        <v>12</v>
      </c>
      <c r="D7693">
        <v>0</v>
      </c>
      <c r="E7693" t="s">
        <v>6</v>
      </c>
      <c r="F7693">
        <v>0.18415999999999999</v>
      </c>
    </row>
    <row r="7694" spans="1:6" x14ac:dyDescent="0.3">
      <c r="A7694" t="s">
        <v>22</v>
      </c>
      <c r="B7694" s="1">
        <v>45978</v>
      </c>
      <c r="C7694">
        <v>13</v>
      </c>
      <c r="D7694">
        <v>0</v>
      </c>
      <c r="E7694" t="s">
        <v>6</v>
      </c>
      <c r="F7694">
        <v>0.17762999999999998</v>
      </c>
    </row>
    <row r="7695" spans="1:6" x14ac:dyDescent="0.3">
      <c r="A7695" t="s">
        <v>22</v>
      </c>
      <c r="B7695" s="1">
        <v>45978</v>
      </c>
      <c r="C7695">
        <v>14</v>
      </c>
      <c r="D7695">
        <v>0</v>
      </c>
      <c r="E7695" t="s">
        <v>6</v>
      </c>
      <c r="F7695">
        <v>0.16255</v>
      </c>
    </row>
    <row r="7696" spans="1:6" x14ac:dyDescent="0.3">
      <c r="A7696" t="s">
        <v>22</v>
      </c>
      <c r="B7696" s="1">
        <v>45978</v>
      </c>
      <c r="C7696">
        <v>15</v>
      </c>
      <c r="D7696">
        <v>1.3120000000000001</v>
      </c>
      <c r="E7696" t="s">
        <v>6</v>
      </c>
      <c r="F7696">
        <v>9.5829999999999999E-2</v>
      </c>
    </row>
    <row r="7697" spans="1:6" x14ac:dyDescent="0.3">
      <c r="A7697" t="s">
        <v>22</v>
      </c>
      <c r="B7697" s="1">
        <v>45978</v>
      </c>
      <c r="C7697">
        <v>16</v>
      </c>
      <c r="D7697">
        <v>0.46</v>
      </c>
      <c r="E7697" t="s">
        <v>6</v>
      </c>
      <c r="F7697">
        <v>0.10686</v>
      </c>
    </row>
    <row r="7698" spans="1:6" x14ac:dyDescent="0.3">
      <c r="A7698" t="s">
        <v>22</v>
      </c>
      <c r="B7698" s="1">
        <v>45978</v>
      </c>
      <c r="C7698">
        <v>17</v>
      </c>
      <c r="D7698">
        <v>1.774</v>
      </c>
      <c r="E7698" t="s">
        <v>6</v>
      </c>
      <c r="F7698">
        <v>0.13046000000000002</v>
      </c>
    </row>
    <row r="7699" spans="1:6" x14ac:dyDescent="0.3">
      <c r="A7699" t="s">
        <v>22</v>
      </c>
      <c r="B7699" s="1">
        <v>45978</v>
      </c>
      <c r="C7699">
        <v>18</v>
      </c>
      <c r="D7699">
        <v>1.4279999999999999</v>
      </c>
      <c r="E7699" t="s">
        <v>6</v>
      </c>
      <c r="F7699">
        <v>0.15875</v>
      </c>
    </row>
    <row r="7700" spans="1:6" x14ac:dyDescent="0.3">
      <c r="A7700" t="s">
        <v>22</v>
      </c>
      <c r="B7700" s="1">
        <v>45978</v>
      </c>
      <c r="C7700">
        <v>19</v>
      </c>
      <c r="D7700">
        <v>1.292</v>
      </c>
      <c r="E7700" t="s">
        <v>6</v>
      </c>
      <c r="F7700">
        <v>0.24433000000000002</v>
      </c>
    </row>
    <row r="7701" spans="1:6" x14ac:dyDescent="0.3">
      <c r="A7701" t="s">
        <v>22</v>
      </c>
      <c r="B7701" s="1">
        <v>45978</v>
      </c>
      <c r="C7701">
        <v>20</v>
      </c>
      <c r="D7701">
        <v>1.66</v>
      </c>
      <c r="E7701" t="s">
        <v>6</v>
      </c>
      <c r="F7701">
        <v>0.24336000000000002</v>
      </c>
    </row>
    <row r="7702" spans="1:6" x14ac:dyDescent="0.3">
      <c r="A7702" t="s">
        <v>22</v>
      </c>
      <c r="B7702" s="1">
        <v>45978</v>
      </c>
      <c r="C7702">
        <v>21</v>
      </c>
      <c r="D7702">
        <v>1.8129999999999999</v>
      </c>
      <c r="E7702" t="s">
        <v>6</v>
      </c>
      <c r="F7702">
        <v>0.23613999999999999</v>
      </c>
    </row>
    <row r="7703" spans="1:6" x14ac:dyDescent="0.3">
      <c r="A7703" t="s">
        <v>22</v>
      </c>
      <c r="B7703" s="1">
        <v>45978</v>
      </c>
      <c r="C7703">
        <v>22</v>
      </c>
      <c r="D7703">
        <v>2.6070000000000002</v>
      </c>
      <c r="E7703" t="s">
        <v>6</v>
      </c>
      <c r="F7703">
        <v>0.22431999999999999</v>
      </c>
    </row>
    <row r="7704" spans="1:6" x14ac:dyDescent="0.3">
      <c r="A7704" t="s">
        <v>22</v>
      </c>
      <c r="B7704" s="1">
        <v>45978</v>
      </c>
      <c r="C7704">
        <v>23</v>
      </c>
      <c r="D7704">
        <v>1.8839999999999999</v>
      </c>
      <c r="E7704" t="s">
        <v>6</v>
      </c>
      <c r="F7704">
        <v>0.15190999999999999</v>
      </c>
    </row>
    <row r="7705" spans="1:6" x14ac:dyDescent="0.3">
      <c r="A7705" t="s">
        <v>22</v>
      </c>
      <c r="B7705" s="1">
        <v>45978</v>
      </c>
      <c r="C7705">
        <v>24</v>
      </c>
      <c r="D7705">
        <v>1.1739999999999999</v>
      </c>
      <c r="E7705" t="s">
        <v>6</v>
      </c>
      <c r="F7705">
        <v>0.14507</v>
      </c>
    </row>
    <row r="7706" spans="1:6" x14ac:dyDescent="0.3">
      <c r="A7706" t="s">
        <v>22</v>
      </c>
      <c r="B7706" s="1">
        <v>45979</v>
      </c>
      <c r="C7706">
        <v>1</v>
      </c>
      <c r="D7706">
        <v>1.4530000000000001</v>
      </c>
      <c r="E7706" t="s">
        <v>6</v>
      </c>
      <c r="F7706">
        <v>0.12109</v>
      </c>
    </row>
    <row r="7707" spans="1:6" x14ac:dyDescent="0.3">
      <c r="A7707" t="s">
        <v>22</v>
      </c>
      <c r="B7707" s="1">
        <v>45979</v>
      </c>
      <c r="C7707">
        <v>2</v>
      </c>
      <c r="D7707">
        <v>1.2</v>
      </c>
      <c r="E7707" t="s">
        <v>6</v>
      </c>
      <c r="F7707">
        <v>0.11916</v>
      </c>
    </row>
    <row r="7708" spans="1:6" x14ac:dyDescent="0.3">
      <c r="A7708" t="s">
        <v>22</v>
      </c>
      <c r="B7708" s="1">
        <v>45979</v>
      </c>
      <c r="C7708">
        <v>3</v>
      </c>
      <c r="D7708">
        <v>2.7690000000000001</v>
      </c>
      <c r="E7708" t="s">
        <v>6</v>
      </c>
      <c r="F7708">
        <v>0.11668000000000001</v>
      </c>
    </row>
    <row r="7709" spans="1:6" x14ac:dyDescent="0.3">
      <c r="A7709" t="s">
        <v>22</v>
      </c>
      <c r="B7709" s="1">
        <v>45979</v>
      </c>
      <c r="C7709">
        <v>4</v>
      </c>
      <c r="D7709">
        <v>2.2290000000000001</v>
      </c>
      <c r="E7709" t="s">
        <v>6</v>
      </c>
      <c r="F7709">
        <v>0.11126999999999999</v>
      </c>
    </row>
    <row r="7710" spans="1:6" x14ac:dyDescent="0.3">
      <c r="A7710" t="s">
        <v>22</v>
      </c>
      <c r="B7710" s="1">
        <v>45979</v>
      </c>
      <c r="C7710">
        <v>5</v>
      </c>
      <c r="D7710">
        <v>2.3079999999999998</v>
      </c>
      <c r="E7710" t="s">
        <v>6</v>
      </c>
      <c r="F7710">
        <v>0.11031000000000001</v>
      </c>
    </row>
    <row r="7711" spans="1:6" x14ac:dyDescent="0.3">
      <c r="A7711" t="s">
        <v>22</v>
      </c>
      <c r="B7711" s="1">
        <v>45979</v>
      </c>
      <c r="C7711">
        <v>6</v>
      </c>
      <c r="D7711">
        <v>2.4020000000000001</v>
      </c>
      <c r="E7711" t="s">
        <v>6</v>
      </c>
      <c r="F7711">
        <v>0.10954000000000001</v>
      </c>
    </row>
    <row r="7712" spans="1:6" x14ac:dyDescent="0.3">
      <c r="A7712" t="s">
        <v>22</v>
      </c>
      <c r="B7712" s="1">
        <v>45979</v>
      </c>
      <c r="C7712">
        <v>7</v>
      </c>
      <c r="D7712">
        <v>2.3580000000000001</v>
      </c>
      <c r="E7712" t="s">
        <v>6</v>
      </c>
      <c r="F7712">
        <v>0.13058</v>
      </c>
    </row>
    <row r="7713" spans="1:6" x14ac:dyDescent="0.3">
      <c r="A7713" t="s">
        <v>22</v>
      </c>
      <c r="B7713" s="1">
        <v>45979</v>
      </c>
      <c r="C7713">
        <v>8</v>
      </c>
      <c r="D7713">
        <v>1.1739999999999999</v>
      </c>
      <c r="E7713" t="s">
        <v>6</v>
      </c>
      <c r="F7713">
        <v>0.14474999999999999</v>
      </c>
    </row>
    <row r="7714" spans="1:6" x14ac:dyDescent="0.3">
      <c r="A7714" t="s">
        <v>22</v>
      </c>
      <c r="B7714" s="1">
        <v>45979</v>
      </c>
      <c r="C7714">
        <v>9</v>
      </c>
      <c r="D7714">
        <v>1.8</v>
      </c>
      <c r="E7714" t="s">
        <v>6</v>
      </c>
      <c r="F7714">
        <v>0.17008999999999999</v>
      </c>
    </row>
    <row r="7715" spans="1:6" x14ac:dyDescent="0.3">
      <c r="A7715" t="s">
        <v>22</v>
      </c>
      <c r="B7715" s="1">
        <v>45979</v>
      </c>
      <c r="C7715">
        <v>10</v>
      </c>
      <c r="D7715">
        <v>1.7969999999999999</v>
      </c>
      <c r="E7715" t="s">
        <v>6</v>
      </c>
      <c r="F7715">
        <v>0.13968</v>
      </c>
    </row>
    <row r="7716" spans="1:6" x14ac:dyDescent="0.3">
      <c r="A7716" t="s">
        <v>22</v>
      </c>
      <c r="B7716" s="1">
        <v>45979</v>
      </c>
      <c r="C7716">
        <v>11</v>
      </c>
      <c r="D7716">
        <v>1.345</v>
      </c>
      <c r="E7716" t="s">
        <v>6</v>
      </c>
      <c r="F7716">
        <v>0.16849</v>
      </c>
    </row>
    <row r="7717" spans="1:6" x14ac:dyDescent="0.3">
      <c r="A7717" t="s">
        <v>22</v>
      </c>
      <c r="B7717" s="1">
        <v>45979</v>
      </c>
      <c r="C7717">
        <v>12</v>
      </c>
      <c r="D7717">
        <v>1.4019999999999999</v>
      </c>
      <c r="E7717" t="s">
        <v>6</v>
      </c>
      <c r="F7717">
        <v>0.13929</v>
      </c>
    </row>
    <row r="7718" spans="1:6" x14ac:dyDescent="0.3">
      <c r="A7718" t="s">
        <v>22</v>
      </c>
      <c r="B7718" s="1">
        <v>45979</v>
      </c>
      <c r="C7718">
        <v>13</v>
      </c>
      <c r="D7718">
        <v>1.9510000000000001</v>
      </c>
      <c r="E7718" t="s">
        <v>6</v>
      </c>
      <c r="F7718">
        <v>0.13484000000000002</v>
      </c>
    </row>
    <row r="7719" spans="1:6" x14ac:dyDescent="0.3">
      <c r="A7719" t="s">
        <v>22</v>
      </c>
      <c r="B7719" s="1">
        <v>45979</v>
      </c>
      <c r="C7719">
        <v>14</v>
      </c>
      <c r="D7719">
        <v>0</v>
      </c>
      <c r="E7719" t="s">
        <v>6</v>
      </c>
      <c r="F7719">
        <v>0.14335000000000001</v>
      </c>
    </row>
    <row r="7720" spans="1:6" x14ac:dyDescent="0.3">
      <c r="A7720" t="s">
        <v>22</v>
      </c>
      <c r="B7720" s="1">
        <v>45979</v>
      </c>
      <c r="C7720">
        <v>15</v>
      </c>
      <c r="D7720">
        <v>0</v>
      </c>
      <c r="E7720" t="s">
        <v>6</v>
      </c>
      <c r="F7720">
        <v>8.48E-2</v>
      </c>
    </row>
    <row r="7721" spans="1:6" x14ac:dyDescent="0.3">
      <c r="A7721" t="s">
        <v>22</v>
      </c>
      <c r="B7721" s="1">
        <v>45979</v>
      </c>
      <c r="C7721">
        <v>16</v>
      </c>
      <c r="D7721">
        <v>0.47699999999999998</v>
      </c>
      <c r="E7721" t="s">
        <v>6</v>
      </c>
      <c r="F7721">
        <v>0.1105</v>
      </c>
    </row>
    <row r="7722" spans="1:6" x14ac:dyDescent="0.3">
      <c r="A7722" t="s">
        <v>22</v>
      </c>
      <c r="B7722" s="1">
        <v>45979</v>
      </c>
      <c r="C7722">
        <v>17</v>
      </c>
      <c r="D7722">
        <v>2.4950000000000001</v>
      </c>
      <c r="E7722" t="s">
        <v>6</v>
      </c>
      <c r="F7722">
        <v>0.14580000000000001</v>
      </c>
    </row>
    <row r="7723" spans="1:6" x14ac:dyDescent="0.3">
      <c r="A7723" t="s">
        <v>22</v>
      </c>
      <c r="B7723" s="1">
        <v>45979</v>
      </c>
      <c r="C7723">
        <v>18</v>
      </c>
      <c r="D7723">
        <v>1.3440000000000001</v>
      </c>
      <c r="E7723" t="s">
        <v>6</v>
      </c>
      <c r="F7723">
        <v>0.17388999999999999</v>
      </c>
    </row>
    <row r="7724" spans="1:6" x14ac:dyDescent="0.3">
      <c r="A7724" t="s">
        <v>22</v>
      </c>
      <c r="B7724" s="1">
        <v>45979</v>
      </c>
      <c r="C7724">
        <v>19</v>
      </c>
      <c r="D7724">
        <v>1.679</v>
      </c>
      <c r="E7724" t="s">
        <v>6</v>
      </c>
      <c r="F7724">
        <v>0.26756999999999997</v>
      </c>
    </row>
    <row r="7725" spans="1:6" x14ac:dyDescent="0.3">
      <c r="A7725" t="s">
        <v>22</v>
      </c>
      <c r="B7725" s="1">
        <v>45979</v>
      </c>
      <c r="C7725">
        <v>20</v>
      </c>
      <c r="D7725">
        <v>2.3340000000000001</v>
      </c>
      <c r="E7725" t="s">
        <v>6</v>
      </c>
      <c r="F7725">
        <v>0.26874999999999999</v>
      </c>
    </row>
    <row r="7726" spans="1:6" x14ac:dyDescent="0.3">
      <c r="A7726" t="s">
        <v>22</v>
      </c>
      <c r="B7726" s="1">
        <v>45979</v>
      </c>
      <c r="C7726">
        <v>21</v>
      </c>
      <c r="D7726">
        <v>2.214</v>
      </c>
      <c r="E7726" t="s">
        <v>6</v>
      </c>
      <c r="F7726">
        <v>0.27073000000000003</v>
      </c>
    </row>
    <row r="7727" spans="1:6" x14ac:dyDescent="0.3">
      <c r="A7727" t="s">
        <v>22</v>
      </c>
      <c r="B7727" s="1">
        <v>45979</v>
      </c>
      <c r="C7727">
        <v>22</v>
      </c>
      <c r="D7727">
        <v>2.145</v>
      </c>
      <c r="E7727" t="s">
        <v>6</v>
      </c>
      <c r="F7727">
        <v>0.27155000000000001</v>
      </c>
    </row>
    <row r="7728" spans="1:6" x14ac:dyDescent="0.3">
      <c r="A7728" t="s">
        <v>22</v>
      </c>
      <c r="B7728" s="1">
        <v>45979</v>
      </c>
      <c r="C7728">
        <v>23</v>
      </c>
      <c r="D7728">
        <v>1.802</v>
      </c>
      <c r="E7728" t="s">
        <v>6</v>
      </c>
      <c r="F7728">
        <v>0.18421000000000001</v>
      </c>
    </row>
    <row r="7729" spans="1:6" x14ac:dyDescent="0.3">
      <c r="A7729" t="s">
        <v>22</v>
      </c>
      <c r="B7729" s="1">
        <v>45979</v>
      </c>
      <c r="C7729">
        <v>24</v>
      </c>
      <c r="D7729">
        <v>2.4860000000000002</v>
      </c>
      <c r="E7729" t="s">
        <v>6</v>
      </c>
      <c r="F7729">
        <v>0.16525000000000001</v>
      </c>
    </row>
    <row r="7730" spans="1:6" x14ac:dyDescent="0.3">
      <c r="A7730" t="s">
        <v>22</v>
      </c>
      <c r="B7730" s="1">
        <v>45980</v>
      </c>
      <c r="C7730">
        <v>1</v>
      </c>
      <c r="D7730">
        <v>2.8159999999999998</v>
      </c>
      <c r="E7730" t="s">
        <v>6</v>
      </c>
      <c r="F7730">
        <v>0.14688999999999999</v>
      </c>
    </row>
    <row r="7731" spans="1:6" x14ac:dyDescent="0.3">
      <c r="A7731" t="s">
        <v>22</v>
      </c>
      <c r="B7731" s="1">
        <v>45980</v>
      </c>
      <c r="C7731">
        <v>2</v>
      </c>
      <c r="D7731">
        <v>2.968</v>
      </c>
      <c r="E7731" t="s">
        <v>6</v>
      </c>
      <c r="F7731">
        <v>0.13406999999999999</v>
      </c>
    </row>
    <row r="7732" spans="1:6" x14ac:dyDescent="0.3">
      <c r="A7732" t="s">
        <v>22</v>
      </c>
      <c r="B7732" s="1">
        <v>45980</v>
      </c>
      <c r="C7732">
        <v>3</v>
      </c>
      <c r="D7732">
        <v>2.9889999999999999</v>
      </c>
      <c r="E7732" t="s">
        <v>6</v>
      </c>
      <c r="F7732">
        <v>0.12695999999999999</v>
      </c>
    </row>
    <row r="7733" spans="1:6" x14ac:dyDescent="0.3">
      <c r="A7733" t="s">
        <v>22</v>
      </c>
      <c r="B7733" s="1">
        <v>45980</v>
      </c>
      <c r="C7733">
        <v>4</v>
      </c>
      <c r="D7733">
        <v>2.899</v>
      </c>
      <c r="E7733" t="s">
        <v>6</v>
      </c>
      <c r="F7733">
        <v>0.12340000000000001</v>
      </c>
    </row>
    <row r="7734" spans="1:6" x14ac:dyDescent="0.3">
      <c r="A7734" t="s">
        <v>22</v>
      </c>
      <c r="B7734" s="1">
        <v>45980</v>
      </c>
      <c r="C7734">
        <v>5</v>
      </c>
      <c r="D7734">
        <v>2.4180000000000001</v>
      </c>
      <c r="E7734" t="s">
        <v>6</v>
      </c>
      <c r="F7734">
        <v>0.1221</v>
      </c>
    </row>
    <row r="7735" spans="1:6" x14ac:dyDescent="0.3">
      <c r="A7735" t="s">
        <v>22</v>
      </c>
      <c r="B7735" s="1">
        <v>45980</v>
      </c>
      <c r="C7735">
        <v>6</v>
      </c>
      <c r="D7735">
        <v>1.6830000000000001</v>
      </c>
      <c r="E7735" t="s">
        <v>6</v>
      </c>
      <c r="F7735">
        <v>0.12364</v>
      </c>
    </row>
    <row r="7736" spans="1:6" x14ac:dyDescent="0.3">
      <c r="A7736" t="s">
        <v>22</v>
      </c>
      <c r="B7736" s="1">
        <v>45980</v>
      </c>
      <c r="C7736">
        <v>7</v>
      </c>
      <c r="D7736">
        <v>1.8120000000000001</v>
      </c>
      <c r="E7736" t="s">
        <v>6</v>
      </c>
      <c r="F7736">
        <v>0.14235</v>
      </c>
    </row>
    <row r="7737" spans="1:6" x14ac:dyDescent="0.3">
      <c r="A7737" t="s">
        <v>22</v>
      </c>
      <c r="B7737" s="1">
        <v>45980</v>
      </c>
      <c r="C7737">
        <v>8</v>
      </c>
      <c r="D7737">
        <v>3.21</v>
      </c>
      <c r="E7737" t="s">
        <v>6</v>
      </c>
      <c r="F7737">
        <v>0.14840999999999999</v>
      </c>
    </row>
    <row r="7738" spans="1:6" x14ac:dyDescent="0.3">
      <c r="A7738" t="s">
        <v>22</v>
      </c>
      <c r="B7738" s="1">
        <v>45980</v>
      </c>
      <c r="C7738">
        <v>9</v>
      </c>
      <c r="D7738">
        <v>2.758</v>
      </c>
      <c r="E7738" t="s">
        <v>6</v>
      </c>
      <c r="F7738">
        <v>0.17748</v>
      </c>
    </row>
    <row r="7739" spans="1:6" x14ac:dyDescent="0.3">
      <c r="A7739" t="s">
        <v>22</v>
      </c>
      <c r="B7739" s="1">
        <v>45980</v>
      </c>
      <c r="C7739">
        <v>10</v>
      </c>
      <c r="D7739">
        <v>2.3109999999999999</v>
      </c>
      <c r="E7739" t="s">
        <v>6</v>
      </c>
      <c r="F7739">
        <v>0.15549000000000002</v>
      </c>
    </row>
    <row r="7740" spans="1:6" x14ac:dyDescent="0.3">
      <c r="A7740" t="s">
        <v>22</v>
      </c>
      <c r="B7740" s="1">
        <v>45980</v>
      </c>
      <c r="C7740">
        <v>11</v>
      </c>
      <c r="D7740">
        <v>2.742</v>
      </c>
      <c r="E7740" t="s">
        <v>6</v>
      </c>
      <c r="F7740">
        <v>0.21106999999999998</v>
      </c>
    </row>
    <row r="7741" spans="1:6" x14ac:dyDescent="0.3">
      <c r="A7741" t="s">
        <v>22</v>
      </c>
      <c r="B7741" s="1">
        <v>45980</v>
      </c>
      <c r="C7741">
        <v>12</v>
      </c>
      <c r="D7741">
        <v>2.2519999999999998</v>
      </c>
      <c r="E7741" t="s">
        <v>6</v>
      </c>
      <c r="F7741">
        <v>0.19219999999999998</v>
      </c>
    </row>
    <row r="7742" spans="1:6" x14ac:dyDescent="0.3">
      <c r="A7742" t="s">
        <v>22</v>
      </c>
      <c r="B7742" s="1">
        <v>45980</v>
      </c>
      <c r="C7742">
        <v>13</v>
      </c>
      <c r="D7742">
        <v>2.0129999999999999</v>
      </c>
      <c r="E7742" t="s">
        <v>6</v>
      </c>
      <c r="F7742">
        <v>0.18925999999999998</v>
      </c>
    </row>
    <row r="7743" spans="1:6" x14ac:dyDescent="0.3">
      <c r="A7743" t="s">
        <v>22</v>
      </c>
      <c r="B7743" s="1">
        <v>45980</v>
      </c>
      <c r="C7743">
        <v>14</v>
      </c>
      <c r="D7743">
        <v>1.3879999999999999</v>
      </c>
      <c r="E7743" t="s">
        <v>6</v>
      </c>
      <c r="F7743">
        <v>0.18375999999999998</v>
      </c>
    </row>
    <row r="7744" spans="1:6" x14ac:dyDescent="0.3">
      <c r="A7744" t="s">
        <v>22</v>
      </c>
      <c r="B7744" s="1">
        <v>45980</v>
      </c>
      <c r="C7744">
        <v>15</v>
      </c>
      <c r="D7744">
        <v>0</v>
      </c>
      <c r="E7744" t="s">
        <v>6</v>
      </c>
      <c r="F7744">
        <v>0.1212</v>
      </c>
    </row>
    <row r="7745" spans="1:6" x14ac:dyDescent="0.3">
      <c r="A7745" t="s">
        <v>22</v>
      </c>
      <c r="B7745" s="1">
        <v>45980</v>
      </c>
      <c r="C7745">
        <v>16</v>
      </c>
      <c r="D7745">
        <v>1.64</v>
      </c>
      <c r="E7745" t="s">
        <v>6</v>
      </c>
      <c r="F7745">
        <v>0.1358</v>
      </c>
    </row>
    <row r="7746" spans="1:6" x14ac:dyDescent="0.3">
      <c r="A7746" t="s">
        <v>22</v>
      </c>
      <c r="B7746" s="1">
        <v>45980</v>
      </c>
      <c r="C7746">
        <v>17</v>
      </c>
      <c r="D7746">
        <v>2.5329999999999999</v>
      </c>
      <c r="E7746" t="s">
        <v>6</v>
      </c>
      <c r="F7746">
        <v>0.14277999999999999</v>
      </c>
    </row>
    <row r="7747" spans="1:6" x14ac:dyDescent="0.3">
      <c r="A7747" t="s">
        <v>22</v>
      </c>
      <c r="B7747" s="1">
        <v>45980</v>
      </c>
      <c r="C7747">
        <v>18</v>
      </c>
      <c r="D7747">
        <v>2.073</v>
      </c>
      <c r="E7747" t="s">
        <v>6</v>
      </c>
      <c r="F7747">
        <v>0.16713999999999998</v>
      </c>
    </row>
    <row r="7748" spans="1:6" x14ac:dyDescent="0.3">
      <c r="A7748" t="s">
        <v>22</v>
      </c>
      <c r="B7748" s="1">
        <v>45980</v>
      </c>
      <c r="C7748">
        <v>19</v>
      </c>
      <c r="D7748">
        <v>2.29</v>
      </c>
      <c r="E7748" t="s">
        <v>6</v>
      </c>
      <c r="F7748">
        <v>0.2404</v>
      </c>
    </row>
    <row r="7749" spans="1:6" x14ac:dyDescent="0.3">
      <c r="A7749" t="s">
        <v>22</v>
      </c>
      <c r="B7749" s="1">
        <v>45980</v>
      </c>
      <c r="C7749">
        <v>20</v>
      </c>
      <c r="D7749">
        <v>2.0819999999999999</v>
      </c>
      <c r="E7749" t="s">
        <v>6</v>
      </c>
      <c r="F7749">
        <v>0.24665000000000001</v>
      </c>
    </row>
    <row r="7750" spans="1:6" x14ac:dyDescent="0.3">
      <c r="A7750" t="s">
        <v>22</v>
      </c>
      <c r="B7750" s="1">
        <v>45980</v>
      </c>
      <c r="C7750">
        <v>21</v>
      </c>
      <c r="D7750">
        <v>4.1440000000000001</v>
      </c>
      <c r="E7750" t="s">
        <v>6</v>
      </c>
      <c r="F7750">
        <v>0.25224999999999997</v>
      </c>
    </row>
    <row r="7751" spans="1:6" x14ac:dyDescent="0.3">
      <c r="A7751" t="s">
        <v>22</v>
      </c>
      <c r="B7751" s="1">
        <v>45980</v>
      </c>
      <c r="C7751">
        <v>22</v>
      </c>
      <c r="D7751">
        <v>4.6449999999999996</v>
      </c>
      <c r="E7751" t="s">
        <v>6</v>
      </c>
      <c r="F7751">
        <v>0.23371</v>
      </c>
    </row>
    <row r="7752" spans="1:6" x14ac:dyDescent="0.3">
      <c r="A7752" t="s">
        <v>22</v>
      </c>
      <c r="B7752" s="1">
        <v>45980</v>
      </c>
      <c r="C7752">
        <v>23</v>
      </c>
      <c r="D7752">
        <v>4.032</v>
      </c>
      <c r="E7752" t="s">
        <v>6</v>
      </c>
      <c r="F7752">
        <v>0.15900999999999998</v>
      </c>
    </row>
    <row r="7753" spans="1:6" x14ac:dyDescent="0.3">
      <c r="A7753" t="s">
        <v>22</v>
      </c>
      <c r="B7753" s="1">
        <v>45980</v>
      </c>
      <c r="C7753">
        <v>24</v>
      </c>
      <c r="D7753">
        <v>3.661</v>
      </c>
      <c r="E7753" t="s">
        <v>6</v>
      </c>
      <c r="F7753">
        <v>0.15087</v>
      </c>
    </row>
    <row r="7754" spans="1:6" x14ac:dyDescent="0.3">
      <c r="A7754" t="s">
        <v>22</v>
      </c>
      <c r="B7754" s="1">
        <v>45981</v>
      </c>
      <c r="C7754">
        <v>1</v>
      </c>
      <c r="D7754">
        <v>3.6890000000000001</v>
      </c>
      <c r="E7754" t="s">
        <v>6</v>
      </c>
      <c r="F7754">
        <v>0.12193999999999999</v>
      </c>
    </row>
    <row r="7755" spans="1:6" x14ac:dyDescent="0.3">
      <c r="A7755" t="s">
        <v>22</v>
      </c>
      <c r="B7755" s="1">
        <v>45981</v>
      </c>
      <c r="C7755">
        <v>2</v>
      </c>
      <c r="D7755">
        <v>3.621</v>
      </c>
      <c r="E7755" t="s">
        <v>6</v>
      </c>
      <c r="F7755">
        <v>0.11502</v>
      </c>
    </row>
    <row r="7756" spans="1:6" x14ac:dyDescent="0.3">
      <c r="A7756" t="s">
        <v>22</v>
      </c>
      <c r="B7756" s="1">
        <v>45981</v>
      </c>
      <c r="C7756">
        <v>3</v>
      </c>
      <c r="D7756">
        <v>3.9209999999999998</v>
      </c>
      <c r="E7756" t="s">
        <v>6</v>
      </c>
      <c r="F7756">
        <v>0.11408</v>
      </c>
    </row>
    <row r="7757" spans="1:6" x14ac:dyDescent="0.3">
      <c r="A7757" t="s">
        <v>22</v>
      </c>
      <c r="B7757" s="1">
        <v>45981</v>
      </c>
      <c r="C7757">
        <v>4</v>
      </c>
      <c r="D7757">
        <v>3.9990000000000001</v>
      </c>
      <c r="E7757" t="s">
        <v>6</v>
      </c>
      <c r="F7757">
        <v>0.10919</v>
      </c>
    </row>
    <row r="7758" spans="1:6" x14ac:dyDescent="0.3">
      <c r="A7758" t="s">
        <v>22</v>
      </c>
      <c r="B7758" s="1">
        <v>45981</v>
      </c>
      <c r="C7758">
        <v>5</v>
      </c>
      <c r="D7758">
        <v>3.956</v>
      </c>
      <c r="E7758" t="s">
        <v>6</v>
      </c>
      <c r="F7758">
        <v>0.10997</v>
      </c>
    </row>
    <row r="7759" spans="1:6" x14ac:dyDescent="0.3">
      <c r="A7759" t="s">
        <v>22</v>
      </c>
      <c r="B7759" s="1">
        <v>45981</v>
      </c>
      <c r="C7759">
        <v>6</v>
      </c>
      <c r="D7759">
        <v>4.1580000000000004</v>
      </c>
      <c r="E7759" t="s">
        <v>6</v>
      </c>
      <c r="F7759">
        <v>0.12014</v>
      </c>
    </row>
    <row r="7760" spans="1:6" x14ac:dyDescent="0.3">
      <c r="A7760" t="s">
        <v>22</v>
      </c>
      <c r="B7760" s="1">
        <v>45981</v>
      </c>
      <c r="C7760">
        <v>7</v>
      </c>
      <c r="D7760">
        <v>3.992</v>
      </c>
      <c r="E7760" t="s">
        <v>6</v>
      </c>
      <c r="F7760">
        <v>0.13209000000000001</v>
      </c>
    </row>
    <row r="7761" spans="1:6" x14ac:dyDescent="0.3">
      <c r="A7761" t="s">
        <v>22</v>
      </c>
      <c r="B7761" s="1">
        <v>45981</v>
      </c>
      <c r="C7761">
        <v>8</v>
      </c>
      <c r="D7761">
        <v>2.831</v>
      </c>
      <c r="E7761" t="s">
        <v>6</v>
      </c>
      <c r="F7761">
        <v>0.14968999999999999</v>
      </c>
    </row>
    <row r="7762" spans="1:6" x14ac:dyDescent="0.3">
      <c r="A7762" t="s">
        <v>22</v>
      </c>
      <c r="B7762" s="1">
        <v>45981</v>
      </c>
      <c r="C7762">
        <v>9</v>
      </c>
      <c r="D7762">
        <v>2.343</v>
      </c>
      <c r="E7762" t="s">
        <v>6</v>
      </c>
      <c r="F7762">
        <v>0.18681</v>
      </c>
    </row>
    <row r="7763" spans="1:6" x14ac:dyDescent="0.3">
      <c r="A7763" t="s">
        <v>22</v>
      </c>
      <c r="B7763" s="1">
        <v>45981</v>
      </c>
      <c r="C7763">
        <v>10</v>
      </c>
      <c r="D7763">
        <v>2.2909999999999999</v>
      </c>
      <c r="E7763" t="s">
        <v>6</v>
      </c>
      <c r="F7763">
        <v>0.15162999999999999</v>
      </c>
    </row>
    <row r="7764" spans="1:6" x14ac:dyDescent="0.3">
      <c r="A7764" t="s">
        <v>22</v>
      </c>
      <c r="B7764" s="1">
        <v>45981</v>
      </c>
      <c r="C7764">
        <v>11</v>
      </c>
      <c r="D7764">
        <v>1.24</v>
      </c>
      <c r="E7764" t="s">
        <v>6</v>
      </c>
      <c r="F7764">
        <v>0.19605</v>
      </c>
    </row>
    <row r="7765" spans="1:6" x14ac:dyDescent="0.3">
      <c r="A7765" t="s">
        <v>22</v>
      </c>
      <c r="B7765" s="1">
        <v>45981</v>
      </c>
      <c r="C7765">
        <v>12</v>
      </c>
      <c r="D7765">
        <v>0</v>
      </c>
      <c r="E7765" t="s">
        <v>6</v>
      </c>
      <c r="F7765">
        <v>0.18777000000000002</v>
      </c>
    </row>
    <row r="7766" spans="1:6" x14ac:dyDescent="0.3">
      <c r="A7766" t="s">
        <v>22</v>
      </c>
      <c r="B7766" s="1">
        <v>45981</v>
      </c>
      <c r="C7766">
        <v>13</v>
      </c>
      <c r="D7766">
        <v>0</v>
      </c>
      <c r="E7766" t="s">
        <v>6</v>
      </c>
      <c r="F7766">
        <v>0.18192</v>
      </c>
    </row>
    <row r="7767" spans="1:6" x14ac:dyDescent="0.3">
      <c r="A7767" t="s">
        <v>22</v>
      </c>
      <c r="B7767" s="1">
        <v>45981</v>
      </c>
      <c r="C7767">
        <v>14</v>
      </c>
      <c r="D7767">
        <v>0</v>
      </c>
      <c r="E7767" t="s">
        <v>6</v>
      </c>
      <c r="F7767">
        <v>0.16932</v>
      </c>
    </row>
    <row r="7768" spans="1:6" x14ac:dyDescent="0.3">
      <c r="A7768" t="s">
        <v>22</v>
      </c>
      <c r="B7768" s="1">
        <v>45981</v>
      </c>
      <c r="C7768">
        <v>15</v>
      </c>
      <c r="D7768">
        <v>0</v>
      </c>
      <c r="E7768" t="s">
        <v>6</v>
      </c>
      <c r="F7768">
        <v>9.221E-2</v>
      </c>
    </row>
    <row r="7769" spans="1:6" x14ac:dyDescent="0.3">
      <c r="A7769" t="s">
        <v>22</v>
      </c>
      <c r="B7769" s="1">
        <v>45981</v>
      </c>
      <c r="C7769">
        <v>16</v>
      </c>
      <c r="D7769">
        <v>1.0169999999999999</v>
      </c>
      <c r="E7769" t="s">
        <v>6</v>
      </c>
      <c r="F7769">
        <v>0.10387</v>
      </c>
    </row>
    <row r="7770" spans="1:6" x14ac:dyDescent="0.3">
      <c r="A7770" t="s">
        <v>22</v>
      </c>
      <c r="B7770" s="1">
        <v>45981</v>
      </c>
      <c r="C7770">
        <v>17</v>
      </c>
      <c r="D7770">
        <v>3.0640000000000001</v>
      </c>
      <c r="E7770" t="s">
        <v>6</v>
      </c>
      <c r="F7770">
        <v>0.13772000000000001</v>
      </c>
    </row>
    <row r="7771" spans="1:6" x14ac:dyDescent="0.3">
      <c r="A7771" t="s">
        <v>22</v>
      </c>
      <c r="B7771" s="1">
        <v>45981</v>
      </c>
      <c r="C7771">
        <v>18</v>
      </c>
      <c r="D7771">
        <v>2.7309999999999999</v>
      </c>
      <c r="E7771" t="s">
        <v>6</v>
      </c>
      <c r="F7771">
        <v>0.16463</v>
      </c>
    </row>
    <row r="7772" spans="1:6" x14ac:dyDescent="0.3">
      <c r="A7772" t="s">
        <v>22</v>
      </c>
      <c r="B7772" s="1">
        <v>45981</v>
      </c>
      <c r="C7772">
        <v>19</v>
      </c>
      <c r="D7772">
        <v>3.452</v>
      </c>
      <c r="E7772" t="s">
        <v>6</v>
      </c>
      <c r="F7772">
        <v>0.24794999999999998</v>
      </c>
    </row>
    <row r="7773" spans="1:6" x14ac:dyDescent="0.3">
      <c r="A7773" t="s">
        <v>22</v>
      </c>
      <c r="B7773" s="1">
        <v>45981</v>
      </c>
      <c r="C7773">
        <v>20</v>
      </c>
      <c r="D7773">
        <v>2.762</v>
      </c>
      <c r="E7773" t="s">
        <v>6</v>
      </c>
      <c r="F7773">
        <v>0.25681999999999999</v>
      </c>
    </row>
    <row r="7774" spans="1:6" x14ac:dyDescent="0.3">
      <c r="A7774" t="s">
        <v>22</v>
      </c>
      <c r="B7774" s="1">
        <v>45981</v>
      </c>
      <c r="C7774">
        <v>21</v>
      </c>
      <c r="D7774">
        <v>3.254</v>
      </c>
      <c r="E7774" t="s">
        <v>6</v>
      </c>
      <c r="F7774">
        <v>0.25683</v>
      </c>
    </row>
    <row r="7775" spans="1:6" x14ac:dyDescent="0.3">
      <c r="A7775" t="s">
        <v>22</v>
      </c>
      <c r="B7775" s="1">
        <v>45981</v>
      </c>
      <c r="C7775">
        <v>22</v>
      </c>
      <c r="D7775">
        <v>3.43</v>
      </c>
      <c r="E7775" t="s">
        <v>6</v>
      </c>
      <c r="F7775">
        <v>0.23537</v>
      </c>
    </row>
    <row r="7776" spans="1:6" x14ac:dyDescent="0.3">
      <c r="A7776" t="s">
        <v>22</v>
      </c>
      <c r="B7776" s="1">
        <v>45981</v>
      </c>
      <c r="C7776">
        <v>23</v>
      </c>
      <c r="D7776">
        <v>3.2490000000000001</v>
      </c>
      <c r="E7776" t="s">
        <v>6</v>
      </c>
      <c r="F7776">
        <v>0.16669999999999999</v>
      </c>
    </row>
    <row r="7777" spans="1:6" x14ac:dyDescent="0.3">
      <c r="A7777" t="s">
        <v>22</v>
      </c>
      <c r="B7777" s="1">
        <v>45981</v>
      </c>
      <c r="C7777">
        <v>24</v>
      </c>
      <c r="D7777">
        <v>2.839</v>
      </c>
      <c r="E7777" t="s">
        <v>6</v>
      </c>
      <c r="F7777">
        <v>0.14978</v>
      </c>
    </row>
    <row r="7778" spans="1:6" x14ac:dyDescent="0.3">
      <c r="A7778" t="s">
        <v>22</v>
      </c>
      <c r="B7778" s="1">
        <v>45982</v>
      </c>
      <c r="C7778">
        <v>1</v>
      </c>
      <c r="D7778">
        <v>3.2269999999999999</v>
      </c>
      <c r="E7778" t="s">
        <v>6</v>
      </c>
      <c r="F7778">
        <v>0.1215</v>
      </c>
    </row>
    <row r="7779" spans="1:6" x14ac:dyDescent="0.3">
      <c r="A7779" t="s">
        <v>22</v>
      </c>
      <c r="B7779" s="1">
        <v>45982</v>
      </c>
      <c r="C7779">
        <v>2</v>
      </c>
      <c r="D7779">
        <v>2.3079999999999998</v>
      </c>
      <c r="E7779" t="s">
        <v>6</v>
      </c>
      <c r="F7779">
        <v>0.11327</v>
      </c>
    </row>
    <row r="7780" spans="1:6" x14ac:dyDescent="0.3">
      <c r="A7780" t="s">
        <v>22</v>
      </c>
      <c r="B7780" s="1">
        <v>45982</v>
      </c>
      <c r="C7780">
        <v>3</v>
      </c>
      <c r="D7780">
        <v>1.82</v>
      </c>
      <c r="E7780" t="s">
        <v>6</v>
      </c>
      <c r="F7780">
        <v>0.11237</v>
      </c>
    </row>
    <row r="7781" spans="1:6" x14ac:dyDescent="0.3">
      <c r="A7781" t="s">
        <v>22</v>
      </c>
      <c r="B7781" s="1">
        <v>45982</v>
      </c>
      <c r="C7781">
        <v>4</v>
      </c>
      <c r="D7781">
        <v>2.032</v>
      </c>
      <c r="E7781" t="s">
        <v>6</v>
      </c>
      <c r="F7781">
        <v>0.10582</v>
      </c>
    </row>
    <row r="7782" spans="1:6" x14ac:dyDescent="0.3">
      <c r="A7782" t="s">
        <v>22</v>
      </c>
      <c r="B7782" s="1">
        <v>45982</v>
      </c>
      <c r="C7782">
        <v>5</v>
      </c>
      <c r="D7782">
        <v>3.2250000000000001</v>
      </c>
      <c r="E7782" t="s">
        <v>6</v>
      </c>
      <c r="F7782">
        <v>0.10543000000000001</v>
      </c>
    </row>
    <row r="7783" spans="1:6" x14ac:dyDescent="0.3">
      <c r="A7783" t="s">
        <v>22</v>
      </c>
      <c r="B7783" s="1">
        <v>45982</v>
      </c>
      <c r="C7783">
        <v>6</v>
      </c>
      <c r="D7783">
        <v>3.6120000000000001</v>
      </c>
      <c r="E7783" t="s">
        <v>6</v>
      </c>
      <c r="F7783">
        <v>9.8849999999999993E-2</v>
      </c>
    </row>
    <row r="7784" spans="1:6" x14ac:dyDescent="0.3">
      <c r="A7784" t="s">
        <v>22</v>
      </c>
      <c r="B7784" s="1">
        <v>45982</v>
      </c>
      <c r="C7784">
        <v>7</v>
      </c>
      <c r="D7784">
        <v>4.165</v>
      </c>
      <c r="E7784" t="s">
        <v>6</v>
      </c>
      <c r="F7784">
        <v>0.10647</v>
      </c>
    </row>
    <row r="7785" spans="1:6" x14ac:dyDescent="0.3">
      <c r="A7785" t="s">
        <v>22</v>
      </c>
      <c r="B7785" s="1">
        <v>45982</v>
      </c>
      <c r="C7785">
        <v>8</v>
      </c>
      <c r="D7785">
        <v>4.5819999999999999</v>
      </c>
      <c r="E7785" t="s">
        <v>6</v>
      </c>
      <c r="F7785">
        <v>0.12490000000000001</v>
      </c>
    </row>
    <row r="7786" spans="1:6" x14ac:dyDescent="0.3">
      <c r="A7786" t="s">
        <v>22</v>
      </c>
      <c r="B7786" s="1">
        <v>45982</v>
      </c>
      <c r="C7786">
        <v>9</v>
      </c>
      <c r="D7786">
        <v>4.452</v>
      </c>
      <c r="E7786" t="s">
        <v>6</v>
      </c>
      <c r="F7786">
        <v>0.15287999999999999</v>
      </c>
    </row>
    <row r="7787" spans="1:6" x14ac:dyDescent="0.3">
      <c r="A7787" t="s">
        <v>22</v>
      </c>
      <c r="B7787" s="1">
        <v>45982</v>
      </c>
      <c r="C7787">
        <v>10</v>
      </c>
      <c r="D7787">
        <v>2.4159999999999999</v>
      </c>
      <c r="E7787" t="s">
        <v>6</v>
      </c>
      <c r="F7787">
        <v>9.5680000000000001E-2</v>
      </c>
    </row>
    <row r="7788" spans="1:6" x14ac:dyDescent="0.3">
      <c r="A7788" t="s">
        <v>22</v>
      </c>
      <c r="B7788" s="1">
        <v>45982</v>
      </c>
      <c r="C7788">
        <v>11</v>
      </c>
      <c r="D7788">
        <v>0</v>
      </c>
      <c r="E7788" t="s">
        <v>6</v>
      </c>
      <c r="F7788">
        <v>0.13381000000000001</v>
      </c>
    </row>
    <row r="7789" spans="1:6" x14ac:dyDescent="0.3">
      <c r="A7789" t="s">
        <v>22</v>
      </c>
      <c r="B7789" s="1">
        <v>45982</v>
      </c>
      <c r="C7789">
        <v>12</v>
      </c>
      <c r="D7789">
        <v>0</v>
      </c>
      <c r="E7789" t="s">
        <v>6</v>
      </c>
      <c r="F7789">
        <v>0.13419999999999999</v>
      </c>
    </row>
    <row r="7790" spans="1:6" x14ac:dyDescent="0.3">
      <c r="A7790" t="s">
        <v>22</v>
      </c>
      <c r="B7790" s="1">
        <v>45982</v>
      </c>
      <c r="C7790">
        <v>13</v>
      </c>
      <c r="D7790">
        <v>0</v>
      </c>
      <c r="E7790" t="s">
        <v>6</v>
      </c>
      <c r="F7790">
        <v>0.13406999999999999</v>
      </c>
    </row>
    <row r="7791" spans="1:6" x14ac:dyDescent="0.3">
      <c r="A7791" t="s">
        <v>22</v>
      </c>
      <c r="B7791" s="1">
        <v>45982</v>
      </c>
      <c r="C7791">
        <v>14</v>
      </c>
      <c r="D7791">
        <v>0</v>
      </c>
      <c r="E7791" t="s">
        <v>6</v>
      </c>
      <c r="F7791">
        <v>0.13202</v>
      </c>
    </row>
    <row r="7792" spans="1:6" x14ac:dyDescent="0.3">
      <c r="A7792" t="s">
        <v>22</v>
      </c>
      <c r="B7792" s="1">
        <v>45982</v>
      </c>
      <c r="C7792">
        <v>15</v>
      </c>
      <c r="D7792">
        <v>2.008</v>
      </c>
      <c r="E7792" t="s">
        <v>6</v>
      </c>
      <c r="F7792">
        <v>6.812E-2</v>
      </c>
    </row>
    <row r="7793" spans="1:6" x14ac:dyDescent="0.3">
      <c r="A7793" t="s">
        <v>22</v>
      </c>
      <c r="B7793" s="1">
        <v>45982</v>
      </c>
      <c r="C7793">
        <v>16</v>
      </c>
      <c r="D7793">
        <v>3.4089999999999998</v>
      </c>
      <c r="E7793" t="s">
        <v>6</v>
      </c>
      <c r="F7793">
        <v>8.0780000000000005E-2</v>
      </c>
    </row>
    <row r="7794" spans="1:6" x14ac:dyDescent="0.3">
      <c r="A7794" t="s">
        <v>22</v>
      </c>
      <c r="B7794" s="1">
        <v>45982</v>
      </c>
      <c r="C7794">
        <v>17</v>
      </c>
      <c r="D7794">
        <v>6.2930000000000001</v>
      </c>
      <c r="E7794" t="s">
        <v>6</v>
      </c>
      <c r="F7794">
        <v>0.10879999999999999</v>
      </c>
    </row>
    <row r="7795" spans="1:6" x14ac:dyDescent="0.3">
      <c r="A7795" t="s">
        <v>22</v>
      </c>
      <c r="B7795" s="1">
        <v>45982</v>
      </c>
      <c r="C7795">
        <v>18</v>
      </c>
      <c r="D7795">
        <v>2.61</v>
      </c>
      <c r="E7795" t="s">
        <v>6</v>
      </c>
      <c r="F7795">
        <v>0.16156000000000001</v>
      </c>
    </row>
    <row r="7796" spans="1:6" x14ac:dyDescent="0.3">
      <c r="A7796" t="s">
        <v>22</v>
      </c>
      <c r="B7796" s="1">
        <v>45982</v>
      </c>
      <c r="C7796">
        <v>19</v>
      </c>
      <c r="D7796">
        <v>3.7440000000000002</v>
      </c>
      <c r="E7796" t="s">
        <v>6</v>
      </c>
      <c r="F7796">
        <v>0.25914999999999999</v>
      </c>
    </row>
    <row r="7797" spans="1:6" x14ac:dyDescent="0.3">
      <c r="A7797" t="s">
        <v>22</v>
      </c>
      <c r="B7797" s="1">
        <v>45982</v>
      </c>
      <c r="C7797">
        <v>20</v>
      </c>
      <c r="D7797">
        <v>3.379</v>
      </c>
      <c r="E7797" t="s">
        <v>6</v>
      </c>
      <c r="F7797">
        <v>0.29463</v>
      </c>
    </row>
    <row r="7798" spans="1:6" x14ac:dyDescent="0.3">
      <c r="A7798" t="s">
        <v>22</v>
      </c>
      <c r="B7798" s="1">
        <v>45982</v>
      </c>
      <c r="C7798">
        <v>21</v>
      </c>
      <c r="D7798">
        <v>3.1179999999999999</v>
      </c>
      <c r="E7798" t="s">
        <v>6</v>
      </c>
      <c r="F7798">
        <v>0.28523999999999999</v>
      </c>
    </row>
    <row r="7799" spans="1:6" x14ac:dyDescent="0.3">
      <c r="A7799" t="s">
        <v>22</v>
      </c>
      <c r="B7799" s="1">
        <v>45982</v>
      </c>
      <c r="C7799">
        <v>22</v>
      </c>
      <c r="D7799">
        <v>4.51</v>
      </c>
      <c r="E7799" t="s">
        <v>6</v>
      </c>
      <c r="F7799">
        <v>0.2525</v>
      </c>
    </row>
    <row r="7800" spans="1:6" x14ac:dyDescent="0.3">
      <c r="A7800" t="s">
        <v>22</v>
      </c>
      <c r="B7800" s="1">
        <v>45982</v>
      </c>
      <c r="C7800">
        <v>23</v>
      </c>
      <c r="D7800">
        <v>3.673</v>
      </c>
      <c r="E7800" t="s">
        <v>6</v>
      </c>
      <c r="F7800">
        <v>0.17754</v>
      </c>
    </row>
    <row r="7801" spans="1:6" x14ac:dyDescent="0.3">
      <c r="A7801" t="s">
        <v>22</v>
      </c>
      <c r="B7801" s="1">
        <v>45982</v>
      </c>
      <c r="C7801">
        <v>24</v>
      </c>
      <c r="D7801">
        <v>3.0950000000000002</v>
      </c>
      <c r="E7801" t="s">
        <v>6</v>
      </c>
      <c r="F7801">
        <v>0.17224999999999999</v>
      </c>
    </row>
    <row r="7802" spans="1:6" x14ac:dyDescent="0.3">
      <c r="A7802" t="s">
        <v>22</v>
      </c>
      <c r="B7802" s="1">
        <v>45983</v>
      </c>
      <c r="C7802">
        <v>1</v>
      </c>
      <c r="D7802">
        <v>3.0510000000000002</v>
      </c>
      <c r="E7802" t="s">
        <v>6</v>
      </c>
      <c r="F7802">
        <v>0.14027999999999999</v>
      </c>
    </row>
    <row r="7803" spans="1:6" x14ac:dyDescent="0.3">
      <c r="A7803" t="s">
        <v>22</v>
      </c>
      <c r="B7803" s="1">
        <v>45983</v>
      </c>
      <c r="C7803">
        <v>2</v>
      </c>
      <c r="D7803">
        <v>2.9510000000000001</v>
      </c>
      <c r="E7803" t="s">
        <v>6</v>
      </c>
      <c r="F7803">
        <v>0.13113</v>
      </c>
    </row>
    <row r="7804" spans="1:6" x14ac:dyDescent="0.3">
      <c r="A7804" t="s">
        <v>22</v>
      </c>
      <c r="B7804" s="1">
        <v>45983</v>
      </c>
      <c r="C7804">
        <v>3</v>
      </c>
      <c r="D7804">
        <v>2.8650000000000002</v>
      </c>
      <c r="E7804" t="s">
        <v>6</v>
      </c>
      <c r="F7804">
        <v>0.12834000000000001</v>
      </c>
    </row>
    <row r="7805" spans="1:6" x14ac:dyDescent="0.3">
      <c r="A7805" t="s">
        <v>22</v>
      </c>
      <c r="B7805" s="1">
        <v>45983</v>
      </c>
      <c r="C7805">
        <v>4</v>
      </c>
      <c r="D7805">
        <v>2.59</v>
      </c>
      <c r="E7805" t="s">
        <v>6</v>
      </c>
      <c r="F7805">
        <v>0.12007999999999999</v>
      </c>
    </row>
    <row r="7806" spans="1:6" x14ac:dyDescent="0.3">
      <c r="A7806" t="s">
        <v>22</v>
      </c>
      <c r="B7806" s="1">
        <v>45983</v>
      </c>
      <c r="C7806">
        <v>5</v>
      </c>
      <c r="D7806">
        <v>2.8370000000000002</v>
      </c>
      <c r="E7806" t="s">
        <v>6</v>
      </c>
      <c r="F7806">
        <v>0.11706999999999999</v>
      </c>
    </row>
    <row r="7807" spans="1:6" x14ac:dyDescent="0.3">
      <c r="A7807" t="s">
        <v>22</v>
      </c>
      <c r="B7807" s="1">
        <v>45983</v>
      </c>
      <c r="C7807">
        <v>6</v>
      </c>
      <c r="D7807">
        <v>2.8090000000000002</v>
      </c>
      <c r="E7807" t="s">
        <v>6</v>
      </c>
      <c r="F7807">
        <v>0.11713999999999999</v>
      </c>
    </row>
    <row r="7808" spans="1:6" x14ac:dyDescent="0.3">
      <c r="A7808" t="s">
        <v>22</v>
      </c>
      <c r="B7808" s="1">
        <v>45983</v>
      </c>
      <c r="C7808">
        <v>7</v>
      </c>
      <c r="D7808">
        <v>2.5739999999999998</v>
      </c>
      <c r="E7808" t="s">
        <v>6</v>
      </c>
      <c r="F7808">
        <v>0.12309</v>
      </c>
    </row>
    <row r="7809" spans="1:6" x14ac:dyDescent="0.3">
      <c r="A7809" t="s">
        <v>22</v>
      </c>
      <c r="B7809" s="1">
        <v>45983</v>
      </c>
      <c r="C7809">
        <v>8</v>
      </c>
      <c r="D7809">
        <v>3.0510000000000002</v>
      </c>
      <c r="E7809" t="s">
        <v>6</v>
      </c>
      <c r="F7809">
        <v>0.13091999999999998</v>
      </c>
    </row>
    <row r="7810" spans="1:6" x14ac:dyDescent="0.3">
      <c r="A7810" t="s">
        <v>22</v>
      </c>
      <c r="B7810" s="1">
        <v>45983</v>
      </c>
      <c r="C7810">
        <v>9</v>
      </c>
      <c r="D7810">
        <v>1.6439999999999999</v>
      </c>
      <c r="E7810" t="s">
        <v>6</v>
      </c>
      <c r="F7810">
        <v>0.12798000000000001</v>
      </c>
    </row>
    <row r="7811" spans="1:6" x14ac:dyDescent="0.3">
      <c r="A7811" t="s">
        <v>22</v>
      </c>
      <c r="B7811" s="1">
        <v>45983</v>
      </c>
      <c r="C7811">
        <v>10</v>
      </c>
      <c r="D7811">
        <v>0</v>
      </c>
      <c r="E7811" t="s">
        <v>6</v>
      </c>
      <c r="F7811">
        <v>8.1769999999999995E-2</v>
      </c>
    </row>
    <row r="7812" spans="1:6" x14ac:dyDescent="0.3">
      <c r="A7812" t="s">
        <v>22</v>
      </c>
      <c r="B7812" s="1">
        <v>45983</v>
      </c>
      <c r="C7812">
        <v>11</v>
      </c>
      <c r="D7812">
        <v>3.2000000000000001E-2</v>
      </c>
      <c r="E7812" t="s">
        <v>6</v>
      </c>
      <c r="F7812">
        <v>4.6920000000000003E-2</v>
      </c>
    </row>
    <row r="7813" spans="1:6" x14ac:dyDescent="0.3">
      <c r="A7813" t="s">
        <v>22</v>
      </c>
      <c r="B7813" s="1">
        <v>45983</v>
      </c>
      <c r="C7813">
        <v>12</v>
      </c>
      <c r="D7813">
        <v>2.101</v>
      </c>
      <c r="E7813" t="s">
        <v>6</v>
      </c>
      <c r="F7813">
        <v>4.5929999999999999E-2</v>
      </c>
    </row>
    <row r="7814" spans="1:6" x14ac:dyDescent="0.3">
      <c r="A7814" t="s">
        <v>22</v>
      </c>
      <c r="B7814" s="1">
        <v>45983</v>
      </c>
      <c r="C7814">
        <v>13</v>
      </c>
      <c r="D7814">
        <v>0</v>
      </c>
      <c r="E7814" t="s">
        <v>6</v>
      </c>
      <c r="F7814">
        <v>4.6340000000000006E-2</v>
      </c>
    </row>
    <row r="7815" spans="1:6" x14ac:dyDescent="0.3">
      <c r="A7815" t="s">
        <v>22</v>
      </c>
      <c r="B7815" s="1">
        <v>45983</v>
      </c>
      <c r="C7815">
        <v>14</v>
      </c>
      <c r="D7815">
        <v>0</v>
      </c>
      <c r="E7815" t="s">
        <v>6</v>
      </c>
      <c r="F7815">
        <v>4.6789999999999998E-2</v>
      </c>
    </row>
    <row r="7816" spans="1:6" x14ac:dyDescent="0.3">
      <c r="A7816" t="s">
        <v>22</v>
      </c>
      <c r="B7816" s="1">
        <v>45983</v>
      </c>
      <c r="C7816">
        <v>15</v>
      </c>
      <c r="D7816">
        <v>0</v>
      </c>
      <c r="E7816" t="s">
        <v>6</v>
      </c>
      <c r="F7816">
        <v>4.5560000000000003E-2</v>
      </c>
    </row>
    <row r="7817" spans="1:6" x14ac:dyDescent="0.3">
      <c r="A7817" t="s">
        <v>22</v>
      </c>
      <c r="B7817" s="1">
        <v>45983</v>
      </c>
      <c r="C7817">
        <v>16</v>
      </c>
      <c r="D7817">
        <v>0</v>
      </c>
      <c r="E7817" t="s">
        <v>6</v>
      </c>
      <c r="F7817">
        <v>4.8809999999999999E-2</v>
      </c>
    </row>
    <row r="7818" spans="1:6" x14ac:dyDescent="0.3">
      <c r="A7818" t="s">
        <v>22</v>
      </c>
      <c r="B7818" s="1">
        <v>45983</v>
      </c>
      <c r="C7818">
        <v>17</v>
      </c>
      <c r="D7818">
        <v>2.5830000000000002</v>
      </c>
      <c r="E7818" t="s">
        <v>6</v>
      </c>
      <c r="F7818">
        <v>9.1329999999999995E-2</v>
      </c>
    </row>
    <row r="7819" spans="1:6" x14ac:dyDescent="0.3">
      <c r="A7819" t="s">
        <v>22</v>
      </c>
      <c r="B7819" s="1">
        <v>45983</v>
      </c>
      <c r="C7819">
        <v>18</v>
      </c>
      <c r="D7819">
        <v>1.8560000000000001</v>
      </c>
      <c r="E7819" t="s">
        <v>6</v>
      </c>
      <c r="F7819">
        <v>0.13982</v>
      </c>
    </row>
    <row r="7820" spans="1:6" x14ac:dyDescent="0.3">
      <c r="A7820" t="s">
        <v>22</v>
      </c>
      <c r="B7820" s="1">
        <v>45983</v>
      </c>
      <c r="C7820">
        <v>19</v>
      </c>
      <c r="D7820">
        <v>2.7610000000000001</v>
      </c>
      <c r="E7820" t="s">
        <v>6</v>
      </c>
      <c r="F7820">
        <v>0.15349000000000002</v>
      </c>
    </row>
    <row r="7821" spans="1:6" x14ac:dyDescent="0.3">
      <c r="A7821" t="s">
        <v>22</v>
      </c>
      <c r="B7821" s="1">
        <v>45983</v>
      </c>
      <c r="C7821">
        <v>20</v>
      </c>
      <c r="D7821">
        <v>2.234</v>
      </c>
      <c r="E7821" t="s">
        <v>6</v>
      </c>
      <c r="F7821">
        <v>0.15977000000000002</v>
      </c>
    </row>
    <row r="7822" spans="1:6" x14ac:dyDescent="0.3">
      <c r="A7822" t="s">
        <v>22</v>
      </c>
      <c r="B7822" s="1">
        <v>45983</v>
      </c>
      <c r="C7822">
        <v>21</v>
      </c>
      <c r="D7822">
        <v>1.923</v>
      </c>
      <c r="E7822" t="s">
        <v>6</v>
      </c>
      <c r="F7822">
        <v>0.14541999999999999</v>
      </c>
    </row>
    <row r="7823" spans="1:6" x14ac:dyDescent="0.3">
      <c r="A7823" t="s">
        <v>22</v>
      </c>
      <c r="B7823" s="1">
        <v>45983</v>
      </c>
      <c r="C7823">
        <v>22</v>
      </c>
      <c r="D7823">
        <v>2.137</v>
      </c>
      <c r="E7823" t="s">
        <v>6</v>
      </c>
      <c r="F7823">
        <v>0.14263000000000001</v>
      </c>
    </row>
    <row r="7824" spans="1:6" x14ac:dyDescent="0.3">
      <c r="A7824" t="s">
        <v>22</v>
      </c>
      <c r="B7824" s="1">
        <v>45983</v>
      </c>
      <c r="C7824">
        <v>23</v>
      </c>
      <c r="D7824">
        <v>2.0419999999999998</v>
      </c>
      <c r="E7824" t="s">
        <v>6</v>
      </c>
      <c r="F7824">
        <v>0.13833000000000001</v>
      </c>
    </row>
    <row r="7825" spans="1:6" x14ac:dyDescent="0.3">
      <c r="A7825" t="s">
        <v>22</v>
      </c>
      <c r="B7825" s="1">
        <v>45983</v>
      </c>
      <c r="C7825">
        <v>24</v>
      </c>
      <c r="D7825">
        <v>1.97</v>
      </c>
      <c r="E7825" t="s">
        <v>6</v>
      </c>
      <c r="F7825">
        <v>0.13138999999999998</v>
      </c>
    </row>
    <row r="7826" spans="1:6" x14ac:dyDescent="0.3">
      <c r="A7826" t="s">
        <v>22</v>
      </c>
      <c r="B7826" s="1">
        <v>45984</v>
      </c>
      <c r="C7826">
        <v>1</v>
      </c>
      <c r="D7826">
        <v>2.0489999999999999</v>
      </c>
      <c r="E7826" t="s">
        <v>6</v>
      </c>
      <c r="F7826">
        <v>0.13052</v>
      </c>
    </row>
    <row r="7827" spans="1:6" x14ac:dyDescent="0.3">
      <c r="A7827" t="s">
        <v>22</v>
      </c>
      <c r="B7827" s="1">
        <v>45984</v>
      </c>
      <c r="C7827">
        <v>2</v>
      </c>
      <c r="D7827">
        <v>1.843</v>
      </c>
      <c r="E7827" t="s">
        <v>6</v>
      </c>
      <c r="F7827">
        <v>0.11946999999999999</v>
      </c>
    </row>
    <row r="7828" spans="1:6" x14ac:dyDescent="0.3">
      <c r="A7828" t="s">
        <v>22</v>
      </c>
      <c r="B7828" s="1">
        <v>45984</v>
      </c>
      <c r="C7828">
        <v>3</v>
      </c>
      <c r="D7828">
        <v>1.992</v>
      </c>
      <c r="E7828" t="s">
        <v>6</v>
      </c>
      <c r="F7828">
        <v>9.98E-2</v>
      </c>
    </row>
    <row r="7829" spans="1:6" x14ac:dyDescent="0.3">
      <c r="A7829" t="s">
        <v>22</v>
      </c>
      <c r="B7829" s="1">
        <v>45984</v>
      </c>
      <c r="C7829">
        <v>4</v>
      </c>
      <c r="D7829">
        <v>1.9870000000000001</v>
      </c>
      <c r="E7829" t="s">
        <v>6</v>
      </c>
      <c r="F7829">
        <v>9.8060000000000008E-2</v>
      </c>
    </row>
    <row r="7830" spans="1:6" x14ac:dyDescent="0.3">
      <c r="A7830" t="s">
        <v>22</v>
      </c>
      <c r="B7830" s="1">
        <v>45984</v>
      </c>
      <c r="C7830">
        <v>5</v>
      </c>
      <c r="D7830">
        <v>2.11</v>
      </c>
      <c r="E7830" t="s">
        <v>6</v>
      </c>
      <c r="F7830">
        <v>9.2959999999999987E-2</v>
      </c>
    </row>
    <row r="7831" spans="1:6" x14ac:dyDescent="0.3">
      <c r="A7831" t="s">
        <v>22</v>
      </c>
      <c r="B7831" s="1">
        <v>45984</v>
      </c>
      <c r="C7831">
        <v>6</v>
      </c>
      <c r="D7831">
        <v>4.633</v>
      </c>
      <c r="E7831" t="s">
        <v>6</v>
      </c>
      <c r="F7831">
        <v>0.10074</v>
      </c>
    </row>
    <row r="7832" spans="1:6" x14ac:dyDescent="0.3">
      <c r="A7832" t="s">
        <v>22</v>
      </c>
      <c r="B7832" s="1">
        <v>45984</v>
      </c>
      <c r="C7832">
        <v>7</v>
      </c>
      <c r="D7832">
        <v>3.8849999999999998</v>
      </c>
      <c r="E7832" t="s">
        <v>6</v>
      </c>
      <c r="F7832">
        <v>0.10496999999999999</v>
      </c>
    </row>
    <row r="7833" spans="1:6" x14ac:dyDescent="0.3">
      <c r="A7833" t="s">
        <v>22</v>
      </c>
      <c r="B7833" s="1">
        <v>45984</v>
      </c>
      <c r="C7833">
        <v>8</v>
      </c>
      <c r="D7833">
        <v>4.069</v>
      </c>
      <c r="E7833" t="s">
        <v>6</v>
      </c>
      <c r="F7833">
        <v>0.12162000000000001</v>
      </c>
    </row>
    <row r="7834" spans="1:6" x14ac:dyDescent="0.3">
      <c r="A7834" t="s">
        <v>22</v>
      </c>
      <c r="B7834" s="1">
        <v>45984</v>
      </c>
      <c r="C7834">
        <v>9</v>
      </c>
      <c r="D7834">
        <v>2.91</v>
      </c>
      <c r="E7834" t="s">
        <v>6</v>
      </c>
      <c r="F7834">
        <v>0.1182</v>
      </c>
    </row>
    <row r="7835" spans="1:6" x14ac:dyDescent="0.3">
      <c r="A7835" t="s">
        <v>22</v>
      </c>
      <c r="B7835" s="1">
        <v>45984</v>
      </c>
      <c r="C7835">
        <v>10</v>
      </c>
      <c r="D7835">
        <v>1.1950000000000001</v>
      </c>
      <c r="E7835" t="s">
        <v>6</v>
      </c>
      <c r="F7835">
        <v>7.3790000000000008E-2</v>
      </c>
    </row>
    <row r="7836" spans="1:6" x14ac:dyDescent="0.3">
      <c r="A7836" t="s">
        <v>22</v>
      </c>
      <c r="B7836" s="1">
        <v>45984</v>
      </c>
      <c r="C7836">
        <v>11</v>
      </c>
      <c r="D7836">
        <v>0</v>
      </c>
      <c r="E7836" t="s">
        <v>6</v>
      </c>
      <c r="F7836">
        <v>6.1130000000000004E-2</v>
      </c>
    </row>
    <row r="7837" spans="1:6" x14ac:dyDescent="0.3">
      <c r="A7837" t="s">
        <v>22</v>
      </c>
      <c r="B7837" s="1">
        <v>45984</v>
      </c>
      <c r="C7837">
        <v>12</v>
      </c>
      <c r="D7837">
        <v>0</v>
      </c>
      <c r="E7837" t="s">
        <v>6</v>
      </c>
      <c r="F7837">
        <v>5.9179999999999996E-2</v>
      </c>
    </row>
    <row r="7838" spans="1:6" x14ac:dyDescent="0.3">
      <c r="A7838" t="s">
        <v>22</v>
      </c>
      <c r="B7838" s="1">
        <v>45984</v>
      </c>
      <c r="C7838">
        <v>13</v>
      </c>
      <c r="D7838">
        <v>0</v>
      </c>
      <c r="E7838" t="s">
        <v>6</v>
      </c>
      <c r="F7838">
        <v>5.9290000000000002E-2</v>
      </c>
    </row>
    <row r="7839" spans="1:6" x14ac:dyDescent="0.3">
      <c r="A7839" t="s">
        <v>22</v>
      </c>
      <c r="B7839" s="1">
        <v>45984</v>
      </c>
      <c r="C7839">
        <v>14</v>
      </c>
      <c r="D7839">
        <v>0</v>
      </c>
      <c r="E7839" t="s">
        <v>6</v>
      </c>
      <c r="F7839">
        <v>5.8439999999999999E-2</v>
      </c>
    </row>
    <row r="7840" spans="1:6" x14ac:dyDescent="0.3">
      <c r="A7840" t="s">
        <v>22</v>
      </c>
      <c r="B7840" s="1">
        <v>45984</v>
      </c>
      <c r="C7840">
        <v>15</v>
      </c>
      <c r="D7840">
        <v>0</v>
      </c>
      <c r="E7840" t="s">
        <v>6</v>
      </c>
      <c r="F7840">
        <v>5.8029999999999998E-2</v>
      </c>
    </row>
    <row r="7841" spans="1:6" x14ac:dyDescent="0.3">
      <c r="A7841" t="s">
        <v>22</v>
      </c>
      <c r="B7841" s="1">
        <v>45984</v>
      </c>
      <c r="C7841">
        <v>16</v>
      </c>
      <c r="D7841">
        <v>0.23799999999999999</v>
      </c>
      <c r="E7841" t="s">
        <v>6</v>
      </c>
      <c r="F7841">
        <v>5.953E-2</v>
      </c>
    </row>
    <row r="7842" spans="1:6" x14ac:dyDescent="0.3">
      <c r="A7842" t="s">
        <v>22</v>
      </c>
      <c r="B7842" s="1">
        <v>45984</v>
      </c>
      <c r="C7842">
        <v>17</v>
      </c>
      <c r="D7842">
        <v>1.625</v>
      </c>
      <c r="E7842" t="s">
        <v>6</v>
      </c>
      <c r="F7842">
        <v>7.4079999999999993E-2</v>
      </c>
    </row>
    <row r="7843" spans="1:6" x14ac:dyDescent="0.3">
      <c r="A7843" t="s">
        <v>22</v>
      </c>
      <c r="B7843" s="1">
        <v>45984</v>
      </c>
      <c r="C7843">
        <v>18</v>
      </c>
      <c r="D7843">
        <v>1.4319999999999999</v>
      </c>
      <c r="E7843" t="s">
        <v>6</v>
      </c>
      <c r="F7843">
        <v>0.1166</v>
      </c>
    </row>
    <row r="7844" spans="1:6" x14ac:dyDescent="0.3">
      <c r="A7844" t="s">
        <v>22</v>
      </c>
      <c r="B7844" s="1">
        <v>45984</v>
      </c>
      <c r="C7844">
        <v>19</v>
      </c>
      <c r="D7844">
        <v>1.823</v>
      </c>
      <c r="E7844" t="s">
        <v>6</v>
      </c>
      <c r="F7844">
        <v>0.12387000000000001</v>
      </c>
    </row>
    <row r="7845" spans="1:6" x14ac:dyDescent="0.3">
      <c r="A7845" t="s">
        <v>22</v>
      </c>
      <c r="B7845" s="1">
        <v>45984</v>
      </c>
      <c r="C7845">
        <v>20</v>
      </c>
      <c r="D7845">
        <v>1.673</v>
      </c>
      <c r="E7845" t="s">
        <v>6</v>
      </c>
      <c r="F7845">
        <v>0.13097</v>
      </c>
    </row>
    <row r="7846" spans="1:6" x14ac:dyDescent="0.3">
      <c r="A7846" t="s">
        <v>22</v>
      </c>
      <c r="B7846" s="1">
        <v>45984</v>
      </c>
      <c r="C7846">
        <v>21</v>
      </c>
      <c r="D7846">
        <v>2.74</v>
      </c>
      <c r="E7846" t="s">
        <v>6</v>
      </c>
      <c r="F7846">
        <v>0.13634000000000002</v>
      </c>
    </row>
    <row r="7847" spans="1:6" x14ac:dyDescent="0.3">
      <c r="A7847" t="s">
        <v>22</v>
      </c>
      <c r="B7847" s="1">
        <v>45984</v>
      </c>
      <c r="C7847">
        <v>22</v>
      </c>
      <c r="D7847">
        <v>1.865</v>
      </c>
      <c r="E7847" t="s">
        <v>6</v>
      </c>
      <c r="F7847">
        <v>0.12478</v>
      </c>
    </row>
    <row r="7848" spans="1:6" x14ac:dyDescent="0.3">
      <c r="A7848" t="s">
        <v>22</v>
      </c>
      <c r="B7848" s="1">
        <v>45984</v>
      </c>
      <c r="C7848">
        <v>23</v>
      </c>
      <c r="D7848">
        <v>1.37</v>
      </c>
      <c r="E7848" t="s">
        <v>6</v>
      </c>
      <c r="F7848">
        <v>0.11715</v>
      </c>
    </row>
    <row r="7849" spans="1:6" x14ac:dyDescent="0.3">
      <c r="A7849" t="s">
        <v>22</v>
      </c>
      <c r="B7849" s="1">
        <v>45984</v>
      </c>
      <c r="C7849">
        <v>24</v>
      </c>
      <c r="D7849">
        <v>1.615</v>
      </c>
      <c r="E7849" t="s">
        <v>6</v>
      </c>
      <c r="F7849">
        <v>9.3790000000000012E-2</v>
      </c>
    </row>
    <row r="7850" spans="1:6" x14ac:dyDescent="0.3">
      <c r="A7850" t="s">
        <v>22</v>
      </c>
      <c r="B7850" s="1">
        <v>45985</v>
      </c>
      <c r="C7850">
        <v>1</v>
      </c>
      <c r="D7850">
        <v>1.5529999999999999</v>
      </c>
      <c r="E7850" t="s">
        <v>6</v>
      </c>
      <c r="F7850">
        <v>8.4430000000000005E-2</v>
      </c>
    </row>
    <row r="7851" spans="1:6" x14ac:dyDescent="0.3">
      <c r="A7851" t="s">
        <v>22</v>
      </c>
      <c r="B7851" s="1">
        <v>45985</v>
      </c>
      <c r="C7851">
        <v>2</v>
      </c>
      <c r="D7851">
        <v>1.546</v>
      </c>
      <c r="E7851" t="s">
        <v>6</v>
      </c>
      <c r="F7851">
        <v>6.7790000000000003E-2</v>
      </c>
    </row>
    <row r="7852" spans="1:6" x14ac:dyDescent="0.3">
      <c r="A7852" t="s">
        <v>22</v>
      </c>
      <c r="B7852" s="1">
        <v>45985</v>
      </c>
      <c r="C7852">
        <v>3</v>
      </c>
      <c r="D7852">
        <v>1.2569999999999999</v>
      </c>
      <c r="E7852" t="s">
        <v>6</v>
      </c>
      <c r="F7852">
        <v>6.1259999999999995E-2</v>
      </c>
    </row>
    <row r="7853" spans="1:6" x14ac:dyDescent="0.3">
      <c r="A7853" t="s">
        <v>22</v>
      </c>
      <c r="B7853" s="1">
        <v>45985</v>
      </c>
      <c r="C7853">
        <v>4</v>
      </c>
      <c r="D7853">
        <v>2.4950000000000001</v>
      </c>
      <c r="E7853" t="s">
        <v>6</v>
      </c>
      <c r="F7853">
        <v>6.1249999999999999E-2</v>
      </c>
    </row>
    <row r="7854" spans="1:6" x14ac:dyDescent="0.3">
      <c r="A7854" t="s">
        <v>22</v>
      </c>
      <c r="B7854" s="1">
        <v>45985</v>
      </c>
      <c r="C7854">
        <v>5</v>
      </c>
      <c r="D7854">
        <v>2.669</v>
      </c>
      <c r="E7854" t="s">
        <v>6</v>
      </c>
      <c r="F7854">
        <v>6.0780000000000001E-2</v>
      </c>
    </row>
    <row r="7855" spans="1:6" x14ac:dyDescent="0.3">
      <c r="A7855" t="s">
        <v>22</v>
      </c>
      <c r="B7855" s="1">
        <v>45985</v>
      </c>
      <c r="C7855">
        <v>6</v>
      </c>
      <c r="D7855">
        <v>2.15</v>
      </c>
      <c r="E7855" t="s">
        <v>6</v>
      </c>
      <c r="F7855">
        <v>5.9279999999999999E-2</v>
      </c>
    </row>
    <row r="7856" spans="1:6" x14ac:dyDescent="0.3">
      <c r="A7856" t="s">
        <v>22</v>
      </c>
      <c r="B7856" s="1">
        <v>45985</v>
      </c>
      <c r="C7856">
        <v>7</v>
      </c>
      <c r="D7856">
        <v>2.4900000000000002</v>
      </c>
      <c r="E7856" t="s">
        <v>6</v>
      </c>
      <c r="F7856">
        <v>7.2430000000000008E-2</v>
      </c>
    </row>
    <row r="7857" spans="1:6" x14ac:dyDescent="0.3">
      <c r="A7857" t="s">
        <v>22</v>
      </c>
      <c r="B7857" s="1">
        <v>45985</v>
      </c>
      <c r="C7857">
        <v>8</v>
      </c>
      <c r="D7857">
        <v>2.7930000000000001</v>
      </c>
      <c r="E7857" t="s">
        <v>6</v>
      </c>
      <c r="F7857">
        <v>0.10023</v>
      </c>
    </row>
    <row r="7858" spans="1:6" x14ac:dyDescent="0.3">
      <c r="A7858" t="s">
        <v>22</v>
      </c>
      <c r="B7858" s="1">
        <v>45985</v>
      </c>
      <c r="C7858">
        <v>9</v>
      </c>
      <c r="D7858">
        <v>2.7480000000000002</v>
      </c>
      <c r="E7858" t="s">
        <v>6</v>
      </c>
      <c r="F7858">
        <v>0.14280000000000001</v>
      </c>
    </row>
    <row r="7859" spans="1:6" x14ac:dyDescent="0.3">
      <c r="A7859" t="s">
        <v>22</v>
      </c>
      <c r="B7859" s="1">
        <v>45985</v>
      </c>
      <c r="C7859">
        <v>10</v>
      </c>
      <c r="D7859">
        <v>0</v>
      </c>
      <c r="E7859" t="s">
        <v>6</v>
      </c>
      <c r="F7859">
        <v>0.12944999999999998</v>
      </c>
    </row>
    <row r="7860" spans="1:6" x14ac:dyDescent="0.3">
      <c r="A7860" t="s">
        <v>22</v>
      </c>
      <c r="B7860" s="1">
        <v>45985</v>
      </c>
      <c r="C7860">
        <v>11</v>
      </c>
      <c r="D7860">
        <v>0</v>
      </c>
      <c r="E7860" t="s">
        <v>6</v>
      </c>
      <c r="F7860">
        <v>0.18453</v>
      </c>
    </row>
    <row r="7861" spans="1:6" x14ac:dyDescent="0.3">
      <c r="A7861" t="s">
        <v>22</v>
      </c>
      <c r="B7861" s="1">
        <v>45985</v>
      </c>
      <c r="C7861">
        <v>12</v>
      </c>
      <c r="D7861">
        <v>0</v>
      </c>
      <c r="E7861" t="s">
        <v>6</v>
      </c>
      <c r="F7861">
        <v>0.17699999999999999</v>
      </c>
    </row>
    <row r="7862" spans="1:6" x14ac:dyDescent="0.3">
      <c r="A7862" t="s">
        <v>22</v>
      </c>
      <c r="B7862" s="1">
        <v>45985</v>
      </c>
      <c r="C7862">
        <v>13</v>
      </c>
      <c r="D7862">
        <v>0</v>
      </c>
      <c r="E7862" t="s">
        <v>6</v>
      </c>
      <c r="F7862">
        <v>0.17324000000000001</v>
      </c>
    </row>
    <row r="7863" spans="1:6" x14ac:dyDescent="0.3">
      <c r="A7863" t="s">
        <v>22</v>
      </c>
      <c r="B7863" s="1">
        <v>45985</v>
      </c>
      <c r="C7863">
        <v>14</v>
      </c>
      <c r="D7863">
        <v>0</v>
      </c>
      <c r="E7863" t="s">
        <v>6</v>
      </c>
      <c r="F7863">
        <v>0.17682</v>
      </c>
    </row>
    <row r="7864" spans="1:6" x14ac:dyDescent="0.3">
      <c r="A7864" t="s">
        <v>22</v>
      </c>
      <c r="B7864" s="1">
        <v>45985</v>
      </c>
      <c r="C7864">
        <v>15</v>
      </c>
      <c r="D7864">
        <v>0</v>
      </c>
      <c r="E7864" t="s">
        <v>6</v>
      </c>
      <c r="F7864">
        <v>0.11631999999999999</v>
      </c>
    </row>
    <row r="7865" spans="1:6" x14ac:dyDescent="0.3">
      <c r="A7865" t="s">
        <v>22</v>
      </c>
      <c r="B7865" s="1">
        <v>45985</v>
      </c>
      <c r="C7865">
        <v>16</v>
      </c>
      <c r="D7865">
        <v>0</v>
      </c>
      <c r="E7865" t="s">
        <v>6</v>
      </c>
      <c r="F7865">
        <v>0.12481999999999999</v>
      </c>
    </row>
    <row r="7866" spans="1:6" x14ac:dyDescent="0.3">
      <c r="A7866" t="s">
        <v>22</v>
      </c>
      <c r="B7866" s="1">
        <v>45985</v>
      </c>
      <c r="C7866">
        <v>17</v>
      </c>
      <c r="D7866">
        <v>2.036</v>
      </c>
      <c r="E7866" t="s">
        <v>6</v>
      </c>
      <c r="F7866">
        <v>0.13599</v>
      </c>
    </row>
    <row r="7867" spans="1:6" x14ac:dyDescent="0.3">
      <c r="A7867" t="s">
        <v>22</v>
      </c>
      <c r="B7867" s="1">
        <v>45985</v>
      </c>
      <c r="C7867">
        <v>18</v>
      </c>
      <c r="D7867">
        <v>1.395</v>
      </c>
      <c r="E7867" t="s">
        <v>6</v>
      </c>
      <c r="F7867">
        <v>0.14124999999999999</v>
      </c>
    </row>
    <row r="7868" spans="1:6" x14ac:dyDescent="0.3">
      <c r="A7868" t="s">
        <v>22</v>
      </c>
      <c r="B7868" s="1">
        <v>45985</v>
      </c>
      <c r="C7868">
        <v>19</v>
      </c>
      <c r="D7868">
        <v>2.1320000000000001</v>
      </c>
      <c r="E7868" t="s">
        <v>6</v>
      </c>
      <c r="F7868">
        <v>0.21859000000000001</v>
      </c>
    </row>
    <row r="7869" spans="1:6" x14ac:dyDescent="0.3">
      <c r="A7869" t="s">
        <v>22</v>
      </c>
      <c r="B7869" s="1">
        <v>45985</v>
      </c>
      <c r="C7869">
        <v>20</v>
      </c>
      <c r="D7869">
        <v>1.9</v>
      </c>
      <c r="E7869" t="s">
        <v>6</v>
      </c>
      <c r="F7869">
        <v>0.22196000000000002</v>
      </c>
    </row>
    <row r="7870" spans="1:6" x14ac:dyDescent="0.3">
      <c r="A7870" t="s">
        <v>22</v>
      </c>
      <c r="B7870" s="1">
        <v>45985</v>
      </c>
      <c r="C7870">
        <v>21</v>
      </c>
      <c r="D7870">
        <v>2.931</v>
      </c>
      <c r="E7870" t="s">
        <v>6</v>
      </c>
      <c r="F7870">
        <v>0.22997999999999999</v>
      </c>
    </row>
    <row r="7871" spans="1:6" x14ac:dyDescent="0.3">
      <c r="A7871" t="s">
        <v>22</v>
      </c>
      <c r="B7871" s="1">
        <v>45985</v>
      </c>
      <c r="C7871">
        <v>22</v>
      </c>
      <c r="D7871">
        <v>2.2639999999999998</v>
      </c>
      <c r="E7871" t="s">
        <v>6</v>
      </c>
      <c r="F7871">
        <v>0.22191999999999998</v>
      </c>
    </row>
    <row r="7872" spans="1:6" x14ac:dyDescent="0.3">
      <c r="A7872" t="s">
        <v>22</v>
      </c>
      <c r="B7872" s="1">
        <v>45985</v>
      </c>
      <c r="C7872">
        <v>23</v>
      </c>
      <c r="D7872">
        <v>2.2029999999999998</v>
      </c>
      <c r="E7872" t="s">
        <v>6</v>
      </c>
      <c r="F7872">
        <v>0.14951</v>
      </c>
    </row>
    <row r="7873" spans="1:6" x14ac:dyDescent="0.3">
      <c r="A7873" t="s">
        <v>22</v>
      </c>
      <c r="B7873" s="1">
        <v>45985</v>
      </c>
      <c r="C7873">
        <v>24</v>
      </c>
      <c r="D7873">
        <v>1.6819999999999999</v>
      </c>
      <c r="E7873" t="s">
        <v>6</v>
      </c>
      <c r="F7873">
        <v>0.14348</v>
      </c>
    </row>
    <row r="7874" spans="1:6" x14ac:dyDescent="0.3">
      <c r="A7874" t="s">
        <v>22</v>
      </c>
      <c r="B7874" s="1">
        <v>45986</v>
      </c>
      <c r="C7874">
        <v>1</v>
      </c>
      <c r="D7874">
        <v>1.631</v>
      </c>
      <c r="E7874" t="s">
        <v>6</v>
      </c>
      <c r="F7874">
        <v>9.7099999999999992E-2</v>
      </c>
    </row>
    <row r="7875" spans="1:6" x14ac:dyDescent="0.3">
      <c r="A7875" t="s">
        <v>22</v>
      </c>
      <c r="B7875" s="1">
        <v>45986</v>
      </c>
      <c r="C7875">
        <v>2</v>
      </c>
      <c r="D7875">
        <v>1.83</v>
      </c>
      <c r="E7875" t="s">
        <v>6</v>
      </c>
      <c r="F7875">
        <v>9.4909999999999994E-2</v>
      </c>
    </row>
    <row r="7876" spans="1:6" x14ac:dyDescent="0.3">
      <c r="A7876" t="s">
        <v>22</v>
      </c>
      <c r="B7876" s="1">
        <v>45986</v>
      </c>
      <c r="C7876">
        <v>3</v>
      </c>
      <c r="D7876">
        <v>2.0659999999999998</v>
      </c>
      <c r="E7876" t="s">
        <v>6</v>
      </c>
      <c r="F7876">
        <v>8.5550000000000001E-2</v>
      </c>
    </row>
    <row r="7877" spans="1:6" x14ac:dyDescent="0.3">
      <c r="A7877" t="s">
        <v>22</v>
      </c>
      <c r="B7877" s="1">
        <v>45986</v>
      </c>
      <c r="C7877">
        <v>4</v>
      </c>
      <c r="D7877">
        <v>1.758</v>
      </c>
      <c r="E7877" t="s">
        <v>6</v>
      </c>
      <c r="F7877">
        <v>7.3529999999999998E-2</v>
      </c>
    </row>
    <row r="7878" spans="1:6" x14ac:dyDescent="0.3">
      <c r="A7878" t="s">
        <v>22</v>
      </c>
      <c r="B7878" s="1">
        <v>45986</v>
      </c>
      <c r="C7878">
        <v>5</v>
      </c>
      <c r="D7878">
        <v>1.339</v>
      </c>
      <c r="E7878" t="s">
        <v>6</v>
      </c>
      <c r="F7878">
        <v>6.8170000000000008E-2</v>
      </c>
    </row>
    <row r="7879" spans="1:6" x14ac:dyDescent="0.3">
      <c r="A7879" t="s">
        <v>22</v>
      </c>
      <c r="B7879" s="1">
        <v>45986</v>
      </c>
      <c r="C7879">
        <v>6</v>
      </c>
      <c r="D7879">
        <v>1.6160000000000001</v>
      </c>
      <c r="E7879" t="s">
        <v>6</v>
      </c>
      <c r="F7879">
        <v>8.3599999999999994E-2</v>
      </c>
    </row>
    <row r="7880" spans="1:6" x14ac:dyDescent="0.3">
      <c r="A7880" t="s">
        <v>22</v>
      </c>
      <c r="B7880" s="1">
        <v>45986</v>
      </c>
      <c r="C7880">
        <v>7</v>
      </c>
      <c r="D7880">
        <v>1.69</v>
      </c>
      <c r="E7880" t="s">
        <v>6</v>
      </c>
      <c r="F7880">
        <v>0.11366</v>
      </c>
    </row>
    <row r="7881" spans="1:6" x14ac:dyDescent="0.3">
      <c r="A7881" t="s">
        <v>22</v>
      </c>
      <c r="B7881" s="1">
        <v>45986</v>
      </c>
      <c r="C7881">
        <v>8</v>
      </c>
      <c r="D7881">
        <v>1.718</v>
      </c>
      <c r="E7881" t="s">
        <v>6</v>
      </c>
      <c r="F7881">
        <v>0.12819999999999998</v>
      </c>
    </row>
    <row r="7882" spans="1:6" x14ac:dyDescent="0.3">
      <c r="A7882" t="s">
        <v>22</v>
      </c>
      <c r="B7882" s="1">
        <v>45986</v>
      </c>
      <c r="C7882">
        <v>9</v>
      </c>
      <c r="D7882">
        <v>1.627</v>
      </c>
      <c r="E7882" t="s">
        <v>6</v>
      </c>
      <c r="F7882">
        <v>0.15913999999999998</v>
      </c>
    </row>
    <row r="7883" spans="1:6" x14ac:dyDescent="0.3">
      <c r="A7883" t="s">
        <v>22</v>
      </c>
      <c r="B7883" s="1">
        <v>45986</v>
      </c>
      <c r="C7883">
        <v>10</v>
      </c>
      <c r="D7883">
        <v>0</v>
      </c>
      <c r="E7883" t="s">
        <v>6</v>
      </c>
      <c r="F7883">
        <v>0.13213</v>
      </c>
    </row>
    <row r="7884" spans="1:6" x14ac:dyDescent="0.3">
      <c r="A7884" t="s">
        <v>22</v>
      </c>
      <c r="B7884" s="1">
        <v>45986</v>
      </c>
      <c r="C7884">
        <v>11</v>
      </c>
      <c r="D7884">
        <v>0</v>
      </c>
      <c r="E7884" t="s">
        <v>6</v>
      </c>
      <c r="F7884">
        <v>0.15264</v>
      </c>
    </row>
    <row r="7885" spans="1:6" x14ac:dyDescent="0.3">
      <c r="A7885" t="s">
        <v>22</v>
      </c>
      <c r="B7885" s="1">
        <v>45986</v>
      </c>
      <c r="C7885">
        <v>12</v>
      </c>
      <c r="D7885">
        <v>0</v>
      </c>
      <c r="E7885" t="s">
        <v>6</v>
      </c>
      <c r="F7885">
        <v>0.14271</v>
      </c>
    </row>
    <row r="7886" spans="1:6" x14ac:dyDescent="0.3">
      <c r="A7886" t="s">
        <v>22</v>
      </c>
      <c r="B7886" s="1">
        <v>45986</v>
      </c>
      <c r="C7886">
        <v>13</v>
      </c>
      <c r="D7886">
        <v>0</v>
      </c>
      <c r="E7886" t="s">
        <v>6</v>
      </c>
      <c r="F7886">
        <v>0.14074</v>
      </c>
    </row>
    <row r="7887" spans="1:6" x14ac:dyDescent="0.3">
      <c r="A7887" t="s">
        <v>22</v>
      </c>
      <c r="B7887" s="1">
        <v>45986</v>
      </c>
      <c r="C7887">
        <v>14</v>
      </c>
      <c r="D7887">
        <v>0</v>
      </c>
      <c r="E7887" t="s">
        <v>6</v>
      </c>
      <c r="F7887">
        <v>0.13805000000000001</v>
      </c>
    </row>
    <row r="7888" spans="1:6" x14ac:dyDescent="0.3">
      <c r="A7888" t="s">
        <v>22</v>
      </c>
      <c r="B7888" s="1">
        <v>45986</v>
      </c>
      <c r="C7888">
        <v>15</v>
      </c>
      <c r="D7888">
        <v>0</v>
      </c>
      <c r="E7888" t="s">
        <v>6</v>
      </c>
      <c r="F7888">
        <v>7.281E-2</v>
      </c>
    </row>
    <row r="7889" spans="1:6" x14ac:dyDescent="0.3">
      <c r="A7889" t="s">
        <v>22</v>
      </c>
      <c r="B7889" s="1">
        <v>45986</v>
      </c>
      <c r="C7889">
        <v>16</v>
      </c>
      <c r="D7889">
        <v>0</v>
      </c>
      <c r="E7889" t="s">
        <v>6</v>
      </c>
      <c r="F7889">
        <v>7.5719999999999996E-2</v>
      </c>
    </row>
    <row r="7890" spans="1:6" x14ac:dyDescent="0.3">
      <c r="A7890" t="s">
        <v>22</v>
      </c>
      <c r="B7890" s="1">
        <v>45986</v>
      </c>
      <c r="C7890">
        <v>17</v>
      </c>
      <c r="D7890">
        <v>1.766</v>
      </c>
      <c r="E7890" t="s">
        <v>6</v>
      </c>
      <c r="F7890">
        <v>0.10013</v>
      </c>
    </row>
    <row r="7891" spans="1:6" x14ac:dyDescent="0.3">
      <c r="A7891" t="s">
        <v>22</v>
      </c>
      <c r="B7891" s="1">
        <v>45986</v>
      </c>
      <c r="C7891">
        <v>18</v>
      </c>
      <c r="D7891">
        <v>1.274</v>
      </c>
      <c r="E7891" t="s">
        <v>6</v>
      </c>
      <c r="F7891">
        <v>0.16405</v>
      </c>
    </row>
    <row r="7892" spans="1:6" x14ac:dyDescent="0.3">
      <c r="A7892" t="s">
        <v>22</v>
      </c>
      <c r="B7892" s="1">
        <v>45986</v>
      </c>
      <c r="C7892">
        <v>19</v>
      </c>
      <c r="D7892">
        <v>2.6030000000000002</v>
      </c>
      <c r="E7892" t="s">
        <v>6</v>
      </c>
      <c r="F7892">
        <v>0.24719999999999998</v>
      </c>
    </row>
    <row r="7893" spans="1:6" x14ac:dyDescent="0.3">
      <c r="A7893" t="s">
        <v>22</v>
      </c>
      <c r="B7893" s="1">
        <v>45986</v>
      </c>
      <c r="C7893">
        <v>20</v>
      </c>
      <c r="D7893">
        <v>2.8149999999999999</v>
      </c>
      <c r="E7893" t="s">
        <v>6</v>
      </c>
      <c r="F7893">
        <v>0.25028</v>
      </c>
    </row>
    <row r="7894" spans="1:6" x14ac:dyDescent="0.3">
      <c r="A7894" t="s">
        <v>22</v>
      </c>
      <c r="B7894" s="1">
        <v>45986</v>
      </c>
      <c r="C7894">
        <v>21</v>
      </c>
      <c r="D7894">
        <v>2.6509999999999998</v>
      </c>
      <c r="E7894" t="s">
        <v>6</v>
      </c>
      <c r="F7894">
        <v>0.24462999999999999</v>
      </c>
    </row>
    <row r="7895" spans="1:6" x14ac:dyDescent="0.3">
      <c r="A7895" t="s">
        <v>22</v>
      </c>
      <c r="B7895" s="1">
        <v>45986</v>
      </c>
      <c r="C7895">
        <v>22</v>
      </c>
      <c r="D7895">
        <v>2.5369999999999999</v>
      </c>
      <c r="E7895" t="s">
        <v>6</v>
      </c>
      <c r="F7895">
        <v>0.23324</v>
      </c>
    </row>
    <row r="7896" spans="1:6" x14ac:dyDescent="0.3">
      <c r="A7896" t="s">
        <v>22</v>
      </c>
      <c r="B7896" s="1">
        <v>45986</v>
      </c>
      <c r="C7896">
        <v>23</v>
      </c>
      <c r="D7896">
        <v>2.5129999999999999</v>
      </c>
      <c r="E7896" t="s">
        <v>6</v>
      </c>
      <c r="F7896">
        <v>0.16738999999999998</v>
      </c>
    </row>
    <row r="7897" spans="1:6" x14ac:dyDescent="0.3">
      <c r="A7897" t="s">
        <v>22</v>
      </c>
      <c r="B7897" s="1">
        <v>45986</v>
      </c>
      <c r="C7897">
        <v>24</v>
      </c>
      <c r="D7897">
        <v>3.0230000000000001</v>
      </c>
      <c r="E7897" t="s">
        <v>6</v>
      </c>
      <c r="F7897">
        <v>0.15684000000000001</v>
      </c>
    </row>
    <row r="7898" spans="1:6" x14ac:dyDescent="0.3">
      <c r="A7898" t="s">
        <v>22</v>
      </c>
      <c r="B7898" s="1">
        <v>45987</v>
      </c>
      <c r="C7898">
        <v>1</v>
      </c>
      <c r="D7898">
        <v>2.7320000000000002</v>
      </c>
      <c r="E7898" t="s">
        <v>6</v>
      </c>
      <c r="F7898">
        <v>0.12382</v>
      </c>
    </row>
    <row r="7899" spans="1:6" x14ac:dyDescent="0.3">
      <c r="A7899" t="s">
        <v>22</v>
      </c>
      <c r="B7899" s="1">
        <v>45987</v>
      </c>
      <c r="C7899">
        <v>2</v>
      </c>
      <c r="D7899">
        <v>2.2610000000000001</v>
      </c>
      <c r="E7899" t="s">
        <v>6</v>
      </c>
      <c r="F7899">
        <v>0.11575000000000001</v>
      </c>
    </row>
    <row r="7900" spans="1:6" x14ac:dyDescent="0.3">
      <c r="A7900" t="s">
        <v>22</v>
      </c>
      <c r="B7900" s="1">
        <v>45987</v>
      </c>
      <c r="C7900">
        <v>3</v>
      </c>
      <c r="D7900">
        <v>2.726</v>
      </c>
      <c r="E7900" t="s">
        <v>6</v>
      </c>
      <c r="F7900">
        <v>0.11037999999999999</v>
      </c>
    </row>
    <row r="7901" spans="1:6" x14ac:dyDescent="0.3">
      <c r="A7901" t="s">
        <v>22</v>
      </c>
      <c r="B7901" s="1">
        <v>45987</v>
      </c>
      <c r="C7901">
        <v>4</v>
      </c>
      <c r="D7901">
        <v>2.1850000000000001</v>
      </c>
      <c r="E7901" t="s">
        <v>6</v>
      </c>
      <c r="F7901">
        <v>0.10823999999999999</v>
      </c>
    </row>
    <row r="7902" spans="1:6" x14ac:dyDescent="0.3">
      <c r="A7902" t="s">
        <v>22</v>
      </c>
      <c r="B7902" s="1">
        <v>45987</v>
      </c>
      <c r="C7902">
        <v>5</v>
      </c>
      <c r="D7902">
        <v>2.0179999999999998</v>
      </c>
      <c r="E7902" t="s">
        <v>6</v>
      </c>
      <c r="F7902">
        <v>0.10754999999999999</v>
      </c>
    </row>
    <row r="7903" spans="1:6" x14ac:dyDescent="0.3">
      <c r="A7903" t="s">
        <v>22</v>
      </c>
      <c r="B7903" s="1">
        <v>45987</v>
      </c>
      <c r="C7903">
        <v>6</v>
      </c>
      <c r="D7903">
        <v>2.9209999999999998</v>
      </c>
      <c r="E7903" t="s">
        <v>6</v>
      </c>
      <c r="F7903">
        <v>0.11778</v>
      </c>
    </row>
    <row r="7904" spans="1:6" x14ac:dyDescent="0.3">
      <c r="A7904" t="s">
        <v>22</v>
      </c>
      <c r="B7904" s="1">
        <v>45987</v>
      </c>
      <c r="C7904">
        <v>7</v>
      </c>
      <c r="D7904">
        <v>2.4569999999999999</v>
      </c>
      <c r="E7904" t="s">
        <v>6</v>
      </c>
      <c r="F7904">
        <v>0.12484000000000001</v>
      </c>
    </row>
    <row r="7905" spans="1:6" x14ac:dyDescent="0.3">
      <c r="A7905" t="s">
        <v>22</v>
      </c>
      <c r="B7905" s="1">
        <v>45987</v>
      </c>
      <c r="C7905">
        <v>8</v>
      </c>
      <c r="D7905">
        <v>2.6</v>
      </c>
      <c r="E7905" t="s">
        <v>6</v>
      </c>
      <c r="F7905">
        <v>0.13946</v>
      </c>
    </row>
    <row r="7906" spans="1:6" x14ac:dyDescent="0.3">
      <c r="A7906" t="s">
        <v>22</v>
      </c>
      <c r="B7906" s="1">
        <v>45987</v>
      </c>
      <c r="C7906">
        <v>9</v>
      </c>
      <c r="D7906">
        <v>1.048</v>
      </c>
      <c r="E7906" t="s">
        <v>6</v>
      </c>
      <c r="F7906">
        <v>0.17449000000000001</v>
      </c>
    </row>
    <row r="7907" spans="1:6" x14ac:dyDescent="0.3">
      <c r="A7907" t="s">
        <v>22</v>
      </c>
      <c r="B7907" s="1">
        <v>45987</v>
      </c>
      <c r="C7907">
        <v>10</v>
      </c>
      <c r="D7907">
        <v>0</v>
      </c>
      <c r="E7907" t="s">
        <v>6</v>
      </c>
      <c r="F7907">
        <v>0.13441</v>
      </c>
    </row>
    <row r="7908" spans="1:6" x14ac:dyDescent="0.3">
      <c r="A7908" t="s">
        <v>22</v>
      </c>
      <c r="B7908" s="1">
        <v>45987</v>
      </c>
      <c r="C7908">
        <v>11</v>
      </c>
      <c r="D7908">
        <v>0</v>
      </c>
      <c r="E7908" t="s">
        <v>6</v>
      </c>
      <c r="F7908">
        <v>0.16377</v>
      </c>
    </row>
    <row r="7909" spans="1:6" x14ac:dyDescent="0.3">
      <c r="A7909" t="s">
        <v>22</v>
      </c>
      <c r="B7909" s="1">
        <v>45987</v>
      </c>
      <c r="C7909">
        <v>12</v>
      </c>
      <c r="D7909">
        <v>0</v>
      </c>
      <c r="E7909" t="s">
        <v>6</v>
      </c>
      <c r="F7909">
        <v>0.13383</v>
      </c>
    </row>
    <row r="7910" spans="1:6" x14ac:dyDescent="0.3">
      <c r="A7910" t="s">
        <v>22</v>
      </c>
      <c r="B7910" s="1">
        <v>45987</v>
      </c>
      <c r="C7910">
        <v>13</v>
      </c>
      <c r="D7910">
        <v>0</v>
      </c>
      <c r="E7910" t="s">
        <v>6</v>
      </c>
      <c r="F7910">
        <v>0.13228999999999999</v>
      </c>
    </row>
    <row r="7911" spans="1:6" x14ac:dyDescent="0.3">
      <c r="A7911" t="s">
        <v>22</v>
      </c>
      <c r="B7911" s="1">
        <v>45987</v>
      </c>
      <c r="C7911">
        <v>14</v>
      </c>
      <c r="D7911">
        <v>0</v>
      </c>
      <c r="E7911" t="s">
        <v>6</v>
      </c>
      <c r="F7911">
        <v>0.12968000000000002</v>
      </c>
    </row>
    <row r="7912" spans="1:6" x14ac:dyDescent="0.3">
      <c r="A7912" t="s">
        <v>22</v>
      </c>
      <c r="B7912" s="1">
        <v>45987</v>
      </c>
      <c r="C7912">
        <v>15</v>
      </c>
      <c r="D7912">
        <v>0</v>
      </c>
      <c r="E7912" t="s">
        <v>6</v>
      </c>
      <c r="F7912">
        <v>6.5019999999999994E-2</v>
      </c>
    </row>
    <row r="7913" spans="1:6" x14ac:dyDescent="0.3">
      <c r="A7913" t="s">
        <v>22</v>
      </c>
      <c r="B7913" s="1">
        <v>45987</v>
      </c>
      <c r="C7913">
        <v>16</v>
      </c>
      <c r="D7913">
        <v>0</v>
      </c>
      <c r="E7913" t="s">
        <v>6</v>
      </c>
      <c r="F7913">
        <v>7.9689999999999997E-2</v>
      </c>
    </row>
    <row r="7914" spans="1:6" x14ac:dyDescent="0.3">
      <c r="A7914" t="s">
        <v>22</v>
      </c>
      <c r="B7914" s="1">
        <v>45987</v>
      </c>
      <c r="C7914">
        <v>17</v>
      </c>
      <c r="D7914">
        <v>2.847</v>
      </c>
      <c r="E7914" t="s">
        <v>6</v>
      </c>
      <c r="F7914">
        <v>0.13377</v>
      </c>
    </row>
    <row r="7915" spans="1:6" x14ac:dyDescent="0.3">
      <c r="A7915" t="s">
        <v>22</v>
      </c>
      <c r="B7915" s="1">
        <v>45987</v>
      </c>
      <c r="C7915">
        <v>18</v>
      </c>
      <c r="D7915">
        <v>1.3640000000000001</v>
      </c>
      <c r="E7915" t="s">
        <v>6</v>
      </c>
      <c r="F7915">
        <v>0.16811000000000001</v>
      </c>
    </row>
    <row r="7916" spans="1:6" x14ac:dyDescent="0.3">
      <c r="A7916" t="s">
        <v>22</v>
      </c>
      <c r="B7916" s="1">
        <v>45987</v>
      </c>
      <c r="C7916">
        <v>19</v>
      </c>
      <c r="D7916">
        <v>2.214</v>
      </c>
      <c r="E7916" t="s">
        <v>6</v>
      </c>
      <c r="F7916">
        <v>0.26269999999999999</v>
      </c>
    </row>
    <row r="7917" spans="1:6" x14ac:dyDescent="0.3">
      <c r="A7917" t="s">
        <v>22</v>
      </c>
      <c r="B7917" s="1">
        <v>45987</v>
      </c>
      <c r="C7917">
        <v>20</v>
      </c>
      <c r="D7917">
        <v>2.7480000000000002</v>
      </c>
      <c r="E7917" t="s">
        <v>6</v>
      </c>
      <c r="F7917">
        <v>0.28619</v>
      </c>
    </row>
    <row r="7918" spans="1:6" x14ac:dyDescent="0.3">
      <c r="A7918" t="s">
        <v>22</v>
      </c>
      <c r="B7918" s="1">
        <v>45987</v>
      </c>
      <c r="C7918">
        <v>21</v>
      </c>
      <c r="D7918">
        <v>2.5259999999999998</v>
      </c>
      <c r="E7918" t="s">
        <v>6</v>
      </c>
      <c r="F7918">
        <v>0.26857999999999999</v>
      </c>
    </row>
    <row r="7919" spans="1:6" x14ac:dyDescent="0.3">
      <c r="A7919" t="s">
        <v>22</v>
      </c>
      <c r="B7919" s="1">
        <v>45987</v>
      </c>
      <c r="C7919">
        <v>22</v>
      </c>
      <c r="D7919">
        <v>2.972</v>
      </c>
      <c r="E7919" t="s">
        <v>6</v>
      </c>
      <c r="F7919">
        <v>0.24345</v>
      </c>
    </row>
    <row r="7920" spans="1:6" x14ac:dyDescent="0.3">
      <c r="A7920" t="s">
        <v>22</v>
      </c>
      <c r="B7920" s="1">
        <v>45987</v>
      </c>
      <c r="C7920">
        <v>23</v>
      </c>
      <c r="D7920">
        <v>2.262</v>
      </c>
      <c r="E7920" t="s">
        <v>6</v>
      </c>
      <c r="F7920">
        <v>0.16614999999999999</v>
      </c>
    </row>
    <row r="7921" spans="1:6" x14ac:dyDescent="0.3">
      <c r="A7921" t="s">
        <v>22</v>
      </c>
      <c r="B7921" s="1">
        <v>45987</v>
      </c>
      <c r="C7921">
        <v>24</v>
      </c>
      <c r="D7921">
        <v>1.8720000000000001</v>
      </c>
      <c r="E7921" t="s">
        <v>6</v>
      </c>
      <c r="F7921">
        <v>0.15775</v>
      </c>
    </row>
    <row r="7922" spans="1:6" x14ac:dyDescent="0.3">
      <c r="A7922" t="s">
        <v>22</v>
      </c>
      <c r="B7922" s="1">
        <v>45988</v>
      </c>
      <c r="C7922">
        <v>1</v>
      </c>
      <c r="D7922">
        <v>1.6559999999999999</v>
      </c>
      <c r="E7922" t="s">
        <v>6</v>
      </c>
      <c r="F7922">
        <v>0.12821000000000002</v>
      </c>
    </row>
    <row r="7923" spans="1:6" x14ac:dyDescent="0.3">
      <c r="A7923" t="s">
        <v>22</v>
      </c>
      <c r="B7923" s="1">
        <v>45988</v>
      </c>
      <c r="C7923">
        <v>2</v>
      </c>
      <c r="D7923">
        <v>2.89</v>
      </c>
      <c r="E7923" t="s">
        <v>6</v>
      </c>
      <c r="F7923">
        <v>0.12251999999999999</v>
      </c>
    </row>
    <row r="7924" spans="1:6" x14ac:dyDescent="0.3">
      <c r="A7924" t="s">
        <v>22</v>
      </c>
      <c r="B7924" s="1">
        <v>45988</v>
      </c>
      <c r="C7924">
        <v>3</v>
      </c>
      <c r="D7924">
        <v>3.6859999999999999</v>
      </c>
      <c r="E7924" t="s">
        <v>6</v>
      </c>
      <c r="F7924">
        <v>0.11544</v>
      </c>
    </row>
    <row r="7925" spans="1:6" x14ac:dyDescent="0.3">
      <c r="A7925" t="s">
        <v>22</v>
      </c>
      <c r="B7925" s="1">
        <v>45988</v>
      </c>
      <c r="C7925">
        <v>4</v>
      </c>
      <c r="D7925">
        <v>3.8809999999999998</v>
      </c>
      <c r="E7925" t="s">
        <v>6</v>
      </c>
      <c r="F7925">
        <v>0.10648000000000001</v>
      </c>
    </row>
    <row r="7926" spans="1:6" x14ac:dyDescent="0.3">
      <c r="A7926" t="s">
        <v>22</v>
      </c>
      <c r="B7926" s="1">
        <v>45988</v>
      </c>
      <c r="C7926">
        <v>5</v>
      </c>
      <c r="D7926">
        <v>3.25</v>
      </c>
      <c r="E7926" t="s">
        <v>6</v>
      </c>
      <c r="F7926">
        <v>0.10427</v>
      </c>
    </row>
    <row r="7927" spans="1:6" x14ac:dyDescent="0.3">
      <c r="A7927" t="s">
        <v>22</v>
      </c>
      <c r="B7927" s="1">
        <v>45988</v>
      </c>
      <c r="C7927">
        <v>6</v>
      </c>
      <c r="D7927">
        <v>4.3540000000000001</v>
      </c>
      <c r="E7927" t="s">
        <v>6</v>
      </c>
      <c r="F7927">
        <v>0.10571</v>
      </c>
    </row>
    <row r="7928" spans="1:6" x14ac:dyDescent="0.3">
      <c r="A7928" t="s">
        <v>22</v>
      </c>
      <c r="B7928" s="1">
        <v>45988</v>
      </c>
      <c r="C7928">
        <v>7</v>
      </c>
      <c r="D7928">
        <v>4.085</v>
      </c>
      <c r="E7928" t="s">
        <v>6</v>
      </c>
      <c r="F7928">
        <v>0.11481999999999999</v>
      </c>
    </row>
    <row r="7929" spans="1:6" x14ac:dyDescent="0.3">
      <c r="A7929" t="s">
        <v>22</v>
      </c>
      <c r="B7929" s="1">
        <v>45988</v>
      </c>
      <c r="C7929">
        <v>8</v>
      </c>
      <c r="D7929">
        <v>4.0620000000000003</v>
      </c>
      <c r="E7929" t="s">
        <v>6</v>
      </c>
      <c r="F7929">
        <v>0.13508000000000001</v>
      </c>
    </row>
    <row r="7930" spans="1:6" x14ac:dyDescent="0.3">
      <c r="A7930" t="s">
        <v>22</v>
      </c>
      <c r="B7930" s="1">
        <v>45988</v>
      </c>
      <c r="C7930">
        <v>9</v>
      </c>
      <c r="D7930">
        <v>3.306</v>
      </c>
      <c r="E7930" t="s">
        <v>6</v>
      </c>
      <c r="F7930">
        <v>0.16669</v>
      </c>
    </row>
    <row r="7931" spans="1:6" x14ac:dyDescent="0.3">
      <c r="A7931" t="s">
        <v>22</v>
      </c>
      <c r="B7931" s="1">
        <v>45988</v>
      </c>
      <c r="C7931">
        <v>10</v>
      </c>
      <c r="D7931">
        <v>0.26900000000000002</v>
      </c>
      <c r="E7931" t="s">
        <v>6</v>
      </c>
      <c r="F7931">
        <v>0.14124999999999999</v>
      </c>
    </row>
    <row r="7932" spans="1:6" x14ac:dyDescent="0.3">
      <c r="A7932" t="s">
        <v>22</v>
      </c>
      <c r="B7932" s="1">
        <v>45988</v>
      </c>
      <c r="C7932">
        <v>11</v>
      </c>
      <c r="D7932">
        <v>2.786</v>
      </c>
      <c r="E7932" t="s">
        <v>6</v>
      </c>
      <c r="F7932">
        <v>0.17768999999999999</v>
      </c>
    </row>
    <row r="7933" spans="1:6" x14ac:dyDescent="0.3">
      <c r="A7933" t="s">
        <v>22</v>
      </c>
      <c r="B7933" s="1">
        <v>45988</v>
      </c>
      <c r="C7933">
        <v>12</v>
      </c>
      <c r="D7933">
        <v>1.873</v>
      </c>
      <c r="E7933" t="s">
        <v>6</v>
      </c>
      <c r="F7933">
        <v>0.16961999999999999</v>
      </c>
    </row>
    <row r="7934" spans="1:6" x14ac:dyDescent="0.3">
      <c r="A7934" t="s">
        <v>22</v>
      </c>
      <c r="B7934" s="1">
        <v>45988</v>
      </c>
      <c r="C7934">
        <v>13</v>
      </c>
      <c r="D7934">
        <v>0</v>
      </c>
      <c r="E7934" t="s">
        <v>6</v>
      </c>
      <c r="F7934">
        <v>0.17036999999999999</v>
      </c>
    </row>
    <row r="7935" spans="1:6" x14ac:dyDescent="0.3">
      <c r="A7935" t="s">
        <v>22</v>
      </c>
      <c r="B7935" s="1">
        <v>45988</v>
      </c>
      <c r="C7935">
        <v>14</v>
      </c>
      <c r="D7935">
        <v>0</v>
      </c>
      <c r="E7935" t="s">
        <v>6</v>
      </c>
      <c r="F7935">
        <v>0.17366000000000001</v>
      </c>
    </row>
    <row r="7936" spans="1:6" x14ac:dyDescent="0.3">
      <c r="A7936" t="s">
        <v>22</v>
      </c>
      <c r="B7936" s="1">
        <v>45988</v>
      </c>
      <c r="C7936">
        <v>15</v>
      </c>
      <c r="D7936">
        <v>0</v>
      </c>
      <c r="E7936" t="s">
        <v>6</v>
      </c>
      <c r="F7936">
        <v>0.11258</v>
      </c>
    </row>
    <row r="7937" spans="1:6" x14ac:dyDescent="0.3">
      <c r="A7937" t="s">
        <v>22</v>
      </c>
      <c r="B7937" s="1">
        <v>45988</v>
      </c>
      <c r="C7937">
        <v>16</v>
      </c>
      <c r="D7937">
        <v>0</v>
      </c>
      <c r="E7937" t="s">
        <v>6</v>
      </c>
      <c r="F7937">
        <v>0.12173</v>
      </c>
    </row>
    <row r="7938" spans="1:6" x14ac:dyDescent="0.3">
      <c r="A7938" t="s">
        <v>22</v>
      </c>
      <c r="B7938" s="1">
        <v>45988</v>
      </c>
      <c r="C7938">
        <v>17</v>
      </c>
      <c r="D7938">
        <v>2.6629999999999998</v>
      </c>
      <c r="E7938" t="s">
        <v>6</v>
      </c>
      <c r="F7938">
        <v>0.14038</v>
      </c>
    </row>
    <row r="7939" spans="1:6" x14ac:dyDescent="0.3">
      <c r="A7939" t="s">
        <v>22</v>
      </c>
      <c r="B7939" s="1">
        <v>45988</v>
      </c>
      <c r="C7939">
        <v>18</v>
      </c>
      <c r="D7939">
        <v>2.423</v>
      </c>
      <c r="E7939" t="s">
        <v>6</v>
      </c>
      <c r="F7939">
        <v>0.16275999999999999</v>
      </c>
    </row>
    <row r="7940" spans="1:6" x14ac:dyDescent="0.3">
      <c r="A7940" t="s">
        <v>22</v>
      </c>
      <c r="B7940" s="1">
        <v>45988</v>
      </c>
      <c r="C7940">
        <v>19</v>
      </c>
      <c r="D7940">
        <v>2.306</v>
      </c>
      <c r="E7940" t="s">
        <v>6</v>
      </c>
      <c r="F7940">
        <v>0.25086999999999998</v>
      </c>
    </row>
    <row r="7941" spans="1:6" x14ac:dyDescent="0.3">
      <c r="A7941" t="s">
        <v>22</v>
      </c>
      <c r="B7941" s="1">
        <v>45988</v>
      </c>
      <c r="C7941">
        <v>20</v>
      </c>
      <c r="D7941">
        <v>1.74</v>
      </c>
      <c r="E7941" t="s">
        <v>6</v>
      </c>
      <c r="F7941">
        <v>0.25977999999999996</v>
      </c>
    </row>
    <row r="7942" spans="1:6" x14ac:dyDescent="0.3">
      <c r="A7942" t="s">
        <v>22</v>
      </c>
      <c r="B7942" s="1">
        <v>45988</v>
      </c>
      <c r="C7942">
        <v>21</v>
      </c>
      <c r="D7942">
        <v>2.23</v>
      </c>
      <c r="E7942" t="s">
        <v>6</v>
      </c>
      <c r="F7942">
        <v>0.29049000000000003</v>
      </c>
    </row>
    <row r="7943" spans="1:6" x14ac:dyDescent="0.3">
      <c r="A7943" t="s">
        <v>22</v>
      </c>
      <c r="B7943" s="1">
        <v>45988</v>
      </c>
      <c r="C7943">
        <v>22</v>
      </c>
      <c r="D7943">
        <v>2.923</v>
      </c>
      <c r="E7943" t="s">
        <v>6</v>
      </c>
      <c r="F7943">
        <v>0.29955999999999999</v>
      </c>
    </row>
    <row r="7944" spans="1:6" x14ac:dyDescent="0.3">
      <c r="A7944" t="s">
        <v>22</v>
      </c>
      <c r="B7944" s="1">
        <v>45988</v>
      </c>
      <c r="C7944">
        <v>23</v>
      </c>
      <c r="D7944">
        <v>2.2519999999999998</v>
      </c>
      <c r="E7944" t="s">
        <v>6</v>
      </c>
      <c r="F7944">
        <v>0.18663999999999997</v>
      </c>
    </row>
    <row r="7945" spans="1:6" x14ac:dyDescent="0.3">
      <c r="A7945" t="s">
        <v>22</v>
      </c>
      <c r="B7945" s="1">
        <v>45988</v>
      </c>
      <c r="C7945">
        <v>24</v>
      </c>
      <c r="D7945">
        <v>2.004</v>
      </c>
      <c r="E7945" t="s">
        <v>6</v>
      </c>
      <c r="F7945">
        <v>0.16533</v>
      </c>
    </row>
    <row r="7946" spans="1:6" x14ac:dyDescent="0.3">
      <c r="A7946" t="s">
        <v>22</v>
      </c>
      <c r="B7946" s="1">
        <v>45989</v>
      </c>
      <c r="C7946">
        <v>1</v>
      </c>
      <c r="D7946">
        <v>2.1120000000000001</v>
      </c>
      <c r="E7946" t="s">
        <v>6</v>
      </c>
      <c r="F7946">
        <v>0.12339</v>
      </c>
    </row>
    <row r="7947" spans="1:6" x14ac:dyDescent="0.3">
      <c r="A7947" t="s">
        <v>22</v>
      </c>
      <c r="B7947" s="1">
        <v>45989</v>
      </c>
      <c r="C7947">
        <v>2</v>
      </c>
      <c r="D7947">
        <v>2.1560000000000001</v>
      </c>
      <c r="E7947" t="s">
        <v>6</v>
      </c>
      <c r="F7947">
        <v>0.12041</v>
      </c>
    </row>
    <row r="7948" spans="1:6" x14ac:dyDescent="0.3">
      <c r="A7948" t="s">
        <v>22</v>
      </c>
      <c r="B7948" s="1">
        <v>45989</v>
      </c>
      <c r="C7948">
        <v>3</v>
      </c>
      <c r="D7948">
        <v>2.2799999999999998</v>
      </c>
      <c r="E7948" t="s">
        <v>6</v>
      </c>
      <c r="F7948">
        <v>0.12536</v>
      </c>
    </row>
    <row r="7949" spans="1:6" x14ac:dyDescent="0.3">
      <c r="A7949" t="s">
        <v>22</v>
      </c>
      <c r="B7949" s="1">
        <v>45989</v>
      </c>
      <c r="C7949">
        <v>4</v>
      </c>
      <c r="D7949">
        <v>4.9240000000000004</v>
      </c>
      <c r="E7949" t="s">
        <v>6</v>
      </c>
      <c r="F7949">
        <v>0.12067</v>
      </c>
    </row>
    <row r="7950" spans="1:6" x14ac:dyDescent="0.3">
      <c r="A7950" t="s">
        <v>22</v>
      </c>
      <c r="B7950" s="1">
        <v>45989</v>
      </c>
      <c r="C7950">
        <v>5</v>
      </c>
      <c r="D7950">
        <v>4.5590000000000002</v>
      </c>
      <c r="E7950" t="s">
        <v>6</v>
      </c>
      <c r="F7950">
        <v>0.12040000000000001</v>
      </c>
    </row>
    <row r="7951" spans="1:6" x14ac:dyDescent="0.3">
      <c r="A7951" t="s">
        <v>22</v>
      </c>
      <c r="B7951" s="1">
        <v>45989</v>
      </c>
      <c r="C7951">
        <v>6</v>
      </c>
      <c r="D7951">
        <v>4.18</v>
      </c>
      <c r="E7951" t="s">
        <v>6</v>
      </c>
      <c r="F7951">
        <v>0.12268000000000001</v>
      </c>
    </row>
    <row r="7952" spans="1:6" x14ac:dyDescent="0.3">
      <c r="A7952" t="s">
        <v>22</v>
      </c>
      <c r="B7952" s="1">
        <v>45989</v>
      </c>
      <c r="C7952">
        <v>7</v>
      </c>
      <c r="D7952">
        <v>3.9060000000000001</v>
      </c>
      <c r="E7952" t="s">
        <v>6</v>
      </c>
      <c r="F7952">
        <v>0.12770999999999999</v>
      </c>
    </row>
    <row r="7953" spans="1:6" x14ac:dyDescent="0.3">
      <c r="A7953" t="s">
        <v>22</v>
      </c>
      <c r="B7953" s="1">
        <v>45989</v>
      </c>
      <c r="C7953">
        <v>8</v>
      </c>
      <c r="D7953">
        <v>5.008</v>
      </c>
      <c r="E7953" t="s">
        <v>6</v>
      </c>
      <c r="F7953">
        <v>0.17488000000000001</v>
      </c>
    </row>
    <row r="7954" spans="1:6" x14ac:dyDescent="0.3">
      <c r="A7954" t="s">
        <v>22</v>
      </c>
      <c r="B7954" s="1">
        <v>45989</v>
      </c>
      <c r="C7954">
        <v>9</v>
      </c>
      <c r="D7954">
        <v>3.9950000000000001</v>
      </c>
      <c r="E7954" t="s">
        <v>6</v>
      </c>
      <c r="F7954">
        <v>0.20741999999999999</v>
      </c>
    </row>
    <row r="7955" spans="1:6" x14ac:dyDescent="0.3">
      <c r="A7955" t="s">
        <v>22</v>
      </c>
      <c r="B7955" s="1">
        <v>45989</v>
      </c>
      <c r="C7955">
        <v>10</v>
      </c>
      <c r="D7955">
        <v>2.0139999999999998</v>
      </c>
      <c r="E7955" t="s">
        <v>6</v>
      </c>
      <c r="F7955">
        <v>0.16384000000000001</v>
      </c>
    </row>
    <row r="7956" spans="1:6" x14ac:dyDescent="0.3">
      <c r="A7956" t="s">
        <v>22</v>
      </c>
      <c r="B7956" s="1">
        <v>45989</v>
      </c>
      <c r="C7956">
        <v>11</v>
      </c>
      <c r="D7956">
        <v>0.72799999999999998</v>
      </c>
      <c r="E7956" t="s">
        <v>6</v>
      </c>
      <c r="F7956">
        <v>0.20399999999999999</v>
      </c>
    </row>
    <row r="7957" spans="1:6" x14ac:dyDescent="0.3">
      <c r="A7957" t="s">
        <v>22</v>
      </c>
      <c r="B7957" s="1">
        <v>45989</v>
      </c>
      <c r="C7957">
        <v>12</v>
      </c>
      <c r="D7957">
        <v>0</v>
      </c>
      <c r="E7957" t="s">
        <v>6</v>
      </c>
      <c r="F7957">
        <v>0.19494999999999998</v>
      </c>
    </row>
    <row r="7958" spans="1:6" x14ac:dyDescent="0.3">
      <c r="A7958" t="s">
        <v>22</v>
      </c>
      <c r="B7958" s="1">
        <v>45989</v>
      </c>
      <c r="C7958">
        <v>13</v>
      </c>
      <c r="D7958">
        <v>0</v>
      </c>
      <c r="E7958" t="s">
        <v>6</v>
      </c>
      <c r="F7958">
        <v>0.19421000000000002</v>
      </c>
    </row>
    <row r="7959" spans="1:6" x14ac:dyDescent="0.3">
      <c r="A7959" t="s">
        <v>22</v>
      </c>
      <c r="B7959" s="1">
        <v>45989</v>
      </c>
      <c r="C7959">
        <v>14</v>
      </c>
      <c r="D7959">
        <v>0</v>
      </c>
      <c r="E7959" t="s">
        <v>6</v>
      </c>
      <c r="F7959">
        <v>0.18674000000000002</v>
      </c>
    </row>
    <row r="7960" spans="1:6" x14ac:dyDescent="0.3">
      <c r="A7960" t="s">
        <v>22</v>
      </c>
      <c r="B7960" s="1">
        <v>45989</v>
      </c>
      <c r="C7960">
        <v>15</v>
      </c>
      <c r="D7960">
        <v>0</v>
      </c>
      <c r="E7960" t="s">
        <v>6</v>
      </c>
      <c r="F7960">
        <v>0.11913</v>
      </c>
    </row>
    <row r="7961" spans="1:6" x14ac:dyDescent="0.3">
      <c r="A7961" t="s">
        <v>22</v>
      </c>
      <c r="B7961" s="1">
        <v>45989</v>
      </c>
      <c r="C7961">
        <v>16</v>
      </c>
      <c r="D7961">
        <v>3.2000000000000001E-2</v>
      </c>
      <c r="E7961" t="s">
        <v>6</v>
      </c>
      <c r="F7961">
        <v>0.12525</v>
      </c>
    </row>
    <row r="7962" spans="1:6" x14ac:dyDescent="0.3">
      <c r="A7962" t="s">
        <v>22</v>
      </c>
      <c r="B7962" s="1">
        <v>45989</v>
      </c>
      <c r="C7962">
        <v>17</v>
      </c>
      <c r="D7962">
        <v>2.9220000000000002</v>
      </c>
      <c r="E7962" t="s">
        <v>6</v>
      </c>
      <c r="F7962">
        <v>0.13816999999999999</v>
      </c>
    </row>
    <row r="7963" spans="1:6" x14ac:dyDescent="0.3">
      <c r="A7963" t="s">
        <v>22</v>
      </c>
      <c r="B7963" s="1">
        <v>45989</v>
      </c>
      <c r="C7963">
        <v>18</v>
      </c>
      <c r="D7963">
        <v>2.3690000000000002</v>
      </c>
      <c r="E7963" t="s">
        <v>6</v>
      </c>
      <c r="F7963">
        <v>0.16592999999999999</v>
      </c>
    </row>
    <row r="7964" spans="1:6" x14ac:dyDescent="0.3">
      <c r="A7964" t="s">
        <v>22</v>
      </c>
      <c r="B7964" s="1">
        <v>45989</v>
      </c>
      <c r="C7964">
        <v>19</v>
      </c>
      <c r="D7964">
        <v>1.998</v>
      </c>
      <c r="E7964" t="s">
        <v>6</v>
      </c>
      <c r="F7964">
        <v>0.25067</v>
      </c>
    </row>
    <row r="7965" spans="1:6" x14ac:dyDescent="0.3">
      <c r="A7965" t="s">
        <v>22</v>
      </c>
      <c r="B7965" s="1">
        <v>45989</v>
      </c>
      <c r="C7965">
        <v>20</v>
      </c>
      <c r="D7965">
        <v>3.04</v>
      </c>
      <c r="E7965" t="s">
        <v>6</v>
      </c>
      <c r="F7965">
        <v>0.26083000000000001</v>
      </c>
    </row>
    <row r="7966" spans="1:6" x14ac:dyDescent="0.3">
      <c r="A7966" t="s">
        <v>22</v>
      </c>
      <c r="B7966" s="1">
        <v>45989</v>
      </c>
      <c r="C7966">
        <v>21</v>
      </c>
      <c r="D7966">
        <v>3.0640000000000001</v>
      </c>
      <c r="E7966" t="s">
        <v>6</v>
      </c>
      <c r="F7966">
        <v>0.27629000000000004</v>
      </c>
    </row>
    <row r="7967" spans="1:6" x14ac:dyDescent="0.3">
      <c r="A7967" t="s">
        <v>22</v>
      </c>
      <c r="B7967" s="1">
        <v>45989</v>
      </c>
      <c r="C7967">
        <v>22</v>
      </c>
      <c r="D7967">
        <v>2.72</v>
      </c>
      <c r="E7967" t="s">
        <v>6</v>
      </c>
      <c r="F7967">
        <v>0.25330999999999998</v>
      </c>
    </row>
    <row r="7968" spans="1:6" x14ac:dyDescent="0.3">
      <c r="A7968" t="s">
        <v>22</v>
      </c>
      <c r="B7968" s="1">
        <v>45989</v>
      </c>
      <c r="C7968">
        <v>23</v>
      </c>
      <c r="D7968">
        <v>1.5760000000000001</v>
      </c>
      <c r="E7968" t="s">
        <v>6</v>
      </c>
      <c r="F7968">
        <v>0.16725000000000001</v>
      </c>
    </row>
    <row r="7969" spans="1:6" x14ac:dyDescent="0.3">
      <c r="A7969" t="s">
        <v>22</v>
      </c>
      <c r="B7969" s="1">
        <v>45989</v>
      </c>
      <c r="C7969">
        <v>24</v>
      </c>
      <c r="D7969">
        <v>2.105</v>
      </c>
      <c r="E7969" t="s">
        <v>6</v>
      </c>
      <c r="F7969">
        <v>0.15669</v>
      </c>
    </row>
    <row r="7970" spans="1:6" x14ac:dyDescent="0.3">
      <c r="A7970" t="s">
        <v>22</v>
      </c>
      <c r="B7970" s="1">
        <v>45990</v>
      </c>
      <c r="C7970">
        <v>1</v>
      </c>
      <c r="D7970">
        <v>1.2030000000000001</v>
      </c>
      <c r="E7970" t="s">
        <v>6</v>
      </c>
      <c r="F7970">
        <v>0.14357</v>
      </c>
    </row>
    <row r="7971" spans="1:6" x14ac:dyDescent="0.3">
      <c r="A7971" t="s">
        <v>22</v>
      </c>
      <c r="B7971" s="1">
        <v>45990</v>
      </c>
      <c r="C7971">
        <v>2</v>
      </c>
      <c r="D7971">
        <v>2.0289999999999999</v>
      </c>
      <c r="E7971" t="s">
        <v>6</v>
      </c>
      <c r="F7971">
        <v>0.1394</v>
      </c>
    </row>
    <row r="7972" spans="1:6" x14ac:dyDescent="0.3">
      <c r="A7972" t="s">
        <v>22</v>
      </c>
      <c r="B7972" s="1">
        <v>45990</v>
      </c>
      <c r="C7972">
        <v>3</v>
      </c>
      <c r="D7972">
        <v>1.7250000000000001</v>
      </c>
      <c r="E7972" t="s">
        <v>6</v>
      </c>
      <c r="F7972">
        <v>0.13854</v>
      </c>
    </row>
    <row r="7973" spans="1:6" x14ac:dyDescent="0.3">
      <c r="A7973" t="s">
        <v>22</v>
      </c>
      <c r="B7973" s="1">
        <v>45990</v>
      </c>
      <c r="C7973">
        <v>4</v>
      </c>
      <c r="D7973">
        <v>1.5980000000000001</v>
      </c>
      <c r="E7973" t="s">
        <v>6</v>
      </c>
      <c r="F7973">
        <v>0.13325999999999999</v>
      </c>
    </row>
    <row r="7974" spans="1:6" x14ac:dyDescent="0.3">
      <c r="A7974" t="s">
        <v>22</v>
      </c>
      <c r="B7974" s="1">
        <v>45990</v>
      </c>
      <c r="C7974">
        <v>5</v>
      </c>
      <c r="D7974">
        <v>1.82</v>
      </c>
      <c r="E7974" t="s">
        <v>6</v>
      </c>
      <c r="F7974">
        <v>0.12395</v>
      </c>
    </row>
    <row r="7975" spans="1:6" x14ac:dyDescent="0.3">
      <c r="A7975" t="s">
        <v>22</v>
      </c>
      <c r="B7975" s="1">
        <v>45990</v>
      </c>
      <c r="C7975">
        <v>6</v>
      </c>
      <c r="D7975">
        <v>1.7230000000000001</v>
      </c>
      <c r="E7975" t="s">
        <v>6</v>
      </c>
      <c r="F7975">
        <v>0.12254999999999999</v>
      </c>
    </row>
    <row r="7976" spans="1:6" x14ac:dyDescent="0.3">
      <c r="A7976" t="s">
        <v>22</v>
      </c>
      <c r="B7976" s="1">
        <v>45990</v>
      </c>
      <c r="C7976">
        <v>7</v>
      </c>
      <c r="D7976">
        <v>3.4420000000000002</v>
      </c>
      <c r="E7976" t="s">
        <v>6</v>
      </c>
      <c r="F7976">
        <v>0.12334999999999999</v>
      </c>
    </row>
    <row r="7977" spans="1:6" x14ac:dyDescent="0.3">
      <c r="A7977" t="s">
        <v>22</v>
      </c>
      <c r="B7977" s="1">
        <v>45990</v>
      </c>
      <c r="C7977">
        <v>8</v>
      </c>
      <c r="D7977">
        <v>3.5449999999999999</v>
      </c>
      <c r="E7977" t="s">
        <v>6</v>
      </c>
      <c r="F7977">
        <v>0.12690000000000001</v>
      </c>
    </row>
    <row r="7978" spans="1:6" x14ac:dyDescent="0.3">
      <c r="A7978" t="s">
        <v>22</v>
      </c>
      <c r="B7978" s="1">
        <v>45990</v>
      </c>
      <c r="C7978">
        <v>9</v>
      </c>
      <c r="D7978">
        <v>2.5110000000000001</v>
      </c>
      <c r="E7978" t="s">
        <v>6</v>
      </c>
      <c r="F7978">
        <v>0.14057</v>
      </c>
    </row>
    <row r="7979" spans="1:6" x14ac:dyDescent="0.3">
      <c r="A7979" t="s">
        <v>22</v>
      </c>
      <c r="B7979" s="1">
        <v>45990</v>
      </c>
      <c r="C7979">
        <v>10</v>
      </c>
      <c r="D7979">
        <v>1.0329999999999999</v>
      </c>
      <c r="E7979" t="s">
        <v>6</v>
      </c>
      <c r="F7979">
        <v>0.11893000000000001</v>
      </c>
    </row>
    <row r="7980" spans="1:6" x14ac:dyDescent="0.3">
      <c r="A7980" t="s">
        <v>22</v>
      </c>
      <c r="B7980" s="1">
        <v>45990</v>
      </c>
      <c r="C7980">
        <v>11</v>
      </c>
      <c r="D7980">
        <v>0</v>
      </c>
      <c r="E7980" t="s">
        <v>6</v>
      </c>
      <c r="F7980">
        <v>9.8920000000000008E-2</v>
      </c>
    </row>
    <row r="7981" spans="1:6" x14ac:dyDescent="0.3">
      <c r="A7981" t="s">
        <v>22</v>
      </c>
      <c r="B7981" s="1">
        <v>45990</v>
      </c>
      <c r="C7981">
        <v>12</v>
      </c>
      <c r="D7981">
        <v>0</v>
      </c>
      <c r="E7981" t="s">
        <v>6</v>
      </c>
      <c r="F7981">
        <v>8.4890000000000007E-2</v>
      </c>
    </row>
    <row r="7982" spans="1:6" x14ac:dyDescent="0.3">
      <c r="A7982" t="s">
        <v>22</v>
      </c>
      <c r="B7982" s="1">
        <v>45990</v>
      </c>
      <c r="C7982">
        <v>13</v>
      </c>
      <c r="D7982">
        <v>0</v>
      </c>
      <c r="E7982" t="s">
        <v>6</v>
      </c>
      <c r="F7982">
        <v>8.5180000000000006E-2</v>
      </c>
    </row>
    <row r="7983" spans="1:6" x14ac:dyDescent="0.3">
      <c r="A7983" t="s">
        <v>22</v>
      </c>
      <c r="B7983" s="1">
        <v>45990</v>
      </c>
      <c r="C7983">
        <v>14</v>
      </c>
      <c r="D7983">
        <v>0</v>
      </c>
      <c r="E7983" t="s">
        <v>6</v>
      </c>
      <c r="F7983">
        <v>7.8819999999999987E-2</v>
      </c>
    </row>
    <row r="7984" spans="1:6" x14ac:dyDescent="0.3">
      <c r="A7984" t="s">
        <v>22</v>
      </c>
      <c r="B7984" s="1">
        <v>45990</v>
      </c>
      <c r="C7984">
        <v>15</v>
      </c>
      <c r="D7984">
        <v>0</v>
      </c>
      <c r="E7984" t="s">
        <v>6</v>
      </c>
      <c r="F7984">
        <v>8.2489999999999994E-2</v>
      </c>
    </row>
    <row r="7985" spans="1:6" x14ac:dyDescent="0.3">
      <c r="A7985" t="s">
        <v>22</v>
      </c>
      <c r="B7985" s="1">
        <v>45990</v>
      </c>
      <c r="C7985">
        <v>16</v>
      </c>
      <c r="D7985">
        <v>0</v>
      </c>
      <c r="E7985" t="s">
        <v>6</v>
      </c>
      <c r="F7985">
        <v>9.5019999999999993E-2</v>
      </c>
    </row>
    <row r="7986" spans="1:6" x14ac:dyDescent="0.3">
      <c r="A7986" t="s">
        <v>22</v>
      </c>
      <c r="B7986" s="1">
        <v>45990</v>
      </c>
      <c r="C7986">
        <v>17</v>
      </c>
      <c r="D7986">
        <v>1.4590000000000001</v>
      </c>
      <c r="E7986" t="s">
        <v>6</v>
      </c>
      <c r="F7986">
        <v>0.11458</v>
      </c>
    </row>
    <row r="7987" spans="1:6" x14ac:dyDescent="0.3">
      <c r="A7987" t="s">
        <v>22</v>
      </c>
      <c r="B7987" s="1">
        <v>45990</v>
      </c>
      <c r="C7987">
        <v>18</v>
      </c>
      <c r="D7987">
        <v>1.2370000000000001</v>
      </c>
      <c r="E7987" t="s">
        <v>6</v>
      </c>
      <c r="F7987">
        <v>0.14663999999999999</v>
      </c>
    </row>
    <row r="7988" spans="1:6" x14ac:dyDescent="0.3">
      <c r="A7988" t="s">
        <v>22</v>
      </c>
      <c r="B7988" s="1">
        <v>45990</v>
      </c>
      <c r="C7988">
        <v>19</v>
      </c>
      <c r="D7988">
        <v>1.659</v>
      </c>
      <c r="E7988" t="s">
        <v>6</v>
      </c>
      <c r="F7988">
        <v>0.13894000000000001</v>
      </c>
    </row>
    <row r="7989" spans="1:6" x14ac:dyDescent="0.3">
      <c r="A7989" t="s">
        <v>22</v>
      </c>
      <c r="B7989" s="1">
        <v>45990</v>
      </c>
      <c r="C7989">
        <v>20</v>
      </c>
      <c r="D7989">
        <v>2.89</v>
      </c>
      <c r="E7989" t="s">
        <v>6</v>
      </c>
      <c r="F7989">
        <v>0.14157</v>
      </c>
    </row>
    <row r="7990" spans="1:6" x14ac:dyDescent="0.3">
      <c r="A7990" t="s">
        <v>22</v>
      </c>
      <c r="B7990" s="1">
        <v>45990</v>
      </c>
      <c r="C7990">
        <v>21</v>
      </c>
      <c r="D7990">
        <v>2.2599999999999998</v>
      </c>
      <c r="E7990" t="s">
        <v>6</v>
      </c>
      <c r="F7990">
        <v>0.14166000000000001</v>
      </c>
    </row>
    <row r="7991" spans="1:6" x14ac:dyDescent="0.3">
      <c r="A7991" t="s">
        <v>22</v>
      </c>
      <c r="B7991" s="1">
        <v>45990</v>
      </c>
      <c r="C7991">
        <v>22</v>
      </c>
      <c r="D7991">
        <v>1.706</v>
      </c>
      <c r="E7991" t="s">
        <v>6</v>
      </c>
      <c r="F7991">
        <v>0.13858000000000001</v>
      </c>
    </row>
    <row r="7992" spans="1:6" x14ac:dyDescent="0.3">
      <c r="A7992" t="s">
        <v>22</v>
      </c>
      <c r="B7992" s="1">
        <v>45990</v>
      </c>
      <c r="C7992">
        <v>23</v>
      </c>
      <c r="D7992">
        <v>1.5720000000000001</v>
      </c>
      <c r="E7992" t="s">
        <v>6</v>
      </c>
      <c r="F7992">
        <v>0.12604000000000001</v>
      </c>
    </row>
    <row r="7993" spans="1:6" x14ac:dyDescent="0.3">
      <c r="A7993" t="s">
        <v>22</v>
      </c>
      <c r="B7993" s="1">
        <v>45990</v>
      </c>
      <c r="C7993">
        <v>24</v>
      </c>
      <c r="D7993">
        <v>0.93899999999999995</v>
      </c>
      <c r="E7993" t="s">
        <v>6</v>
      </c>
      <c r="F7993">
        <v>0.12039</v>
      </c>
    </row>
    <row r="7994" spans="1:6" x14ac:dyDescent="0.3">
      <c r="A7994" t="s">
        <v>22</v>
      </c>
      <c r="B7994" s="1">
        <v>45991</v>
      </c>
      <c r="C7994">
        <v>1</v>
      </c>
      <c r="D7994">
        <v>0.11</v>
      </c>
      <c r="E7994" t="s">
        <v>6</v>
      </c>
      <c r="F7994">
        <v>0.11827</v>
      </c>
    </row>
    <row r="7995" spans="1:6" x14ac:dyDescent="0.3">
      <c r="A7995" t="s">
        <v>22</v>
      </c>
      <c r="B7995" s="1">
        <v>45991</v>
      </c>
      <c r="C7995">
        <v>2</v>
      </c>
      <c r="D7995">
        <v>0.158</v>
      </c>
      <c r="E7995" t="s">
        <v>6</v>
      </c>
      <c r="F7995">
        <v>0.11341</v>
      </c>
    </row>
    <row r="7996" spans="1:6" x14ac:dyDescent="0.3">
      <c r="A7996" t="s">
        <v>22</v>
      </c>
      <c r="B7996" s="1">
        <v>45991</v>
      </c>
      <c r="C7996">
        <v>3</v>
      </c>
      <c r="D7996">
        <v>0.13500000000000001</v>
      </c>
      <c r="E7996" t="s">
        <v>6</v>
      </c>
      <c r="F7996">
        <v>0.11262</v>
      </c>
    </row>
    <row r="7997" spans="1:6" x14ac:dyDescent="0.3">
      <c r="A7997" t="s">
        <v>22</v>
      </c>
      <c r="B7997" s="1">
        <v>45991</v>
      </c>
      <c r="C7997">
        <v>4</v>
      </c>
      <c r="D7997">
        <v>0.15</v>
      </c>
      <c r="E7997" t="s">
        <v>6</v>
      </c>
      <c r="F7997">
        <v>0.11108</v>
      </c>
    </row>
    <row r="7998" spans="1:6" x14ac:dyDescent="0.3">
      <c r="A7998" t="s">
        <v>22</v>
      </c>
      <c r="B7998" s="1">
        <v>45991</v>
      </c>
      <c r="C7998">
        <v>5</v>
      </c>
      <c r="D7998">
        <v>2.2200000000000002</v>
      </c>
      <c r="E7998" t="s">
        <v>6</v>
      </c>
      <c r="F7998">
        <v>0.11144</v>
      </c>
    </row>
    <row r="7999" spans="1:6" x14ac:dyDescent="0.3">
      <c r="A7999" t="s">
        <v>22</v>
      </c>
      <c r="B7999" s="1">
        <v>45991</v>
      </c>
      <c r="C7999">
        <v>6</v>
      </c>
      <c r="D7999">
        <v>3.9990000000000001</v>
      </c>
      <c r="E7999" t="s">
        <v>6</v>
      </c>
      <c r="F7999">
        <v>0.11186</v>
      </c>
    </row>
    <row r="8000" spans="1:6" x14ac:dyDescent="0.3">
      <c r="A8000" t="s">
        <v>22</v>
      </c>
      <c r="B8000" s="1">
        <v>45991</v>
      </c>
      <c r="C8000">
        <v>7</v>
      </c>
      <c r="D8000">
        <v>3.5030000000000001</v>
      </c>
      <c r="E8000" t="s">
        <v>6</v>
      </c>
      <c r="F8000">
        <v>0.10908</v>
      </c>
    </row>
    <row r="8001" spans="1:6" x14ac:dyDescent="0.3">
      <c r="A8001" t="s">
        <v>22</v>
      </c>
      <c r="B8001" s="1">
        <v>45991</v>
      </c>
      <c r="C8001">
        <v>8</v>
      </c>
      <c r="D8001">
        <v>3.4409999999999998</v>
      </c>
      <c r="E8001" t="s">
        <v>6</v>
      </c>
      <c r="F8001">
        <v>0.11237999999999999</v>
      </c>
    </row>
    <row r="8002" spans="1:6" x14ac:dyDescent="0.3">
      <c r="A8002" t="s">
        <v>22</v>
      </c>
      <c r="B8002" s="1">
        <v>45991</v>
      </c>
      <c r="C8002">
        <v>9</v>
      </c>
      <c r="D8002">
        <v>3.218</v>
      </c>
      <c r="E8002" t="s">
        <v>6</v>
      </c>
      <c r="F8002">
        <v>0.12164</v>
      </c>
    </row>
    <row r="8003" spans="1:6" x14ac:dyDescent="0.3">
      <c r="A8003" t="s">
        <v>22</v>
      </c>
      <c r="B8003" s="1">
        <v>45991</v>
      </c>
      <c r="C8003">
        <v>10</v>
      </c>
      <c r="D8003">
        <v>3.2370000000000001</v>
      </c>
      <c r="E8003" t="s">
        <v>6</v>
      </c>
      <c r="F8003">
        <v>0.12490999999999999</v>
      </c>
    </row>
    <row r="8004" spans="1:6" x14ac:dyDescent="0.3">
      <c r="A8004" t="s">
        <v>22</v>
      </c>
      <c r="B8004" s="1">
        <v>45991</v>
      </c>
      <c r="C8004">
        <v>11</v>
      </c>
      <c r="D8004">
        <v>1.96</v>
      </c>
      <c r="E8004" t="s">
        <v>6</v>
      </c>
      <c r="F8004">
        <v>0.11115999999999999</v>
      </c>
    </row>
    <row r="8005" spans="1:6" x14ac:dyDescent="0.3">
      <c r="A8005" t="s">
        <v>22</v>
      </c>
      <c r="B8005" s="1">
        <v>45991</v>
      </c>
      <c r="C8005">
        <v>12</v>
      </c>
      <c r="D8005">
        <v>1.1200000000000001</v>
      </c>
      <c r="E8005" t="s">
        <v>6</v>
      </c>
      <c r="F8005">
        <v>9.6640000000000004E-2</v>
      </c>
    </row>
    <row r="8006" spans="1:6" x14ac:dyDescent="0.3">
      <c r="A8006" t="s">
        <v>22</v>
      </c>
      <c r="B8006" s="1">
        <v>45991</v>
      </c>
      <c r="C8006">
        <v>13</v>
      </c>
      <c r="D8006">
        <v>0.33900000000000002</v>
      </c>
      <c r="E8006" t="s">
        <v>6</v>
      </c>
      <c r="F8006">
        <v>8.233E-2</v>
      </c>
    </row>
    <row r="8007" spans="1:6" x14ac:dyDescent="0.3">
      <c r="A8007" t="s">
        <v>22</v>
      </c>
      <c r="B8007" s="1">
        <v>45991</v>
      </c>
      <c r="C8007">
        <v>14</v>
      </c>
      <c r="D8007">
        <v>2.8119999999999998</v>
      </c>
      <c r="E8007" t="s">
        <v>6</v>
      </c>
      <c r="F8007">
        <v>8.8849999999999998E-2</v>
      </c>
    </row>
    <row r="8008" spans="1:6" x14ac:dyDescent="0.3">
      <c r="A8008" t="s">
        <v>22</v>
      </c>
      <c r="B8008" s="1">
        <v>45991</v>
      </c>
      <c r="C8008">
        <v>15</v>
      </c>
      <c r="D8008">
        <v>3.5579999999999998</v>
      </c>
      <c r="E8008" t="s">
        <v>6</v>
      </c>
      <c r="F8008">
        <v>9.2060000000000003E-2</v>
      </c>
    </row>
    <row r="8009" spans="1:6" x14ac:dyDescent="0.3">
      <c r="A8009" t="s">
        <v>22</v>
      </c>
      <c r="B8009" s="1">
        <v>45991</v>
      </c>
      <c r="C8009">
        <v>16</v>
      </c>
      <c r="D8009">
        <v>1.845</v>
      </c>
      <c r="E8009" t="s">
        <v>6</v>
      </c>
      <c r="F8009">
        <v>0.10466</v>
      </c>
    </row>
    <row r="8010" spans="1:6" x14ac:dyDescent="0.3">
      <c r="A8010" t="s">
        <v>22</v>
      </c>
      <c r="B8010" s="1">
        <v>45991</v>
      </c>
      <c r="C8010">
        <v>17</v>
      </c>
      <c r="D8010">
        <v>1.8080000000000001</v>
      </c>
      <c r="E8010" t="s">
        <v>6</v>
      </c>
      <c r="F8010">
        <v>0.12590999999999999</v>
      </c>
    </row>
    <row r="8011" spans="1:6" x14ac:dyDescent="0.3">
      <c r="A8011" t="s">
        <v>22</v>
      </c>
      <c r="B8011" s="1">
        <v>45991</v>
      </c>
      <c r="C8011">
        <v>18</v>
      </c>
      <c r="D8011">
        <v>1.0349999999999999</v>
      </c>
      <c r="E8011" t="s">
        <v>6</v>
      </c>
      <c r="F8011">
        <v>0.14437</v>
      </c>
    </row>
    <row r="8012" spans="1:6" x14ac:dyDescent="0.3">
      <c r="A8012" t="s">
        <v>22</v>
      </c>
      <c r="B8012" s="1">
        <v>45991</v>
      </c>
      <c r="C8012">
        <v>19</v>
      </c>
      <c r="D8012">
        <v>2.9209999999999998</v>
      </c>
      <c r="E8012" t="s">
        <v>6</v>
      </c>
      <c r="F8012">
        <v>0.14624000000000001</v>
      </c>
    </row>
    <row r="8013" spans="1:6" x14ac:dyDescent="0.3">
      <c r="A8013" t="s">
        <v>22</v>
      </c>
      <c r="B8013" s="1">
        <v>45991</v>
      </c>
      <c r="C8013">
        <v>20</v>
      </c>
      <c r="D8013">
        <v>2.3370000000000002</v>
      </c>
      <c r="E8013" t="s">
        <v>6</v>
      </c>
      <c r="F8013">
        <v>0.14871999999999999</v>
      </c>
    </row>
    <row r="8014" spans="1:6" x14ac:dyDescent="0.3">
      <c r="A8014" t="s">
        <v>22</v>
      </c>
      <c r="B8014" s="1">
        <v>45991</v>
      </c>
      <c r="C8014">
        <v>21</v>
      </c>
      <c r="D8014">
        <v>2.105</v>
      </c>
      <c r="E8014" t="s">
        <v>6</v>
      </c>
      <c r="F8014">
        <v>0.14308000000000001</v>
      </c>
    </row>
    <row r="8015" spans="1:6" x14ac:dyDescent="0.3">
      <c r="A8015" t="s">
        <v>22</v>
      </c>
      <c r="B8015" s="1">
        <v>45991</v>
      </c>
      <c r="C8015">
        <v>22</v>
      </c>
      <c r="D8015">
        <v>1.8560000000000001</v>
      </c>
      <c r="E8015" t="s">
        <v>6</v>
      </c>
      <c r="F8015">
        <v>0.13659000000000002</v>
      </c>
    </row>
    <row r="8016" spans="1:6" x14ac:dyDescent="0.3">
      <c r="A8016" t="s">
        <v>22</v>
      </c>
      <c r="B8016" s="1">
        <v>45991</v>
      </c>
      <c r="C8016">
        <v>23</v>
      </c>
      <c r="D8016">
        <v>2</v>
      </c>
      <c r="E8016" t="s">
        <v>6</v>
      </c>
      <c r="F8016">
        <v>0.13218000000000002</v>
      </c>
    </row>
    <row r="8017" spans="1:6" x14ac:dyDescent="0.3">
      <c r="A8017" t="s">
        <v>22</v>
      </c>
      <c r="B8017" s="1">
        <v>45991</v>
      </c>
      <c r="C8017">
        <v>24</v>
      </c>
      <c r="D8017">
        <v>1.7350000000000001</v>
      </c>
      <c r="E8017" t="s">
        <v>6</v>
      </c>
      <c r="F8017">
        <v>0.12562000000000001</v>
      </c>
    </row>
    <row r="8018" spans="1:6" x14ac:dyDescent="0.3">
      <c r="A8018" t="s">
        <v>22</v>
      </c>
      <c r="B8018" s="1">
        <v>45992</v>
      </c>
      <c r="C8018">
        <v>1</v>
      </c>
      <c r="D8018">
        <v>1.327</v>
      </c>
      <c r="E8018" t="s">
        <v>6</v>
      </c>
      <c r="F8018">
        <v>0.12581999999999999</v>
      </c>
    </row>
    <row r="8019" spans="1:6" x14ac:dyDescent="0.3">
      <c r="A8019" t="s">
        <v>22</v>
      </c>
      <c r="B8019" s="1">
        <v>45992</v>
      </c>
      <c r="C8019">
        <v>2</v>
      </c>
      <c r="D8019">
        <v>2.2309999999999999</v>
      </c>
      <c r="E8019" t="s">
        <v>6</v>
      </c>
      <c r="F8019">
        <v>0.11614000000000001</v>
      </c>
    </row>
    <row r="8020" spans="1:6" x14ac:dyDescent="0.3">
      <c r="A8020" t="s">
        <v>22</v>
      </c>
      <c r="B8020" s="1">
        <v>45992</v>
      </c>
      <c r="C8020">
        <v>3</v>
      </c>
      <c r="D8020">
        <v>2.8780000000000001</v>
      </c>
      <c r="E8020" t="s">
        <v>6</v>
      </c>
      <c r="F8020">
        <v>0.11181000000000001</v>
      </c>
    </row>
    <row r="8021" spans="1:6" x14ac:dyDescent="0.3">
      <c r="A8021" t="s">
        <v>22</v>
      </c>
      <c r="B8021" s="1">
        <v>45992</v>
      </c>
      <c r="C8021">
        <v>4</v>
      </c>
      <c r="D8021">
        <v>3.3410000000000002</v>
      </c>
      <c r="E8021" t="s">
        <v>6</v>
      </c>
      <c r="F8021">
        <v>0.11267000000000001</v>
      </c>
    </row>
    <row r="8022" spans="1:6" x14ac:dyDescent="0.3">
      <c r="A8022" t="s">
        <v>22</v>
      </c>
      <c r="B8022" s="1">
        <v>45992</v>
      </c>
      <c r="C8022">
        <v>5</v>
      </c>
      <c r="D8022">
        <v>3.794</v>
      </c>
      <c r="E8022" t="s">
        <v>6</v>
      </c>
      <c r="F8022">
        <v>0.11937</v>
      </c>
    </row>
    <row r="8023" spans="1:6" x14ac:dyDescent="0.3">
      <c r="A8023" t="s">
        <v>22</v>
      </c>
      <c r="B8023" s="1">
        <v>45992</v>
      </c>
      <c r="C8023">
        <v>6</v>
      </c>
      <c r="D8023">
        <v>3.694</v>
      </c>
      <c r="E8023" t="s">
        <v>6</v>
      </c>
      <c r="F8023">
        <v>0.12919999999999998</v>
      </c>
    </row>
    <row r="8024" spans="1:6" x14ac:dyDescent="0.3">
      <c r="A8024" t="s">
        <v>22</v>
      </c>
      <c r="B8024" s="1">
        <v>45992</v>
      </c>
      <c r="C8024">
        <v>7</v>
      </c>
      <c r="D8024">
        <v>4.2880000000000003</v>
      </c>
      <c r="E8024" t="s">
        <v>6</v>
      </c>
      <c r="F8024">
        <v>0.13771</v>
      </c>
    </row>
    <row r="8025" spans="1:6" x14ac:dyDescent="0.3">
      <c r="A8025" t="s">
        <v>22</v>
      </c>
      <c r="B8025" s="1">
        <v>45992</v>
      </c>
      <c r="C8025">
        <v>8</v>
      </c>
      <c r="D8025">
        <v>3.5640000000000001</v>
      </c>
      <c r="E8025" t="s">
        <v>6</v>
      </c>
      <c r="F8025">
        <v>0.14607000000000001</v>
      </c>
    </row>
    <row r="8026" spans="1:6" x14ac:dyDescent="0.3">
      <c r="A8026" t="s">
        <v>22</v>
      </c>
      <c r="B8026" s="1">
        <v>45992</v>
      </c>
      <c r="C8026">
        <v>9</v>
      </c>
      <c r="D8026">
        <v>3.6619999999999999</v>
      </c>
      <c r="E8026" t="s">
        <v>6</v>
      </c>
      <c r="F8026">
        <v>0.17637</v>
      </c>
    </row>
    <row r="8027" spans="1:6" x14ac:dyDescent="0.3">
      <c r="A8027" t="s">
        <v>22</v>
      </c>
      <c r="B8027" s="1">
        <v>45992</v>
      </c>
      <c r="C8027">
        <v>10</v>
      </c>
      <c r="D8027">
        <v>3.8690000000000002</v>
      </c>
      <c r="E8027" t="s">
        <v>6</v>
      </c>
      <c r="F8027">
        <v>0.15462000000000001</v>
      </c>
    </row>
    <row r="8028" spans="1:6" x14ac:dyDescent="0.3">
      <c r="A8028" t="s">
        <v>22</v>
      </c>
      <c r="B8028" s="1">
        <v>45992</v>
      </c>
      <c r="C8028">
        <v>11</v>
      </c>
      <c r="D8028">
        <v>2.0779999999999998</v>
      </c>
      <c r="E8028" t="s">
        <v>6</v>
      </c>
      <c r="F8028">
        <v>0.20105000000000001</v>
      </c>
    </row>
    <row r="8029" spans="1:6" x14ac:dyDescent="0.3">
      <c r="A8029" t="s">
        <v>22</v>
      </c>
      <c r="B8029" s="1">
        <v>45992</v>
      </c>
      <c r="C8029">
        <v>12</v>
      </c>
      <c r="D8029">
        <v>0</v>
      </c>
      <c r="E8029" t="s">
        <v>6</v>
      </c>
      <c r="F8029">
        <v>0.19372999999999999</v>
      </c>
    </row>
    <row r="8030" spans="1:6" x14ac:dyDescent="0.3">
      <c r="A8030" t="s">
        <v>22</v>
      </c>
      <c r="B8030" s="1">
        <v>45992</v>
      </c>
      <c r="C8030">
        <v>13</v>
      </c>
      <c r="D8030">
        <v>0</v>
      </c>
      <c r="E8030" t="s">
        <v>6</v>
      </c>
      <c r="F8030">
        <v>0.19655</v>
      </c>
    </row>
    <row r="8031" spans="1:6" x14ac:dyDescent="0.3">
      <c r="A8031" t="s">
        <v>22</v>
      </c>
      <c r="B8031" s="1">
        <v>45992</v>
      </c>
      <c r="C8031">
        <v>14</v>
      </c>
      <c r="D8031">
        <v>0</v>
      </c>
      <c r="E8031" t="s">
        <v>6</v>
      </c>
      <c r="F8031">
        <v>0.19213</v>
      </c>
    </row>
    <row r="8032" spans="1:6" x14ac:dyDescent="0.3">
      <c r="A8032" t="s">
        <v>22</v>
      </c>
      <c r="B8032" s="1">
        <v>45992</v>
      </c>
      <c r="C8032">
        <v>15</v>
      </c>
      <c r="D8032">
        <v>0</v>
      </c>
      <c r="E8032" t="s">
        <v>6</v>
      </c>
      <c r="F8032">
        <v>0.12753</v>
      </c>
    </row>
    <row r="8033" spans="1:6" x14ac:dyDescent="0.3">
      <c r="A8033" t="s">
        <v>22</v>
      </c>
      <c r="B8033" s="1">
        <v>45992</v>
      </c>
      <c r="C8033">
        <v>16</v>
      </c>
      <c r="D8033">
        <v>0</v>
      </c>
      <c r="E8033" t="s">
        <v>6</v>
      </c>
      <c r="F8033">
        <v>0.13253000000000001</v>
      </c>
    </row>
    <row r="8034" spans="1:6" x14ac:dyDescent="0.3">
      <c r="A8034" t="s">
        <v>22</v>
      </c>
      <c r="B8034" s="1">
        <v>45992</v>
      </c>
      <c r="C8034">
        <v>17</v>
      </c>
      <c r="D8034">
        <v>2.33</v>
      </c>
      <c r="E8034" t="s">
        <v>6</v>
      </c>
      <c r="F8034">
        <v>0.14463999999999999</v>
      </c>
    </row>
    <row r="8035" spans="1:6" x14ac:dyDescent="0.3">
      <c r="A8035" t="s">
        <v>22</v>
      </c>
      <c r="B8035" s="1">
        <v>45992</v>
      </c>
      <c r="C8035">
        <v>18</v>
      </c>
      <c r="D8035">
        <v>1.613</v>
      </c>
      <c r="E8035" t="s">
        <v>6</v>
      </c>
      <c r="F8035">
        <v>0.15500999999999998</v>
      </c>
    </row>
    <row r="8036" spans="1:6" x14ac:dyDescent="0.3">
      <c r="A8036" t="s">
        <v>22</v>
      </c>
      <c r="B8036" s="1">
        <v>45992</v>
      </c>
      <c r="C8036">
        <v>19</v>
      </c>
      <c r="D8036">
        <v>2.2429999999999999</v>
      </c>
      <c r="E8036" t="s">
        <v>6</v>
      </c>
      <c r="F8036">
        <v>0.23669999999999999</v>
      </c>
    </row>
    <row r="8037" spans="1:6" x14ac:dyDescent="0.3">
      <c r="A8037" t="s">
        <v>22</v>
      </c>
      <c r="B8037" s="1">
        <v>45992</v>
      </c>
      <c r="C8037">
        <v>20</v>
      </c>
      <c r="D8037">
        <v>3.8570000000000002</v>
      </c>
      <c r="E8037" t="s">
        <v>6</v>
      </c>
      <c r="F8037">
        <v>0.25601000000000002</v>
      </c>
    </row>
    <row r="8038" spans="1:6" x14ac:dyDescent="0.3">
      <c r="A8038" t="s">
        <v>22</v>
      </c>
      <c r="B8038" s="1">
        <v>45992</v>
      </c>
      <c r="C8038">
        <v>21</v>
      </c>
      <c r="D8038">
        <v>2.504</v>
      </c>
      <c r="E8038" t="s">
        <v>6</v>
      </c>
      <c r="F8038">
        <v>0.27287</v>
      </c>
    </row>
    <row r="8039" spans="1:6" x14ac:dyDescent="0.3">
      <c r="A8039" t="s">
        <v>22</v>
      </c>
      <c r="B8039" s="1">
        <v>45992</v>
      </c>
      <c r="C8039">
        <v>22</v>
      </c>
      <c r="D8039">
        <v>2.5659999999999998</v>
      </c>
      <c r="E8039" t="s">
        <v>6</v>
      </c>
      <c r="F8039">
        <v>0.27050000000000002</v>
      </c>
    </row>
    <row r="8040" spans="1:6" x14ac:dyDescent="0.3">
      <c r="A8040" t="s">
        <v>22</v>
      </c>
      <c r="B8040" s="1">
        <v>45992</v>
      </c>
      <c r="C8040">
        <v>23</v>
      </c>
      <c r="D8040">
        <v>2.028</v>
      </c>
      <c r="E8040" t="s">
        <v>6</v>
      </c>
      <c r="F8040">
        <v>0.17011999999999999</v>
      </c>
    </row>
    <row r="8041" spans="1:6" x14ac:dyDescent="0.3">
      <c r="A8041" t="s">
        <v>22</v>
      </c>
      <c r="B8041" s="1">
        <v>45992</v>
      </c>
      <c r="C8041">
        <v>24</v>
      </c>
      <c r="D8041">
        <v>1.7609999999999999</v>
      </c>
      <c r="E8041" t="s">
        <v>6</v>
      </c>
      <c r="F8041">
        <v>0.15353999999999998</v>
      </c>
    </row>
    <row r="8042" spans="1:6" x14ac:dyDescent="0.3">
      <c r="A8042" t="s">
        <v>22</v>
      </c>
      <c r="B8042" s="1">
        <v>45993</v>
      </c>
      <c r="C8042">
        <v>1</v>
      </c>
      <c r="D8042">
        <v>1.7589999999999999</v>
      </c>
      <c r="E8042" t="s">
        <v>6</v>
      </c>
      <c r="F8042">
        <v>0.1162</v>
      </c>
    </row>
    <row r="8043" spans="1:6" x14ac:dyDescent="0.3">
      <c r="A8043" t="s">
        <v>22</v>
      </c>
      <c r="B8043" s="1">
        <v>45993</v>
      </c>
      <c r="C8043">
        <v>2</v>
      </c>
      <c r="D8043">
        <v>1.798</v>
      </c>
      <c r="E8043" t="s">
        <v>6</v>
      </c>
      <c r="F8043">
        <v>0.11561</v>
      </c>
    </row>
    <row r="8044" spans="1:6" x14ac:dyDescent="0.3">
      <c r="A8044" t="s">
        <v>22</v>
      </c>
      <c r="B8044" s="1">
        <v>45993</v>
      </c>
      <c r="C8044">
        <v>3</v>
      </c>
      <c r="D8044">
        <v>1.6739999999999999</v>
      </c>
      <c r="E8044" t="s">
        <v>6</v>
      </c>
      <c r="F8044">
        <v>0.11297</v>
      </c>
    </row>
    <row r="8045" spans="1:6" x14ac:dyDescent="0.3">
      <c r="A8045" t="s">
        <v>22</v>
      </c>
      <c r="B8045" s="1">
        <v>45993</v>
      </c>
      <c r="C8045">
        <v>4</v>
      </c>
      <c r="D8045">
        <v>1.921</v>
      </c>
      <c r="E8045" t="s">
        <v>6</v>
      </c>
      <c r="F8045">
        <v>0.10704999999999999</v>
      </c>
    </row>
    <row r="8046" spans="1:6" x14ac:dyDescent="0.3">
      <c r="A8046" t="s">
        <v>22</v>
      </c>
      <c r="B8046" s="1">
        <v>45993</v>
      </c>
      <c r="C8046">
        <v>5</v>
      </c>
      <c r="D8046">
        <v>4.1040000000000001</v>
      </c>
      <c r="E8046" t="s">
        <v>6</v>
      </c>
      <c r="F8046">
        <v>0.106</v>
      </c>
    </row>
    <row r="8047" spans="1:6" x14ac:dyDescent="0.3">
      <c r="A8047" t="s">
        <v>22</v>
      </c>
      <c r="B8047" s="1">
        <v>45993</v>
      </c>
      <c r="C8047">
        <v>6</v>
      </c>
      <c r="D8047">
        <v>3.7959999999999998</v>
      </c>
      <c r="E8047" t="s">
        <v>6</v>
      </c>
      <c r="F8047">
        <v>0.10712000000000001</v>
      </c>
    </row>
    <row r="8048" spans="1:6" x14ac:dyDescent="0.3">
      <c r="A8048" t="s">
        <v>22</v>
      </c>
      <c r="B8048" s="1">
        <v>45993</v>
      </c>
      <c r="C8048">
        <v>7</v>
      </c>
      <c r="D8048">
        <v>3.544</v>
      </c>
      <c r="E8048" t="s">
        <v>6</v>
      </c>
      <c r="F8048">
        <v>0.11833</v>
      </c>
    </row>
    <row r="8049" spans="1:6" x14ac:dyDescent="0.3">
      <c r="A8049" t="s">
        <v>22</v>
      </c>
      <c r="B8049" s="1">
        <v>45993</v>
      </c>
      <c r="C8049">
        <v>8</v>
      </c>
      <c r="D8049">
        <v>4.5229999999999997</v>
      </c>
      <c r="E8049" t="s">
        <v>6</v>
      </c>
      <c r="F8049">
        <v>0.12618000000000001</v>
      </c>
    </row>
    <row r="8050" spans="1:6" x14ac:dyDescent="0.3">
      <c r="A8050" t="s">
        <v>22</v>
      </c>
      <c r="B8050" s="1">
        <v>45993</v>
      </c>
      <c r="C8050">
        <v>9</v>
      </c>
      <c r="D8050">
        <v>3.4369999999999998</v>
      </c>
      <c r="E8050" t="s">
        <v>6</v>
      </c>
      <c r="F8050">
        <v>0.1651</v>
      </c>
    </row>
    <row r="8051" spans="1:6" x14ac:dyDescent="0.3">
      <c r="A8051" t="s">
        <v>22</v>
      </c>
      <c r="B8051" s="1">
        <v>45993</v>
      </c>
      <c r="C8051">
        <v>10</v>
      </c>
      <c r="D8051">
        <v>3.411</v>
      </c>
      <c r="E8051" t="s">
        <v>6</v>
      </c>
      <c r="F8051">
        <v>0.15891999999999998</v>
      </c>
    </row>
    <row r="8052" spans="1:6" x14ac:dyDescent="0.3">
      <c r="A8052" t="s">
        <v>22</v>
      </c>
      <c r="B8052" s="1">
        <v>45993</v>
      </c>
      <c r="C8052">
        <v>11</v>
      </c>
      <c r="D8052">
        <v>2.5470000000000002</v>
      </c>
      <c r="E8052" t="s">
        <v>6</v>
      </c>
      <c r="F8052">
        <v>0.20795</v>
      </c>
    </row>
    <row r="8053" spans="1:6" x14ac:dyDescent="0.3">
      <c r="A8053" t="s">
        <v>22</v>
      </c>
      <c r="B8053" s="1">
        <v>45993</v>
      </c>
      <c r="C8053">
        <v>12</v>
      </c>
      <c r="D8053">
        <v>0.38200000000000001</v>
      </c>
      <c r="E8053" t="s">
        <v>6</v>
      </c>
      <c r="F8053">
        <v>0.20629</v>
      </c>
    </row>
    <row r="8054" spans="1:6" x14ac:dyDescent="0.3">
      <c r="A8054" t="s">
        <v>22</v>
      </c>
      <c r="B8054" s="1">
        <v>45993</v>
      </c>
      <c r="C8054">
        <v>13</v>
      </c>
      <c r="D8054">
        <v>0</v>
      </c>
      <c r="E8054" t="s">
        <v>6</v>
      </c>
      <c r="F8054">
        <v>0.20604</v>
      </c>
    </row>
    <row r="8055" spans="1:6" x14ac:dyDescent="0.3">
      <c r="A8055" t="s">
        <v>22</v>
      </c>
      <c r="B8055" s="1">
        <v>45993</v>
      </c>
      <c r="C8055">
        <v>14</v>
      </c>
      <c r="D8055">
        <v>0</v>
      </c>
      <c r="E8055" t="s">
        <v>6</v>
      </c>
      <c r="F8055">
        <v>0.19742999999999999</v>
      </c>
    </row>
    <row r="8056" spans="1:6" x14ac:dyDescent="0.3">
      <c r="A8056" t="s">
        <v>22</v>
      </c>
      <c r="B8056" s="1">
        <v>45993</v>
      </c>
      <c r="C8056">
        <v>15</v>
      </c>
      <c r="D8056">
        <v>0</v>
      </c>
      <c r="E8056" t="s">
        <v>6</v>
      </c>
      <c r="F8056">
        <v>0.13099</v>
      </c>
    </row>
    <row r="8057" spans="1:6" x14ac:dyDescent="0.3">
      <c r="A8057" t="s">
        <v>22</v>
      </c>
      <c r="B8057" s="1">
        <v>45993</v>
      </c>
      <c r="C8057">
        <v>16</v>
      </c>
      <c r="D8057">
        <v>0</v>
      </c>
      <c r="E8057" t="s">
        <v>6</v>
      </c>
      <c r="F8057">
        <v>0.14266000000000001</v>
      </c>
    </row>
    <row r="8058" spans="1:6" x14ac:dyDescent="0.3">
      <c r="A8058" t="s">
        <v>22</v>
      </c>
      <c r="B8058" s="1">
        <v>45993</v>
      </c>
      <c r="C8058">
        <v>17</v>
      </c>
      <c r="D8058">
        <v>2.121</v>
      </c>
      <c r="E8058" t="s">
        <v>6</v>
      </c>
      <c r="F8058">
        <v>0.14621000000000001</v>
      </c>
    </row>
    <row r="8059" spans="1:6" x14ac:dyDescent="0.3">
      <c r="A8059" t="s">
        <v>22</v>
      </c>
      <c r="B8059" s="1">
        <v>45993</v>
      </c>
      <c r="C8059">
        <v>18</v>
      </c>
      <c r="D8059">
        <v>2.0259999999999998</v>
      </c>
      <c r="E8059" t="s">
        <v>6</v>
      </c>
      <c r="F8059">
        <v>0.17590999999999998</v>
      </c>
    </row>
    <row r="8060" spans="1:6" x14ac:dyDescent="0.3">
      <c r="A8060" t="s">
        <v>22</v>
      </c>
      <c r="B8060" s="1">
        <v>45993</v>
      </c>
      <c r="C8060">
        <v>19</v>
      </c>
      <c r="D8060">
        <v>1.2689999999999999</v>
      </c>
      <c r="E8060" t="s">
        <v>6</v>
      </c>
      <c r="F8060">
        <v>0.26221</v>
      </c>
    </row>
    <row r="8061" spans="1:6" x14ac:dyDescent="0.3">
      <c r="A8061" t="s">
        <v>22</v>
      </c>
      <c r="B8061" s="1">
        <v>45993</v>
      </c>
      <c r="C8061">
        <v>20</v>
      </c>
      <c r="D8061">
        <v>1.802</v>
      </c>
      <c r="E8061" t="s">
        <v>6</v>
      </c>
      <c r="F8061">
        <v>0.26429000000000002</v>
      </c>
    </row>
    <row r="8062" spans="1:6" x14ac:dyDescent="0.3">
      <c r="A8062" t="s">
        <v>22</v>
      </c>
      <c r="B8062" s="1">
        <v>45993</v>
      </c>
      <c r="C8062">
        <v>21</v>
      </c>
      <c r="D8062">
        <v>3.3370000000000002</v>
      </c>
      <c r="E8062" t="s">
        <v>6</v>
      </c>
      <c r="F8062">
        <v>0.25695000000000001</v>
      </c>
    </row>
    <row r="8063" spans="1:6" x14ac:dyDescent="0.3">
      <c r="A8063" t="s">
        <v>22</v>
      </c>
      <c r="B8063" s="1">
        <v>45993</v>
      </c>
      <c r="C8063">
        <v>22</v>
      </c>
      <c r="D8063">
        <v>3.0219999999999998</v>
      </c>
      <c r="E8063" t="s">
        <v>6</v>
      </c>
      <c r="F8063">
        <v>0.23843</v>
      </c>
    </row>
    <row r="8064" spans="1:6" x14ac:dyDescent="0.3">
      <c r="A8064" t="s">
        <v>22</v>
      </c>
      <c r="B8064" s="1">
        <v>45993</v>
      </c>
      <c r="C8064">
        <v>23</v>
      </c>
      <c r="D8064">
        <v>2.492</v>
      </c>
      <c r="E8064" t="s">
        <v>6</v>
      </c>
      <c r="F8064">
        <v>0.15702000000000002</v>
      </c>
    </row>
    <row r="8065" spans="1:6" x14ac:dyDescent="0.3">
      <c r="A8065" t="s">
        <v>22</v>
      </c>
      <c r="B8065" s="1">
        <v>45993</v>
      </c>
      <c r="C8065">
        <v>24</v>
      </c>
      <c r="D8065">
        <v>2.5289999999999999</v>
      </c>
      <c r="E8065" t="s">
        <v>6</v>
      </c>
      <c r="F8065">
        <v>0.14713999999999999</v>
      </c>
    </row>
    <row r="8066" spans="1:6" x14ac:dyDescent="0.3">
      <c r="A8066" t="s">
        <v>22</v>
      </c>
      <c r="B8066" s="1">
        <v>45994</v>
      </c>
      <c r="C8066">
        <v>1</v>
      </c>
      <c r="D8066">
        <v>2.4649999999999999</v>
      </c>
      <c r="E8066" t="s">
        <v>6</v>
      </c>
      <c r="F8066">
        <v>0.12918000000000002</v>
      </c>
    </row>
    <row r="8067" spans="1:6" x14ac:dyDescent="0.3">
      <c r="A8067" t="s">
        <v>22</v>
      </c>
      <c r="B8067" s="1">
        <v>45994</v>
      </c>
      <c r="C8067">
        <v>2</v>
      </c>
      <c r="D8067">
        <v>3.1019999999999999</v>
      </c>
      <c r="E8067" t="s">
        <v>6</v>
      </c>
      <c r="F8067">
        <v>0.12484999999999999</v>
      </c>
    </row>
    <row r="8068" spans="1:6" x14ac:dyDescent="0.3">
      <c r="A8068" t="s">
        <v>22</v>
      </c>
      <c r="B8068" s="1">
        <v>45994</v>
      </c>
      <c r="C8068">
        <v>3</v>
      </c>
      <c r="D8068">
        <v>2.714</v>
      </c>
      <c r="E8068" t="s">
        <v>6</v>
      </c>
      <c r="F8068">
        <v>0.12057</v>
      </c>
    </row>
    <row r="8069" spans="1:6" x14ac:dyDescent="0.3">
      <c r="A8069" t="s">
        <v>22</v>
      </c>
      <c r="B8069" s="1">
        <v>45994</v>
      </c>
      <c r="C8069">
        <v>4</v>
      </c>
      <c r="D8069">
        <v>3.1190000000000002</v>
      </c>
      <c r="E8069" t="s">
        <v>6</v>
      </c>
      <c r="F8069">
        <v>0.11158</v>
      </c>
    </row>
    <row r="8070" spans="1:6" x14ac:dyDescent="0.3">
      <c r="A8070" t="s">
        <v>22</v>
      </c>
      <c r="B8070" s="1">
        <v>45994</v>
      </c>
      <c r="C8070">
        <v>5</v>
      </c>
      <c r="D8070">
        <v>2.2000000000000002</v>
      </c>
      <c r="E8070" t="s">
        <v>6</v>
      </c>
      <c r="F8070">
        <v>0.11067</v>
      </c>
    </row>
    <row r="8071" spans="1:6" x14ac:dyDescent="0.3">
      <c r="A8071" t="s">
        <v>22</v>
      </c>
      <c r="B8071" s="1">
        <v>45994</v>
      </c>
      <c r="C8071">
        <v>6</v>
      </c>
      <c r="D8071">
        <v>1.131</v>
      </c>
      <c r="E8071" t="s">
        <v>6</v>
      </c>
      <c r="F8071">
        <v>0.11461</v>
      </c>
    </row>
    <row r="8072" spans="1:6" x14ac:dyDescent="0.3">
      <c r="A8072" t="s">
        <v>22</v>
      </c>
      <c r="B8072" s="1">
        <v>45994</v>
      </c>
      <c r="C8072">
        <v>7</v>
      </c>
      <c r="D8072">
        <v>2.548</v>
      </c>
      <c r="E8072" t="s">
        <v>6</v>
      </c>
      <c r="F8072">
        <v>0.12107</v>
      </c>
    </row>
    <row r="8073" spans="1:6" x14ac:dyDescent="0.3">
      <c r="A8073" t="s">
        <v>22</v>
      </c>
      <c r="B8073" s="1">
        <v>45994</v>
      </c>
      <c r="C8073">
        <v>8</v>
      </c>
      <c r="D8073">
        <v>2.3919999999999999</v>
      </c>
      <c r="E8073" t="s">
        <v>6</v>
      </c>
      <c r="F8073">
        <v>0.13534000000000002</v>
      </c>
    </row>
    <row r="8074" spans="1:6" x14ac:dyDescent="0.3">
      <c r="A8074" t="s">
        <v>22</v>
      </c>
      <c r="B8074" s="1">
        <v>45994</v>
      </c>
      <c r="C8074">
        <v>9</v>
      </c>
      <c r="D8074">
        <v>1.6279999999999999</v>
      </c>
      <c r="E8074" t="s">
        <v>6</v>
      </c>
      <c r="F8074">
        <v>0.16844000000000001</v>
      </c>
    </row>
    <row r="8075" spans="1:6" x14ac:dyDescent="0.3">
      <c r="A8075" t="s">
        <v>22</v>
      </c>
      <c r="B8075" s="1">
        <v>45994</v>
      </c>
      <c r="C8075">
        <v>10</v>
      </c>
      <c r="D8075">
        <v>0.53300000000000003</v>
      </c>
      <c r="E8075" t="s">
        <v>6</v>
      </c>
      <c r="F8075">
        <v>0.15108000000000002</v>
      </c>
    </row>
    <row r="8076" spans="1:6" x14ac:dyDescent="0.3">
      <c r="A8076" t="s">
        <v>22</v>
      </c>
      <c r="B8076" s="1">
        <v>45994</v>
      </c>
      <c r="C8076">
        <v>11</v>
      </c>
      <c r="D8076">
        <v>0</v>
      </c>
      <c r="E8076" t="s">
        <v>6</v>
      </c>
      <c r="F8076">
        <v>0.19863999999999998</v>
      </c>
    </row>
    <row r="8077" spans="1:6" x14ac:dyDescent="0.3">
      <c r="A8077" t="s">
        <v>22</v>
      </c>
      <c r="B8077" s="1">
        <v>45994</v>
      </c>
      <c r="C8077">
        <v>12</v>
      </c>
      <c r="D8077">
        <v>0</v>
      </c>
      <c r="E8077" t="s">
        <v>6</v>
      </c>
      <c r="F8077">
        <v>0.17158999999999999</v>
      </c>
    </row>
    <row r="8078" spans="1:6" x14ac:dyDescent="0.3">
      <c r="A8078" t="s">
        <v>22</v>
      </c>
      <c r="B8078" s="1">
        <v>45994</v>
      </c>
      <c r="C8078">
        <v>13</v>
      </c>
      <c r="D8078">
        <v>0</v>
      </c>
      <c r="E8078" t="s">
        <v>6</v>
      </c>
      <c r="F8078">
        <v>0.15397999999999998</v>
      </c>
    </row>
    <row r="8079" spans="1:6" x14ac:dyDescent="0.3">
      <c r="A8079" t="s">
        <v>22</v>
      </c>
      <c r="B8079" s="1">
        <v>45994</v>
      </c>
      <c r="C8079">
        <v>14</v>
      </c>
      <c r="D8079">
        <v>0</v>
      </c>
      <c r="E8079" t="s">
        <v>6</v>
      </c>
      <c r="F8079">
        <v>0.14576</v>
      </c>
    </row>
    <row r="8080" spans="1:6" x14ac:dyDescent="0.3">
      <c r="A8080" t="s">
        <v>22</v>
      </c>
      <c r="B8080" s="1">
        <v>45994</v>
      </c>
      <c r="C8080">
        <v>15</v>
      </c>
      <c r="D8080">
        <v>0</v>
      </c>
      <c r="E8080" t="s">
        <v>6</v>
      </c>
      <c r="F8080">
        <v>7.9409999999999994E-2</v>
      </c>
    </row>
    <row r="8081" spans="1:6" x14ac:dyDescent="0.3">
      <c r="A8081" t="s">
        <v>22</v>
      </c>
      <c r="B8081" s="1">
        <v>45994</v>
      </c>
      <c r="C8081">
        <v>16</v>
      </c>
      <c r="D8081">
        <v>0</v>
      </c>
      <c r="E8081" t="s">
        <v>6</v>
      </c>
      <c r="F8081">
        <v>9.7860000000000003E-2</v>
      </c>
    </row>
    <row r="8082" spans="1:6" x14ac:dyDescent="0.3">
      <c r="A8082" t="s">
        <v>22</v>
      </c>
      <c r="B8082" s="1">
        <v>45994</v>
      </c>
      <c r="C8082">
        <v>17</v>
      </c>
      <c r="D8082">
        <v>2.9729999999999999</v>
      </c>
      <c r="E8082" t="s">
        <v>6</v>
      </c>
      <c r="F8082">
        <v>0.12883</v>
      </c>
    </row>
    <row r="8083" spans="1:6" x14ac:dyDescent="0.3">
      <c r="A8083" t="s">
        <v>22</v>
      </c>
      <c r="B8083" s="1">
        <v>45994</v>
      </c>
      <c r="C8083">
        <v>18</v>
      </c>
      <c r="D8083">
        <v>2.359</v>
      </c>
      <c r="E8083" t="s">
        <v>6</v>
      </c>
      <c r="F8083">
        <v>0.15506999999999999</v>
      </c>
    </row>
    <row r="8084" spans="1:6" x14ac:dyDescent="0.3">
      <c r="A8084" t="s">
        <v>22</v>
      </c>
      <c r="B8084" s="1">
        <v>45994</v>
      </c>
      <c r="C8084">
        <v>19</v>
      </c>
      <c r="D8084">
        <v>3.2589999999999999</v>
      </c>
      <c r="E8084" t="s">
        <v>6</v>
      </c>
      <c r="F8084">
        <v>0.23759</v>
      </c>
    </row>
    <row r="8085" spans="1:6" x14ac:dyDescent="0.3">
      <c r="A8085" t="s">
        <v>22</v>
      </c>
      <c r="B8085" s="1">
        <v>45994</v>
      </c>
      <c r="C8085">
        <v>20</v>
      </c>
      <c r="D8085">
        <v>3.0609999999999999</v>
      </c>
      <c r="E8085" t="s">
        <v>6</v>
      </c>
      <c r="F8085">
        <v>0.23544000000000001</v>
      </c>
    </row>
    <row r="8086" spans="1:6" x14ac:dyDescent="0.3">
      <c r="A8086" t="s">
        <v>22</v>
      </c>
      <c r="B8086" s="1">
        <v>45994</v>
      </c>
      <c r="C8086">
        <v>21</v>
      </c>
      <c r="D8086">
        <v>4.08</v>
      </c>
      <c r="E8086" t="s">
        <v>6</v>
      </c>
      <c r="F8086">
        <v>0.23702999999999999</v>
      </c>
    </row>
    <row r="8087" spans="1:6" x14ac:dyDescent="0.3">
      <c r="A8087" t="s">
        <v>22</v>
      </c>
      <c r="B8087" s="1">
        <v>45994</v>
      </c>
      <c r="C8087">
        <v>22</v>
      </c>
      <c r="D8087">
        <v>3.5350000000000001</v>
      </c>
      <c r="E8087" t="s">
        <v>6</v>
      </c>
      <c r="F8087">
        <v>0.22941</v>
      </c>
    </row>
    <row r="8088" spans="1:6" x14ac:dyDescent="0.3">
      <c r="A8088" t="s">
        <v>22</v>
      </c>
      <c r="B8088" s="1">
        <v>45994</v>
      </c>
      <c r="C8088">
        <v>23</v>
      </c>
      <c r="D8088">
        <v>4.2290000000000001</v>
      </c>
      <c r="E8088" t="s">
        <v>6</v>
      </c>
      <c r="F8088">
        <v>0.15322</v>
      </c>
    </row>
    <row r="8089" spans="1:6" x14ac:dyDescent="0.3">
      <c r="A8089" t="s">
        <v>22</v>
      </c>
      <c r="B8089" s="1">
        <v>45994</v>
      </c>
      <c r="C8089">
        <v>24</v>
      </c>
      <c r="D8089">
        <v>3.69</v>
      </c>
      <c r="E8089" t="s">
        <v>6</v>
      </c>
      <c r="F8089">
        <v>0.14221999999999999</v>
      </c>
    </row>
    <row r="8090" spans="1:6" x14ac:dyDescent="0.3">
      <c r="A8090" t="s">
        <v>22</v>
      </c>
      <c r="B8090" s="1">
        <v>45995</v>
      </c>
      <c r="C8090">
        <v>1</v>
      </c>
      <c r="D8090">
        <v>3.29</v>
      </c>
      <c r="E8090" t="s">
        <v>6</v>
      </c>
      <c r="F8090">
        <v>0.10718000000000001</v>
      </c>
    </row>
    <row r="8091" spans="1:6" x14ac:dyDescent="0.3">
      <c r="A8091" t="s">
        <v>22</v>
      </c>
      <c r="B8091" s="1">
        <v>45995</v>
      </c>
      <c r="C8091">
        <v>2</v>
      </c>
      <c r="D8091">
        <v>3.6030000000000002</v>
      </c>
      <c r="E8091" t="s">
        <v>6</v>
      </c>
      <c r="F8091">
        <v>0.10399</v>
      </c>
    </row>
    <row r="8092" spans="1:6" x14ac:dyDescent="0.3">
      <c r="A8092" t="s">
        <v>22</v>
      </c>
      <c r="B8092" s="1">
        <v>45995</v>
      </c>
      <c r="C8092">
        <v>3</v>
      </c>
      <c r="D8092">
        <v>3.859</v>
      </c>
      <c r="E8092" t="s">
        <v>6</v>
      </c>
      <c r="F8092">
        <v>9.733E-2</v>
      </c>
    </row>
    <row r="8093" spans="1:6" x14ac:dyDescent="0.3">
      <c r="A8093" t="s">
        <v>22</v>
      </c>
      <c r="B8093" s="1">
        <v>45995</v>
      </c>
      <c r="C8093">
        <v>4</v>
      </c>
      <c r="D8093">
        <v>2.0430000000000001</v>
      </c>
      <c r="E8093" t="s">
        <v>6</v>
      </c>
      <c r="F8093">
        <v>8.9010000000000006E-2</v>
      </c>
    </row>
    <row r="8094" spans="1:6" x14ac:dyDescent="0.3">
      <c r="A8094" t="s">
        <v>22</v>
      </c>
      <c r="B8094" s="1">
        <v>45995</v>
      </c>
      <c r="C8094">
        <v>5</v>
      </c>
      <c r="D8094">
        <v>2</v>
      </c>
      <c r="E8094" t="s">
        <v>6</v>
      </c>
      <c r="F8094">
        <v>8.0840000000000009E-2</v>
      </c>
    </row>
    <row r="8095" spans="1:6" x14ac:dyDescent="0.3">
      <c r="A8095" t="s">
        <v>22</v>
      </c>
      <c r="B8095" s="1">
        <v>45995</v>
      </c>
      <c r="C8095">
        <v>6</v>
      </c>
      <c r="D8095">
        <v>2.5409999999999999</v>
      </c>
      <c r="E8095" t="s">
        <v>6</v>
      </c>
      <c r="F8095">
        <v>9.2510000000000009E-2</v>
      </c>
    </row>
    <row r="8096" spans="1:6" x14ac:dyDescent="0.3">
      <c r="A8096" t="s">
        <v>22</v>
      </c>
      <c r="B8096" s="1">
        <v>45995</v>
      </c>
      <c r="C8096">
        <v>7</v>
      </c>
      <c r="D8096">
        <v>3.21</v>
      </c>
      <c r="E8096" t="s">
        <v>6</v>
      </c>
      <c r="F8096">
        <v>0.10797</v>
      </c>
    </row>
    <row r="8097" spans="1:6" x14ac:dyDescent="0.3">
      <c r="A8097" t="s">
        <v>22</v>
      </c>
      <c r="B8097" s="1">
        <v>45995</v>
      </c>
      <c r="C8097">
        <v>8</v>
      </c>
      <c r="D8097">
        <v>3.9319999999999999</v>
      </c>
      <c r="E8097" t="s">
        <v>6</v>
      </c>
      <c r="F8097">
        <v>0.12339</v>
      </c>
    </row>
    <row r="8098" spans="1:6" x14ac:dyDescent="0.3">
      <c r="A8098" t="s">
        <v>22</v>
      </c>
      <c r="B8098" s="1">
        <v>45995</v>
      </c>
      <c r="C8098">
        <v>9</v>
      </c>
      <c r="D8098">
        <v>3.9990000000000001</v>
      </c>
      <c r="E8098" t="s">
        <v>6</v>
      </c>
      <c r="F8098">
        <v>0.15694999999999998</v>
      </c>
    </row>
    <row r="8099" spans="1:6" x14ac:dyDescent="0.3">
      <c r="A8099" t="s">
        <v>22</v>
      </c>
      <c r="B8099" s="1">
        <v>45995</v>
      </c>
      <c r="C8099">
        <v>10</v>
      </c>
      <c r="D8099">
        <v>2.8889999999999998</v>
      </c>
      <c r="E8099" t="s">
        <v>6</v>
      </c>
      <c r="F8099">
        <v>0.14999000000000001</v>
      </c>
    </row>
    <row r="8100" spans="1:6" x14ac:dyDescent="0.3">
      <c r="A8100" t="s">
        <v>22</v>
      </c>
      <c r="B8100" s="1">
        <v>45995</v>
      </c>
      <c r="C8100">
        <v>11</v>
      </c>
      <c r="D8100">
        <v>3.2949999999999999</v>
      </c>
      <c r="E8100" t="s">
        <v>6</v>
      </c>
      <c r="F8100">
        <v>0.20238</v>
      </c>
    </row>
    <row r="8101" spans="1:6" x14ac:dyDescent="0.3">
      <c r="A8101" t="s">
        <v>22</v>
      </c>
      <c r="B8101" s="1">
        <v>45995</v>
      </c>
      <c r="C8101">
        <v>12</v>
      </c>
      <c r="D8101">
        <v>2.992</v>
      </c>
      <c r="E8101" t="s">
        <v>6</v>
      </c>
      <c r="F8101">
        <v>0.19463</v>
      </c>
    </row>
    <row r="8102" spans="1:6" x14ac:dyDescent="0.3">
      <c r="A8102" t="s">
        <v>22</v>
      </c>
      <c r="B8102" s="1">
        <v>45995</v>
      </c>
      <c r="C8102">
        <v>13</v>
      </c>
      <c r="D8102">
        <v>3.4929999999999999</v>
      </c>
      <c r="E8102" t="s">
        <v>6</v>
      </c>
      <c r="F8102">
        <v>0.18780000000000002</v>
      </c>
    </row>
    <row r="8103" spans="1:6" x14ac:dyDescent="0.3">
      <c r="A8103" t="s">
        <v>22</v>
      </c>
      <c r="B8103" s="1">
        <v>45995</v>
      </c>
      <c r="C8103">
        <v>14</v>
      </c>
      <c r="D8103">
        <v>3.6429999999999998</v>
      </c>
      <c r="E8103" t="s">
        <v>6</v>
      </c>
      <c r="F8103">
        <v>0.18175999999999998</v>
      </c>
    </row>
    <row r="8104" spans="1:6" x14ac:dyDescent="0.3">
      <c r="A8104" t="s">
        <v>22</v>
      </c>
      <c r="B8104" s="1">
        <v>45995</v>
      </c>
      <c r="C8104">
        <v>15</v>
      </c>
      <c r="D8104">
        <v>2.9969999999999999</v>
      </c>
      <c r="E8104" t="s">
        <v>6</v>
      </c>
      <c r="F8104">
        <v>0.11568000000000001</v>
      </c>
    </row>
    <row r="8105" spans="1:6" x14ac:dyDescent="0.3">
      <c r="A8105" t="s">
        <v>22</v>
      </c>
      <c r="B8105" s="1">
        <v>45995</v>
      </c>
      <c r="C8105">
        <v>16</v>
      </c>
      <c r="D8105">
        <v>2.3029999999999999</v>
      </c>
      <c r="E8105" t="s">
        <v>6</v>
      </c>
      <c r="F8105">
        <v>0.1232</v>
      </c>
    </row>
    <row r="8106" spans="1:6" x14ac:dyDescent="0.3">
      <c r="A8106" t="s">
        <v>22</v>
      </c>
      <c r="B8106" s="1">
        <v>45995</v>
      </c>
      <c r="C8106">
        <v>17</v>
      </c>
      <c r="D8106">
        <v>2.335</v>
      </c>
      <c r="E8106" t="s">
        <v>6</v>
      </c>
      <c r="F8106">
        <v>0.13606000000000001</v>
      </c>
    </row>
    <row r="8107" spans="1:6" x14ac:dyDescent="0.3">
      <c r="A8107" t="s">
        <v>22</v>
      </c>
      <c r="B8107" s="1">
        <v>45995</v>
      </c>
      <c r="C8107">
        <v>18</v>
      </c>
      <c r="D8107">
        <v>2.2589999999999999</v>
      </c>
      <c r="E8107" t="s">
        <v>6</v>
      </c>
      <c r="F8107">
        <v>0.14828</v>
      </c>
    </row>
    <row r="8108" spans="1:6" x14ac:dyDescent="0.3">
      <c r="A8108" t="s">
        <v>22</v>
      </c>
      <c r="B8108" s="1">
        <v>45995</v>
      </c>
      <c r="C8108">
        <v>19</v>
      </c>
      <c r="D8108">
        <v>2.2810000000000001</v>
      </c>
      <c r="E8108" t="s">
        <v>6</v>
      </c>
      <c r="F8108">
        <v>0.22119999999999998</v>
      </c>
    </row>
    <row r="8109" spans="1:6" x14ac:dyDescent="0.3">
      <c r="A8109" t="s">
        <v>22</v>
      </c>
      <c r="B8109" s="1">
        <v>45995</v>
      </c>
      <c r="C8109">
        <v>20</v>
      </c>
      <c r="D8109">
        <v>1.865</v>
      </c>
      <c r="E8109" t="s">
        <v>6</v>
      </c>
      <c r="F8109">
        <v>0.22541</v>
      </c>
    </row>
    <row r="8110" spans="1:6" x14ac:dyDescent="0.3">
      <c r="A8110" t="s">
        <v>22</v>
      </c>
      <c r="B8110" s="1">
        <v>45995</v>
      </c>
      <c r="C8110">
        <v>21</v>
      </c>
      <c r="D8110">
        <v>3.754</v>
      </c>
      <c r="E8110" t="s">
        <v>6</v>
      </c>
      <c r="F8110">
        <v>0.22550999999999999</v>
      </c>
    </row>
    <row r="8111" spans="1:6" x14ac:dyDescent="0.3">
      <c r="A8111" t="s">
        <v>22</v>
      </c>
      <c r="B8111" s="1">
        <v>45995</v>
      </c>
      <c r="C8111">
        <v>22</v>
      </c>
      <c r="D8111">
        <v>4.3499999999999996</v>
      </c>
      <c r="E8111" t="s">
        <v>6</v>
      </c>
      <c r="F8111">
        <v>0.22131999999999999</v>
      </c>
    </row>
    <row r="8112" spans="1:6" x14ac:dyDescent="0.3">
      <c r="A8112" t="s">
        <v>22</v>
      </c>
      <c r="B8112" s="1">
        <v>45995</v>
      </c>
      <c r="C8112">
        <v>23</v>
      </c>
      <c r="D8112">
        <v>2.621</v>
      </c>
      <c r="E8112" t="s">
        <v>6</v>
      </c>
      <c r="F8112">
        <v>0.14995</v>
      </c>
    </row>
    <row r="8113" spans="1:6" x14ac:dyDescent="0.3">
      <c r="A8113" t="s">
        <v>22</v>
      </c>
      <c r="B8113" s="1">
        <v>45995</v>
      </c>
      <c r="C8113">
        <v>24</v>
      </c>
      <c r="D8113">
        <v>3.0579999999999998</v>
      </c>
      <c r="E8113" t="s">
        <v>6</v>
      </c>
      <c r="F8113">
        <v>0.13342999999999999</v>
      </c>
    </row>
    <row r="8114" spans="1:6" x14ac:dyDescent="0.3">
      <c r="A8114" t="s">
        <v>22</v>
      </c>
      <c r="B8114" s="1">
        <v>45996</v>
      </c>
      <c r="C8114">
        <v>1</v>
      </c>
      <c r="D8114">
        <v>2.1680000000000001</v>
      </c>
      <c r="E8114" t="s">
        <v>6</v>
      </c>
      <c r="F8114">
        <v>0.11955</v>
      </c>
    </row>
    <row r="8115" spans="1:6" x14ac:dyDescent="0.3">
      <c r="A8115" t="s">
        <v>22</v>
      </c>
      <c r="B8115" s="1">
        <v>45996</v>
      </c>
      <c r="C8115">
        <v>2</v>
      </c>
      <c r="D8115">
        <v>2.0339999999999998</v>
      </c>
      <c r="E8115" t="s">
        <v>6</v>
      </c>
      <c r="F8115">
        <v>0.10887000000000001</v>
      </c>
    </row>
    <row r="8116" spans="1:6" x14ac:dyDescent="0.3">
      <c r="A8116" t="s">
        <v>22</v>
      </c>
      <c r="B8116" s="1">
        <v>45996</v>
      </c>
      <c r="C8116">
        <v>3</v>
      </c>
      <c r="D8116">
        <v>2.0750000000000002</v>
      </c>
      <c r="E8116" t="s">
        <v>6</v>
      </c>
      <c r="F8116">
        <v>0.10407</v>
      </c>
    </row>
    <row r="8117" spans="1:6" x14ac:dyDescent="0.3">
      <c r="A8117" t="s">
        <v>22</v>
      </c>
      <c r="B8117" s="1">
        <v>45996</v>
      </c>
      <c r="C8117">
        <v>4</v>
      </c>
      <c r="D8117">
        <v>2.5409999999999999</v>
      </c>
      <c r="E8117" t="s">
        <v>6</v>
      </c>
      <c r="F8117">
        <v>0.10070999999999999</v>
      </c>
    </row>
    <row r="8118" spans="1:6" x14ac:dyDescent="0.3">
      <c r="A8118" t="s">
        <v>22</v>
      </c>
      <c r="B8118" s="1">
        <v>45996</v>
      </c>
      <c r="C8118">
        <v>5</v>
      </c>
      <c r="D8118">
        <v>2.5760000000000001</v>
      </c>
      <c r="E8118" t="s">
        <v>6</v>
      </c>
      <c r="F8118">
        <v>0.10056999999999999</v>
      </c>
    </row>
    <row r="8119" spans="1:6" x14ac:dyDescent="0.3">
      <c r="A8119" t="s">
        <v>22</v>
      </c>
      <c r="B8119" s="1">
        <v>45996</v>
      </c>
      <c r="C8119">
        <v>6</v>
      </c>
      <c r="D8119">
        <v>2.5659999999999998</v>
      </c>
      <c r="E8119" t="s">
        <v>6</v>
      </c>
      <c r="F8119">
        <v>0.10425</v>
      </c>
    </row>
    <row r="8120" spans="1:6" x14ac:dyDescent="0.3">
      <c r="A8120" t="s">
        <v>22</v>
      </c>
      <c r="B8120" s="1">
        <v>45996</v>
      </c>
      <c r="C8120">
        <v>7</v>
      </c>
      <c r="D8120">
        <v>2.0449999999999999</v>
      </c>
      <c r="E8120" t="s">
        <v>6</v>
      </c>
      <c r="F8120">
        <v>0.11637</v>
      </c>
    </row>
    <row r="8121" spans="1:6" x14ac:dyDescent="0.3">
      <c r="A8121" t="s">
        <v>22</v>
      </c>
      <c r="B8121" s="1">
        <v>45996</v>
      </c>
      <c r="C8121">
        <v>8</v>
      </c>
      <c r="D8121">
        <v>2.609</v>
      </c>
      <c r="E8121" t="s">
        <v>6</v>
      </c>
      <c r="F8121">
        <v>0.12429000000000001</v>
      </c>
    </row>
    <row r="8122" spans="1:6" x14ac:dyDescent="0.3">
      <c r="A8122" t="s">
        <v>22</v>
      </c>
      <c r="B8122" s="1">
        <v>45996</v>
      </c>
      <c r="C8122">
        <v>9</v>
      </c>
      <c r="D8122">
        <v>4.3</v>
      </c>
      <c r="E8122" t="s">
        <v>6</v>
      </c>
      <c r="F8122">
        <v>0.15991</v>
      </c>
    </row>
    <row r="8123" spans="1:6" x14ac:dyDescent="0.3">
      <c r="A8123" t="s">
        <v>22</v>
      </c>
      <c r="B8123" s="1">
        <v>45996</v>
      </c>
      <c r="C8123">
        <v>10</v>
      </c>
      <c r="D8123">
        <v>3.4510000000000001</v>
      </c>
      <c r="E8123" t="s">
        <v>6</v>
      </c>
      <c r="F8123">
        <v>0.15659999999999999</v>
      </c>
    </row>
    <row r="8124" spans="1:6" x14ac:dyDescent="0.3">
      <c r="A8124" t="s">
        <v>22</v>
      </c>
      <c r="B8124" s="1">
        <v>45996</v>
      </c>
      <c r="C8124">
        <v>11</v>
      </c>
      <c r="D8124">
        <v>2.1240000000000001</v>
      </c>
      <c r="E8124" t="s">
        <v>6</v>
      </c>
      <c r="F8124">
        <v>0.21586000000000002</v>
      </c>
    </row>
    <row r="8125" spans="1:6" x14ac:dyDescent="0.3">
      <c r="A8125" t="s">
        <v>22</v>
      </c>
      <c r="B8125" s="1">
        <v>45996</v>
      </c>
      <c r="C8125">
        <v>12</v>
      </c>
      <c r="D8125">
        <v>1.3640000000000001</v>
      </c>
      <c r="E8125" t="s">
        <v>6</v>
      </c>
      <c r="F8125">
        <v>0.20990999999999999</v>
      </c>
    </row>
    <row r="8126" spans="1:6" x14ac:dyDescent="0.3">
      <c r="A8126" t="s">
        <v>22</v>
      </c>
      <c r="B8126" s="1">
        <v>45996</v>
      </c>
      <c r="C8126">
        <v>13</v>
      </c>
      <c r="D8126">
        <v>0.16300000000000001</v>
      </c>
      <c r="E8126" t="s">
        <v>6</v>
      </c>
      <c r="F8126">
        <v>0.20038999999999998</v>
      </c>
    </row>
    <row r="8127" spans="1:6" x14ac:dyDescent="0.3">
      <c r="A8127" t="s">
        <v>22</v>
      </c>
      <c r="B8127" s="1">
        <v>45996</v>
      </c>
      <c r="C8127">
        <v>14</v>
      </c>
      <c r="D8127">
        <v>0</v>
      </c>
      <c r="E8127" t="s">
        <v>6</v>
      </c>
      <c r="F8127">
        <v>0.18791999999999998</v>
      </c>
    </row>
    <row r="8128" spans="1:6" x14ac:dyDescent="0.3">
      <c r="A8128" t="s">
        <v>22</v>
      </c>
      <c r="B8128" s="1">
        <v>45996</v>
      </c>
      <c r="C8128">
        <v>15</v>
      </c>
      <c r="D8128">
        <v>0</v>
      </c>
      <c r="E8128" t="s">
        <v>6</v>
      </c>
      <c r="F8128">
        <v>0.12067</v>
      </c>
    </row>
    <row r="8129" spans="1:6" x14ac:dyDescent="0.3">
      <c r="A8129" t="s">
        <v>22</v>
      </c>
      <c r="B8129" s="1">
        <v>45996</v>
      </c>
      <c r="C8129">
        <v>16</v>
      </c>
      <c r="D8129">
        <v>0</v>
      </c>
      <c r="E8129" t="s">
        <v>6</v>
      </c>
      <c r="F8129">
        <v>0.13506000000000001</v>
      </c>
    </row>
    <row r="8130" spans="1:6" x14ac:dyDescent="0.3">
      <c r="A8130" t="s">
        <v>22</v>
      </c>
      <c r="B8130" s="1">
        <v>45996</v>
      </c>
      <c r="C8130">
        <v>17</v>
      </c>
      <c r="D8130">
        <v>1.863</v>
      </c>
      <c r="E8130" t="s">
        <v>6</v>
      </c>
      <c r="F8130">
        <v>0.14568999999999999</v>
      </c>
    </row>
    <row r="8131" spans="1:6" x14ac:dyDescent="0.3">
      <c r="A8131" t="s">
        <v>22</v>
      </c>
      <c r="B8131" s="1">
        <v>45996</v>
      </c>
      <c r="C8131">
        <v>18</v>
      </c>
      <c r="D8131">
        <v>1.5980000000000001</v>
      </c>
      <c r="E8131" t="s">
        <v>6</v>
      </c>
      <c r="F8131">
        <v>0.15277000000000002</v>
      </c>
    </row>
    <row r="8132" spans="1:6" x14ac:dyDescent="0.3">
      <c r="A8132" t="s">
        <v>22</v>
      </c>
      <c r="B8132" s="1">
        <v>45996</v>
      </c>
      <c r="C8132">
        <v>19</v>
      </c>
      <c r="D8132">
        <v>1.5169999999999999</v>
      </c>
      <c r="E8132" t="s">
        <v>6</v>
      </c>
      <c r="F8132">
        <v>0.22336</v>
      </c>
    </row>
    <row r="8133" spans="1:6" x14ac:dyDescent="0.3">
      <c r="A8133" t="s">
        <v>22</v>
      </c>
      <c r="B8133" s="1">
        <v>45996</v>
      </c>
      <c r="C8133">
        <v>20</v>
      </c>
      <c r="D8133">
        <v>2.573</v>
      </c>
      <c r="E8133" t="s">
        <v>6</v>
      </c>
      <c r="F8133">
        <v>0.21703999999999998</v>
      </c>
    </row>
    <row r="8134" spans="1:6" x14ac:dyDescent="0.3">
      <c r="A8134" t="s">
        <v>22</v>
      </c>
      <c r="B8134" s="1">
        <v>45996</v>
      </c>
      <c r="C8134">
        <v>21</v>
      </c>
      <c r="D8134">
        <v>2.637</v>
      </c>
      <c r="E8134" t="s">
        <v>6</v>
      </c>
      <c r="F8134">
        <v>0.21246000000000001</v>
      </c>
    </row>
    <row r="8135" spans="1:6" x14ac:dyDescent="0.3">
      <c r="A8135" t="s">
        <v>22</v>
      </c>
      <c r="B8135" s="1">
        <v>45996</v>
      </c>
      <c r="C8135">
        <v>22</v>
      </c>
      <c r="D8135">
        <v>3.1269999999999998</v>
      </c>
      <c r="E8135" t="s">
        <v>6</v>
      </c>
      <c r="F8135">
        <v>0.20366999999999999</v>
      </c>
    </row>
    <row r="8136" spans="1:6" x14ac:dyDescent="0.3">
      <c r="A8136" t="s">
        <v>22</v>
      </c>
      <c r="B8136" s="1">
        <v>45996</v>
      </c>
      <c r="C8136">
        <v>23</v>
      </c>
      <c r="D8136">
        <v>2.964</v>
      </c>
      <c r="E8136" t="s">
        <v>6</v>
      </c>
      <c r="F8136">
        <v>0.13268000000000002</v>
      </c>
    </row>
    <row r="8137" spans="1:6" x14ac:dyDescent="0.3">
      <c r="A8137" t="s">
        <v>22</v>
      </c>
      <c r="B8137" s="1">
        <v>45996</v>
      </c>
      <c r="C8137">
        <v>24</v>
      </c>
      <c r="D8137">
        <v>2.766</v>
      </c>
      <c r="E8137" t="s">
        <v>6</v>
      </c>
      <c r="F8137">
        <v>0.11962</v>
      </c>
    </row>
    <row r="8138" spans="1:6" x14ac:dyDescent="0.3">
      <c r="A8138" t="s">
        <v>22</v>
      </c>
      <c r="B8138" s="1">
        <v>45997</v>
      </c>
      <c r="C8138">
        <v>1</v>
      </c>
      <c r="D8138">
        <v>2.7789999999999999</v>
      </c>
      <c r="E8138" t="s">
        <v>6</v>
      </c>
      <c r="F8138">
        <v>9.1879999999999989E-2</v>
      </c>
    </row>
    <row r="8139" spans="1:6" x14ac:dyDescent="0.3">
      <c r="A8139" t="s">
        <v>22</v>
      </c>
      <c r="B8139" s="1">
        <v>45997</v>
      </c>
      <c r="C8139">
        <v>2</v>
      </c>
      <c r="D8139">
        <v>2.1240000000000001</v>
      </c>
      <c r="E8139" t="s">
        <v>6</v>
      </c>
      <c r="F8139">
        <v>8.134000000000001E-2</v>
      </c>
    </row>
    <row r="8140" spans="1:6" x14ac:dyDescent="0.3">
      <c r="A8140" t="s">
        <v>22</v>
      </c>
      <c r="B8140" s="1">
        <v>45997</v>
      </c>
      <c r="C8140">
        <v>3</v>
      </c>
      <c r="D8140">
        <v>1.6879999999999999</v>
      </c>
      <c r="E8140" t="s">
        <v>6</v>
      </c>
      <c r="F8140">
        <v>8.0620000000000011E-2</v>
      </c>
    </row>
    <row r="8141" spans="1:6" x14ac:dyDescent="0.3">
      <c r="A8141" t="s">
        <v>22</v>
      </c>
      <c r="B8141" s="1">
        <v>45997</v>
      </c>
      <c r="C8141">
        <v>4</v>
      </c>
      <c r="D8141">
        <v>1.6919999999999999</v>
      </c>
      <c r="E8141" t="s">
        <v>6</v>
      </c>
      <c r="F8141">
        <v>7.3599999999999999E-2</v>
      </c>
    </row>
    <row r="8142" spans="1:6" x14ac:dyDescent="0.3">
      <c r="A8142" t="s">
        <v>22</v>
      </c>
      <c r="B8142" s="1">
        <v>45997</v>
      </c>
      <c r="C8142">
        <v>5</v>
      </c>
      <c r="D8142">
        <v>1.7</v>
      </c>
      <c r="E8142" t="s">
        <v>6</v>
      </c>
      <c r="F8142">
        <v>7.1540000000000006E-2</v>
      </c>
    </row>
    <row r="8143" spans="1:6" x14ac:dyDescent="0.3">
      <c r="A8143" t="s">
        <v>22</v>
      </c>
      <c r="B8143" s="1">
        <v>45997</v>
      </c>
      <c r="C8143">
        <v>6</v>
      </c>
      <c r="D8143">
        <v>1.667</v>
      </c>
      <c r="E8143" t="s">
        <v>6</v>
      </c>
      <c r="F8143">
        <v>7.2870000000000004E-2</v>
      </c>
    </row>
    <row r="8144" spans="1:6" x14ac:dyDescent="0.3">
      <c r="A8144" t="s">
        <v>22</v>
      </c>
      <c r="B8144" s="1">
        <v>45997</v>
      </c>
      <c r="C8144">
        <v>7</v>
      </c>
      <c r="D8144">
        <v>3.3260000000000001</v>
      </c>
      <c r="E8144" t="s">
        <v>6</v>
      </c>
      <c r="F8144">
        <v>7.5740000000000002E-2</v>
      </c>
    </row>
    <row r="8145" spans="1:6" x14ac:dyDescent="0.3">
      <c r="A8145" t="s">
        <v>22</v>
      </c>
      <c r="B8145" s="1">
        <v>45997</v>
      </c>
      <c r="C8145">
        <v>8</v>
      </c>
      <c r="D8145">
        <v>3.9540000000000002</v>
      </c>
      <c r="E8145" t="s">
        <v>6</v>
      </c>
      <c r="F8145">
        <v>8.1799999999999998E-2</v>
      </c>
    </row>
    <row r="8146" spans="1:6" x14ac:dyDescent="0.3">
      <c r="A8146" t="s">
        <v>22</v>
      </c>
      <c r="B8146" s="1">
        <v>45997</v>
      </c>
      <c r="C8146">
        <v>9</v>
      </c>
      <c r="D8146">
        <v>3.077</v>
      </c>
      <c r="E8146" t="s">
        <v>6</v>
      </c>
      <c r="F8146">
        <v>8.965999999999999E-2</v>
      </c>
    </row>
    <row r="8147" spans="1:6" x14ac:dyDescent="0.3">
      <c r="A8147" t="s">
        <v>22</v>
      </c>
      <c r="B8147" s="1">
        <v>45997</v>
      </c>
      <c r="C8147">
        <v>10</v>
      </c>
      <c r="D8147">
        <v>1.7350000000000001</v>
      </c>
      <c r="E8147" t="s">
        <v>6</v>
      </c>
      <c r="F8147">
        <v>9.7030000000000005E-2</v>
      </c>
    </row>
    <row r="8148" spans="1:6" x14ac:dyDescent="0.3">
      <c r="A8148" t="s">
        <v>22</v>
      </c>
      <c r="B8148" s="1">
        <v>45997</v>
      </c>
      <c r="C8148">
        <v>11</v>
      </c>
      <c r="D8148">
        <v>0.25600000000000001</v>
      </c>
      <c r="E8148" t="s">
        <v>6</v>
      </c>
      <c r="F8148">
        <v>8.8660000000000003E-2</v>
      </c>
    </row>
    <row r="8149" spans="1:6" x14ac:dyDescent="0.3">
      <c r="A8149" t="s">
        <v>22</v>
      </c>
      <c r="B8149" s="1">
        <v>45997</v>
      </c>
      <c r="C8149">
        <v>12</v>
      </c>
      <c r="D8149">
        <v>0</v>
      </c>
      <c r="E8149" t="s">
        <v>6</v>
      </c>
      <c r="F8149">
        <v>8.158E-2</v>
      </c>
    </row>
    <row r="8150" spans="1:6" x14ac:dyDescent="0.3">
      <c r="A8150" t="s">
        <v>22</v>
      </c>
      <c r="B8150" s="1">
        <v>45997</v>
      </c>
      <c r="C8150">
        <v>13</v>
      </c>
      <c r="D8150">
        <v>0</v>
      </c>
      <c r="E8150" t="s">
        <v>6</v>
      </c>
      <c r="F8150">
        <v>8.2170000000000007E-2</v>
      </c>
    </row>
    <row r="8151" spans="1:6" x14ac:dyDescent="0.3">
      <c r="A8151" t="s">
        <v>22</v>
      </c>
      <c r="B8151" s="1">
        <v>45997</v>
      </c>
      <c r="C8151">
        <v>14</v>
      </c>
      <c r="D8151">
        <v>0</v>
      </c>
      <c r="E8151" t="s">
        <v>6</v>
      </c>
      <c r="F8151">
        <v>7.8109999999999999E-2</v>
      </c>
    </row>
    <row r="8152" spans="1:6" x14ac:dyDescent="0.3">
      <c r="A8152" t="s">
        <v>22</v>
      </c>
      <c r="B8152" s="1">
        <v>45997</v>
      </c>
      <c r="C8152">
        <v>15</v>
      </c>
      <c r="D8152">
        <v>0</v>
      </c>
      <c r="E8152" t="s">
        <v>6</v>
      </c>
      <c r="F8152">
        <v>7.8310000000000005E-2</v>
      </c>
    </row>
    <row r="8153" spans="1:6" x14ac:dyDescent="0.3">
      <c r="A8153" t="s">
        <v>22</v>
      </c>
      <c r="B8153" s="1">
        <v>45997</v>
      </c>
      <c r="C8153">
        <v>16</v>
      </c>
      <c r="D8153">
        <v>0</v>
      </c>
      <c r="E8153" t="s">
        <v>6</v>
      </c>
      <c r="F8153">
        <v>8.3119999999999999E-2</v>
      </c>
    </row>
    <row r="8154" spans="1:6" x14ac:dyDescent="0.3">
      <c r="A8154" t="s">
        <v>22</v>
      </c>
      <c r="B8154" s="1">
        <v>45997</v>
      </c>
      <c r="C8154">
        <v>17</v>
      </c>
      <c r="D8154">
        <v>1.478</v>
      </c>
      <c r="E8154" t="s">
        <v>6</v>
      </c>
      <c r="F8154">
        <v>9.4819999999999988E-2</v>
      </c>
    </row>
    <row r="8155" spans="1:6" x14ac:dyDescent="0.3">
      <c r="A8155" t="s">
        <v>22</v>
      </c>
      <c r="B8155" s="1">
        <v>45997</v>
      </c>
      <c r="C8155">
        <v>18</v>
      </c>
      <c r="D8155">
        <v>1.395</v>
      </c>
      <c r="E8155" t="s">
        <v>6</v>
      </c>
      <c r="F8155">
        <v>0.11658</v>
      </c>
    </row>
    <row r="8156" spans="1:6" x14ac:dyDescent="0.3">
      <c r="A8156" t="s">
        <v>22</v>
      </c>
      <c r="B8156" s="1">
        <v>45997</v>
      </c>
      <c r="C8156">
        <v>19</v>
      </c>
      <c r="D8156">
        <v>2.06</v>
      </c>
      <c r="E8156" t="s">
        <v>6</v>
      </c>
      <c r="F8156">
        <v>0.11854000000000001</v>
      </c>
    </row>
    <row r="8157" spans="1:6" x14ac:dyDescent="0.3">
      <c r="A8157" t="s">
        <v>22</v>
      </c>
      <c r="B8157" s="1">
        <v>45997</v>
      </c>
      <c r="C8157">
        <v>20</v>
      </c>
      <c r="D8157">
        <v>2.4220000000000002</v>
      </c>
      <c r="E8157" t="s">
        <v>6</v>
      </c>
      <c r="F8157">
        <v>0.12235</v>
      </c>
    </row>
    <row r="8158" spans="1:6" x14ac:dyDescent="0.3">
      <c r="A8158" t="s">
        <v>22</v>
      </c>
      <c r="B8158" s="1">
        <v>45997</v>
      </c>
      <c r="C8158">
        <v>21</v>
      </c>
      <c r="D8158">
        <v>2.6779999999999999</v>
      </c>
      <c r="E8158" t="s">
        <v>6</v>
      </c>
      <c r="F8158">
        <v>0.12734999999999999</v>
      </c>
    </row>
    <row r="8159" spans="1:6" x14ac:dyDescent="0.3">
      <c r="A8159" t="s">
        <v>22</v>
      </c>
      <c r="B8159" s="1">
        <v>45997</v>
      </c>
      <c r="C8159">
        <v>22</v>
      </c>
      <c r="D8159">
        <v>2.431</v>
      </c>
      <c r="E8159" t="s">
        <v>6</v>
      </c>
      <c r="F8159">
        <v>0.12805000000000002</v>
      </c>
    </row>
    <row r="8160" spans="1:6" x14ac:dyDescent="0.3">
      <c r="A8160" t="s">
        <v>22</v>
      </c>
      <c r="B8160" s="1">
        <v>45997</v>
      </c>
      <c r="C8160">
        <v>23</v>
      </c>
      <c r="D8160">
        <v>2.6920000000000002</v>
      </c>
      <c r="E8160" t="s">
        <v>6</v>
      </c>
      <c r="F8160">
        <v>0.12426999999999999</v>
      </c>
    </row>
    <row r="8161" spans="1:6" x14ac:dyDescent="0.3">
      <c r="A8161" t="s">
        <v>22</v>
      </c>
      <c r="B8161" s="1">
        <v>45997</v>
      </c>
      <c r="C8161">
        <v>24</v>
      </c>
      <c r="D8161">
        <v>2.3109999999999999</v>
      </c>
      <c r="E8161" t="s">
        <v>6</v>
      </c>
      <c r="F8161">
        <v>0.10969</v>
      </c>
    </row>
    <row r="8162" spans="1:6" x14ac:dyDescent="0.3">
      <c r="A8162" t="s">
        <v>22</v>
      </c>
      <c r="B8162" s="1">
        <v>45998</v>
      </c>
      <c r="C8162">
        <v>1</v>
      </c>
      <c r="D8162">
        <v>2.7749999999999999</v>
      </c>
      <c r="E8162" t="s">
        <v>6</v>
      </c>
      <c r="F8162">
        <v>9.69E-2</v>
      </c>
    </row>
    <row r="8163" spans="1:6" x14ac:dyDescent="0.3">
      <c r="A8163" t="s">
        <v>22</v>
      </c>
      <c r="B8163" s="1">
        <v>45998</v>
      </c>
      <c r="C8163">
        <v>2</v>
      </c>
      <c r="D8163">
        <v>2.085</v>
      </c>
      <c r="E8163" t="s">
        <v>6</v>
      </c>
      <c r="F8163">
        <v>8.9079999999999993E-2</v>
      </c>
    </row>
    <row r="8164" spans="1:6" x14ac:dyDescent="0.3">
      <c r="A8164" t="s">
        <v>22</v>
      </c>
      <c r="B8164" s="1">
        <v>45998</v>
      </c>
      <c r="C8164">
        <v>3</v>
      </c>
      <c r="D8164">
        <v>1.4570000000000001</v>
      </c>
      <c r="E8164" t="s">
        <v>6</v>
      </c>
      <c r="F8164">
        <v>9.1170000000000001E-2</v>
      </c>
    </row>
    <row r="8165" spans="1:6" x14ac:dyDescent="0.3">
      <c r="A8165" t="s">
        <v>22</v>
      </c>
      <c r="B8165" s="1">
        <v>45998</v>
      </c>
      <c r="C8165">
        <v>4</v>
      </c>
      <c r="D8165">
        <v>1.6639999999999999</v>
      </c>
      <c r="E8165" t="s">
        <v>6</v>
      </c>
      <c r="F8165">
        <v>8.7599999999999997E-2</v>
      </c>
    </row>
    <row r="8166" spans="1:6" x14ac:dyDescent="0.3">
      <c r="A8166" t="s">
        <v>22</v>
      </c>
      <c r="B8166" s="1">
        <v>45998</v>
      </c>
      <c r="C8166">
        <v>5</v>
      </c>
      <c r="D8166">
        <v>1.099</v>
      </c>
      <c r="E8166" t="s">
        <v>6</v>
      </c>
      <c r="F8166">
        <v>8.098000000000001E-2</v>
      </c>
    </row>
    <row r="8167" spans="1:6" x14ac:dyDescent="0.3">
      <c r="A8167" t="s">
        <v>22</v>
      </c>
      <c r="B8167" s="1">
        <v>45998</v>
      </c>
      <c r="C8167">
        <v>6</v>
      </c>
      <c r="D8167">
        <v>2.0449999999999999</v>
      </c>
      <c r="E8167" t="s">
        <v>6</v>
      </c>
      <c r="F8167">
        <v>8.4610000000000005E-2</v>
      </c>
    </row>
    <row r="8168" spans="1:6" x14ac:dyDescent="0.3">
      <c r="A8168" t="s">
        <v>22</v>
      </c>
      <c r="B8168" s="1">
        <v>45998</v>
      </c>
      <c r="C8168">
        <v>7</v>
      </c>
      <c r="D8168">
        <v>2.5720000000000001</v>
      </c>
      <c r="E8168" t="s">
        <v>6</v>
      </c>
      <c r="F8168">
        <v>8.7109999999999993E-2</v>
      </c>
    </row>
    <row r="8169" spans="1:6" x14ac:dyDescent="0.3">
      <c r="A8169" t="s">
        <v>22</v>
      </c>
      <c r="B8169" s="1">
        <v>45998</v>
      </c>
      <c r="C8169">
        <v>8</v>
      </c>
      <c r="D8169">
        <v>2.9540000000000002</v>
      </c>
      <c r="E8169" t="s">
        <v>6</v>
      </c>
      <c r="F8169">
        <v>8.7129999999999999E-2</v>
      </c>
    </row>
    <row r="8170" spans="1:6" x14ac:dyDescent="0.3">
      <c r="A8170" t="s">
        <v>22</v>
      </c>
      <c r="B8170" s="1">
        <v>45998</v>
      </c>
      <c r="C8170">
        <v>9</v>
      </c>
      <c r="D8170">
        <v>2.3679999999999999</v>
      </c>
      <c r="E8170" t="s">
        <v>6</v>
      </c>
      <c r="F8170">
        <v>9.74E-2</v>
      </c>
    </row>
    <row r="8171" spans="1:6" x14ac:dyDescent="0.3">
      <c r="A8171" t="s">
        <v>22</v>
      </c>
      <c r="B8171" s="1">
        <v>45998</v>
      </c>
      <c r="C8171">
        <v>10</v>
      </c>
      <c r="D8171">
        <v>1.488</v>
      </c>
      <c r="E8171" t="s">
        <v>6</v>
      </c>
      <c r="F8171">
        <v>8.5559999999999997E-2</v>
      </c>
    </row>
    <row r="8172" spans="1:6" x14ac:dyDescent="0.3">
      <c r="A8172" t="s">
        <v>22</v>
      </c>
      <c r="B8172" s="1">
        <v>45998</v>
      </c>
      <c r="C8172">
        <v>11</v>
      </c>
      <c r="D8172">
        <v>0</v>
      </c>
      <c r="E8172" t="s">
        <v>6</v>
      </c>
      <c r="F8172">
        <v>7.5819999999999999E-2</v>
      </c>
    </row>
    <row r="8173" spans="1:6" x14ac:dyDescent="0.3">
      <c r="A8173" t="s">
        <v>22</v>
      </c>
      <c r="B8173" s="1">
        <v>45998</v>
      </c>
      <c r="C8173">
        <v>12</v>
      </c>
      <c r="D8173">
        <v>0</v>
      </c>
      <c r="E8173" t="s">
        <v>6</v>
      </c>
      <c r="F8173">
        <v>7.0889999999999995E-2</v>
      </c>
    </row>
    <row r="8174" spans="1:6" x14ac:dyDescent="0.3">
      <c r="A8174" t="s">
        <v>22</v>
      </c>
      <c r="B8174" s="1">
        <v>45998</v>
      </c>
      <c r="C8174">
        <v>13</v>
      </c>
      <c r="D8174">
        <v>0</v>
      </c>
      <c r="E8174" t="s">
        <v>6</v>
      </c>
      <c r="F8174">
        <v>6.7569999999999991E-2</v>
      </c>
    </row>
    <row r="8175" spans="1:6" x14ac:dyDescent="0.3">
      <c r="A8175" t="s">
        <v>22</v>
      </c>
      <c r="B8175" s="1">
        <v>45998</v>
      </c>
      <c r="C8175">
        <v>14</v>
      </c>
      <c r="D8175">
        <v>0</v>
      </c>
      <c r="E8175" t="s">
        <v>6</v>
      </c>
      <c r="F8175">
        <v>6.6409999999999997E-2</v>
      </c>
    </row>
    <row r="8176" spans="1:6" x14ac:dyDescent="0.3">
      <c r="A8176" t="s">
        <v>22</v>
      </c>
      <c r="B8176" s="1">
        <v>45998</v>
      </c>
      <c r="C8176">
        <v>15</v>
      </c>
      <c r="D8176">
        <v>0</v>
      </c>
      <c r="E8176" t="s">
        <v>6</v>
      </c>
      <c r="F8176">
        <v>6.631999999999999E-2</v>
      </c>
    </row>
    <row r="8177" spans="1:6" x14ac:dyDescent="0.3">
      <c r="A8177" t="s">
        <v>22</v>
      </c>
      <c r="B8177" s="1">
        <v>45998</v>
      </c>
      <c r="C8177">
        <v>16</v>
      </c>
      <c r="D8177">
        <v>0</v>
      </c>
      <c r="E8177" t="s">
        <v>6</v>
      </c>
      <c r="F8177">
        <v>7.2109999999999994E-2</v>
      </c>
    </row>
    <row r="8178" spans="1:6" x14ac:dyDescent="0.3">
      <c r="A8178" t="s">
        <v>22</v>
      </c>
      <c r="B8178" s="1">
        <v>45998</v>
      </c>
      <c r="C8178">
        <v>17</v>
      </c>
      <c r="D8178">
        <v>1.403</v>
      </c>
      <c r="E8178" t="s">
        <v>6</v>
      </c>
      <c r="F8178">
        <v>8.1530000000000005E-2</v>
      </c>
    </row>
    <row r="8179" spans="1:6" x14ac:dyDescent="0.3">
      <c r="A8179" t="s">
        <v>22</v>
      </c>
      <c r="B8179" s="1">
        <v>45998</v>
      </c>
      <c r="C8179">
        <v>18</v>
      </c>
      <c r="D8179">
        <v>1.038</v>
      </c>
      <c r="E8179" t="s">
        <v>6</v>
      </c>
      <c r="F8179">
        <v>0.11555</v>
      </c>
    </row>
    <row r="8180" spans="1:6" x14ac:dyDescent="0.3">
      <c r="A8180" t="s">
        <v>22</v>
      </c>
      <c r="B8180" s="1">
        <v>45998</v>
      </c>
      <c r="C8180">
        <v>19</v>
      </c>
      <c r="D8180">
        <v>1.7050000000000001</v>
      </c>
      <c r="E8180" t="s">
        <v>6</v>
      </c>
      <c r="F8180">
        <v>0.13333</v>
      </c>
    </row>
    <row r="8181" spans="1:6" x14ac:dyDescent="0.3">
      <c r="A8181" t="s">
        <v>22</v>
      </c>
      <c r="B8181" s="1">
        <v>45998</v>
      </c>
      <c r="C8181">
        <v>20</v>
      </c>
      <c r="D8181">
        <v>2.181</v>
      </c>
      <c r="E8181" t="s">
        <v>6</v>
      </c>
      <c r="F8181">
        <v>0.14291999999999999</v>
      </c>
    </row>
    <row r="8182" spans="1:6" x14ac:dyDescent="0.3">
      <c r="A8182" t="s">
        <v>22</v>
      </c>
      <c r="B8182" s="1">
        <v>45998</v>
      </c>
      <c r="C8182">
        <v>21</v>
      </c>
      <c r="D8182">
        <v>1.9710000000000001</v>
      </c>
      <c r="E8182" t="s">
        <v>6</v>
      </c>
      <c r="F8182">
        <v>0.14973</v>
      </c>
    </row>
    <row r="8183" spans="1:6" x14ac:dyDescent="0.3">
      <c r="A8183" t="s">
        <v>22</v>
      </c>
      <c r="B8183" s="1">
        <v>45998</v>
      </c>
      <c r="C8183">
        <v>22</v>
      </c>
      <c r="D8183">
        <v>2.8769999999999998</v>
      </c>
      <c r="E8183" t="s">
        <v>6</v>
      </c>
      <c r="F8183">
        <v>0.15284999999999999</v>
      </c>
    </row>
    <row r="8184" spans="1:6" x14ac:dyDescent="0.3">
      <c r="A8184" t="s">
        <v>22</v>
      </c>
      <c r="B8184" s="1">
        <v>45998</v>
      </c>
      <c r="C8184">
        <v>23</v>
      </c>
      <c r="D8184">
        <v>2.0739999999999998</v>
      </c>
      <c r="E8184" t="s">
        <v>6</v>
      </c>
      <c r="F8184">
        <v>0.14241000000000001</v>
      </c>
    </row>
    <row r="8185" spans="1:6" x14ac:dyDescent="0.3">
      <c r="A8185" t="s">
        <v>22</v>
      </c>
      <c r="B8185" s="1">
        <v>45998</v>
      </c>
      <c r="C8185">
        <v>24</v>
      </c>
      <c r="D8185">
        <v>2.36</v>
      </c>
      <c r="E8185" t="s">
        <v>6</v>
      </c>
      <c r="F8185">
        <v>0.13556000000000001</v>
      </c>
    </row>
    <row r="8186" spans="1:6" x14ac:dyDescent="0.3">
      <c r="A8186" t="s">
        <v>22</v>
      </c>
      <c r="B8186" s="1">
        <v>45999</v>
      </c>
      <c r="C8186">
        <v>1</v>
      </c>
      <c r="D8186">
        <v>2.3380000000000001</v>
      </c>
      <c r="E8186" t="s">
        <v>6</v>
      </c>
      <c r="F8186">
        <v>0.12601000000000001</v>
      </c>
    </row>
    <row r="8187" spans="1:6" x14ac:dyDescent="0.3">
      <c r="A8187" t="s">
        <v>22</v>
      </c>
      <c r="B8187" s="1">
        <v>45999</v>
      </c>
      <c r="C8187">
        <v>2</v>
      </c>
      <c r="D8187">
        <v>2.4209999999999998</v>
      </c>
      <c r="E8187" t="s">
        <v>6</v>
      </c>
      <c r="F8187">
        <v>0.12237000000000001</v>
      </c>
    </row>
    <row r="8188" spans="1:6" x14ac:dyDescent="0.3">
      <c r="A8188" t="s">
        <v>22</v>
      </c>
      <c r="B8188" s="1">
        <v>45999</v>
      </c>
      <c r="C8188">
        <v>3</v>
      </c>
      <c r="D8188">
        <v>2.1779999999999999</v>
      </c>
      <c r="E8188" t="s">
        <v>6</v>
      </c>
      <c r="F8188">
        <v>0.11039</v>
      </c>
    </row>
    <row r="8189" spans="1:6" x14ac:dyDescent="0.3">
      <c r="A8189" t="s">
        <v>22</v>
      </c>
      <c r="B8189" s="1">
        <v>45999</v>
      </c>
      <c r="C8189">
        <v>4</v>
      </c>
      <c r="D8189">
        <v>2.5510000000000002</v>
      </c>
      <c r="E8189" t="s">
        <v>6</v>
      </c>
      <c r="F8189">
        <v>0.1108</v>
      </c>
    </row>
    <row r="8190" spans="1:6" x14ac:dyDescent="0.3">
      <c r="A8190" t="s">
        <v>22</v>
      </c>
      <c r="B8190" s="1">
        <v>45999</v>
      </c>
      <c r="C8190">
        <v>5</v>
      </c>
      <c r="D8190">
        <v>2.5920000000000001</v>
      </c>
      <c r="E8190" t="s">
        <v>6</v>
      </c>
      <c r="F8190">
        <v>0.10847</v>
      </c>
    </row>
    <row r="8191" spans="1:6" x14ac:dyDescent="0.3">
      <c r="A8191" t="s">
        <v>22</v>
      </c>
      <c r="B8191" s="1">
        <v>45999</v>
      </c>
      <c r="C8191">
        <v>6</v>
      </c>
      <c r="D8191">
        <v>2.7269999999999999</v>
      </c>
      <c r="E8191" t="s">
        <v>6</v>
      </c>
      <c r="F8191">
        <v>0.11092</v>
      </c>
    </row>
    <row r="8192" spans="1:6" x14ac:dyDescent="0.3">
      <c r="A8192" t="s">
        <v>22</v>
      </c>
      <c r="B8192" s="1">
        <v>45999</v>
      </c>
      <c r="C8192">
        <v>7</v>
      </c>
      <c r="D8192">
        <v>2.64</v>
      </c>
      <c r="E8192" t="s">
        <v>6</v>
      </c>
      <c r="F8192">
        <v>0.10876999999999999</v>
      </c>
    </row>
    <row r="8193" spans="1:6" x14ac:dyDescent="0.3">
      <c r="A8193" t="s">
        <v>22</v>
      </c>
      <c r="B8193" s="1">
        <v>45999</v>
      </c>
      <c r="C8193">
        <v>8</v>
      </c>
      <c r="D8193">
        <v>2.972</v>
      </c>
      <c r="E8193" t="s">
        <v>6</v>
      </c>
      <c r="F8193">
        <v>0.1222</v>
      </c>
    </row>
    <row r="8194" spans="1:6" x14ac:dyDescent="0.3">
      <c r="A8194" t="s">
        <v>22</v>
      </c>
      <c r="B8194" s="1">
        <v>45999</v>
      </c>
      <c r="C8194">
        <v>9</v>
      </c>
      <c r="D8194">
        <v>2.145</v>
      </c>
      <c r="E8194" t="s">
        <v>6</v>
      </c>
      <c r="F8194">
        <v>0.12242</v>
      </c>
    </row>
    <row r="8195" spans="1:6" x14ac:dyDescent="0.3">
      <c r="A8195" t="s">
        <v>22</v>
      </c>
      <c r="B8195" s="1">
        <v>45999</v>
      </c>
      <c r="C8195">
        <v>10</v>
      </c>
      <c r="D8195">
        <v>0.84399999999999997</v>
      </c>
      <c r="E8195" t="s">
        <v>6</v>
      </c>
      <c r="F8195">
        <v>9.7700000000000009E-2</v>
      </c>
    </row>
    <row r="8196" spans="1:6" x14ac:dyDescent="0.3">
      <c r="A8196" t="s">
        <v>22</v>
      </c>
      <c r="B8196" s="1">
        <v>45999</v>
      </c>
      <c r="C8196">
        <v>11</v>
      </c>
      <c r="D8196">
        <v>0.65200000000000002</v>
      </c>
      <c r="E8196" t="s">
        <v>6</v>
      </c>
      <c r="F8196">
        <v>7.4769999999999989E-2</v>
      </c>
    </row>
    <row r="8197" spans="1:6" x14ac:dyDescent="0.3">
      <c r="A8197" t="s">
        <v>22</v>
      </c>
      <c r="B8197" s="1">
        <v>45999</v>
      </c>
      <c r="C8197">
        <v>12</v>
      </c>
      <c r="D8197">
        <v>0</v>
      </c>
      <c r="E8197" t="s">
        <v>6</v>
      </c>
      <c r="F8197">
        <v>7.041E-2</v>
      </c>
    </row>
    <row r="8198" spans="1:6" x14ac:dyDescent="0.3">
      <c r="A8198" t="s">
        <v>22</v>
      </c>
      <c r="B8198" s="1">
        <v>45999</v>
      </c>
      <c r="C8198">
        <v>13</v>
      </c>
      <c r="D8198">
        <v>2.5510000000000002</v>
      </c>
      <c r="E8198" t="s">
        <v>6</v>
      </c>
      <c r="F8198">
        <v>6.8390000000000006E-2</v>
      </c>
    </row>
    <row r="8199" spans="1:6" x14ac:dyDescent="0.3">
      <c r="A8199" t="s">
        <v>22</v>
      </c>
      <c r="B8199" s="1">
        <v>45999</v>
      </c>
      <c r="C8199">
        <v>14</v>
      </c>
      <c r="D8199">
        <v>2.2989999999999999</v>
      </c>
      <c r="E8199" t="s">
        <v>6</v>
      </c>
      <c r="F8199">
        <v>6.0080000000000001E-2</v>
      </c>
    </row>
    <row r="8200" spans="1:6" x14ac:dyDescent="0.3">
      <c r="A8200" t="s">
        <v>22</v>
      </c>
      <c r="B8200" s="1">
        <v>45999</v>
      </c>
      <c r="C8200">
        <v>15</v>
      </c>
      <c r="D8200">
        <v>0.93600000000000005</v>
      </c>
      <c r="E8200" t="s">
        <v>6</v>
      </c>
      <c r="F8200">
        <v>6.1490000000000003E-2</v>
      </c>
    </row>
    <row r="8201" spans="1:6" x14ac:dyDescent="0.3">
      <c r="A8201" t="s">
        <v>22</v>
      </c>
      <c r="B8201" s="1">
        <v>45999</v>
      </c>
      <c r="C8201">
        <v>16</v>
      </c>
      <c r="D8201">
        <v>0.16200000000000001</v>
      </c>
      <c r="E8201" t="s">
        <v>6</v>
      </c>
      <c r="F8201">
        <v>7.349E-2</v>
      </c>
    </row>
    <row r="8202" spans="1:6" x14ac:dyDescent="0.3">
      <c r="A8202" t="s">
        <v>22</v>
      </c>
      <c r="B8202" s="1">
        <v>45999</v>
      </c>
      <c r="C8202">
        <v>17</v>
      </c>
      <c r="D8202">
        <v>2.1019999999999999</v>
      </c>
      <c r="E8202" t="s">
        <v>6</v>
      </c>
      <c r="F8202">
        <v>8.9200000000000002E-2</v>
      </c>
    </row>
    <row r="8203" spans="1:6" x14ac:dyDescent="0.3">
      <c r="A8203" t="s">
        <v>22</v>
      </c>
      <c r="B8203" s="1">
        <v>45999</v>
      </c>
      <c r="C8203">
        <v>18</v>
      </c>
      <c r="D8203">
        <v>1.956</v>
      </c>
      <c r="E8203" t="s">
        <v>6</v>
      </c>
      <c r="F8203">
        <v>0.12919999999999998</v>
      </c>
    </row>
    <row r="8204" spans="1:6" x14ac:dyDescent="0.3">
      <c r="A8204" t="s">
        <v>22</v>
      </c>
      <c r="B8204" s="1">
        <v>45999</v>
      </c>
      <c r="C8204">
        <v>19</v>
      </c>
      <c r="D8204">
        <v>1.887</v>
      </c>
      <c r="E8204" t="s">
        <v>6</v>
      </c>
      <c r="F8204">
        <v>0.13027</v>
      </c>
    </row>
    <row r="8205" spans="1:6" x14ac:dyDescent="0.3">
      <c r="A8205" t="s">
        <v>22</v>
      </c>
      <c r="B8205" s="1">
        <v>45999</v>
      </c>
      <c r="C8205">
        <v>20</v>
      </c>
      <c r="D8205">
        <v>1.702</v>
      </c>
      <c r="E8205" t="s">
        <v>6</v>
      </c>
      <c r="F8205">
        <v>0.14215</v>
      </c>
    </row>
    <row r="8206" spans="1:6" x14ac:dyDescent="0.3">
      <c r="A8206" t="s">
        <v>22</v>
      </c>
      <c r="B8206" s="1">
        <v>45999</v>
      </c>
      <c r="C8206">
        <v>21</v>
      </c>
      <c r="D8206">
        <v>1.4990000000000001</v>
      </c>
      <c r="E8206" t="s">
        <v>6</v>
      </c>
      <c r="F8206">
        <v>0.14727999999999999</v>
      </c>
    </row>
    <row r="8207" spans="1:6" x14ac:dyDescent="0.3">
      <c r="A8207" t="s">
        <v>22</v>
      </c>
      <c r="B8207" s="1">
        <v>45999</v>
      </c>
      <c r="C8207">
        <v>22</v>
      </c>
      <c r="D8207">
        <v>2.181</v>
      </c>
      <c r="E8207" t="s">
        <v>6</v>
      </c>
      <c r="F8207">
        <v>0.14487</v>
      </c>
    </row>
    <row r="8208" spans="1:6" x14ac:dyDescent="0.3">
      <c r="A8208" t="s">
        <v>22</v>
      </c>
      <c r="B8208" s="1">
        <v>45999</v>
      </c>
      <c r="C8208">
        <v>23</v>
      </c>
      <c r="D8208">
        <v>1.647</v>
      </c>
      <c r="E8208" t="s">
        <v>6</v>
      </c>
      <c r="F8208">
        <v>0.12949000000000002</v>
      </c>
    </row>
    <row r="8209" spans="1:6" x14ac:dyDescent="0.3">
      <c r="A8209" t="s">
        <v>22</v>
      </c>
      <c r="B8209" s="1">
        <v>45999</v>
      </c>
      <c r="C8209">
        <v>24</v>
      </c>
      <c r="D8209">
        <v>1.5589999999999999</v>
      </c>
      <c r="E8209" t="s">
        <v>6</v>
      </c>
      <c r="F8209">
        <v>0.12193000000000001</v>
      </c>
    </row>
    <row r="8210" spans="1:6" x14ac:dyDescent="0.3">
      <c r="A8210" t="s">
        <v>22</v>
      </c>
      <c r="B8210" s="1">
        <v>46000</v>
      </c>
      <c r="C8210">
        <v>1</v>
      </c>
      <c r="D8210">
        <v>1.339</v>
      </c>
      <c r="E8210" t="s">
        <v>6</v>
      </c>
      <c r="F8210">
        <v>0.10784999999999999</v>
      </c>
    </row>
    <row r="8211" spans="1:6" x14ac:dyDescent="0.3">
      <c r="A8211" t="s">
        <v>22</v>
      </c>
      <c r="B8211" s="1">
        <v>46000</v>
      </c>
      <c r="C8211">
        <v>2</v>
      </c>
      <c r="D8211">
        <v>1.6859999999999999</v>
      </c>
      <c r="E8211" t="s">
        <v>6</v>
      </c>
      <c r="F8211">
        <v>0.10123</v>
      </c>
    </row>
    <row r="8212" spans="1:6" x14ac:dyDescent="0.3">
      <c r="A8212" t="s">
        <v>22</v>
      </c>
      <c r="B8212" s="1">
        <v>46000</v>
      </c>
      <c r="C8212">
        <v>3</v>
      </c>
      <c r="D8212">
        <v>1.6040000000000001</v>
      </c>
      <c r="E8212" t="s">
        <v>6</v>
      </c>
      <c r="F8212">
        <v>9.9890000000000007E-2</v>
      </c>
    </row>
    <row r="8213" spans="1:6" x14ac:dyDescent="0.3">
      <c r="A8213" t="s">
        <v>22</v>
      </c>
      <c r="B8213" s="1">
        <v>46000</v>
      </c>
      <c r="C8213">
        <v>4</v>
      </c>
      <c r="D8213">
        <v>1.6659999999999999</v>
      </c>
      <c r="E8213" t="s">
        <v>6</v>
      </c>
      <c r="F8213">
        <v>9.731999999999999E-2</v>
      </c>
    </row>
    <row r="8214" spans="1:6" x14ac:dyDescent="0.3">
      <c r="A8214" t="s">
        <v>22</v>
      </c>
      <c r="B8214" s="1">
        <v>46000</v>
      </c>
      <c r="C8214">
        <v>5</v>
      </c>
      <c r="D8214">
        <v>1.526</v>
      </c>
      <c r="E8214" t="s">
        <v>6</v>
      </c>
      <c r="F8214">
        <v>9.3930000000000013E-2</v>
      </c>
    </row>
    <row r="8215" spans="1:6" x14ac:dyDescent="0.3">
      <c r="A8215" t="s">
        <v>22</v>
      </c>
      <c r="B8215" s="1">
        <v>46000</v>
      </c>
      <c r="C8215">
        <v>6</v>
      </c>
      <c r="D8215">
        <v>3.0169999999999999</v>
      </c>
      <c r="E8215" t="s">
        <v>6</v>
      </c>
      <c r="F8215">
        <v>9.7689999999999999E-2</v>
      </c>
    </row>
    <row r="8216" spans="1:6" x14ac:dyDescent="0.3">
      <c r="A8216" t="s">
        <v>22</v>
      </c>
      <c r="B8216" s="1">
        <v>46000</v>
      </c>
      <c r="C8216">
        <v>7</v>
      </c>
      <c r="D8216">
        <v>3.3079999999999998</v>
      </c>
      <c r="E8216" t="s">
        <v>6</v>
      </c>
      <c r="F8216">
        <v>0.11095999999999999</v>
      </c>
    </row>
    <row r="8217" spans="1:6" x14ac:dyDescent="0.3">
      <c r="A8217" t="s">
        <v>22</v>
      </c>
      <c r="B8217" s="1">
        <v>46000</v>
      </c>
      <c r="C8217">
        <v>8</v>
      </c>
      <c r="D8217">
        <v>3.5550000000000002</v>
      </c>
      <c r="E8217" t="s">
        <v>6</v>
      </c>
      <c r="F8217">
        <v>0.12462000000000001</v>
      </c>
    </row>
    <row r="8218" spans="1:6" x14ac:dyDescent="0.3">
      <c r="A8218" t="s">
        <v>22</v>
      </c>
      <c r="B8218" s="1">
        <v>46000</v>
      </c>
      <c r="C8218">
        <v>9</v>
      </c>
      <c r="D8218">
        <v>3.1349999999999998</v>
      </c>
      <c r="E8218" t="s">
        <v>6</v>
      </c>
      <c r="F8218">
        <v>0.15806000000000001</v>
      </c>
    </row>
    <row r="8219" spans="1:6" x14ac:dyDescent="0.3">
      <c r="A8219" t="s">
        <v>22</v>
      </c>
      <c r="B8219" s="1">
        <v>46000</v>
      </c>
      <c r="C8219">
        <v>10</v>
      </c>
      <c r="D8219">
        <v>0.874</v>
      </c>
      <c r="E8219" t="s">
        <v>6</v>
      </c>
      <c r="F8219">
        <v>0.13053999999999999</v>
      </c>
    </row>
    <row r="8220" spans="1:6" x14ac:dyDescent="0.3">
      <c r="A8220" t="s">
        <v>22</v>
      </c>
      <c r="B8220" s="1">
        <v>46000</v>
      </c>
      <c r="C8220">
        <v>11</v>
      </c>
      <c r="D8220">
        <v>0</v>
      </c>
      <c r="E8220" t="s">
        <v>6</v>
      </c>
      <c r="F8220">
        <v>0.16800000000000001</v>
      </c>
    </row>
    <row r="8221" spans="1:6" x14ac:dyDescent="0.3">
      <c r="A8221" t="s">
        <v>22</v>
      </c>
      <c r="B8221" s="1">
        <v>46000</v>
      </c>
      <c r="C8221">
        <v>12</v>
      </c>
      <c r="D8221">
        <v>0</v>
      </c>
      <c r="E8221" t="s">
        <v>6</v>
      </c>
      <c r="F8221">
        <v>0.14083000000000001</v>
      </c>
    </row>
    <row r="8222" spans="1:6" x14ac:dyDescent="0.3">
      <c r="A8222" t="s">
        <v>22</v>
      </c>
      <c r="B8222" s="1">
        <v>46000</v>
      </c>
      <c r="C8222">
        <v>13</v>
      </c>
      <c r="D8222">
        <v>0</v>
      </c>
      <c r="E8222" t="s">
        <v>6</v>
      </c>
      <c r="F8222">
        <v>0.14036000000000001</v>
      </c>
    </row>
    <row r="8223" spans="1:6" x14ac:dyDescent="0.3">
      <c r="A8223" t="s">
        <v>22</v>
      </c>
      <c r="B8223" s="1">
        <v>46000</v>
      </c>
      <c r="C8223">
        <v>14</v>
      </c>
      <c r="D8223">
        <v>0</v>
      </c>
      <c r="E8223" t="s">
        <v>6</v>
      </c>
      <c r="F8223">
        <v>0.13872000000000001</v>
      </c>
    </row>
    <row r="8224" spans="1:6" x14ac:dyDescent="0.3">
      <c r="A8224" t="s">
        <v>22</v>
      </c>
      <c r="B8224" s="1">
        <v>46000</v>
      </c>
      <c r="C8224">
        <v>15</v>
      </c>
      <c r="D8224">
        <v>0</v>
      </c>
      <c r="E8224" t="s">
        <v>6</v>
      </c>
      <c r="F8224">
        <v>7.9519999999999993E-2</v>
      </c>
    </row>
    <row r="8225" spans="1:6" x14ac:dyDescent="0.3">
      <c r="A8225" t="s">
        <v>22</v>
      </c>
      <c r="B8225" s="1">
        <v>46000</v>
      </c>
      <c r="C8225">
        <v>16</v>
      </c>
      <c r="D8225">
        <v>0</v>
      </c>
      <c r="E8225" t="s">
        <v>6</v>
      </c>
      <c r="F8225">
        <v>0.10467</v>
      </c>
    </row>
    <row r="8226" spans="1:6" x14ac:dyDescent="0.3">
      <c r="A8226" t="s">
        <v>22</v>
      </c>
      <c r="B8226" s="1">
        <v>46000</v>
      </c>
      <c r="C8226">
        <v>17</v>
      </c>
      <c r="D8226">
        <v>3.6960000000000002</v>
      </c>
      <c r="E8226" t="s">
        <v>6</v>
      </c>
      <c r="F8226">
        <v>0.13936000000000001</v>
      </c>
    </row>
    <row r="8227" spans="1:6" x14ac:dyDescent="0.3">
      <c r="A8227" t="s">
        <v>22</v>
      </c>
      <c r="B8227" s="1">
        <v>46000</v>
      </c>
      <c r="C8227">
        <v>18</v>
      </c>
      <c r="D8227">
        <v>1.492</v>
      </c>
      <c r="E8227" t="s">
        <v>6</v>
      </c>
      <c r="F8227">
        <v>0.16688</v>
      </c>
    </row>
    <row r="8228" spans="1:6" x14ac:dyDescent="0.3">
      <c r="A8228" t="s">
        <v>22</v>
      </c>
      <c r="B8228" s="1">
        <v>46000</v>
      </c>
      <c r="C8228">
        <v>19</v>
      </c>
      <c r="D8228">
        <v>1.1259999999999999</v>
      </c>
      <c r="E8228" t="s">
        <v>6</v>
      </c>
      <c r="F8228">
        <v>0.25123000000000001</v>
      </c>
    </row>
    <row r="8229" spans="1:6" x14ac:dyDescent="0.3">
      <c r="A8229" t="s">
        <v>22</v>
      </c>
      <c r="B8229" s="1">
        <v>46000</v>
      </c>
      <c r="C8229">
        <v>20</v>
      </c>
      <c r="D8229">
        <v>1.337</v>
      </c>
      <c r="E8229" t="s">
        <v>6</v>
      </c>
      <c r="F8229">
        <v>0.26629000000000003</v>
      </c>
    </row>
    <row r="8230" spans="1:6" x14ac:dyDescent="0.3">
      <c r="A8230" t="s">
        <v>22</v>
      </c>
      <c r="B8230" s="1">
        <v>46000</v>
      </c>
      <c r="C8230">
        <v>21</v>
      </c>
      <c r="D8230">
        <v>2.0150000000000001</v>
      </c>
      <c r="E8230" t="s">
        <v>6</v>
      </c>
      <c r="F8230">
        <v>0.27623999999999999</v>
      </c>
    </row>
    <row r="8231" spans="1:6" x14ac:dyDescent="0.3">
      <c r="A8231" t="s">
        <v>22</v>
      </c>
      <c r="B8231" s="1">
        <v>46000</v>
      </c>
      <c r="C8231">
        <v>22</v>
      </c>
      <c r="D8231">
        <v>1.998</v>
      </c>
      <c r="E8231" t="s">
        <v>6</v>
      </c>
      <c r="F8231">
        <v>0.28085000000000004</v>
      </c>
    </row>
    <row r="8232" spans="1:6" x14ac:dyDescent="0.3">
      <c r="A8232" t="s">
        <v>22</v>
      </c>
      <c r="B8232" s="1">
        <v>46000</v>
      </c>
      <c r="C8232">
        <v>23</v>
      </c>
      <c r="D8232">
        <v>2.613</v>
      </c>
      <c r="E8232" t="s">
        <v>6</v>
      </c>
      <c r="F8232">
        <v>0.18183000000000002</v>
      </c>
    </row>
    <row r="8233" spans="1:6" x14ac:dyDescent="0.3">
      <c r="A8233" t="s">
        <v>22</v>
      </c>
      <c r="B8233" s="1">
        <v>46000</v>
      </c>
      <c r="C8233">
        <v>24</v>
      </c>
      <c r="D8233">
        <v>2.5710000000000002</v>
      </c>
      <c r="E8233" t="s">
        <v>6</v>
      </c>
      <c r="F8233">
        <v>0.16863</v>
      </c>
    </row>
    <row r="8234" spans="1:6" x14ac:dyDescent="0.3">
      <c r="A8234" t="s">
        <v>22</v>
      </c>
      <c r="B8234" s="1">
        <v>46001</v>
      </c>
      <c r="C8234">
        <v>1</v>
      </c>
      <c r="D8234">
        <v>2.5470000000000002</v>
      </c>
      <c r="E8234" t="s">
        <v>6</v>
      </c>
      <c r="F8234">
        <v>0.12896000000000002</v>
      </c>
    </row>
    <row r="8235" spans="1:6" x14ac:dyDescent="0.3">
      <c r="A8235" t="s">
        <v>22</v>
      </c>
      <c r="B8235" s="1">
        <v>46001</v>
      </c>
      <c r="C8235">
        <v>2</v>
      </c>
      <c r="D8235">
        <v>2.3210000000000002</v>
      </c>
      <c r="E8235" t="s">
        <v>6</v>
      </c>
      <c r="F8235">
        <v>0.11932</v>
      </c>
    </row>
    <row r="8236" spans="1:6" x14ac:dyDescent="0.3">
      <c r="A8236" t="s">
        <v>22</v>
      </c>
      <c r="B8236" s="1">
        <v>46001</v>
      </c>
      <c r="C8236">
        <v>3</v>
      </c>
      <c r="D8236">
        <v>1.931</v>
      </c>
      <c r="E8236" t="s">
        <v>6</v>
      </c>
      <c r="F8236">
        <v>0.11835</v>
      </c>
    </row>
    <row r="8237" spans="1:6" x14ac:dyDescent="0.3">
      <c r="A8237" t="s">
        <v>22</v>
      </c>
      <c r="B8237" s="1">
        <v>46001</v>
      </c>
      <c r="C8237">
        <v>4</v>
      </c>
      <c r="D8237">
        <v>2.4900000000000002</v>
      </c>
      <c r="E8237" t="s">
        <v>6</v>
      </c>
      <c r="F8237">
        <v>0.11133</v>
      </c>
    </row>
    <row r="8238" spans="1:6" x14ac:dyDescent="0.3">
      <c r="A8238" t="s">
        <v>22</v>
      </c>
      <c r="B8238" s="1">
        <v>46001</v>
      </c>
      <c r="C8238">
        <v>5</v>
      </c>
      <c r="D8238">
        <v>2.0550000000000002</v>
      </c>
      <c r="E8238" t="s">
        <v>6</v>
      </c>
      <c r="F8238">
        <v>0.11381000000000001</v>
      </c>
    </row>
    <row r="8239" spans="1:6" x14ac:dyDescent="0.3">
      <c r="A8239" t="s">
        <v>22</v>
      </c>
      <c r="B8239" s="1">
        <v>46001</v>
      </c>
      <c r="C8239">
        <v>6</v>
      </c>
      <c r="D8239">
        <v>2.3929999999999998</v>
      </c>
      <c r="E8239" t="s">
        <v>6</v>
      </c>
      <c r="F8239">
        <v>0.11511</v>
      </c>
    </row>
    <row r="8240" spans="1:6" x14ac:dyDescent="0.3">
      <c r="A8240" t="s">
        <v>22</v>
      </c>
      <c r="B8240" s="1">
        <v>46001</v>
      </c>
      <c r="C8240">
        <v>7</v>
      </c>
      <c r="D8240">
        <v>2.2429999999999999</v>
      </c>
      <c r="E8240" t="s">
        <v>6</v>
      </c>
      <c r="F8240">
        <v>0.12579000000000001</v>
      </c>
    </row>
    <row r="8241" spans="1:6" x14ac:dyDescent="0.3">
      <c r="A8241" t="s">
        <v>22</v>
      </c>
      <c r="B8241" s="1">
        <v>46001</v>
      </c>
      <c r="C8241">
        <v>8</v>
      </c>
      <c r="D8241">
        <v>1.8140000000000001</v>
      </c>
      <c r="E8241" t="s">
        <v>6</v>
      </c>
      <c r="F8241">
        <v>0.13833999999999999</v>
      </c>
    </row>
    <row r="8242" spans="1:6" x14ac:dyDescent="0.3">
      <c r="A8242" t="s">
        <v>22</v>
      </c>
      <c r="B8242" s="1">
        <v>46001</v>
      </c>
      <c r="C8242">
        <v>9</v>
      </c>
      <c r="D8242">
        <v>1.2649999999999999</v>
      </c>
      <c r="E8242" t="s">
        <v>6</v>
      </c>
      <c r="F8242">
        <v>0.17208999999999999</v>
      </c>
    </row>
    <row r="8243" spans="1:6" x14ac:dyDescent="0.3">
      <c r="A8243" t="s">
        <v>22</v>
      </c>
      <c r="B8243" s="1">
        <v>46001</v>
      </c>
      <c r="C8243">
        <v>10</v>
      </c>
      <c r="D8243">
        <v>0</v>
      </c>
      <c r="E8243" t="s">
        <v>6</v>
      </c>
      <c r="F8243">
        <v>0.16465000000000002</v>
      </c>
    </row>
    <row r="8244" spans="1:6" x14ac:dyDescent="0.3">
      <c r="A8244" t="s">
        <v>22</v>
      </c>
      <c r="B8244" s="1">
        <v>46001</v>
      </c>
      <c r="C8244">
        <v>11</v>
      </c>
      <c r="D8244">
        <v>0</v>
      </c>
      <c r="E8244" t="s">
        <v>6</v>
      </c>
      <c r="F8244">
        <v>0.22344999999999998</v>
      </c>
    </row>
    <row r="8245" spans="1:6" x14ac:dyDescent="0.3">
      <c r="A8245" t="s">
        <v>22</v>
      </c>
      <c r="B8245" s="1">
        <v>46001</v>
      </c>
      <c r="C8245">
        <v>12</v>
      </c>
      <c r="D8245">
        <v>0</v>
      </c>
      <c r="E8245" t="s">
        <v>6</v>
      </c>
      <c r="F8245">
        <v>0.21987999999999999</v>
      </c>
    </row>
    <row r="8246" spans="1:6" x14ac:dyDescent="0.3">
      <c r="A8246" t="s">
        <v>22</v>
      </c>
      <c r="B8246" s="1">
        <v>46001</v>
      </c>
      <c r="C8246">
        <v>13</v>
      </c>
      <c r="D8246">
        <v>0</v>
      </c>
      <c r="E8246" t="s">
        <v>6</v>
      </c>
      <c r="F8246">
        <v>0.21747999999999998</v>
      </c>
    </row>
    <row r="8247" spans="1:6" x14ac:dyDescent="0.3">
      <c r="A8247" t="s">
        <v>22</v>
      </c>
      <c r="B8247" s="1">
        <v>46001</v>
      </c>
      <c r="C8247">
        <v>14</v>
      </c>
      <c r="D8247">
        <v>0.28100000000000003</v>
      </c>
      <c r="E8247" t="s">
        <v>6</v>
      </c>
      <c r="F8247">
        <v>0.21399000000000001</v>
      </c>
    </row>
    <row r="8248" spans="1:6" x14ac:dyDescent="0.3">
      <c r="A8248" t="s">
        <v>22</v>
      </c>
      <c r="B8248" s="1">
        <v>46001</v>
      </c>
      <c r="C8248">
        <v>15</v>
      </c>
      <c r="D8248">
        <v>0</v>
      </c>
      <c r="E8248" t="s">
        <v>6</v>
      </c>
      <c r="F8248">
        <v>0.15003999999999998</v>
      </c>
    </row>
    <row r="8249" spans="1:6" x14ac:dyDescent="0.3">
      <c r="A8249" t="s">
        <v>22</v>
      </c>
      <c r="B8249" s="1">
        <v>46001</v>
      </c>
      <c r="C8249">
        <v>16</v>
      </c>
      <c r="D8249">
        <v>0</v>
      </c>
      <c r="E8249" t="s">
        <v>6</v>
      </c>
      <c r="F8249">
        <v>0.15556</v>
      </c>
    </row>
    <row r="8250" spans="1:6" x14ac:dyDescent="0.3">
      <c r="A8250" t="s">
        <v>22</v>
      </c>
      <c r="B8250" s="1">
        <v>46001</v>
      </c>
      <c r="C8250">
        <v>17</v>
      </c>
      <c r="D8250">
        <v>1.2370000000000001</v>
      </c>
      <c r="E8250" t="s">
        <v>6</v>
      </c>
      <c r="F8250">
        <v>0.1658</v>
      </c>
    </row>
    <row r="8251" spans="1:6" x14ac:dyDescent="0.3">
      <c r="A8251" t="s">
        <v>22</v>
      </c>
      <c r="B8251" s="1">
        <v>46001</v>
      </c>
      <c r="C8251">
        <v>18</v>
      </c>
      <c r="D8251">
        <v>1.0409999999999999</v>
      </c>
      <c r="E8251" t="s">
        <v>6</v>
      </c>
      <c r="F8251">
        <v>0.17548</v>
      </c>
    </row>
    <row r="8252" spans="1:6" x14ac:dyDescent="0.3">
      <c r="A8252" t="s">
        <v>22</v>
      </c>
      <c r="B8252" s="1">
        <v>46001</v>
      </c>
      <c r="C8252">
        <v>19</v>
      </c>
      <c r="D8252">
        <v>1.7949999999999999</v>
      </c>
      <c r="E8252" t="s">
        <v>6</v>
      </c>
      <c r="F8252">
        <v>0.24636000000000002</v>
      </c>
    </row>
    <row r="8253" spans="1:6" x14ac:dyDescent="0.3">
      <c r="A8253" t="s">
        <v>22</v>
      </c>
      <c r="B8253" s="1">
        <v>46001</v>
      </c>
      <c r="C8253">
        <v>20</v>
      </c>
      <c r="D8253">
        <v>2.2290000000000001</v>
      </c>
      <c r="E8253" t="s">
        <v>6</v>
      </c>
      <c r="F8253">
        <v>0.24936000000000003</v>
      </c>
    </row>
    <row r="8254" spans="1:6" x14ac:dyDescent="0.3">
      <c r="A8254" t="s">
        <v>22</v>
      </c>
      <c r="B8254" s="1">
        <v>46001</v>
      </c>
      <c r="C8254">
        <v>21</v>
      </c>
      <c r="D8254">
        <v>1.6240000000000001</v>
      </c>
      <c r="E8254" t="s">
        <v>6</v>
      </c>
      <c r="F8254">
        <v>0.25541999999999998</v>
      </c>
    </row>
    <row r="8255" spans="1:6" x14ac:dyDescent="0.3">
      <c r="A8255" t="s">
        <v>22</v>
      </c>
      <c r="B8255" s="1">
        <v>46001</v>
      </c>
      <c r="C8255">
        <v>22</v>
      </c>
      <c r="D8255">
        <v>2.242</v>
      </c>
      <c r="E8255" t="s">
        <v>6</v>
      </c>
      <c r="F8255">
        <v>0.24956</v>
      </c>
    </row>
    <row r="8256" spans="1:6" x14ac:dyDescent="0.3">
      <c r="A8256" t="s">
        <v>22</v>
      </c>
      <c r="B8256" s="1">
        <v>46001</v>
      </c>
      <c r="C8256">
        <v>23</v>
      </c>
      <c r="D8256">
        <v>2.573</v>
      </c>
      <c r="E8256" t="s">
        <v>6</v>
      </c>
      <c r="F8256">
        <v>0.17224999999999999</v>
      </c>
    </row>
    <row r="8257" spans="1:6" x14ac:dyDescent="0.3">
      <c r="A8257" t="s">
        <v>22</v>
      </c>
      <c r="B8257" s="1">
        <v>46001</v>
      </c>
      <c r="C8257">
        <v>24</v>
      </c>
      <c r="D8257">
        <v>2.411</v>
      </c>
      <c r="E8257" t="s">
        <v>6</v>
      </c>
      <c r="F8257">
        <v>0.15899000000000002</v>
      </c>
    </row>
    <row r="8258" spans="1:6" x14ac:dyDescent="0.3">
      <c r="A8258" t="s">
        <v>22</v>
      </c>
      <c r="B8258" s="1">
        <v>46002</v>
      </c>
      <c r="C8258">
        <v>1</v>
      </c>
      <c r="D8258">
        <v>2.3460000000000001</v>
      </c>
      <c r="E8258" t="s">
        <v>6</v>
      </c>
      <c r="F8258">
        <v>0.13979</v>
      </c>
    </row>
    <row r="8259" spans="1:6" x14ac:dyDescent="0.3">
      <c r="A8259" t="s">
        <v>22</v>
      </c>
      <c r="B8259" s="1">
        <v>46002</v>
      </c>
      <c r="C8259">
        <v>2</v>
      </c>
      <c r="D8259">
        <v>2.4329999999999998</v>
      </c>
      <c r="E8259" t="s">
        <v>6</v>
      </c>
      <c r="F8259">
        <v>0.13008</v>
      </c>
    </row>
    <row r="8260" spans="1:6" x14ac:dyDescent="0.3">
      <c r="A8260" t="s">
        <v>22</v>
      </c>
      <c r="B8260" s="1">
        <v>46002</v>
      </c>
      <c r="C8260">
        <v>3</v>
      </c>
      <c r="D8260">
        <v>2.6150000000000002</v>
      </c>
      <c r="E8260" t="s">
        <v>6</v>
      </c>
      <c r="F8260">
        <v>0.12987000000000001</v>
      </c>
    </row>
    <row r="8261" spans="1:6" x14ac:dyDescent="0.3">
      <c r="A8261" t="s">
        <v>22</v>
      </c>
      <c r="B8261" s="1">
        <v>46002</v>
      </c>
      <c r="C8261">
        <v>4</v>
      </c>
      <c r="D8261">
        <v>2.5819999999999999</v>
      </c>
      <c r="E8261" t="s">
        <v>6</v>
      </c>
      <c r="F8261">
        <v>0.11647</v>
      </c>
    </row>
    <row r="8262" spans="1:6" x14ac:dyDescent="0.3">
      <c r="A8262" t="s">
        <v>22</v>
      </c>
      <c r="B8262" s="1">
        <v>46002</v>
      </c>
      <c r="C8262">
        <v>5</v>
      </c>
      <c r="D8262">
        <v>2.4289999999999998</v>
      </c>
      <c r="E8262" t="s">
        <v>6</v>
      </c>
      <c r="F8262">
        <v>0.11352</v>
      </c>
    </row>
    <row r="8263" spans="1:6" x14ac:dyDescent="0.3">
      <c r="A8263" t="s">
        <v>22</v>
      </c>
      <c r="B8263" s="1">
        <v>46002</v>
      </c>
      <c r="C8263">
        <v>6</v>
      </c>
      <c r="D8263">
        <v>2.431</v>
      </c>
      <c r="E8263" t="s">
        <v>6</v>
      </c>
      <c r="F8263">
        <v>0.11465</v>
      </c>
    </row>
    <row r="8264" spans="1:6" x14ac:dyDescent="0.3">
      <c r="A8264" t="s">
        <v>22</v>
      </c>
      <c r="B8264" s="1">
        <v>46002</v>
      </c>
      <c r="C8264">
        <v>7</v>
      </c>
      <c r="D8264">
        <v>2.5859999999999999</v>
      </c>
      <c r="E8264" t="s">
        <v>6</v>
      </c>
      <c r="F8264">
        <v>0.12934999999999999</v>
      </c>
    </row>
    <row r="8265" spans="1:6" x14ac:dyDescent="0.3">
      <c r="A8265" t="s">
        <v>22</v>
      </c>
      <c r="B8265" s="1">
        <v>46002</v>
      </c>
      <c r="C8265">
        <v>8</v>
      </c>
      <c r="D8265">
        <v>2.0739999999999998</v>
      </c>
      <c r="E8265" t="s">
        <v>6</v>
      </c>
      <c r="F8265">
        <v>0.15487000000000001</v>
      </c>
    </row>
    <row r="8266" spans="1:6" x14ac:dyDescent="0.3">
      <c r="A8266" t="s">
        <v>22</v>
      </c>
      <c r="B8266" s="1">
        <v>46002</v>
      </c>
      <c r="C8266">
        <v>9</v>
      </c>
      <c r="D8266">
        <v>1.25</v>
      </c>
      <c r="E8266" t="s">
        <v>6</v>
      </c>
      <c r="F8266">
        <v>0.18861</v>
      </c>
    </row>
    <row r="8267" spans="1:6" x14ac:dyDescent="0.3">
      <c r="A8267" t="s">
        <v>22</v>
      </c>
      <c r="B8267" s="1">
        <v>46002</v>
      </c>
      <c r="C8267">
        <v>10</v>
      </c>
      <c r="D8267">
        <v>0.59199999999999997</v>
      </c>
      <c r="E8267" t="s">
        <v>6</v>
      </c>
      <c r="F8267">
        <v>0.17373</v>
      </c>
    </row>
    <row r="8268" spans="1:6" x14ac:dyDescent="0.3">
      <c r="A8268" t="s">
        <v>22</v>
      </c>
      <c r="B8268" s="1">
        <v>46002</v>
      </c>
      <c r="C8268">
        <v>11</v>
      </c>
      <c r="D8268">
        <v>0</v>
      </c>
      <c r="E8268" t="s">
        <v>6</v>
      </c>
      <c r="F8268">
        <v>0.20877000000000001</v>
      </c>
    </row>
    <row r="8269" spans="1:6" x14ac:dyDescent="0.3">
      <c r="A8269" t="s">
        <v>22</v>
      </c>
      <c r="B8269" s="1">
        <v>46002</v>
      </c>
      <c r="C8269">
        <v>12</v>
      </c>
      <c r="D8269">
        <v>0</v>
      </c>
      <c r="E8269" t="s">
        <v>6</v>
      </c>
      <c r="F8269">
        <v>0.2</v>
      </c>
    </row>
    <row r="8270" spans="1:6" x14ac:dyDescent="0.3">
      <c r="A8270" t="s">
        <v>22</v>
      </c>
      <c r="B8270" s="1">
        <v>46002</v>
      </c>
      <c r="C8270">
        <v>13</v>
      </c>
      <c r="D8270">
        <v>0</v>
      </c>
      <c r="E8270" t="s">
        <v>6</v>
      </c>
      <c r="F8270">
        <v>0.19750000000000001</v>
      </c>
    </row>
    <row r="8271" spans="1:6" x14ac:dyDescent="0.3">
      <c r="A8271" t="s">
        <v>22</v>
      </c>
      <c r="B8271" s="1">
        <v>46002</v>
      </c>
      <c r="C8271">
        <v>14</v>
      </c>
      <c r="D8271">
        <v>0</v>
      </c>
      <c r="E8271" t="s">
        <v>6</v>
      </c>
      <c r="F8271">
        <v>0.19319999999999998</v>
      </c>
    </row>
    <row r="8272" spans="1:6" x14ac:dyDescent="0.3">
      <c r="A8272" t="s">
        <v>22</v>
      </c>
      <c r="B8272" s="1">
        <v>46002</v>
      </c>
      <c r="C8272">
        <v>15</v>
      </c>
      <c r="D8272">
        <v>0</v>
      </c>
      <c r="E8272" t="s">
        <v>6</v>
      </c>
      <c r="F8272">
        <v>0.12834999999999999</v>
      </c>
    </row>
    <row r="8273" spans="1:6" x14ac:dyDescent="0.3">
      <c r="A8273" t="s">
        <v>22</v>
      </c>
      <c r="B8273" s="1">
        <v>46002</v>
      </c>
      <c r="C8273">
        <v>16</v>
      </c>
      <c r="D8273">
        <v>0</v>
      </c>
      <c r="E8273" t="s">
        <v>6</v>
      </c>
      <c r="F8273">
        <v>0.13244</v>
      </c>
    </row>
    <row r="8274" spans="1:6" x14ac:dyDescent="0.3">
      <c r="A8274" t="s">
        <v>22</v>
      </c>
      <c r="B8274" s="1">
        <v>46002</v>
      </c>
      <c r="C8274">
        <v>17</v>
      </c>
      <c r="D8274">
        <v>1.85</v>
      </c>
      <c r="E8274" t="s">
        <v>6</v>
      </c>
      <c r="F8274">
        <v>0.1517</v>
      </c>
    </row>
    <row r="8275" spans="1:6" x14ac:dyDescent="0.3">
      <c r="A8275" t="s">
        <v>22</v>
      </c>
      <c r="B8275" s="1">
        <v>46002</v>
      </c>
      <c r="C8275">
        <v>18</v>
      </c>
      <c r="D8275">
        <v>1.365</v>
      </c>
      <c r="E8275" t="s">
        <v>6</v>
      </c>
      <c r="F8275">
        <v>0.17918999999999999</v>
      </c>
    </row>
    <row r="8276" spans="1:6" x14ac:dyDescent="0.3">
      <c r="A8276" t="s">
        <v>22</v>
      </c>
      <c r="B8276" s="1">
        <v>46002</v>
      </c>
      <c r="C8276">
        <v>19</v>
      </c>
      <c r="D8276">
        <v>1.41</v>
      </c>
      <c r="E8276" t="s">
        <v>6</v>
      </c>
      <c r="F8276">
        <v>0.2424</v>
      </c>
    </row>
    <row r="8277" spans="1:6" x14ac:dyDescent="0.3">
      <c r="A8277" t="s">
        <v>22</v>
      </c>
      <c r="B8277" s="1">
        <v>46002</v>
      </c>
      <c r="C8277">
        <v>20</v>
      </c>
      <c r="D8277">
        <v>2.0880000000000001</v>
      </c>
      <c r="E8277" t="s">
        <v>6</v>
      </c>
      <c r="F8277">
        <v>0.24824000000000002</v>
      </c>
    </row>
    <row r="8278" spans="1:6" x14ac:dyDescent="0.3">
      <c r="A8278" t="s">
        <v>22</v>
      </c>
      <c r="B8278" s="1">
        <v>46002</v>
      </c>
      <c r="C8278">
        <v>21</v>
      </c>
      <c r="D8278">
        <v>1.728</v>
      </c>
      <c r="E8278" t="s">
        <v>6</v>
      </c>
      <c r="F8278">
        <v>0.25814999999999999</v>
      </c>
    </row>
    <row r="8279" spans="1:6" x14ac:dyDescent="0.3">
      <c r="A8279" t="s">
        <v>22</v>
      </c>
      <c r="B8279" s="1">
        <v>46002</v>
      </c>
      <c r="C8279">
        <v>22</v>
      </c>
      <c r="D8279">
        <v>2.0339999999999998</v>
      </c>
      <c r="E8279" t="s">
        <v>6</v>
      </c>
      <c r="F8279">
        <v>0.25156000000000001</v>
      </c>
    </row>
    <row r="8280" spans="1:6" x14ac:dyDescent="0.3">
      <c r="A8280" t="s">
        <v>22</v>
      </c>
      <c r="B8280" s="1">
        <v>46002</v>
      </c>
      <c r="C8280">
        <v>23</v>
      </c>
      <c r="D8280">
        <v>3.3239999999999998</v>
      </c>
      <c r="E8280" t="s">
        <v>6</v>
      </c>
      <c r="F8280">
        <v>0.16757</v>
      </c>
    </row>
    <row r="8281" spans="1:6" x14ac:dyDescent="0.3">
      <c r="A8281" t="s">
        <v>22</v>
      </c>
      <c r="B8281" s="1">
        <v>46002</v>
      </c>
      <c r="C8281">
        <v>24</v>
      </c>
      <c r="D8281">
        <v>2.5019999999999998</v>
      </c>
      <c r="E8281" t="s">
        <v>6</v>
      </c>
      <c r="F8281">
        <v>0.15719999999999998</v>
      </c>
    </row>
    <row r="8282" spans="1:6" x14ac:dyDescent="0.3">
      <c r="A8282" t="s">
        <v>22</v>
      </c>
      <c r="B8282" s="1">
        <v>46003</v>
      </c>
      <c r="C8282">
        <v>1</v>
      </c>
      <c r="D8282">
        <v>2.3740000000000001</v>
      </c>
      <c r="E8282" t="s">
        <v>6</v>
      </c>
      <c r="F8282">
        <v>0.12858</v>
      </c>
    </row>
    <row r="8283" spans="1:6" x14ac:dyDescent="0.3">
      <c r="A8283" t="s">
        <v>22</v>
      </c>
      <c r="B8283" s="1">
        <v>46003</v>
      </c>
      <c r="C8283">
        <v>2</v>
      </c>
      <c r="D8283">
        <v>2.3029999999999999</v>
      </c>
      <c r="E8283" t="s">
        <v>6</v>
      </c>
      <c r="F8283">
        <v>0.11431999999999999</v>
      </c>
    </row>
    <row r="8284" spans="1:6" x14ac:dyDescent="0.3">
      <c r="A8284" t="s">
        <v>22</v>
      </c>
      <c r="B8284" s="1">
        <v>46003</v>
      </c>
      <c r="C8284">
        <v>3</v>
      </c>
      <c r="D8284">
        <v>2.141</v>
      </c>
      <c r="E8284" t="s">
        <v>6</v>
      </c>
      <c r="F8284">
        <v>0.11372</v>
      </c>
    </row>
    <row r="8285" spans="1:6" x14ac:dyDescent="0.3">
      <c r="A8285" t="s">
        <v>22</v>
      </c>
      <c r="B8285" s="1">
        <v>46003</v>
      </c>
      <c r="C8285">
        <v>4</v>
      </c>
      <c r="D8285">
        <v>2.0009999999999999</v>
      </c>
      <c r="E8285" t="s">
        <v>6</v>
      </c>
      <c r="F8285">
        <v>0.10947</v>
      </c>
    </row>
    <row r="8286" spans="1:6" x14ac:dyDescent="0.3">
      <c r="A8286" t="s">
        <v>22</v>
      </c>
      <c r="B8286" s="1">
        <v>46003</v>
      </c>
      <c r="C8286">
        <v>5</v>
      </c>
      <c r="D8286">
        <v>1.105</v>
      </c>
      <c r="E8286" t="s">
        <v>6</v>
      </c>
      <c r="F8286">
        <v>0.11004000000000001</v>
      </c>
    </row>
    <row r="8287" spans="1:6" x14ac:dyDescent="0.3">
      <c r="A8287" t="s">
        <v>22</v>
      </c>
      <c r="B8287" s="1">
        <v>46003</v>
      </c>
      <c r="C8287">
        <v>6</v>
      </c>
      <c r="D8287">
        <v>1.5109999999999999</v>
      </c>
      <c r="E8287" t="s">
        <v>6</v>
      </c>
      <c r="F8287">
        <v>0.11609999999999999</v>
      </c>
    </row>
    <row r="8288" spans="1:6" x14ac:dyDescent="0.3">
      <c r="A8288" t="s">
        <v>22</v>
      </c>
      <c r="B8288" s="1">
        <v>46003</v>
      </c>
      <c r="C8288">
        <v>7</v>
      </c>
      <c r="D8288">
        <v>1.5649999999999999</v>
      </c>
      <c r="E8288" t="s">
        <v>6</v>
      </c>
      <c r="F8288">
        <v>0.12975</v>
      </c>
    </row>
    <row r="8289" spans="1:6" x14ac:dyDescent="0.3">
      <c r="A8289" t="s">
        <v>22</v>
      </c>
      <c r="B8289" s="1">
        <v>46003</v>
      </c>
      <c r="C8289">
        <v>8</v>
      </c>
      <c r="D8289">
        <v>1.788</v>
      </c>
      <c r="E8289" t="s">
        <v>6</v>
      </c>
      <c r="F8289">
        <v>0.14493</v>
      </c>
    </row>
    <row r="8290" spans="1:6" x14ac:dyDescent="0.3">
      <c r="A8290" t="s">
        <v>22</v>
      </c>
      <c r="B8290" s="1">
        <v>46003</v>
      </c>
      <c r="C8290">
        <v>9</v>
      </c>
      <c r="D8290">
        <v>1.365</v>
      </c>
      <c r="E8290" t="s">
        <v>6</v>
      </c>
      <c r="F8290">
        <v>0.18784000000000001</v>
      </c>
    </row>
    <row r="8291" spans="1:6" x14ac:dyDescent="0.3">
      <c r="A8291" t="s">
        <v>22</v>
      </c>
      <c r="B8291" s="1">
        <v>46003</v>
      </c>
      <c r="C8291">
        <v>10</v>
      </c>
      <c r="D8291">
        <v>1.002</v>
      </c>
      <c r="E8291" t="s">
        <v>6</v>
      </c>
      <c r="F8291">
        <v>0.17712999999999998</v>
      </c>
    </row>
    <row r="8292" spans="1:6" x14ac:dyDescent="0.3">
      <c r="A8292" t="s">
        <v>22</v>
      </c>
      <c r="B8292" s="1">
        <v>46003</v>
      </c>
      <c r="C8292">
        <v>11</v>
      </c>
      <c r="D8292">
        <v>0.378</v>
      </c>
      <c r="E8292" t="s">
        <v>6</v>
      </c>
      <c r="F8292">
        <v>0.23401</v>
      </c>
    </row>
    <row r="8293" spans="1:6" x14ac:dyDescent="0.3">
      <c r="A8293" t="s">
        <v>22</v>
      </c>
      <c r="B8293" s="1">
        <v>46003</v>
      </c>
      <c r="C8293">
        <v>12</v>
      </c>
      <c r="D8293">
        <v>0.90100000000000002</v>
      </c>
      <c r="E8293" t="s">
        <v>6</v>
      </c>
      <c r="F8293">
        <v>0.22947999999999999</v>
      </c>
    </row>
    <row r="8294" spans="1:6" x14ac:dyDescent="0.3">
      <c r="A8294" t="s">
        <v>22</v>
      </c>
      <c r="B8294" s="1">
        <v>46003</v>
      </c>
      <c r="C8294">
        <v>13</v>
      </c>
      <c r="D8294">
        <v>1.393</v>
      </c>
      <c r="E8294" t="s">
        <v>6</v>
      </c>
      <c r="F8294">
        <v>0.22249000000000002</v>
      </c>
    </row>
    <row r="8295" spans="1:6" x14ac:dyDescent="0.3">
      <c r="A8295" t="s">
        <v>22</v>
      </c>
      <c r="B8295" s="1">
        <v>46003</v>
      </c>
      <c r="C8295">
        <v>14</v>
      </c>
      <c r="D8295">
        <v>2.3580000000000001</v>
      </c>
      <c r="E8295" t="s">
        <v>6</v>
      </c>
      <c r="F8295">
        <v>0.21797</v>
      </c>
    </row>
    <row r="8296" spans="1:6" x14ac:dyDescent="0.3">
      <c r="A8296" t="s">
        <v>22</v>
      </c>
      <c r="B8296" s="1">
        <v>46003</v>
      </c>
      <c r="C8296">
        <v>15</v>
      </c>
      <c r="D8296">
        <v>0.97099999999999997</v>
      </c>
      <c r="E8296" t="s">
        <v>6</v>
      </c>
      <c r="F8296">
        <v>0.15380000000000002</v>
      </c>
    </row>
    <row r="8297" spans="1:6" x14ac:dyDescent="0.3">
      <c r="A8297" t="s">
        <v>22</v>
      </c>
      <c r="B8297" s="1">
        <v>46003</v>
      </c>
      <c r="C8297">
        <v>16</v>
      </c>
      <c r="D8297">
        <v>2.234</v>
      </c>
      <c r="E8297" t="s">
        <v>6</v>
      </c>
      <c r="F8297">
        <v>0.15001</v>
      </c>
    </row>
    <row r="8298" spans="1:6" x14ac:dyDescent="0.3">
      <c r="A8298" t="s">
        <v>22</v>
      </c>
      <c r="B8298" s="1">
        <v>46003</v>
      </c>
      <c r="C8298">
        <v>17</v>
      </c>
      <c r="D8298">
        <v>2.3199999999999998</v>
      </c>
      <c r="E8298" t="s">
        <v>6</v>
      </c>
      <c r="F8298">
        <v>0.15536000000000003</v>
      </c>
    </row>
    <row r="8299" spans="1:6" x14ac:dyDescent="0.3">
      <c r="A8299" t="s">
        <v>22</v>
      </c>
      <c r="B8299" s="1">
        <v>46003</v>
      </c>
      <c r="C8299">
        <v>18</v>
      </c>
      <c r="D8299">
        <v>1.5409999999999999</v>
      </c>
      <c r="E8299" t="s">
        <v>6</v>
      </c>
      <c r="F8299">
        <v>0.16753000000000001</v>
      </c>
    </row>
    <row r="8300" spans="1:6" x14ac:dyDescent="0.3">
      <c r="A8300" t="s">
        <v>22</v>
      </c>
      <c r="B8300" s="1">
        <v>46003</v>
      </c>
      <c r="C8300">
        <v>19</v>
      </c>
      <c r="D8300">
        <v>2.0179999999999998</v>
      </c>
      <c r="E8300" t="s">
        <v>6</v>
      </c>
      <c r="F8300">
        <v>0.24237999999999998</v>
      </c>
    </row>
    <row r="8301" spans="1:6" x14ac:dyDescent="0.3">
      <c r="A8301" t="s">
        <v>22</v>
      </c>
      <c r="B8301" s="1">
        <v>46003</v>
      </c>
      <c r="C8301">
        <v>20</v>
      </c>
      <c r="D8301">
        <v>2.177</v>
      </c>
      <c r="E8301" t="s">
        <v>6</v>
      </c>
      <c r="F8301">
        <v>0.24013999999999999</v>
      </c>
    </row>
    <row r="8302" spans="1:6" x14ac:dyDescent="0.3">
      <c r="A8302" t="s">
        <v>22</v>
      </c>
      <c r="B8302" s="1">
        <v>46003</v>
      </c>
      <c r="C8302">
        <v>21</v>
      </c>
      <c r="D8302">
        <v>1.4359999999999999</v>
      </c>
      <c r="E8302" t="s">
        <v>6</v>
      </c>
      <c r="F8302">
        <v>0.23986000000000002</v>
      </c>
    </row>
    <row r="8303" spans="1:6" x14ac:dyDescent="0.3">
      <c r="A8303" t="s">
        <v>22</v>
      </c>
      <c r="B8303" s="1">
        <v>46003</v>
      </c>
      <c r="C8303">
        <v>22</v>
      </c>
      <c r="D8303">
        <v>1.766</v>
      </c>
      <c r="E8303" t="s">
        <v>6</v>
      </c>
      <c r="F8303">
        <v>0.23496</v>
      </c>
    </row>
    <row r="8304" spans="1:6" x14ac:dyDescent="0.3">
      <c r="A8304" t="s">
        <v>22</v>
      </c>
      <c r="B8304" s="1">
        <v>46003</v>
      </c>
      <c r="C8304">
        <v>23</v>
      </c>
      <c r="D8304">
        <v>1.3080000000000001</v>
      </c>
      <c r="E8304" t="s">
        <v>6</v>
      </c>
      <c r="F8304">
        <v>0.15538999999999997</v>
      </c>
    </row>
    <row r="8305" spans="1:6" x14ac:dyDescent="0.3">
      <c r="A8305" t="s">
        <v>22</v>
      </c>
      <c r="B8305" s="1">
        <v>46003</v>
      </c>
      <c r="C8305">
        <v>24</v>
      </c>
      <c r="D8305">
        <v>1.9279999999999999</v>
      </c>
      <c r="E8305" t="s">
        <v>6</v>
      </c>
      <c r="F8305">
        <v>0.14599999999999999</v>
      </c>
    </row>
    <row r="8306" spans="1:6" x14ac:dyDescent="0.3">
      <c r="A8306" t="s">
        <v>22</v>
      </c>
      <c r="B8306" s="1">
        <v>46004</v>
      </c>
      <c r="C8306">
        <v>1</v>
      </c>
      <c r="D8306">
        <v>1.3759999999999999</v>
      </c>
      <c r="E8306" t="s">
        <v>6</v>
      </c>
      <c r="F8306">
        <v>0.13163</v>
      </c>
    </row>
    <row r="8307" spans="1:6" x14ac:dyDescent="0.3">
      <c r="A8307" t="s">
        <v>22</v>
      </c>
      <c r="B8307" s="1">
        <v>46004</v>
      </c>
      <c r="C8307">
        <v>2</v>
      </c>
      <c r="D8307">
        <v>1.4810000000000001</v>
      </c>
      <c r="E8307" t="s">
        <v>6</v>
      </c>
      <c r="F8307">
        <v>0.12331</v>
      </c>
    </row>
    <row r="8308" spans="1:6" x14ac:dyDescent="0.3">
      <c r="A8308" t="s">
        <v>22</v>
      </c>
      <c r="B8308" s="1">
        <v>46004</v>
      </c>
      <c r="C8308">
        <v>3</v>
      </c>
      <c r="D8308">
        <v>1.706</v>
      </c>
      <c r="E8308" t="s">
        <v>6</v>
      </c>
      <c r="F8308">
        <v>0.11828</v>
      </c>
    </row>
    <row r="8309" spans="1:6" x14ac:dyDescent="0.3">
      <c r="A8309" t="s">
        <v>22</v>
      </c>
      <c r="B8309" s="1">
        <v>46004</v>
      </c>
      <c r="C8309">
        <v>4</v>
      </c>
      <c r="D8309">
        <v>1.6739999999999999</v>
      </c>
      <c r="E8309" t="s">
        <v>6</v>
      </c>
      <c r="F8309">
        <v>0.11023999999999999</v>
      </c>
    </row>
    <row r="8310" spans="1:6" x14ac:dyDescent="0.3">
      <c r="A8310" t="s">
        <v>22</v>
      </c>
      <c r="B8310" s="1">
        <v>46004</v>
      </c>
      <c r="C8310">
        <v>5</v>
      </c>
      <c r="D8310">
        <v>1.5760000000000001</v>
      </c>
      <c r="E8310" t="s">
        <v>6</v>
      </c>
      <c r="F8310">
        <v>0.10704999999999999</v>
      </c>
    </row>
    <row r="8311" spans="1:6" x14ac:dyDescent="0.3">
      <c r="A8311" t="s">
        <v>22</v>
      </c>
      <c r="B8311" s="1">
        <v>46004</v>
      </c>
      <c r="C8311">
        <v>6</v>
      </c>
      <c r="D8311">
        <v>1.734</v>
      </c>
      <c r="E8311" t="s">
        <v>6</v>
      </c>
      <c r="F8311">
        <v>0.11092</v>
      </c>
    </row>
    <row r="8312" spans="1:6" x14ac:dyDescent="0.3">
      <c r="A8312" t="s">
        <v>22</v>
      </c>
      <c r="B8312" s="1">
        <v>46004</v>
      </c>
      <c r="C8312">
        <v>7</v>
      </c>
      <c r="D8312">
        <v>1.298</v>
      </c>
      <c r="E8312" t="s">
        <v>6</v>
      </c>
      <c r="F8312">
        <v>0.11251</v>
      </c>
    </row>
    <row r="8313" spans="1:6" x14ac:dyDescent="0.3">
      <c r="A8313" t="s">
        <v>22</v>
      </c>
      <c r="B8313" s="1">
        <v>46004</v>
      </c>
      <c r="C8313">
        <v>8</v>
      </c>
      <c r="D8313">
        <v>3.1859999999999999</v>
      </c>
      <c r="E8313" t="s">
        <v>6</v>
      </c>
      <c r="F8313">
        <v>0.11909</v>
      </c>
    </row>
    <row r="8314" spans="1:6" x14ac:dyDescent="0.3">
      <c r="A8314" t="s">
        <v>22</v>
      </c>
      <c r="B8314" s="1">
        <v>46004</v>
      </c>
      <c r="C8314">
        <v>9</v>
      </c>
      <c r="D8314">
        <v>2.7469999999999999</v>
      </c>
      <c r="E8314" t="s">
        <v>6</v>
      </c>
      <c r="F8314">
        <v>0.12795999999999999</v>
      </c>
    </row>
    <row r="8315" spans="1:6" x14ac:dyDescent="0.3">
      <c r="A8315" t="s">
        <v>22</v>
      </c>
      <c r="B8315" s="1">
        <v>46004</v>
      </c>
      <c r="C8315">
        <v>10</v>
      </c>
      <c r="D8315">
        <v>2.2530000000000001</v>
      </c>
      <c r="E8315" t="s">
        <v>6</v>
      </c>
      <c r="F8315">
        <v>0.12351000000000001</v>
      </c>
    </row>
    <row r="8316" spans="1:6" x14ac:dyDescent="0.3">
      <c r="A8316" t="s">
        <v>22</v>
      </c>
      <c r="B8316" s="1">
        <v>46004</v>
      </c>
      <c r="C8316">
        <v>11</v>
      </c>
      <c r="D8316">
        <v>2.3290000000000002</v>
      </c>
      <c r="E8316" t="s">
        <v>6</v>
      </c>
      <c r="F8316">
        <v>0.11205</v>
      </c>
    </row>
    <row r="8317" spans="1:6" x14ac:dyDescent="0.3">
      <c r="A8317" t="s">
        <v>22</v>
      </c>
      <c r="B8317" s="1">
        <v>46004</v>
      </c>
      <c r="C8317">
        <v>12</v>
      </c>
      <c r="D8317">
        <v>0.51200000000000001</v>
      </c>
      <c r="E8317" t="s">
        <v>6</v>
      </c>
      <c r="F8317">
        <v>0.10521999999999999</v>
      </c>
    </row>
    <row r="8318" spans="1:6" x14ac:dyDescent="0.3">
      <c r="A8318" t="s">
        <v>22</v>
      </c>
      <c r="B8318" s="1">
        <v>46004</v>
      </c>
      <c r="C8318">
        <v>13</v>
      </c>
      <c r="D8318">
        <v>0.21199999999999999</v>
      </c>
      <c r="E8318" t="s">
        <v>6</v>
      </c>
      <c r="F8318">
        <v>0.10295</v>
      </c>
    </row>
    <row r="8319" spans="1:6" x14ac:dyDescent="0.3">
      <c r="A8319" t="s">
        <v>22</v>
      </c>
      <c r="B8319" s="1">
        <v>46004</v>
      </c>
      <c r="C8319">
        <v>14</v>
      </c>
      <c r="D8319">
        <v>0</v>
      </c>
      <c r="E8319" t="s">
        <v>6</v>
      </c>
      <c r="F8319">
        <v>9.6759999999999999E-2</v>
      </c>
    </row>
    <row r="8320" spans="1:6" x14ac:dyDescent="0.3">
      <c r="A8320" t="s">
        <v>22</v>
      </c>
      <c r="B8320" s="1">
        <v>46004</v>
      </c>
      <c r="C8320">
        <v>15</v>
      </c>
      <c r="D8320">
        <v>2.0569999999999999</v>
      </c>
      <c r="E8320" t="s">
        <v>6</v>
      </c>
      <c r="F8320">
        <v>9.7909999999999997E-2</v>
      </c>
    </row>
    <row r="8321" spans="1:6" x14ac:dyDescent="0.3">
      <c r="A8321" t="s">
        <v>22</v>
      </c>
      <c r="B8321" s="1">
        <v>46004</v>
      </c>
      <c r="C8321">
        <v>16</v>
      </c>
      <c r="D8321">
        <v>3.093</v>
      </c>
      <c r="E8321" t="s">
        <v>6</v>
      </c>
      <c r="F8321">
        <v>0.10676999999999999</v>
      </c>
    </row>
    <row r="8322" spans="1:6" x14ac:dyDescent="0.3">
      <c r="A8322" t="s">
        <v>22</v>
      </c>
      <c r="B8322" s="1">
        <v>46004</v>
      </c>
      <c r="C8322">
        <v>17</v>
      </c>
      <c r="D8322">
        <v>4.907</v>
      </c>
      <c r="E8322" t="s">
        <v>6</v>
      </c>
      <c r="F8322">
        <v>0.11964</v>
      </c>
    </row>
    <row r="8323" spans="1:6" x14ac:dyDescent="0.3">
      <c r="A8323" t="s">
        <v>22</v>
      </c>
      <c r="B8323" s="1">
        <v>46004</v>
      </c>
      <c r="C8323">
        <v>18</v>
      </c>
      <c r="D8323">
        <v>1.5449999999999999</v>
      </c>
      <c r="E8323" t="s">
        <v>6</v>
      </c>
      <c r="F8323">
        <v>0.13541</v>
      </c>
    </row>
    <row r="8324" spans="1:6" x14ac:dyDescent="0.3">
      <c r="A8324" t="s">
        <v>22</v>
      </c>
      <c r="B8324" s="1">
        <v>46004</v>
      </c>
      <c r="C8324">
        <v>19</v>
      </c>
      <c r="D8324">
        <v>1.5189999999999999</v>
      </c>
      <c r="E8324" t="s">
        <v>6</v>
      </c>
      <c r="F8324">
        <v>0.14723</v>
      </c>
    </row>
    <row r="8325" spans="1:6" x14ac:dyDescent="0.3">
      <c r="A8325" t="s">
        <v>22</v>
      </c>
      <c r="B8325" s="1">
        <v>46004</v>
      </c>
      <c r="C8325">
        <v>20</v>
      </c>
      <c r="D8325">
        <v>1.6819999999999999</v>
      </c>
      <c r="E8325" t="s">
        <v>6</v>
      </c>
      <c r="F8325">
        <v>0.14537</v>
      </c>
    </row>
    <row r="8326" spans="1:6" x14ac:dyDescent="0.3">
      <c r="A8326" t="s">
        <v>22</v>
      </c>
      <c r="B8326" s="1">
        <v>46004</v>
      </c>
      <c r="C8326">
        <v>21</v>
      </c>
      <c r="D8326">
        <v>2.0950000000000002</v>
      </c>
      <c r="E8326" t="s">
        <v>6</v>
      </c>
      <c r="F8326">
        <v>0.14736000000000002</v>
      </c>
    </row>
    <row r="8327" spans="1:6" x14ac:dyDescent="0.3">
      <c r="A8327" t="s">
        <v>22</v>
      </c>
      <c r="B8327" s="1">
        <v>46004</v>
      </c>
      <c r="C8327">
        <v>22</v>
      </c>
      <c r="D8327">
        <v>2.8559999999999999</v>
      </c>
      <c r="E8327" t="s">
        <v>6</v>
      </c>
      <c r="F8327">
        <v>0.14183999999999999</v>
      </c>
    </row>
    <row r="8328" spans="1:6" x14ac:dyDescent="0.3">
      <c r="A8328" t="s">
        <v>22</v>
      </c>
      <c r="B8328" s="1">
        <v>46004</v>
      </c>
      <c r="C8328">
        <v>23</v>
      </c>
      <c r="D8328">
        <v>1.6830000000000001</v>
      </c>
      <c r="E8328" t="s">
        <v>6</v>
      </c>
      <c r="F8328">
        <v>0.13963</v>
      </c>
    </row>
    <row r="8329" spans="1:6" x14ac:dyDescent="0.3">
      <c r="A8329" t="s">
        <v>22</v>
      </c>
      <c r="B8329" s="1">
        <v>46004</v>
      </c>
      <c r="C8329">
        <v>24</v>
      </c>
      <c r="D8329">
        <v>1.86</v>
      </c>
      <c r="E8329" t="s">
        <v>6</v>
      </c>
      <c r="F8329">
        <v>0.12748999999999999</v>
      </c>
    </row>
    <row r="8330" spans="1:6" x14ac:dyDescent="0.3">
      <c r="A8330" t="s">
        <v>22</v>
      </c>
      <c r="B8330" s="1">
        <v>46005</v>
      </c>
      <c r="C8330">
        <v>1</v>
      </c>
      <c r="D8330">
        <v>2.0459999999999998</v>
      </c>
      <c r="E8330" t="s">
        <v>6</v>
      </c>
      <c r="F8330">
        <v>0.12836</v>
      </c>
    </row>
    <row r="8331" spans="1:6" x14ac:dyDescent="0.3">
      <c r="A8331" t="s">
        <v>22</v>
      </c>
      <c r="B8331" s="1">
        <v>46005</v>
      </c>
      <c r="C8331">
        <v>2</v>
      </c>
      <c r="D8331">
        <v>1.593</v>
      </c>
      <c r="E8331" t="s">
        <v>6</v>
      </c>
      <c r="F8331">
        <v>0.11810999999999999</v>
      </c>
    </row>
    <row r="8332" spans="1:6" x14ac:dyDescent="0.3">
      <c r="A8332" t="s">
        <v>22</v>
      </c>
      <c r="B8332" s="1">
        <v>46005</v>
      </c>
      <c r="C8332">
        <v>3</v>
      </c>
      <c r="D8332">
        <v>1.4990000000000001</v>
      </c>
      <c r="E8332" t="s">
        <v>6</v>
      </c>
      <c r="F8332">
        <v>0.11581</v>
      </c>
    </row>
    <row r="8333" spans="1:6" x14ac:dyDescent="0.3">
      <c r="A8333" t="s">
        <v>22</v>
      </c>
      <c r="B8333" s="1">
        <v>46005</v>
      </c>
      <c r="C8333">
        <v>4</v>
      </c>
      <c r="D8333">
        <v>1.67</v>
      </c>
      <c r="E8333" t="s">
        <v>6</v>
      </c>
      <c r="F8333">
        <v>0.11531</v>
      </c>
    </row>
    <row r="8334" spans="1:6" x14ac:dyDescent="0.3">
      <c r="A8334" t="s">
        <v>22</v>
      </c>
      <c r="B8334" s="1">
        <v>46005</v>
      </c>
      <c r="C8334">
        <v>5</v>
      </c>
      <c r="D8334">
        <v>1.4059999999999999</v>
      </c>
      <c r="E8334" t="s">
        <v>6</v>
      </c>
      <c r="F8334">
        <v>0.11252</v>
      </c>
    </row>
    <row r="8335" spans="1:6" x14ac:dyDescent="0.3">
      <c r="A8335" t="s">
        <v>22</v>
      </c>
      <c r="B8335" s="1">
        <v>46005</v>
      </c>
      <c r="C8335">
        <v>6</v>
      </c>
      <c r="D8335">
        <v>1.956</v>
      </c>
      <c r="E8335" t="s">
        <v>6</v>
      </c>
      <c r="F8335">
        <v>0.11133</v>
      </c>
    </row>
    <row r="8336" spans="1:6" x14ac:dyDescent="0.3">
      <c r="A8336" t="s">
        <v>22</v>
      </c>
      <c r="B8336" s="1">
        <v>46005</v>
      </c>
      <c r="C8336">
        <v>7</v>
      </c>
      <c r="D8336">
        <v>3.3650000000000002</v>
      </c>
      <c r="E8336" t="s">
        <v>6</v>
      </c>
      <c r="F8336">
        <v>0.11445</v>
      </c>
    </row>
    <row r="8337" spans="1:6" x14ac:dyDescent="0.3">
      <c r="A8337" t="s">
        <v>22</v>
      </c>
      <c r="B8337" s="1">
        <v>46005</v>
      </c>
      <c r="C8337">
        <v>8</v>
      </c>
      <c r="D8337">
        <v>3.4209999999999998</v>
      </c>
      <c r="E8337" t="s">
        <v>6</v>
      </c>
      <c r="F8337">
        <v>0.11859</v>
      </c>
    </row>
    <row r="8338" spans="1:6" x14ac:dyDescent="0.3">
      <c r="A8338" t="s">
        <v>22</v>
      </c>
      <c r="B8338" s="1">
        <v>46005</v>
      </c>
      <c r="C8338">
        <v>9</v>
      </c>
      <c r="D8338">
        <v>2.5379999999999998</v>
      </c>
      <c r="E8338" t="s">
        <v>6</v>
      </c>
      <c r="F8338">
        <v>0.12825</v>
      </c>
    </row>
    <row r="8339" spans="1:6" x14ac:dyDescent="0.3">
      <c r="A8339" t="s">
        <v>22</v>
      </c>
      <c r="B8339" s="1">
        <v>46005</v>
      </c>
      <c r="C8339">
        <v>10</v>
      </c>
      <c r="D8339">
        <v>1.95</v>
      </c>
      <c r="E8339" t="s">
        <v>6</v>
      </c>
      <c r="F8339">
        <v>0.12357</v>
      </c>
    </row>
    <row r="8340" spans="1:6" x14ac:dyDescent="0.3">
      <c r="A8340" t="s">
        <v>22</v>
      </c>
      <c r="B8340" s="1">
        <v>46005</v>
      </c>
      <c r="C8340">
        <v>11</v>
      </c>
      <c r="D8340">
        <v>0</v>
      </c>
      <c r="E8340" t="s">
        <v>6</v>
      </c>
      <c r="F8340">
        <v>0.11015000000000001</v>
      </c>
    </row>
    <row r="8341" spans="1:6" x14ac:dyDescent="0.3">
      <c r="A8341" t="s">
        <v>22</v>
      </c>
      <c r="B8341" s="1">
        <v>46005</v>
      </c>
      <c r="C8341">
        <v>12</v>
      </c>
      <c r="D8341">
        <v>0</v>
      </c>
      <c r="E8341" t="s">
        <v>6</v>
      </c>
      <c r="F8341">
        <v>0.10102</v>
      </c>
    </row>
    <row r="8342" spans="1:6" x14ac:dyDescent="0.3">
      <c r="A8342" t="s">
        <v>22</v>
      </c>
      <c r="B8342" s="1">
        <v>46005</v>
      </c>
      <c r="C8342">
        <v>13</v>
      </c>
      <c r="D8342">
        <v>0</v>
      </c>
      <c r="E8342" t="s">
        <v>6</v>
      </c>
      <c r="F8342">
        <v>0.10183</v>
      </c>
    </row>
    <row r="8343" spans="1:6" x14ac:dyDescent="0.3">
      <c r="A8343" t="s">
        <v>22</v>
      </c>
      <c r="B8343" s="1">
        <v>46005</v>
      </c>
      <c r="C8343">
        <v>14</v>
      </c>
      <c r="D8343">
        <v>0</v>
      </c>
      <c r="E8343" t="s">
        <v>6</v>
      </c>
      <c r="F8343">
        <v>9.8060000000000008E-2</v>
      </c>
    </row>
    <row r="8344" spans="1:6" x14ac:dyDescent="0.3">
      <c r="A8344" t="s">
        <v>22</v>
      </c>
      <c r="B8344" s="1">
        <v>46005</v>
      </c>
      <c r="C8344">
        <v>15</v>
      </c>
      <c r="D8344">
        <v>0</v>
      </c>
      <c r="E8344" t="s">
        <v>6</v>
      </c>
      <c r="F8344">
        <v>9.7989999999999994E-2</v>
      </c>
    </row>
    <row r="8345" spans="1:6" x14ac:dyDescent="0.3">
      <c r="A8345" t="s">
        <v>22</v>
      </c>
      <c r="B8345" s="1">
        <v>46005</v>
      </c>
      <c r="C8345">
        <v>16</v>
      </c>
      <c r="D8345">
        <v>2.1749999999999998</v>
      </c>
      <c r="E8345" t="s">
        <v>6</v>
      </c>
      <c r="F8345">
        <v>0.10540000000000001</v>
      </c>
    </row>
    <row r="8346" spans="1:6" x14ac:dyDescent="0.3">
      <c r="A8346" t="s">
        <v>22</v>
      </c>
      <c r="B8346" s="1">
        <v>46005</v>
      </c>
      <c r="C8346">
        <v>17</v>
      </c>
      <c r="D8346">
        <v>1.6319999999999999</v>
      </c>
      <c r="E8346" t="s">
        <v>6</v>
      </c>
      <c r="F8346">
        <v>0.11724</v>
      </c>
    </row>
    <row r="8347" spans="1:6" x14ac:dyDescent="0.3">
      <c r="A8347" t="s">
        <v>22</v>
      </c>
      <c r="B8347" s="1">
        <v>46005</v>
      </c>
      <c r="C8347">
        <v>18</v>
      </c>
      <c r="D8347">
        <v>1.585</v>
      </c>
      <c r="E8347" t="s">
        <v>6</v>
      </c>
      <c r="F8347">
        <v>0.13750000000000001</v>
      </c>
    </row>
    <row r="8348" spans="1:6" x14ac:dyDescent="0.3">
      <c r="A8348" t="s">
        <v>22</v>
      </c>
      <c r="B8348" s="1">
        <v>46005</v>
      </c>
      <c r="C8348">
        <v>19</v>
      </c>
      <c r="D8348">
        <v>1.42</v>
      </c>
      <c r="E8348" t="s">
        <v>6</v>
      </c>
      <c r="F8348">
        <v>0.14924000000000001</v>
      </c>
    </row>
    <row r="8349" spans="1:6" x14ac:dyDescent="0.3">
      <c r="A8349" t="s">
        <v>22</v>
      </c>
      <c r="B8349" s="1">
        <v>46005</v>
      </c>
      <c r="C8349">
        <v>20</v>
      </c>
      <c r="D8349">
        <v>1.7190000000000001</v>
      </c>
      <c r="E8349" t="s">
        <v>6</v>
      </c>
      <c r="F8349">
        <v>0.15093999999999999</v>
      </c>
    </row>
    <row r="8350" spans="1:6" x14ac:dyDescent="0.3">
      <c r="A8350" t="s">
        <v>22</v>
      </c>
      <c r="B8350" s="1">
        <v>46005</v>
      </c>
      <c r="C8350">
        <v>21</v>
      </c>
      <c r="D8350">
        <v>2.0209999999999999</v>
      </c>
      <c r="E8350" t="s">
        <v>6</v>
      </c>
      <c r="F8350">
        <v>0.15105000000000002</v>
      </c>
    </row>
    <row r="8351" spans="1:6" x14ac:dyDescent="0.3">
      <c r="A8351" t="s">
        <v>22</v>
      </c>
      <c r="B8351" s="1">
        <v>46005</v>
      </c>
      <c r="C8351">
        <v>22</v>
      </c>
      <c r="D8351">
        <v>1.899</v>
      </c>
      <c r="E8351" t="s">
        <v>6</v>
      </c>
      <c r="F8351">
        <v>0.15056</v>
      </c>
    </row>
    <row r="8352" spans="1:6" x14ac:dyDescent="0.3">
      <c r="A8352" t="s">
        <v>22</v>
      </c>
      <c r="B8352" s="1">
        <v>46005</v>
      </c>
      <c r="C8352">
        <v>23</v>
      </c>
      <c r="D8352">
        <v>1.3320000000000001</v>
      </c>
      <c r="E8352" t="s">
        <v>6</v>
      </c>
      <c r="F8352">
        <v>0.14193</v>
      </c>
    </row>
    <row r="8353" spans="1:6" x14ac:dyDescent="0.3">
      <c r="A8353" t="s">
        <v>22</v>
      </c>
      <c r="B8353" s="1">
        <v>46005</v>
      </c>
      <c r="C8353">
        <v>24</v>
      </c>
      <c r="D8353">
        <v>1.661</v>
      </c>
      <c r="E8353" t="s">
        <v>6</v>
      </c>
      <c r="F8353">
        <v>0.13458000000000001</v>
      </c>
    </row>
    <row r="8354" spans="1:6" x14ac:dyDescent="0.3">
      <c r="A8354" t="s">
        <v>22</v>
      </c>
      <c r="B8354" s="1">
        <v>46006</v>
      </c>
      <c r="C8354">
        <v>1</v>
      </c>
      <c r="D8354">
        <v>1.538</v>
      </c>
      <c r="E8354" t="s">
        <v>6</v>
      </c>
      <c r="F8354">
        <v>0.11907999999999999</v>
      </c>
    </row>
    <row r="8355" spans="1:6" x14ac:dyDescent="0.3">
      <c r="A8355" t="s">
        <v>22</v>
      </c>
      <c r="B8355" s="1">
        <v>46006</v>
      </c>
      <c r="C8355">
        <v>2</v>
      </c>
      <c r="D8355">
        <v>1.3460000000000001</v>
      </c>
      <c r="E8355" t="s">
        <v>6</v>
      </c>
      <c r="F8355">
        <v>0.10843999999999999</v>
      </c>
    </row>
    <row r="8356" spans="1:6" x14ac:dyDescent="0.3">
      <c r="A8356" t="s">
        <v>22</v>
      </c>
      <c r="B8356" s="1">
        <v>46006</v>
      </c>
      <c r="C8356">
        <v>3</v>
      </c>
      <c r="D8356">
        <v>1.613</v>
      </c>
      <c r="E8356" t="s">
        <v>6</v>
      </c>
      <c r="F8356">
        <v>0.10925</v>
      </c>
    </row>
    <row r="8357" spans="1:6" x14ac:dyDescent="0.3">
      <c r="A8357" t="s">
        <v>22</v>
      </c>
      <c r="B8357" s="1">
        <v>46006</v>
      </c>
      <c r="C8357">
        <v>4</v>
      </c>
      <c r="D8357">
        <v>2.13</v>
      </c>
      <c r="E8357" t="s">
        <v>6</v>
      </c>
      <c r="F8357">
        <v>0.10862999999999999</v>
      </c>
    </row>
    <row r="8358" spans="1:6" x14ac:dyDescent="0.3">
      <c r="A8358" t="s">
        <v>22</v>
      </c>
      <c r="B8358" s="1">
        <v>46006</v>
      </c>
      <c r="C8358">
        <v>5</v>
      </c>
      <c r="D8358">
        <v>1.915</v>
      </c>
      <c r="E8358" t="s">
        <v>6</v>
      </c>
      <c r="F8358">
        <v>0.10515000000000001</v>
      </c>
    </row>
    <row r="8359" spans="1:6" x14ac:dyDescent="0.3">
      <c r="A8359" t="s">
        <v>22</v>
      </c>
      <c r="B8359" s="1">
        <v>46006</v>
      </c>
      <c r="C8359">
        <v>6</v>
      </c>
      <c r="D8359">
        <v>2.2149999999999999</v>
      </c>
      <c r="E8359" t="s">
        <v>6</v>
      </c>
      <c r="F8359">
        <v>0.10795</v>
      </c>
    </row>
    <row r="8360" spans="1:6" x14ac:dyDescent="0.3">
      <c r="A8360" t="s">
        <v>22</v>
      </c>
      <c r="B8360" s="1">
        <v>46006</v>
      </c>
      <c r="C8360">
        <v>7</v>
      </c>
      <c r="D8360">
        <v>2.5939999999999999</v>
      </c>
      <c r="E8360" t="s">
        <v>6</v>
      </c>
      <c r="F8360">
        <v>0.1211</v>
      </c>
    </row>
    <row r="8361" spans="1:6" x14ac:dyDescent="0.3">
      <c r="A8361" t="s">
        <v>22</v>
      </c>
      <c r="B8361" s="1">
        <v>46006</v>
      </c>
      <c r="C8361">
        <v>8</v>
      </c>
      <c r="D8361">
        <v>2.4020000000000001</v>
      </c>
      <c r="E8361" t="s">
        <v>6</v>
      </c>
      <c r="F8361">
        <v>0.13453999999999999</v>
      </c>
    </row>
    <row r="8362" spans="1:6" x14ac:dyDescent="0.3">
      <c r="A8362" t="s">
        <v>22</v>
      </c>
      <c r="B8362" s="1">
        <v>46006</v>
      </c>
      <c r="C8362">
        <v>9</v>
      </c>
      <c r="D8362">
        <v>1.7689999999999999</v>
      </c>
      <c r="E8362" t="s">
        <v>6</v>
      </c>
      <c r="F8362">
        <v>0.17102000000000001</v>
      </c>
    </row>
    <row r="8363" spans="1:6" x14ac:dyDescent="0.3">
      <c r="A8363" t="s">
        <v>22</v>
      </c>
      <c r="B8363" s="1">
        <v>46006</v>
      </c>
      <c r="C8363">
        <v>10</v>
      </c>
      <c r="D8363">
        <v>1.5489999999999999</v>
      </c>
      <c r="E8363" t="s">
        <v>6</v>
      </c>
      <c r="F8363">
        <v>0.16484000000000001</v>
      </c>
    </row>
    <row r="8364" spans="1:6" x14ac:dyDescent="0.3">
      <c r="A8364" t="s">
        <v>22</v>
      </c>
      <c r="B8364" s="1">
        <v>46006</v>
      </c>
      <c r="C8364">
        <v>11</v>
      </c>
      <c r="D8364">
        <v>0.24</v>
      </c>
      <c r="E8364" t="s">
        <v>6</v>
      </c>
      <c r="F8364">
        <v>0.22059000000000001</v>
      </c>
    </row>
    <row r="8365" spans="1:6" x14ac:dyDescent="0.3">
      <c r="A8365" t="s">
        <v>22</v>
      </c>
      <c r="B8365" s="1">
        <v>46006</v>
      </c>
      <c r="C8365">
        <v>12</v>
      </c>
      <c r="D8365">
        <v>0</v>
      </c>
      <c r="E8365" t="s">
        <v>6</v>
      </c>
      <c r="F8365">
        <v>0.21059999999999998</v>
      </c>
    </row>
    <row r="8366" spans="1:6" x14ac:dyDescent="0.3">
      <c r="A8366" t="s">
        <v>22</v>
      </c>
      <c r="B8366" s="1">
        <v>46006</v>
      </c>
      <c r="C8366">
        <v>13</v>
      </c>
      <c r="D8366">
        <v>1.042</v>
      </c>
      <c r="E8366" t="s">
        <v>6</v>
      </c>
      <c r="F8366">
        <v>0.20602999999999999</v>
      </c>
    </row>
    <row r="8367" spans="1:6" x14ac:dyDescent="0.3">
      <c r="A8367" t="s">
        <v>22</v>
      </c>
      <c r="B8367" s="1">
        <v>46006</v>
      </c>
      <c r="C8367">
        <v>14</v>
      </c>
      <c r="D8367">
        <v>0.58099999999999996</v>
      </c>
      <c r="E8367" t="s">
        <v>6</v>
      </c>
      <c r="F8367">
        <v>0.20441000000000001</v>
      </c>
    </row>
    <row r="8368" spans="1:6" x14ac:dyDescent="0.3">
      <c r="A8368" t="s">
        <v>22</v>
      </c>
      <c r="B8368" s="1">
        <v>46006</v>
      </c>
      <c r="C8368">
        <v>15</v>
      </c>
      <c r="D8368">
        <v>5.3999999999999999E-2</v>
      </c>
      <c r="E8368" t="s">
        <v>6</v>
      </c>
      <c r="F8368">
        <v>0.14555000000000001</v>
      </c>
    </row>
    <row r="8369" spans="1:6" x14ac:dyDescent="0.3">
      <c r="A8369" t="s">
        <v>22</v>
      </c>
      <c r="B8369" s="1">
        <v>46006</v>
      </c>
      <c r="C8369">
        <v>16</v>
      </c>
      <c r="D8369">
        <v>2.8490000000000002</v>
      </c>
      <c r="E8369" t="s">
        <v>6</v>
      </c>
      <c r="F8369">
        <v>0.15828999999999999</v>
      </c>
    </row>
    <row r="8370" spans="1:6" x14ac:dyDescent="0.3">
      <c r="A8370" t="s">
        <v>22</v>
      </c>
      <c r="B8370" s="1">
        <v>46006</v>
      </c>
      <c r="C8370">
        <v>17</v>
      </c>
      <c r="D8370">
        <v>2.1669999999999998</v>
      </c>
      <c r="E8370" t="s">
        <v>6</v>
      </c>
      <c r="F8370">
        <v>0.16528999999999999</v>
      </c>
    </row>
    <row r="8371" spans="1:6" x14ac:dyDescent="0.3">
      <c r="A8371" t="s">
        <v>22</v>
      </c>
      <c r="B8371" s="1">
        <v>46006</v>
      </c>
      <c r="C8371">
        <v>18</v>
      </c>
      <c r="D8371">
        <v>1.1180000000000001</v>
      </c>
      <c r="E8371" t="s">
        <v>6</v>
      </c>
      <c r="F8371">
        <v>0.16802</v>
      </c>
    </row>
    <row r="8372" spans="1:6" x14ac:dyDescent="0.3">
      <c r="A8372" t="s">
        <v>22</v>
      </c>
      <c r="B8372" s="1">
        <v>46006</v>
      </c>
      <c r="C8372">
        <v>19</v>
      </c>
      <c r="D8372">
        <v>2.012</v>
      </c>
      <c r="E8372" t="s">
        <v>6</v>
      </c>
      <c r="F8372">
        <v>0.23763000000000001</v>
      </c>
    </row>
    <row r="8373" spans="1:6" x14ac:dyDescent="0.3">
      <c r="A8373" t="s">
        <v>22</v>
      </c>
      <c r="B8373" s="1">
        <v>46006</v>
      </c>
      <c r="C8373">
        <v>20</v>
      </c>
      <c r="D8373">
        <v>2.1970000000000001</v>
      </c>
      <c r="E8373" t="s">
        <v>6</v>
      </c>
      <c r="F8373">
        <v>0.24226</v>
      </c>
    </row>
    <row r="8374" spans="1:6" x14ac:dyDescent="0.3">
      <c r="A8374" t="s">
        <v>22</v>
      </c>
      <c r="B8374" s="1">
        <v>46006</v>
      </c>
      <c r="C8374">
        <v>21</v>
      </c>
      <c r="D8374">
        <v>2.4969999999999999</v>
      </c>
      <c r="E8374" t="s">
        <v>6</v>
      </c>
      <c r="F8374">
        <v>0.25284000000000001</v>
      </c>
    </row>
    <row r="8375" spans="1:6" x14ac:dyDescent="0.3">
      <c r="A8375" t="s">
        <v>22</v>
      </c>
      <c r="B8375" s="1">
        <v>46006</v>
      </c>
      <c r="C8375">
        <v>22</v>
      </c>
      <c r="D8375">
        <v>1.9570000000000001</v>
      </c>
      <c r="E8375" t="s">
        <v>6</v>
      </c>
      <c r="F8375">
        <v>0.24834000000000001</v>
      </c>
    </row>
    <row r="8376" spans="1:6" x14ac:dyDescent="0.3">
      <c r="A8376" t="s">
        <v>22</v>
      </c>
      <c r="B8376" s="1">
        <v>46006</v>
      </c>
      <c r="C8376">
        <v>23</v>
      </c>
      <c r="D8376">
        <v>1.746</v>
      </c>
      <c r="E8376" t="s">
        <v>6</v>
      </c>
      <c r="F8376">
        <v>0.17732000000000001</v>
      </c>
    </row>
    <row r="8377" spans="1:6" x14ac:dyDescent="0.3">
      <c r="A8377" t="s">
        <v>22</v>
      </c>
      <c r="B8377" s="1">
        <v>46006</v>
      </c>
      <c r="C8377">
        <v>24</v>
      </c>
      <c r="D8377">
        <v>1.2370000000000001</v>
      </c>
      <c r="E8377" t="s">
        <v>6</v>
      </c>
      <c r="F8377">
        <v>0.16475000000000001</v>
      </c>
    </row>
    <row r="8378" spans="1:6" x14ac:dyDescent="0.3">
      <c r="A8378" t="s">
        <v>22</v>
      </c>
      <c r="B8378" s="1">
        <v>46007</v>
      </c>
      <c r="C8378">
        <v>1</v>
      </c>
      <c r="D8378">
        <v>1.5009999999999999</v>
      </c>
      <c r="E8378" t="s">
        <v>6</v>
      </c>
      <c r="F8378">
        <v>0.13171000000000002</v>
      </c>
    </row>
    <row r="8379" spans="1:6" x14ac:dyDescent="0.3">
      <c r="A8379" t="s">
        <v>22</v>
      </c>
      <c r="B8379" s="1">
        <v>46007</v>
      </c>
      <c r="C8379">
        <v>2</v>
      </c>
      <c r="D8379">
        <v>1.4239999999999999</v>
      </c>
      <c r="E8379" t="s">
        <v>6</v>
      </c>
      <c r="F8379">
        <v>0.12262999999999999</v>
      </c>
    </row>
    <row r="8380" spans="1:6" x14ac:dyDescent="0.3">
      <c r="A8380" t="s">
        <v>22</v>
      </c>
      <c r="B8380" s="1">
        <v>46007</v>
      </c>
      <c r="C8380">
        <v>3</v>
      </c>
      <c r="D8380">
        <v>1.46</v>
      </c>
      <c r="E8380" t="s">
        <v>6</v>
      </c>
      <c r="F8380">
        <v>0.11944</v>
      </c>
    </row>
    <row r="8381" spans="1:6" x14ac:dyDescent="0.3">
      <c r="A8381" t="s">
        <v>22</v>
      </c>
      <c r="B8381" s="1">
        <v>46007</v>
      </c>
      <c r="C8381">
        <v>4</v>
      </c>
      <c r="D8381">
        <v>1.4710000000000001</v>
      </c>
      <c r="E8381" t="s">
        <v>6</v>
      </c>
      <c r="F8381">
        <v>0.11226</v>
      </c>
    </row>
    <row r="8382" spans="1:6" x14ac:dyDescent="0.3">
      <c r="A8382" t="s">
        <v>22</v>
      </c>
      <c r="B8382" s="1">
        <v>46007</v>
      </c>
      <c r="C8382">
        <v>5</v>
      </c>
      <c r="D8382">
        <v>1.32</v>
      </c>
      <c r="E8382" t="s">
        <v>6</v>
      </c>
      <c r="F8382">
        <v>0.11</v>
      </c>
    </row>
    <row r="8383" spans="1:6" x14ac:dyDescent="0.3">
      <c r="A8383" t="s">
        <v>22</v>
      </c>
      <c r="B8383" s="1">
        <v>46007</v>
      </c>
      <c r="C8383">
        <v>6</v>
      </c>
      <c r="D8383">
        <v>1.478</v>
      </c>
      <c r="E8383" t="s">
        <v>6</v>
      </c>
      <c r="F8383">
        <v>0.11101999999999999</v>
      </c>
    </row>
    <row r="8384" spans="1:6" x14ac:dyDescent="0.3">
      <c r="A8384" t="s">
        <v>22</v>
      </c>
      <c r="B8384" s="1">
        <v>46007</v>
      </c>
      <c r="C8384">
        <v>7</v>
      </c>
      <c r="D8384">
        <v>2.5489999999999999</v>
      </c>
      <c r="E8384" t="s">
        <v>6</v>
      </c>
      <c r="F8384">
        <v>0.12247</v>
      </c>
    </row>
    <row r="8385" spans="1:6" x14ac:dyDescent="0.3">
      <c r="A8385" t="s">
        <v>22</v>
      </c>
      <c r="B8385" s="1">
        <v>46007</v>
      </c>
      <c r="C8385">
        <v>8</v>
      </c>
      <c r="D8385">
        <v>2.8620000000000001</v>
      </c>
      <c r="E8385" t="s">
        <v>6</v>
      </c>
      <c r="F8385">
        <v>0.12819999999999998</v>
      </c>
    </row>
    <row r="8386" spans="1:6" x14ac:dyDescent="0.3">
      <c r="A8386" t="s">
        <v>22</v>
      </c>
      <c r="B8386" s="1">
        <v>46007</v>
      </c>
      <c r="C8386">
        <v>9</v>
      </c>
      <c r="D8386">
        <v>2.859</v>
      </c>
      <c r="E8386" t="s">
        <v>6</v>
      </c>
      <c r="F8386">
        <v>0.16344</v>
      </c>
    </row>
    <row r="8387" spans="1:6" x14ac:dyDescent="0.3">
      <c r="A8387" t="s">
        <v>22</v>
      </c>
      <c r="B8387" s="1">
        <v>46007</v>
      </c>
      <c r="C8387">
        <v>10</v>
      </c>
      <c r="D8387">
        <v>2.7869999999999999</v>
      </c>
      <c r="E8387" t="s">
        <v>6</v>
      </c>
      <c r="F8387">
        <v>0.16102</v>
      </c>
    </row>
    <row r="8388" spans="1:6" x14ac:dyDescent="0.3">
      <c r="A8388" t="s">
        <v>22</v>
      </c>
      <c r="B8388" s="1">
        <v>46007</v>
      </c>
      <c r="C8388">
        <v>11</v>
      </c>
      <c r="D8388">
        <v>1.6930000000000001</v>
      </c>
      <c r="E8388" t="s">
        <v>6</v>
      </c>
      <c r="F8388">
        <v>0.21841999999999998</v>
      </c>
    </row>
    <row r="8389" spans="1:6" x14ac:dyDescent="0.3">
      <c r="A8389" t="s">
        <v>22</v>
      </c>
      <c r="B8389" s="1">
        <v>46007</v>
      </c>
      <c r="C8389">
        <v>12</v>
      </c>
      <c r="D8389">
        <v>1.496</v>
      </c>
      <c r="E8389" t="s">
        <v>6</v>
      </c>
      <c r="F8389">
        <v>0.21026</v>
      </c>
    </row>
    <row r="8390" spans="1:6" x14ac:dyDescent="0.3">
      <c r="A8390" t="s">
        <v>22</v>
      </c>
      <c r="B8390" s="1">
        <v>46007</v>
      </c>
      <c r="C8390">
        <v>13</v>
      </c>
      <c r="D8390">
        <v>1.54</v>
      </c>
      <c r="E8390" t="s">
        <v>6</v>
      </c>
      <c r="F8390">
        <v>0.20933000000000002</v>
      </c>
    </row>
    <row r="8391" spans="1:6" x14ac:dyDescent="0.3">
      <c r="A8391" t="s">
        <v>22</v>
      </c>
      <c r="B8391" s="1">
        <v>46007</v>
      </c>
      <c r="C8391">
        <v>14</v>
      </c>
      <c r="D8391">
        <v>1.5169999999999999</v>
      </c>
      <c r="E8391" t="s">
        <v>6</v>
      </c>
      <c r="F8391">
        <v>0.20433000000000001</v>
      </c>
    </row>
    <row r="8392" spans="1:6" x14ac:dyDescent="0.3">
      <c r="A8392" t="s">
        <v>22</v>
      </c>
      <c r="B8392" s="1">
        <v>46007</v>
      </c>
      <c r="C8392">
        <v>15</v>
      </c>
      <c r="D8392">
        <v>1.1519999999999999</v>
      </c>
      <c r="E8392" t="s">
        <v>6</v>
      </c>
      <c r="F8392">
        <v>0.14199999999999999</v>
      </c>
    </row>
    <row r="8393" spans="1:6" x14ac:dyDescent="0.3">
      <c r="A8393" t="s">
        <v>22</v>
      </c>
      <c r="B8393" s="1">
        <v>46007</v>
      </c>
      <c r="C8393">
        <v>16</v>
      </c>
      <c r="D8393">
        <v>0.91500000000000004</v>
      </c>
      <c r="E8393" t="s">
        <v>6</v>
      </c>
      <c r="F8393">
        <v>0.15224000000000001</v>
      </c>
    </row>
    <row r="8394" spans="1:6" x14ac:dyDescent="0.3">
      <c r="A8394" t="s">
        <v>22</v>
      </c>
      <c r="B8394" s="1">
        <v>46007</v>
      </c>
      <c r="C8394">
        <v>17</v>
      </c>
      <c r="D8394">
        <v>2.3029999999999999</v>
      </c>
      <c r="E8394" t="s">
        <v>6</v>
      </c>
      <c r="F8394">
        <v>0.15775</v>
      </c>
    </row>
    <row r="8395" spans="1:6" x14ac:dyDescent="0.3">
      <c r="A8395" t="s">
        <v>22</v>
      </c>
      <c r="B8395" s="1">
        <v>46007</v>
      </c>
      <c r="C8395">
        <v>18</v>
      </c>
      <c r="D8395">
        <v>1.6819999999999999</v>
      </c>
      <c r="E8395" t="s">
        <v>6</v>
      </c>
      <c r="F8395">
        <v>0.17149</v>
      </c>
    </row>
    <row r="8396" spans="1:6" x14ac:dyDescent="0.3">
      <c r="A8396" t="s">
        <v>22</v>
      </c>
      <c r="B8396" s="1">
        <v>46007</v>
      </c>
      <c r="C8396">
        <v>19</v>
      </c>
      <c r="D8396">
        <v>1.782</v>
      </c>
      <c r="E8396" t="s">
        <v>6</v>
      </c>
      <c r="F8396">
        <v>0.25705</v>
      </c>
    </row>
    <row r="8397" spans="1:6" x14ac:dyDescent="0.3">
      <c r="A8397" t="s">
        <v>22</v>
      </c>
      <c r="B8397" s="1">
        <v>46007</v>
      </c>
      <c r="C8397">
        <v>20</v>
      </c>
      <c r="D8397">
        <v>1.744</v>
      </c>
      <c r="E8397" t="s">
        <v>6</v>
      </c>
      <c r="F8397">
        <v>0.26957999999999999</v>
      </c>
    </row>
    <row r="8398" spans="1:6" x14ac:dyDescent="0.3">
      <c r="A8398" t="s">
        <v>22</v>
      </c>
      <c r="B8398" s="1">
        <v>46007</v>
      </c>
      <c r="C8398">
        <v>21</v>
      </c>
      <c r="D8398">
        <v>1.206</v>
      </c>
      <c r="E8398" t="s">
        <v>6</v>
      </c>
      <c r="F8398">
        <v>0.25202000000000002</v>
      </c>
    </row>
    <row r="8399" spans="1:6" x14ac:dyDescent="0.3">
      <c r="A8399" t="s">
        <v>22</v>
      </c>
      <c r="B8399" s="1">
        <v>46007</v>
      </c>
      <c r="C8399">
        <v>22</v>
      </c>
      <c r="D8399">
        <v>2.1970000000000001</v>
      </c>
      <c r="E8399" t="s">
        <v>6</v>
      </c>
      <c r="F8399">
        <v>0.23596</v>
      </c>
    </row>
    <row r="8400" spans="1:6" x14ac:dyDescent="0.3">
      <c r="A8400" t="s">
        <v>22</v>
      </c>
      <c r="B8400" s="1">
        <v>46007</v>
      </c>
      <c r="C8400">
        <v>23</v>
      </c>
      <c r="D8400">
        <v>1.639</v>
      </c>
      <c r="E8400" t="s">
        <v>6</v>
      </c>
      <c r="F8400">
        <v>0.15652000000000002</v>
      </c>
    </row>
    <row r="8401" spans="1:6" x14ac:dyDescent="0.3">
      <c r="A8401" t="s">
        <v>22</v>
      </c>
      <c r="B8401" s="1">
        <v>46007</v>
      </c>
      <c r="C8401">
        <v>24</v>
      </c>
      <c r="D8401">
        <v>1.345</v>
      </c>
      <c r="E8401" t="s">
        <v>6</v>
      </c>
      <c r="F8401">
        <v>0.14333000000000001</v>
      </c>
    </row>
    <row r="8402" spans="1:6" x14ac:dyDescent="0.3">
      <c r="A8402" t="s">
        <v>22</v>
      </c>
      <c r="B8402" s="1">
        <v>46008</v>
      </c>
      <c r="C8402">
        <v>1</v>
      </c>
      <c r="D8402">
        <v>1.5549999999999999</v>
      </c>
      <c r="E8402" t="s">
        <v>6</v>
      </c>
      <c r="F8402">
        <v>0.11306999999999999</v>
      </c>
    </row>
    <row r="8403" spans="1:6" x14ac:dyDescent="0.3">
      <c r="A8403" t="s">
        <v>22</v>
      </c>
      <c r="B8403" s="1">
        <v>46008</v>
      </c>
      <c r="C8403">
        <v>2</v>
      </c>
      <c r="D8403">
        <v>1.454</v>
      </c>
      <c r="E8403" t="s">
        <v>6</v>
      </c>
      <c r="F8403">
        <v>0.11353000000000001</v>
      </c>
    </row>
    <row r="8404" spans="1:6" x14ac:dyDescent="0.3">
      <c r="A8404" t="s">
        <v>22</v>
      </c>
      <c r="B8404" s="1">
        <v>46008</v>
      </c>
      <c r="C8404">
        <v>3</v>
      </c>
      <c r="D8404">
        <v>1.36</v>
      </c>
      <c r="E8404" t="s">
        <v>6</v>
      </c>
      <c r="F8404">
        <v>0.11384999999999999</v>
      </c>
    </row>
    <row r="8405" spans="1:6" x14ac:dyDescent="0.3">
      <c r="A8405" t="s">
        <v>22</v>
      </c>
      <c r="B8405" s="1">
        <v>46008</v>
      </c>
      <c r="C8405">
        <v>4</v>
      </c>
      <c r="D8405">
        <v>1.68</v>
      </c>
      <c r="E8405" t="s">
        <v>6</v>
      </c>
      <c r="F8405">
        <v>0.10686</v>
      </c>
    </row>
    <row r="8406" spans="1:6" x14ac:dyDescent="0.3">
      <c r="A8406" t="s">
        <v>22</v>
      </c>
      <c r="B8406" s="1">
        <v>46008</v>
      </c>
      <c r="C8406">
        <v>5</v>
      </c>
      <c r="D8406">
        <v>1.462</v>
      </c>
      <c r="E8406" t="s">
        <v>6</v>
      </c>
      <c r="F8406">
        <v>0.10575</v>
      </c>
    </row>
    <row r="8407" spans="1:6" x14ac:dyDescent="0.3">
      <c r="A8407" t="s">
        <v>22</v>
      </c>
      <c r="B8407" s="1">
        <v>46008</v>
      </c>
      <c r="C8407">
        <v>6</v>
      </c>
      <c r="D8407">
        <v>2.411</v>
      </c>
      <c r="E8407" t="s">
        <v>6</v>
      </c>
      <c r="F8407">
        <v>0.10732999999999999</v>
      </c>
    </row>
    <row r="8408" spans="1:6" x14ac:dyDescent="0.3">
      <c r="A8408" t="s">
        <v>22</v>
      </c>
      <c r="B8408" s="1">
        <v>46008</v>
      </c>
      <c r="C8408">
        <v>7</v>
      </c>
      <c r="D8408">
        <v>2.6320000000000001</v>
      </c>
      <c r="E8408" t="s">
        <v>6</v>
      </c>
      <c r="F8408">
        <v>0.13038</v>
      </c>
    </row>
    <row r="8409" spans="1:6" x14ac:dyDescent="0.3">
      <c r="A8409" t="s">
        <v>22</v>
      </c>
      <c r="B8409" s="1">
        <v>46008</v>
      </c>
      <c r="C8409">
        <v>8</v>
      </c>
      <c r="D8409">
        <v>3.3340000000000001</v>
      </c>
      <c r="E8409" t="s">
        <v>6</v>
      </c>
      <c r="F8409">
        <v>0.16188</v>
      </c>
    </row>
    <row r="8410" spans="1:6" x14ac:dyDescent="0.3">
      <c r="A8410" t="s">
        <v>22</v>
      </c>
      <c r="B8410" s="1">
        <v>46008</v>
      </c>
      <c r="C8410">
        <v>9</v>
      </c>
      <c r="D8410">
        <v>2.6669999999999998</v>
      </c>
      <c r="E8410" t="s">
        <v>6</v>
      </c>
      <c r="F8410">
        <v>0.21674000000000002</v>
      </c>
    </row>
    <row r="8411" spans="1:6" x14ac:dyDescent="0.3">
      <c r="A8411" t="s">
        <v>22</v>
      </c>
      <c r="B8411" s="1">
        <v>46008</v>
      </c>
      <c r="C8411">
        <v>10</v>
      </c>
      <c r="D8411">
        <v>2.5979999999999999</v>
      </c>
      <c r="E8411" t="s">
        <v>6</v>
      </c>
      <c r="F8411">
        <v>0.19100999999999999</v>
      </c>
    </row>
    <row r="8412" spans="1:6" x14ac:dyDescent="0.3">
      <c r="A8412" t="s">
        <v>22</v>
      </c>
      <c r="B8412" s="1">
        <v>46008</v>
      </c>
      <c r="C8412">
        <v>11</v>
      </c>
      <c r="D8412">
        <v>2.9830000000000001</v>
      </c>
      <c r="E8412" t="s">
        <v>6</v>
      </c>
      <c r="F8412">
        <v>0.21994</v>
      </c>
    </row>
    <row r="8413" spans="1:6" x14ac:dyDescent="0.3">
      <c r="A8413" t="s">
        <v>22</v>
      </c>
      <c r="B8413" s="1">
        <v>46008</v>
      </c>
      <c r="C8413">
        <v>12</v>
      </c>
      <c r="D8413">
        <v>0.83599999999999997</v>
      </c>
      <c r="E8413" t="s">
        <v>6</v>
      </c>
      <c r="F8413">
        <v>0.20805999999999999</v>
      </c>
    </row>
    <row r="8414" spans="1:6" x14ac:dyDescent="0.3">
      <c r="A8414" t="s">
        <v>22</v>
      </c>
      <c r="B8414" s="1">
        <v>46008</v>
      </c>
      <c r="C8414">
        <v>13</v>
      </c>
      <c r="D8414">
        <v>0.38600000000000001</v>
      </c>
      <c r="E8414" t="s">
        <v>6</v>
      </c>
      <c r="F8414">
        <v>0.20448</v>
      </c>
    </row>
    <row r="8415" spans="1:6" x14ac:dyDescent="0.3">
      <c r="A8415" t="s">
        <v>22</v>
      </c>
      <c r="B8415" s="1">
        <v>46008</v>
      </c>
      <c r="C8415">
        <v>14</v>
      </c>
      <c r="D8415">
        <v>0.52400000000000002</v>
      </c>
      <c r="E8415" t="s">
        <v>6</v>
      </c>
      <c r="F8415">
        <v>0.19878000000000001</v>
      </c>
    </row>
    <row r="8416" spans="1:6" x14ac:dyDescent="0.3">
      <c r="A8416" t="s">
        <v>22</v>
      </c>
      <c r="B8416" s="1">
        <v>46008</v>
      </c>
      <c r="C8416">
        <v>15</v>
      </c>
      <c r="D8416">
        <v>0</v>
      </c>
      <c r="E8416" t="s">
        <v>6</v>
      </c>
      <c r="F8416">
        <v>0.13555</v>
      </c>
    </row>
    <row r="8417" spans="1:6" x14ac:dyDescent="0.3">
      <c r="A8417" t="s">
        <v>22</v>
      </c>
      <c r="B8417" s="1">
        <v>46008</v>
      </c>
      <c r="C8417">
        <v>16</v>
      </c>
      <c r="D8417">
        <v>0</v>
      </c>
      <c r="E8417" t="s">
        <v>6</v>
      </c>
      <c r="F8417">
        <v>0.14530999999999999</v>
      </c>
    </row>
    <row r="8418" spans="1:6" x14ac:dyDescent="0.3">
      <c r="A8418" t="s">
        <v>22</v>
      </c>
      <c r="B8418" s="1">
        <v>46008</v>
      </c>
      <c r="C8418">
        <v>17</v>
      </c>
      <c r="D8418">
        <v>4.1239999999999997</v>
      </c>
      <c r="E8418" t="s">
        <v>6</v>
      </c>
      <c r="F8418">
        <v>0.16747999999999999</v>
      </c>
    </row>
    <row r="8419" spans="1:6" x14ac:dyDescent="0.3">
      <c r="A8419" t="s">
        <v>22</v>
      </c>
      <c r="B8419" s="1">
        <v>46008</v>
      </c>
      <c r="C8419">
        <v>18</v>
      </c>
      <c r="D8419">
        <v>2.7789999999999999</v>
      </c>
      <c r="E8419" t="s">
        <v>6</v>
      </c>
      <c r="F8419">
        <v>0.18193000000000001</v>
      </c>
    </row>
    <row r="8420" spans="1:6" x14ac:dyDescent="0.3">
      <c r="A8420" t="s">
        <v>22</v>
      </c>
      <c r="B8420" s="1">
        <v>46008</v>
      </c>
      <c r="C8420">
        <v>19</v>
      </c>
      <c r="D8420">
        <v>1.9019999999999999</v>
      </c>
      <c r="E8420" t="s">
        <v>6</v>
      </c>
      <c r="F8420">
        <v>0.26711000000000001</v>
      </c>
    </row>
    <row r="8421" spans="1:6" x14ac:dyDescent="0.3">
      <c r="A8421" t="s">
        <v>22</v>
      </c>
      <c r="B8421" s="1">
        <v>46008</v>
      </c>
      <c r="C8421">
        <v>20</v>
      </c>
      <c r="D8421">
        <v>1.849</v>
      </c>
      <c r="E8421" t="s">
        <v>6</v>
      </c>
      <c r="F8421">
        <v>0.26650000000000001</v>
      </c>
    </row>
    <row r="8422" spans="1:6" x14ac:dyDescent="0.3">
      <c r="A8422" t="s">
        <v>22</v>
      </c>
      <c r="B8422" s="1">
        <v>46008</v>
      </c>
      <c r="C8422">
        <v>21</v>
      </c>
      <c r="D8422">
        <v>2.028</v>
      </c>
      <c r="E8422" t="s">
        <v>6</v>
      </c>
      <c r="F8422">
        <v>0.28051999999999999</v>
      </c>
    </row>
    <row r="8423" spans="1:6" x14ac:dyDescent="0.3">
      <c r="A8423" t="s">
        <v>22</v>
      </c>
      <c r="B8423" s="1">
        <v>46008</v>
      </c>
      <c r="C8423">
        <v>22</v>
      </c>
      <c r="D8423">
        <v>2.2400000000000002</v>
      </c>
      <c r="E8423" t="s">
        <v>6</v>
      </c>
      <c r="F8423">
        <v>0.26800999999999997</v>
      </c>
    </row>
    <row r="8424" spans="1:6" x14ac:dyDescent="0.3">
      <c r="A8424" t="s">
        <v>22</v>
      </c>
      <c r="B8424" s="1">
        <v>46008</v>
      </c>
      <c r="C8424">
        <v>23</v>
      </c>
      <c r="D8424">
        <v>1.8620000000000001</v>
      </c>
      <c r="E8424" t="s">
        <v>6</v>
      </c>
      <c r="F8424">
        <v>0.18802000000000002</v>
      </c>
    </row>
    <row r="8425" spans="1:6" x14ac:dyDescent="0.3">
      <c r="A8425" t="s">
        <v>22</v>
      </c>
      <c r="B8425" s="1">
        <v>46008</v>
      </c>
      <c r="C8425">
        <v>24</v>
      </c>
      <c r="D8425">
        <v>1.7090000000000001</v>
      </c>
      <c r="E8425" t="s">
        <v>6</v>
      </c>
      <c r="F8425">
        <v>0.17288000000000001</v>
      </c>
    </row>
    <row r="8426" spans="1:6" x14ac:dyDescent="0.3">
      <c r="A8426" t="s">
        <v>22</v>
      </c>
      <c r="B8426" s="1">
        <v>46009</v>
      </c>
      <c r="C8426">
        <v>1</v>
      </c>
      <c r="D8426">
        <v>1.6950000000000001</v>
      </c>
      <c r="E8426" t="s">
        <v>6</v>
      </c>
      <c r="F8426">
        <v>0.15001</v>
      </c>
    </row>
    <row r="8427" spans="1:6" x14ac:dyDescent="0.3">
      <c r="A8427" t="s">
        <v>22</v>
      </c>
      <c r="B8427" s="1">
        <v>46009</v>
      </c>
      <c r="C8427">
        <v>2</v>
      </c>
      <c r="D8427">
        <v>1.5680000000000001</v>
      </c>
      <c r="E8427" t="s">
        <v>6</v>
      </c>
      <c r="F8427">
        <v>0.14108999999999999</v>
      </c>
    </row>
    <row r="8428" spans="1:6" x14ac:dyDescent="0.3">
      <c r="A8428" t="s">
        <v>22</v>
      </c>
      <c r="B8428" s="1">
        <v>46009</v>
      </c>
      <c r="C8428">
        <v>3</v>
      </c>
      <c r="D8428">
        <v>1.7050000000000001</v>
      </c>
      <c r="E8428" t="s">
        <v>6</v>
      </c>
      <c r="F8428">
        <v>0.14054</v>
      </c>
    </row>
    <row r="8429" spans="1:6" x14ac:dyDescent="0.3">
      <c r="A8429" t="s">
        <v>22</v>
      </c>
      <c r="B8429" s="1">
        <v>46009</v>
      </c>
      <c r="C8429">
        <v>4</v>
      </c>
      <c r="D8429">
        <v>1.7649999999999999</v>
      </c>
      <c r="E8429" t="s">
        <v>6</v>
      </c>
      <c r="F8429">
        <v>0.12736</v>
      </c>
    </row>
    <row r="8430" spans="1:6" x14ac:dyDescent="0.3">
      <c r="A8430" t="s">
        <v>22</v>
      </c>
      <c r="B8430" s="1">
        <v>46009</v>
      </c>
      <c r="C8430">
        <v>5</v>
      </c>
      <c r="D8430">
        <v>1.7450000000000001</v>
      </c>
      <c r="E8430" t="s">
        <v>6</v>
      </c>
      <c r="F8430">
        <v>0.12376000000000001</v>
      </c>
    </row>
    <row r="8431" spans="1:6" x14ac:dyDescent="0.3">
      <c r="A8431" t="s">
        <v>22</v>
      </c>
      <c r="B8431" s="1">
        <v>46009</v>
      </c>
      <c r="C8431">
        <v>6</v>
      </c>
      <c r="D8431">
        <v>1.66</v>
      </c>
      <c r="E8431" t="s">
        <v>6</v>
      </c>
      <c r="F8431">
        <v>0.12318999999999999</v>
      </c>
    </row>
    <row r="8432" spans="1:6" x14ac:dyDescent="0.3">
      <c r="A8432" t="s">
        <v>22</v>
      </c>
      <c r="B8432" s="1">
        <v>46009</v>
      </c>
      <c r="C8432">
        <v>7</v>
      </c>
      <c r="D8432">
        <v>1.776</v>
      </c>
      <c r="E8432" t="s">
        <v>6</v>
      </c>
      <c r="F8432">
        <v>0.13394999999999999</v>
      </c>
    </row>
    <row r="8433" spans="1:6" x14ac:dyDescent="0.3">
      <c r="A8433" t="s">
        <v>22</v>
      </c>
      <c r="B8433" s="1">
        <v>46009</v>
      </c>
      <c r="C8433">
        <v>8</v>
      </c>
      <c r="D8433">
        <v>2.363</v>
      </c>
      <c r="E8433" t="s">
        <v>6</v>
      </c>
      <c r="F8433">
        <v>0.13733000000000001</v>
      </c>
    </row>
    <row r="8434" spans="1:6" x14ac:dyDescent="0.3">
      <c r="A8434" t="s">
        <v>22</v>
      </c>
      <c r="B8434" s="1">
        <v>46009</v>
      </c>
      <c r="C8434">
        <v>9</v>
      </c>
      <c r="D8434">
        <v>2.6019999999999999</v>
      </c>
      <c r="E8434" t="s">
        <v>6</v>
      </c>
      <c r="F8434">
        <v>0.17052</v>
      </c>
    </row>
    <row r="8435" spans="1:6" x14ac:dyDescent="0.3">
      <c r="A8435" t="s">
        <v>22</v>
      </c>
      <c r="B8435" s="1">
        <v>46009</v>
      </c>
      <c r="C8435">
        <v>10</v>
      </c>
      <c r="D8435">
        <v>1.4590000000000001</v>
      </c>
      <c r="E8435" t="s">
        <v>6</v>
      </c>
      <c r="F8435">
        <v>0.15752000000000002</v>
      </c>
    </row>
    <row r="8436" spans="1:6" x14ac:dyDescent="0.3">
      <c r="A8436" t="s">
        <v>22</v>
      </c>
      <c r="B8436" s="1">
        <v>46009</v>
      </c>
      <c r="C8436">
        <v>11</v>
      </c>
      <c r="D8436">
        <v>1.0940000000000001</v>
      </c>
      <c r="E8436" t="s">
        <v>6</v>
      </c>
      <c r="F8436">
        <v>0.20054</v>
      </c>
    </row>
    <row r="8437" spans="1:6" x14ac:dyDescent="0.3">
      <c r="A8437" t="s">
        <v>22</v>
      </c>
      <c r="B8437" s="1">
        <v>46009</v>
      </c>
      <c r="C8437">
        <v>12</v>
      </c>
      <c r="D8437">
        <v>1</v>
      </c>
      <c r="E8437" t="s">
        <v>6</v>
      </c>
      <c r="F8437">
        <v>0.16706000000000001</v>
      </c>
    </row>
    <row r="8438" spans="1:6" x14ac:dyDescent="0.3">
      <c r="A8438" t="s">
        <v>22</v>
      </c>
      <c r="B8438" s="1">
        <v>46009</v>
      </c>
      <c r="C8438">
        <v>13</v>
      </c>
      <c r="D8438">
        <v>1.0940000000000001</v>
      </c>
      <c r="E8438" t="s">
        <v>6</v>
      </c>
      <c r="F8438">
        <v>0.16066999999999998</v>
      </c>
    </row>
    <row r="8439" spans="1:6" x14ac:dyDescent="0.3">
      <c r="A8439" t="s">
        <v>22</v>
      </c>
      <c r="B8439" s="1">
        <v>46009</v>
      </c>
      <c r="C8439">
        <v>14</v>
      </c>
      <c r="D8439">
        <v>2.1419999999999999</v>
      </c>
      <c r="E8439" t="s">
        <v>6</v>
      </c>
      <c r="F8439">
        <v>0.14774000000000001</v>
      </c>
    </row>
    <row r="8440" spans="1:6" x14ac:dyDescent="0.3">
      <c r="A8440" t="s">
        <v>22</v>
      </c>
      <c r="B8440" s="1">
        <v>46009</v>
      </c>
      <c r="C8440">
        <v>15</v>
      </c>
      <c r="D8440">
        <v>0</v>
      </c>
      <c r="E8440" t="s">
        <v>6</v>
      </c>
      <c r="F8440">
        <v>8.4870000000000001E-2</v>
      </c>
    </row>
    <row r="8441" spans="1:6" x14ac:dyDescent="0.3">
      <c r="A8441" t="s">
        <v>22</v>
      </c>
      <c r="B8441" s="1">
        <v>46009</v>
      </c>
      <c r="C8441">
        <v>16</v>
      </c>
      <c r="D8441">
        <v>0</v>
      </c>
      <c r="E8441" t="s">
        <v>6</v>
      </c>
      <c r="F8441">
        <v>0.11781</v>
      </c>
    </row>
    <row r="8442" spans="1:6" x14ac:dyDescent="0.3">
      <c r="A8442" t="s">
        <v>22</v>
      </c>
      <c r="B8442" s="1">
        <v>46009</v>
      </c>
      <c r="C8442">
        <v>17</v>
      </c>
      <c r="D8442">
        <v>2.415</v>
      </c>
      <c r="E8442" t="s">
        <v>6</v>
      </c>
      <c r="F8442">
        <v>0.14219999999999999</v>
      </c>
    </row>
    <row r="8443" spans="1:6" x14ac:dyDescent="0.3">
      <c r="A8443" t="s">
        <v>22</v>
      </c>
      <c r="B8443" s="1">
        <v>46009</v>
      </c>
      <c r="C8443">
        <v>18</v>
      </c>
      <c r="D8443">
        <v>0.95099999999999996</v>
      </c>
      <c r="E8443" t="s">
        <v>6</v>
      </c>
      <c r="F8443">
        <v>0.16447000000000001</v>
      </c>
    </row>
    <row r="8444" spans="1:6" x14ac:dyDescent="0.3">
      <c r="A8444" t="s">
        <v>22</v>
      </c>
      <c r="B8444" s="1">
        <v>46009</v>
      </c>
      <c r="C8444">
        <v>19</v>
      </c>
      <c r="D8444">
        <v>2.0110000000000001</v>
      </c>
      <c r="E8444" t="s">
        <v>6</v>
      </c>
      <c r="F8444">
        <v>0.23943</v>
      </c>
    </row>
    <row r="8445" spans="1:6" x14ac:dyDescent="0.3">
      <c r="A8445" t="s">
        <v>22</v>
      </c>
      <c r="B8445" s="1">
        <v>46009</v>
      </c>
      <c r="C8445">
        <v>20</v>
      </c>
      <c r="D8445">
        <v>2.4740000000000002</v>
      </c>
      <c r="E8445" t="s">
        <v>6</v>
      </c>
      <c r="F8445">
        <v>0.24631</v>
      </c>
    </row>
    <row r="8446" spans="1:6" x14ac:dyDescent="0.3">
      <c r="A8446" t="s">
        <v>22</v>
      </c>
      <c r="B8446" s="1">
        <v>46009</v>
      </c>
      <c r="C8446">
        <v>21</v>
      </c>
      <c r="D8446">
        <v>3.036</v>
      </c>
      <c r="E8446" t="s">
        <v>6</v>
      </c>
      <c r="F8446">
        <v>0.24953</v>
      </c>
    </row>
    <row r="8447" spans="1:6" x14ac:dyDescent="0.3">
      <c r="A8447" t="s">
        <v>22</v>
      </c>
      <c r="B8447" s="1">
        <v>46009</v>
      </c>
      <c r="C8447">
        <v>22</v>
      </c>
      <c r="D8447">
        <v>3.0070000000000001</v>
      </c>
      <c r="E8447" t="s">
        <v>6</v>
      </c>
      <c r="F8447">
        <v>0.24777000000000002</v>
      </c>
    </row>
    <row r="8448" spans="1:6" x14ac:dyDescent="0.3">
      <c r="A8448" t="s">
        <v>22</v>
      </c>
      <c r="B8448" s="1">
        <v>46009</v>
      </c>
      <c r="C8448">
        <v>23</v>
      </c>
      <c r="D8448">
        <v>1.3859999999999999</v>
      </c>
      <c r="E8448" t="s">
        <v>6</v>
      </c>
      <c r="F8448">
        <v>0.16599</v>
      </c>
    </row>
    <row r="8449" spans="1:6" x14ac:dyDescent="0.3">
      <c r="A8449" t="s">
        <v>22</v>
      </c>
      <c r="B8449" s="1">
        <v>46009</v>
      </c>
      <c r="C8449">
        <v>24</v>
      </c>
      <c r="D8449">
        <v>1.347</v>
      </c>
      <c r="E8449" t="s">
        <v>6</v>
      </c>
      <c r="F8449">
        <v>0.15631</v>
      </c>
    </row>
    <row r="8450" spans="1:6" x14ac:dyDescent="0.3">
      <c r="A8450" t="s">
        <v>22</v>
      </c>
      <c r="B8450" s="1">
        <v>46010</v>
      </c>
      <c r="C8450">
        <v>1</v>
      </c>
      <c r="D8450">
        <v>1.5760000000000001</v>
      </c>
      <c r="E8450" t="s">
        <v>6</v>
      </c>
      <c r="F8450">
        <v>0.11856999999999999</v>
      </c>
    </row>
    <row r="8451" spans="1:6" x14ac:dyDescent="0.3">
      <c r="A8451" t="s">
        <v>22</v>
      </c>
      <c r="B8451" s="1">
        <v>46010</v>
      </c>
      <c r="C8451">
        <v>2</v>
      </c>
      <c r="D8451">
        <v>1.24</v>
      </c>
      <c r="E8451" t="s">
        <v>6</v>
      </c>
      <c r="F8451">
        <v>0.11643000000000001</v>
      </c>
    </row>
    <row r="8452" spans="1:6" x14ac:dyDescent="0.3">
      <c r="A8452" t="s">
        <v>22</v>
      </c>
      <c r="B8452" s="1">
        <v>46010</v>
      </c>
      <c r="C8452">
        <v>3</v>
      </c>
      <c r="D8452">
        <v>1.5880000000000001</v>
      </c>
      <c r="E8452" t="s">
        <v>6</v>
      </c>
      <c r="F8452">
        <v>0.11393</v>
      </c>
    </row>
    <row r="8453" spans="1:6" x14ac:dyDescent="0.3">
      <c r="A8453" t="s">
        <v>22</v>
      </c>
      <c r="B8453" s="1">
        <v>46010</v>
      </c>
      <c r="C8453">
        <v>4</v>
      </c>
      <c r="D8453">
        <v>2.8359999999999999</v>
      </c>
      <c r="E8453" t="s">
        <v>6</v>
      </c>
      <c r="F8453">
        <v>0.10898000000000001</v>
      </c>
    </row>
    <row r="8454" spans="1:6" x14ac:dyDescent="0.3">
      <c r="A8454" t="s">
        <v>22</v>
      </c>
      <c r="B8454" s="1">
        <v>46010</v>
      </c>
      <c r="C8454">
        <v>5</v>
      </c>
      <c r="D8454">
        <v>2.238</v>
      </c>
      <c r="E8454" t="s">
        <v>6</v>
      </c>
      <c r="F8454">
        <v>0.11092</v>
      </c>
    </row>
    <row r="8455" spans="1:6" x14ac:dyDescent="0.3">
      <c r="A8455" t="s">
        <v>22</v>
      </c>
      <c r="B8455" s="1">
        <v>46010</v>
      </c>
      <c r="C8455">
        <v>6</v>
      </c>
      <c r="D8455">
        <v>1.952</v>
      </c>
      <c r="E8455" t="s">
        <v>6</v>
      </c>
      <c r="F8455">
        <v>0.11597</v>
      </c>
    </row>
    <row r="8456" spans="1:6" x14ac:dyDescent="0.3">
      <c r="A8456" t="s">
        <v>22</v>
      </c>
      <c r="B8456" s="1">
        <v>46010</v>
      </c>
      <c r="C8456">
        <v>7</v>
      </c>
      <c r="D8456">
        <v>2.0379999999999998</v>
      </c>
      <c r="E8456" t="s">
        <v>6</v>
      </c>
      <c r="F8456">
        <v>0.13072</v>
      </c>
    </row>
    <row r="8457" spans="1:6" x14ac:dyDescent="0.3">
      <c r="A8457" t="s">
        <v>22</v>
      </c>
      <c r="B8457" s="1">
        <v>46010</v>
      </c>
      <c r="C8457">
        <v>8</v>
      </c>
      <c r="D8457">
        <v>2.452</v>
      </c>
      <c r="E8457" t="s">
        <v>6</v>
      </c>
      <c r="F8457">
        <v>0.1477</v>
      </c>
    </row>
    <row r="8458" spans="1:6" x14ac:dyDescent="0.3">
      <c r="A8458" t="s">
        <v>22</v>
      </c>
      <c r="B8458" s="1">
        <v>46010</v>
      </c>
      <c r="C8458">
        <v>9</v>
      </c>
      <c r="D8458">
        <v>2.3490000000000002</v>
      </c>
      <c r="E8458" t="s">
        <v>6</v>
      </c>
      <c r="F8458">
        <v>0.18062999999999999</v>
      </c>
    </row>
    <row r="8459" spans="1:6" x14ac:dyDescent="0.3">
      <c r="A8459" t="s">
        <v>22</v>
      </c>
      <c r="B8459" s="1">
        <v>46010</v>
      </c>
      <c r="C8459">
        <v>10</v>
      </c>
      <c r="D8459">
        <v>2.2149999999999999</v>
      </c>
      <c r="E8459" t="s">
        <v>6</v>
      </c>
      <c r="F8459">
        <v>0.17643999999999999</v>
      </c>
    </row>
    <row r="8460" spans="1:6" x14ac:dyDescent="0.3">
      <c r="A8460" t="s">
        <v>22</v>
      </c>
      <c r="B8460" s="1">
        <v>46010</v>
      </c>
      <c r="C8460">
        <v>11</v>
      </c>
      <c r="D8460">
        <v>1.68</v>
      </c>
      <c r="E8460" t="s">
        <v>6</v>
      </c>
      <c r="F8460">
        <v>0.23583000000000001</v>
      </c>
    </row>
    <row r="8461" spans="1:6" x14ac:dyDescent="0.3">
      <c r="A8461" t="s">
        <v>22</v>
      </c>
      <c r="B8461" s="1">
        <v>46010</v>
      </c>
      <c r="C8461">
        <v>12</v>
      </c>
      <c r="D8461">
        <v>0.89100000000000001</v>
      </c>
      <c r="E8461" t="s">
        <v>6</v>
      </c>
      <c r="F8461">
        <v>0.23299</v>
      </c>
    </row>
    <row r="8462" spans="1:6" x14ac:dyDescent="0.3">
      <c r="A8462" t="s">
        <v>22</v>
      </c>
      <c r="B8462" s="1">
        <v>46010</v>
      </c>
      <c r="C8462">
        <v>13</v>
      </c>
      <c r="D8462">
        <v>1.4390000000000001</v>
      </c>
      <c r="E8462" t="s">
        <v>6</v>
      </c>
      <c r="F8462">
        <v>0.22447</v>
      </c>
    </row>
    <row r="8463" spans="1:6" x14ac:dyDescent="0.3">
      <c r="A8463" t="s">
        <v>22</v>
      </c>
      <c r="B8463" s="1">
        <v>46010</v>
      </c>
      <c r="C8463">
        <v>14</v>
      </c>
      <c r="D8463">
        <v>1.7629999999999999</v>
      </c>
      <c r="E8463" t="s">
        <v>6</v>
      </c>
      <c r="F8463">
        <v>0.22296000000000002</v>
      </c>
    </row>
    <row r="8464" spans="1:6" x14ac:dyDescent="0.3">
      <c r="A8464" t="s">
        <v>22</v>
      </c>
      <c r="B8464" s="1">
        <v>46010</v>
      </c>
      <c r="C8464">
        <v>15</v>
      </c>
      <c r="D8464">
        <v>0.19</v>
      </c>
      <c r="E8464" t="s">
        <v>6</v>
      </c>
      <c r="F8464">
        <v>0.16211</v>
      </c>
    </row>
    <row r="8465" spans="1:6" x14ac:dyDescent="0.3">
      <c r="A8465" t="s">
        <v>22</v>
      </c>
      <c r="B8465" s="1">
        <v>46010</v>
      </c>
      <c r="C8465">
        <v>16</v>
      </c>
      <c r="D8465">
        <v>1.006</v>
      </c>
      <c r="E8465" t="s">
        <v>6</v>
      </c>
      <c r="F8465">
        <v>0.16953000000000001</v>
      </c>
    </row>
    <row r="8466" spans="1:6" x14ac:dyDescent="0.3">
      <c r="A8466" t="s">
        <v>22</v>
      </c>
      <c r="B8466" s="1">
        <v>46010</v>
      </c>
      <c r="C8466">
        <v>17</v>
      </c>
      <c r="D8466">
        <v>2.359</v>
      </c>
      <c r="E8466" t="s">
        <v>6</v>
      </c>
      <c r="F8466">
        <v>0.16965</v>
      </c>
    </row>
    <row r="8467" spans="1:6" x14ac:dyDescent="0.3">
      <c r="A8467" t="s">
        <v>22</v>
      </c>
      <c r="B8467" s="1">
        <v>46010</v>
      </c>
      <c r="C8467">
        <v>18</v>
      </c>
      <c r="D8467">
        <v>1.8149999999999999</v>
      </c>
      <c r="E8467" t="s">
        <v>6</v>
      </c>
      <c r="F8467">
        <v>0.17022999999999999</v>
      </c>
    </row>
    <row r="8468" spans="1:6" x14ac:dyDescent="0.3">
      <c r="A8468" t="s">
        <v>22</v>
      </c>
      <c r="B8468" s="1">
        <v>46010</v>
      </c>
      <c r="C8468">
        <v>19</v>
      </c>
      <c r="D8468">
        <v>2.6920000000000002</v>
      </c>
      <c r="E8468" t="s">
        <v>6</v>
      </c>
      <c r="F8468">
        <v>0.24778</v>
      </c>
    </row>
    <row r="8469" spans="1:6" x14ac:dyDescent="0.3">
      <c r="A8469" t="s">
        <v>22</v>
      </c>
      <c r="B8469" s="1">
        <v>46010</v>
      </c>
      <c r="C8469">
        <v>20</v>
      </c>
      <c r="D8469">
        <v>1.0629999999999999</v>
      </c>
      <c r="E8469" t="s">
        <v>6</v>
      </c>
      <c r="F8469">
        <v>0.25179000000000001</v>
      </c>
    </row>
    <row r="8470" spans="1:6" x14ac:dyDescent="0.3">
      <c r="A8470" t="s">
        <v>22</v>
      </c>
      <c r="B8470" s="1">
        <v>46010</v>
      </c>
      <c r="C8470">
        <v>21</v>
      </c>
      <c r="D8470">
        <v>1.7509999999999999</v>
      </c>
      <c r="E8470" t="s">
        <v>6</v>
      </c>
      <c r="F8470">
        <v>0.25470999999999999</v>
      </c>
    </row>
    <row r="8471" spans="1:6" x14ac:dyDescent="0.3">
      <c r="A8471" t="s">
        <v>22</v>
      </c>
      <c r="B8471" s="1">
        <v>46010</v>
      </c>
      <c r="C8471">
        <v>22</v>
      </c>
      <c r="D8471">
        <v>1.252</v>
      </c>
      <c r="E8471" t="s">
        <v>6</v>
      </c>
      <c r="F8471">
        <v>0.25292999999999999</v>
      </c>
    </row>
    <row r="8472" spans="1:6" x14ac:dyDescent="0.3">
      <c r="A8472" t="s">
        <v>22</v>
      </c>
      <c r="B8472" s="1">
        <v>46010</v>
      </c>
      <c r="C8472">
        <v>23</v>
      </c>
      <c r="D8472">
        <v>1.694</v>
      </c>
      <c r="E8472" t="s">
        <v>6</v>
      </c>
      <c r="F8472">
        <v>0.17933000000000002</v>
      </c>
    </row>
    <row r="8473" spans="1:6" x14ac:dyDescent="0.3">
      <c r="A8473" t="s">
        <v>22</v>
      </c>
      <c r="B8473" s="1">
        <v>46010</v>
      </c>
      <c r="C8473">
        <v>24</v>
      </c>
      <c r="D8473">
        <v>1.2729999999999999</v>
      </c>
      <c r="E8473" t="s">
        <v>6</v>
      </c>
      <c r="F8473">
        <v>0.1691</v>
      </c>
    </row>
    <row r="8474" spans="1:6" x14ac:dyDescent="0.3">
      <c r="A8474" t="s">
        <v>22</v>
      </c>
      <c r="B8474" s="1">
        <v>46011</v>
      </c>
      <c r="C8474">
        <v>1</v>
      </c>
      <c r="D8474">
        <v>1.325</v>
      </c>
      <c r="E8474" t="s">
        <v>6</v>
      </c>
      <c r="F8474">
        <v>0.13983999999999999</v>
      </c>
    </row>
    <row r="8475" spans="1:6" x14ac:dyDescent="0.3">
      <c r="A8475" t="s">
        <v>22</v>
      </c>
      <c r="B8475" s="1">
        <v>46011</v>
      </c>
      <c r="C8475">
        <v>2</v>
      </c>
      <c r="D8475">
        <v>1.1299999999999999</v>
      </c>
      <c r="E8475" t="s">
        <v>6</v>
      </c>
      <c r="F8475">
        <v>0.13288</v>
      </c>
    </row>
    <row r="8476" spans="1:6" x14ac:dyDescent="0.3">
      <c r="A8476" t="s">
        <v>22</v>
      </c>
      <c r="B8476" s="1">
        <v>46011</v>
      </c>
      <c r="C8476">
        <v>3</v>
      </c>
      <c r="D8476">
        <v>1.1839999999999999</v>
      </c>
      <c r="E8476" t="s">
        <v>6</v>
      </c>
      <c r="F8476">
        <v>0.12816999999999998</v>
      </c>
    </row>
    <row r="8477" spans="1:6" x14ac:dyDescent="0.3">
      <c r="A8477" t="s">
        <v>22</v>
      </c>
      <c r="B8477" s="1">
        <v>46011</v>
      </c>
      <c r="C8477">
        <v>4</v>
      </c>
      <c r="D8477">
        <v>1.244</v>
      </c>
      <c r="E8477" t="s">
        <v>6</v>
      </c>
      <c r="F8477">
        <v>0.11509999999999999</v>
      </c>
    </row>
    <row r="8478" spans="1:6" x14ac:dyDescent="0.3">
      <c r="A8478" t="s">
        <v>22</v>
      </c>
      <c r="B8478" s="1">
        <v>46011</v>
      </c>
      <c r="C8478">
        <v>5</v>
      </c>
      <c r="D8478">
        <v>1.0389999999999999</v>
      </c>
      <c r="E8478" t="s">
        <v>6</v>
      </c>
      <c r="F8478">
        <v>0.11505</v>
      </c>
    </row>
    <row r="8479" spans="1:6" x14ac:dyDescent="0.3">
      <c r="A8479" t="s">
        <v>22</v>
      </c>
      <c r="B8479" s="1">
        <v>46011</v>
      </c>
      <c r="C8479">
        <v>6</v>
      </c>
      <c r="D8479">
        <v>1.2390000000000001</v>
      </c>
      <c r="E8479" t="s">
        <v>6</v>
      </c>
      <c r="F8479">
        <v>0.11448</v>
      </c>
    </row>
    <row r="8480" spans="1:6" x14ac:dyDescent="0.3">
      <c r="A8480" t="s">
        <v>22</v>
      </c>
      <c r="B8480" s="1">
        <v>46011</v>
      </c>
      <c r="C8480">
        <v>7</v>
      </c>
      <c r="D8480">
        <v>1.161</v>
      </c>
      <c r="E8480" t="s">
        <v>6</v>
      </c>
      <c r="F8480">
        <v>0.11946999999999999</v>
      </c>
    </row>
    <row r="8481" spans="1:6" x14ac:dyDescent="0.3">
      <c r="A8481" t="s">
        <v>22</v>
      </c>
      <c r="B8481" s="1">
        <v>46011</v>
      </c>
      <c r="C8481">
        <v>8</v>
      </c>
      <c r="D8481">
        <v>2.1379999999999999</v>
      </c>
      <c r="E8481" t="s">
        <v>6</v>
      </c>
      <c r="F8481">
        <v>0.1193</v>
      </c>
    </row>
    <row r="8482" spans="1:6" x14ac:dyDescent="0.3">
      <c r="A8482" t="s">
        <v>22</v>
      </c>
      <c r="B8482" s="1">
        <v>46011</v>
      </c>
      <c r="C8482">
        <v>9</v>
      </c>
      <c r="D8482">
        <v>2.839</v>
      </c>
      <c r="E8482" t="s">
        <v>6</v>
      </c>
      <c r="F8482">
        <v>0.12113</v>
      </c>
    </row>
    <row r="8483" spans="1:6" x14ac:dyDescent="0.3">
      <c r="A8483" t="s">
        <v>22</v>
      </c>
      <c r="B8483" s="1">
        <v>46011</v>
      </c>
      <c r="C8483">
        <v>10</v>
      </c>
      <c r="D8483">
        <v>1.861</v>
      </c>
      <c r="E8483" t="s">
        <v>6</v>
      </c>
      <c r="F8483">
        <v>0.12293000000000001</v>
      </c>
    </row>
    <row r="8484" spans="1:6" x14ac:dyDescent="0.3">
      <c r="A8484" t="s">
        <v>22</v>
      </c>
      <c r="B8484" s="1">
        <v>46011</v>
      </c>
      <c r="C8484">
        <v>11</v>
      </c>
      <c r="D8484">
        <v>2.6160000000000001</v>
      </c>
      <c r="E8484" t="s">
        <v>6</v>
      </c>
      <c r="F8484">
        <v>0.11376</v>
      </c>
    </row>
    <row r="8485" spans="1:6" x14ac:dyDescent="0.3">
      <c r="A8485" t="s">
        <v>22</v>
      </c>
      <c r="B8485" s="1">
        <v>46011</v>
      </c>
      <c r="C8485">
        <v>12</v>
      </c>
      <c r="D8485">
        <v>2.1579999999999999</v>
      </c>
      <c r="E8485" t="s">
        <v>6</v>
      </c>
      <c r="F8485">
        <v>0.10464</v>
      </c>
    </row>
    <row r="8486" spans="1:6" x14ac:dyDescent="0.3">
      <c r="A8486" t="s">
        <v>22</v>
      </c>
      <c r="B8486" s="1">
        <v>46011</v>
      </c>
      <c r="C8486">
        <v>13</v>
      </c>
      <c r="D8486">
        <v>2.4239999999999999</v>
      </c>
      <c r="E8486" t="s">
        <v>6</v>
      </c>
      <c r="F8486">
        <v>0.10081</v>
      </c>
    </row>
    <row r="8487" spans="1:6" x14ac:dyDescent="0.3">
      <c r="A8487" t="s">
        <v>22</v>
      </c>
      <c r="B8487" s="1">
        <v>46011</v>
      </c>
      <c r="C8487">
        <v>14</v>
      </c>
      <c r="D8487">
        <v>2.7170000000000001</v>
      </c>
      <c r="E8487" t="s">
        <v>6</v>
      </c>
      <c r="F8487">
        <v>9.0719999999999995E-2</v>
      </c>
    </row>
    <row r="8488" spans="1:6" x14ac:dyDescent="0.3">
      <c r="A8488" t="s">
        <v>22</v>
      </c>
      <c r="B8488" s="1">
        <v>46011</v>
      </c>
      <c r="C8488">
        <v>15</v>
      </c>
      <c r="D8488">
        <v>1.36</v>
      </c>
      <c r="E8488" t="s">
        <v>6</v>
      </c>
      <c r="F8488">
        <v>9.3980000000000008E-2</v>
      </c>
    </row>
    <row r="8489" spans="1:6" x14ac:dyDescent="0.3">
      <c r="A8489" t="s">
        <v>22</v>
      </c>
      <c r="B8489" s="1">
        <v>46011</v>
      </c>
      <c r="C8489">
        <v>16</v>
      </c>
      <c r="D8489">
        <v>0.96</v>
      </c>
      <c r="E8489" t="s">
        <v>6</v>
      </c>
      <c r="F8489">
        <v>9.7349999999999992E-2</v>
      </c>
    </row>
    <row r="8490" spans="1:6" x14ac:dyDescent="0.3">
      <c r="A8490" t="s">
        <v>22</v>
      </c>
      <c r="B8490" s="1">
        <v>46011</v>
      </c>
      <c r="C8490">
        <v>17</v>
      </c>
      <c r="D8490">
        <v>2.5169999999999999</v>
      </c>
      <c r="E8490" t="s">
        <v>6</v>
      </c>
      <c r="F8490">
        <v>0.10840999999999999</v>
      </c>
    </row>
    <row r="8491" spans="1:6" x14ac:dyDescent="0.3">
      <c r="A8491" t="s">
        <v>22</v>
      </c>
      <c r="B8491" s="1">
        <v>46011</v>
      </c>
      <c r="C8491">
        <v>18</v>
      </c>
      <c r="D8491">
        <v>2.1720000000000002</v>
      </c>
      <c r="E8491" t="s">
        <v>6</v>
      </c>
      <c r="F8491">
        <v>0.11859</v>
      </c>
    </row>
    <row r="8492" spans="1:6" x14ac:dyDescent="0.3">
      <c r="A8492" t="s">
        <v>22</v>
      </c>
      <c r="B8492" s="1">
        <v>46011</v>
      </c>
      <c r="C8492">
        <v>19</v>
      </c>
      <c r="D8492">
        <v>1.772</v>
      </c>
      <c r="E8492" t="s">
        <v>6</v>
      </c>
      <c r="F8492">
        <v>0.11778</v>
      </c>
    </row>
    <row r="8493" spans="1:6" x14ac:dyDescent="0.3">
      <c r="A8493" t="s">
        <v>22</v>
      </c>
      <c r="B8493" s="1">
        <v>46011</v>
      </c>
      <c r="C8493">
        <v>20</v>
      </c>
      <c r="D8493">
        <v>1.99</v>
      </c>
      <c r="E8493" t="s">
        <v>6</v>
      </c>
      <c r="F8493">
        <v>0.12226000000000001</v>
      </c>
    </row>
    <row r="8494" spans="1:6" x14ac:dyDescent="0.3">
      <c r="A8494" t="s">
        <v>22</v>
      </c>
      <c r="B8494" s="1">
        <v>46011</v>
      </c>
      <c r="C8494">
        <v>21</v>
      </c>
      <c r="D8494">
        <v>3.5459999999999998</v>
      </c>
      <c r="E8494" t="s">
        <v>6</v>
      </c>
      <c r="F8494">
        <v>0.11684</v>
      </c>
    </row>
    <row r="8495" spans="1:6" x14ac:dyDescent="0.3">
      <c r="A8495" t="s">
        <v>22</v>
      </c>
      <c r="B8495" s="1">
        <v>46011</v>
      </c>
      <c r="C8495">
        <v>22</v>
      </c>
      <c r="D8495">
        <v>1.6259999999999999</v>
      </c>
      <c r="E8495" t="s">
        <v>6</v>
      </c>
      <c r="F8495">
        <v>0.10821</v>
      </c>
    </row>
    <row r="8496" spans="1:6" x14ac:dyDescent="0.3">
      <c r="A8496" t="s">
        <v>22</v>
      </c>
      <c r="B8496" s="1">
        <v>46011</v>
      </c>
      <c r="C8496">
        <v>23</v>
      </c>
      <c r="D8496">
        <v>1.512</v>
      </c>
      <c r="E8496" t="s">
        <v>6</v>
      </c>
      <c r="F8496">
        <v>0.11162999999999999</v>
      </c>
    </row>
    <row r="8497" spans="1:6" x14ac:dyDescent="0.3">
      <c r="A8497" t="s">
        <v>22</v>
      </c>
      <c r="B8497" s="1">
        <v>46011</v>
      </c>
      <c r="C8497">
        <v>24</v>
      </c>
      <c r="D8497">
        <v>1.0900000000000001</v>
      </c>
      <c r="E8497" t="s">
        <v>6</v>
      </c>
      <c r="F8497">
        <v>0.10537000000000001</v>
      </c>
    </row>
    <row r="8498" spans="1:6" x14ac:dyDescent="0.3">
      <c r="A8498" t="s">
        <v>22</v>
      </c>
      <c r="B8498" s="1">
        <v>46012</v>
      </c>
      <c r="C8498">
        <v>1</v>
      </c>
      <c r="D8498">
        <v>0.96599999999999997</v>
      </c>
      <c r="E8498" t="s">
        <v>6</v>
      </c>
      <c r="F8498">
        <v>9.5920000000000005E-2</v>
      </c>
    </row>
    <row r="8499" spans="1:6" x14ac:dyDescent="0.3">
      <c r="A8499" t="s">
        <v>22</v>
      </c>
      <c r="B8499" s="1">
        <v>46012</v>
      </c>
      <c r="C8499">
        <v>2</v>
      </c>
      <c r="D8499">
        <v>0.98399999999999999</v>
      </c>
      <c r="E8499" t="s">
        <v>6</v>
      </c>
      <c r="F8499">
        <v>0.10551000000000001</v>
      </c>
    </row>
    <row r="8500" spans="1:6" x14ac:dyDescent="0.3">
      <c r="A8500" t="s">
        <v>22</v>
      </c>
      <c r="B8500" s="1">
        <v>46012</v>
      </c>
      <c r="C8500">
        <v>3</v>
      </c>
      <c r="D8500">
        <v>1.3240000000000001</v>
      </c>
      <c r="E8500" t="s">
        <v>6</v>
      </c>
      <c r="F8500">
        <v>0.1021</v>
      </c>
    </row>
    <row r="8501" spans="1:6" x14ac:dyDescent="0.3">
      <c r="A8501" t="s">
        <v>22</v>
      </c>
      <c r="B8501" s="1">
        <v>46012</v>
      </c>
      <c r="C8501">
        <v>4</v>
      </c>
      <c r="D8501">
        <v>1.268</v>
      </c>
      <c r="E8501" t="s">
        <v>6</v>
      </c>
      <c r="F8501">
        <v>9.7349999999999992E-2</v>
      </c>
    </row>
    <row r="8502" spans="1:6" x14ac:dyDescent="0.3">
      <c r="A8502" t="s">
        <v>22</v>
      </c>
      <c r="B8502" s="1">
        <v>46012</v>
      </c>
      <c r="C8502">
        <v>5</v>
      </c>
      <c r="D8502">
        <v>1.1160000000000001</v>
      </c>
      <c r="E8502" t="s">
        <v>6</v>
      </c>
      <c r="F8502">
        <v>9.3650000000000011E-2</v>
      </c>
    </row>
    <row r="8503" spans="1:6" x14ac:dyDescent="0.3">
      <c r="A8503" t="s">
        <v>22</v>
      </c>
      <c r="B8503" s="1">
        <v>46012</v>
      </c>
      <c r="C8503">
        <v>6</v>
      </c>
      <c r="D8503">
        <v>1.014</v>
      </c>
      <c r="E8503" t="s">
        <v>6</v>
      </c>
      <c r="F8503">
        <v>9.2659999999999992E-2</v>
      </c>
    </row>
    <row r="8504" spans="1:6" x14ac:dyDescent="0.3">
      <c r="A8504" t="s">
        <v>22</v>
      </c>
      <c r="B8504" s="1">
        <v>46012</v>
      </c>
      <c r="C8504">
        <v>7</v>
      </c>
      <c r="D8504">
        <v>1.2809999999999999</v>
      </c>
      <c r="E8504" t="s">
        <v>6</v>
      </c>
      <c r="F8504">
        <v>9.9459999999999993E-2</v>
      </c>
    </row>
    <row r="8505" spans="1:6" x14ac:dyDescent="0.3">
      <c r="A8505" t="s">
        <v>22</v>
      </c>
      <c r="B8505" s="1">
        <v>46012</v>
      </c>
      <c r="C8505">
        <v>8</v>
      </c>
      <c r="D8505">
        <v>2.0369999999999999</v>
      </c>
      <c r="E8505" t="s">
        <v>6</v>
      </c>
      <c r="F8505">
        <v>0.10593999999999999</v>
      </c>
    </row>
    <row r="8506" spans="1:6" x14ac:dyDescent="0.3">
      <c r="A8506" t="s">
        <v>22</v>
      </c>
      <c r="B8506" s="1">
        <v>46012</v>
      </c>
      <c r="C8506">
        <v>9</v>
      </c>
      <c r="D8506">
        <v>1.6830000000000001</v>
      </c>
      <c r="E8506" t="s">
        <v>6</v>
      </c>
      <c r="F8506">
        <v>0.11887</v>
      </c>
    </row>
    <row r="8507" spans="1:6" x14ac:dyDescent="0.3">
      <c r="A8507" t="s">
        <v>22</v>
      </c>
      <c r="B8507" s="1">
        <v>46012</v>
      </c>
      <c r="C8507">
        <v>10</v>
      </c>
      <c r="D8507">
        <v>1.7350000000000001</v>
      </c>
      <c r="E8507" t="s">
        <v>6</v>
      </c>
      <c r="F8507">
        <v>0.11229</v>
      </c>
    </row>
    <row r="8508" spans="1:6" x14ac:dyDescent="0.3">
      <c r="A8508" t="s">
        <v>22</v>
      </c>
      <c r="B8508" s="1">
        <v>46012</v>
      </c>
      <c r="C8508">
        <v>11</v>
      </c>
      <c r="D8508">
        <v>1.246</v>
      </c>
      <c r="E8508" t="s">
        <v>6</v>
      </c>
      <c r="F8508">
        <v>0.10732</v>
      </c>
    </row>
    <row r="8509" spans="1:6" x14ac:dyDescent="0.3">
      <c r="A8509" t="s">
        <v>22</v>
      </c>
      <c r="B8509" s="1">
        <v>46012</v>
      </c>
      <c r="C8509">
        <v>12</v>
      </c>
      <c r="D8509">
        <v>1.2470000000000001</v>
      </c>
      <c r="E8509" t="s">
        <v>6</v>
      </c>
      <c r="F8509">
        <v>0.10565000000000001</v>
      </c>
    </row>
    <row r="8510" spans="1:6" x14ac:dyDescent="0.3">
      <c r="A8510" t="s">
        <v>22</v>
      </c>
      <c r="B8510" s="1">
        <v>46012</v>
      </c>
      <c r="C8510">
        <v>13</v>
      </c>
      <c r="D8510">
        <v>3.3079999999999998</v>
      </c>
      <c r="E8510" t="s">
        <v>6</v>
      </c>
      <c r="F8510">
        <v>0.10890000000000001</v>
      </c>
    </row>
    <row r="8511" spans="1:6" x14ac:dyDescent="0.3">
      <c r="A8511" t="s">
        <v>22</v>
      </c>
      <c r="B8511" s="1">
        <v>46012</v>
      </c>
      <c r="C8511">
        <v>14</v>
      </c>
      <c r="D8511">
        <v>2.1</v>
      </c>
      <c r="E8511" t="s">
        <v>6</v>
      </c>
      <c r="F8511">
        <v>0.10281999999999999</v>
      </c>
    </row>
    <row r="8512" spans="1:6" x14ac:dyDescent="0.3">
      <c r="A8512" t="s">
        <v>22</v>
      </c>
      <c r="B8512" s="1">
        <v>46012</v>
      </c>
      <c r="C8512">
        <v>15</v>
      </c>
      <c r="D8512">
        <v>2.7360000000000002</v>
      </c>
      <c r="E8512" t="s">
        <v>6</v>
      </c>
      <c r="F8512">
        <v>0.10105</v>
      </c>
    </row>
    <row r="8513" spans="1:6" x14ac:dyDescent="0.3">
      <c r="A8513" t="s">
        <v>22</v>
      </c>
      <c r="B8513" s="1">
        <v>46012</v>
      </c>
      <c r="C8513">
        <v>16</v>
      </c>
      <c r="D8513">
        <v>1.1779999999999999</v>
      </c>
      <c r="E8513" t="s">
        <v>6</v>
      </c>
      <c r="F8513">
        <v>0.10651000000000001</v>
      </c>
    </row>
    <row r="8514" spans="1:6" x14ac:dyDescent="0.3">
      <c r="A8514" t="s">
        <v>22</v>
      </c>
      <c r="B8514" s="1">
        <v>46012</v>
      </c>
      <c r="C8514">
        <v>17</v>
      </c>
      <c r="D8514">
        <v>2.5419999999999998</v>
      </c>
      <c r="E8514" t="s">
        <v>6</v>
      </c>
      <c r="F8514">
        <v>0.11172</v>
      </c>
    </row>
    <row r="8515" spans="1:6" x14ac:dyDescent="0.3">
      <c r="A8515" t="s">
        <v>22</v>
      </c>
      <c r="B8515" s="1">
        <v>46012</v>
      </c>
      <c r="C8515">
        <v>18</v>
      </c>
      <c r="D8515">
        <v>1.8779999999999999</v>
      </c>
      <c r="E8515" t="s">
        <v>6</v>
      </c>
      <c r="F8515">
        <v>0.11679</v>
      </c>
    </row>
    <row r="8516" spans="1:6" x14ac:dyDescent="0.3">
      <c r="A8516" t="s">
        <v>22</v>
      </c>
      <c r="B8516" s="1">
        <v>46012</v>
      </c>
      <c r="C8516">
        <v>19</v>
      </c>
      <c r="D8516">
        <v>2.2229999999999999</v>
      </c>
      <c r="E8516" t="s">
        <v>6</v>
      </c>
      <c r="F8516">
        <v>0.12476000000000001</v>
      </c>
    </row>
    <row r="8517" spans="1:6" x14ac:dyDescent="0.3">
      <c r="A8517" t="s">
        <v>22</v>
      </c>
      <c r="B8517" s="1">
        <v>46012</v>
      </c>
      <c r="C8517">
        <v>20</v>
      </c>
      <c r="D8517">
        <v>1.768</v>
      </c>
      <c r="E8517" t="s">
        <v>6</v>
      </c>
      <c r="F8517">
        <v>0.13272999999999999</v>
      </c>
    </row>
    <row r="8518" spans="1:6" x14ac:dyDescent="0.3">
      <c r="A8518" t="s">
        <v>22</v>
      </c>
      <c r="B8518" s="1">
        <v>46012</v>
      </c>
      <c r="C8518">
        <v>21</v>
      </c>
      <c r="D8518">
        <v>1.8140000000000001</v>
      </c>
      <c r="E8518" t="s">
        <v>6</v>
      </c>
      <c r="F8518">
        <v>0.13125999999999999</v>
      </c>
    </row>
    <row r="8519" spans="1:6" x14ac:dyDescent="0.3">
      <c r="A8519" t="s">
        <v>22</v>
      </c>
      <c r="B8519" s="1">
        <v>46012</v>
      </c>
      <c r="C8519">
        <v>22</v>
      </c>
      <c r="D8519">
        <v>1.7629999999999999</v>
      </c>
      <c r="E8519" t="s">
        <v>6</v>
      </c>
      <c r="F8519">
        <v>0.11906</v>
      </c>
    </row>
    <row r="8520" spans="1:6" x14ac:dyDescent="0.3">
      <c r="A8520" t="s">
        <v>22</v>
      </c>
      <c r="B8520" s="1">
        <v>46012</v>
      </c>
      <c r="C8520">
        <v>23</v>
      </c>
      <c r="D8520">
        <v>2.1829999999999998</v>
      </c>
      <c r="E8520" t="s">
        <v>6</v>
      </c>
      <c r="F8520">
        <v>0.11667</v>
      </c>
    </row>
    <row r="8521" spans="1:6" x14ac:dyDescent="0.3">
      <c r="A8521" t="s">
        <v>22</v>
      </c>
      <c r="B8521" s="1">
        <v>46012</v>
      </c>
      <c r="C8521">
        <v>24</v>
      </c>
      <c r="D8521">
        <v>1.7410000000000001</v>
      </c>
      <c r="E8521" t="s">
        <v>6</v>
      </c>
      <c r="F8521">
        <v>0.11131999999999999</v>
      </c>
    </row>
    <row r="8522" spans="1:6" x14ac:dyDescent="0.3">
      <c r="A8522" t="s">
        <v>22</v>
      </c>
      <c r="B8522" s="1">
        <v>46013</v>
      </c>
      <c r="C8522">
        <v>1</v>
      </c>
      <c r="D8522">
        <v>1.571</v>
      </c>
      <c r="E8522" t="s">
        <v>6</v>
      </c>
      <c r="F8522">
        <v>0.10059</v>
      </c>
    </row>
    <row r="8523" spans="1:6" x14ac:dyDescent="0.3">
      <c r="A8523" t="s">
        <v>22</v>
      </c>
      <c r="B8523" s="1">
        <v>46013</v>
      </c>
      <c r="C8523">
        <v>2</v>
      </c>
      <c r="D8523">
        <v>1.585</v>
      </c>
      <c r="E8523" t="s">
        <v>6</v>
      </c>
      <c r="F8523">
        <v>9.2030000000000001E-2</v>
      </c>
    </row>
    <row r="8524" spans="1:6" x14ac:dyDescent="0.3">
      <c r="A8524" t="s">
        <v>22</v>
      </c>
      <c r="B8524" s="1">
        <v>46013</v>
      </c>
      <c r="C8524">
        <v>3</v>
      </c>
      <c r="D8524">
        <v>1.65</v>
      </c>
      <c r="E8524" t="s">
        <v>6</v>
      </c>
      <c r="F8524">
        <v>9.0499999999999997E-2</v>
      </c>
    </row>
    <row r="8525" spans="1:6" x14ac:dyDescent="0.3">
      <c r="A8525" t="s">
        <v>22</v>
      </c>
      <c r="B8525" s="1">
        <v>46013</v>
      </c>
      <c r="C8525">
        <v>4</v>
      </c>
      <c r="D8525">
        <v>1.9810000000000001</v>
      </c>
      <c r="E8525" t="s">
        <v>6</v>
      </c>
      <c r="F8525">
        <v>8.4169999999999995E-2</v>
      </c>
    </row>
    <row r="8526" spans="1:6" x14ac:dyDescent="0.3">
      <c r="A8526" t="s">
        <v>22</v>
      </c>
      <c r="B8526" s="1">
        <v>46013</v>
      </c>
      <c r="C8526">
        <v>5</v>
      </c>
      <c r="D8526">
        <v>2.3370000000000002</v>
      </c>
      <c r="E8526" t="s">
        <v>6</v>
      </c>
      <c r="F8526">
        <v>6.9800000000000001E-2</v>
      </c>
    </row>
    <row r="8527" spans="1:6" x14ac:dyDescent="0.3">
      <c r="A8527" t="s">
        <v>22</v>
      </c>
      <c r="B8527" s="1">
        <v>46013</v>
      </c>
      <c r="C8527">
        <v>6</v>
      </c>
      <c r="D8527">
        <v>2.2759999999999998</v>
      </c>
      <c r="E8527" t="s">
        <v>6</v>
      </c>
      <c r="F8527">
        <v>7.9959999999999989E-2</v>
      </c>
    </row>
    <row r="8528" spans="1:6" x14ac:dyDescent="0.3">
      <c r="A8528" t="s">
        <v>22</v>
      </c>
      <c r="B8528" s="1">
        <v>46013</v>
      </c>
      <c r="C8528">
        <v>7</v>
      </c>
      <c r="D8528">
        <v>2.3420000000000001</v>
      </c>
      <c r="E8528" t="s">
        <v>6</v>
      </c>
      <c r="F8528">
        <v>0.10687000000000001</v>
      </c>
    </row>
    <row r="8529" spans="1:6" x14ac:dyDescent="0.3">
      <c r="A8529" t="s">
        <v>22</v>
      </c>
      <c r="B8529" s="1">
        <v>46013</v>
      </c>
      <c r="C8529">
        <v>8</v>
      </c>
      <c r="D8529">
        <v>2.5379999999999998</v>
      </c>
      <c r="E8529" t="s">
        <v>6</v>
      </c>
      <c r="F8529">
        <v>0.12128</v>
      </c>
    </row>
    <row r="8530" spans="1:6" x14ac:dyDescent="0.3">
      <c r="A8530" t="s">
        <v>22</v>
      </c>
      <c r="B8530" s="1">
        <v>46013</v>
      </c>
      <c r="C8530">
        <v>9</v>
      </c>
      <c r="D8530">
        <v>2.3460000000000001</v>
      </c>
      <c r="E8530" t="s">
        <v>6</v>
      </c>
      <c r="F8530">
        <v>0.16483</v>
      </c>
    </row>
    <row r="8531" spans="1:6" x14ac:dyDescent="0.3">
      <c r="A8531" t="s">
        <v>22</v>
      </c>
      <c r="B8531" s="1">
        <v>46013</v>
      </c>
      <c r="C8531">
        <v>10</v>
      </c>
      <c r="D8531">
        <v>2.2669999999999999</v>
      </c>
      <c r="E8531" t="s">
        <v>6</v>
      </c>
      <c r="F8531">
        <v>0.16450999999999999</v>
      </c>
    </row>
    <row r="8532" spans="1:6" x14ac:dyDescent="0.3">
      <c r="A8532" t="s">
        <v>22</v>
      </c>
      <c r="B8532" s="1">
        <v>46013</v>
      </c>
      <c r="C8532">
        <v>11</v>
      </c>
      <c r="D8532">
        <v>2.06</v>
      </c>
      <c r="E8532" t="s">
        <v>6</v>
      </c>
      <c r="F8532">
        <v>0.21699000000000002</v>
      </c>
    </row>
    <row r="8533" spans="1:6" x14ac:dyDescent="0.3">
      <c r="A8533" t="s">
        <v>22</v>
      </c>
      <c r="B8533" s="1">
        <v>46013</v>
      </c>
      <c r="C8533">
        <v>12</v>
      </c>
      <c r="D8533">
        <v>1.6240000000000001</v>
      </c>
      <c r="E8533" t="s">
        <v>6</v>
      </c>
      <c r="F8533">
        <v>0.20180000000000001</v>
      </c>
    </row>
    <row r="8534" spans="1:6" x14ac:dyDescent="0.3">
      <c r="A8534" t="s">
        <v>22</v>
      </c>
      <c r="B8534" s="1">
        <v>46013</v>
      </c>
      <c r="C8534">
        <v>13</v>
      </c>
      <c r="D8534">
        <v>2.5409999999999999</v>
      </c>
      <c r="E8534" t="s">
        <v>6</v>
      </c>
      <c r="F8534">
        <v>0.19511000000000001</v>
      </c>
    </row>
    <row r="8535" spans="1:6" x14ac:dyDescent="0.3">
      <c r="A8535" t="s">
        <v>22</v>
      </c>
      <c r="B8535" s="1">
        <v>46013</v>
      </c>
      <c r="C8535">
        <v>14</v>
      </c>
      <c r="D8535">
        <v>2.3420000000000001</v>
      </c>
      <c r="E8535" t="s">
        <v>6</v>
      </c>
      <c r="F8535">
        <v>0.18540999999999999</v>
      </c>
    </row>
    <row r="8536" spans="1:6" x14ac:dyDescent="0.3">
      <c r="A8536" t="s">
        <v>22</v>
      </c>
      <c r="B8536" s="1">
        <v>46013</v>
      </c>
      <c r="C8536">
        <v>15</v>
      </c>
      <c r="D8536">
        <v>2.02</v>
      </c>
      <c r="E8536" t="s">
        <v>6</v>
      </c>
      <c r="F8536">
        <v>0.12275</v>
      </c>
    </row>
    <row r="8537" spans="1:6" x14ac:dyDescent="0.3">
      <c r="A8537" t="s">
        <v>22</v>
      </c>
      <c r="B8537" s="1">
        <v>46013</v>
      </c>
      <c r="C8537">
        <v>16</v>
      </c>
      <c r="D8537">
        <v>2.5110000000000001</v>
      </c>
      <c r="E8537" t="s">
        <v>6</v>
      </c>
      <c r="F8537">
        <v>0.13353000000000001</v>
      </c>
    </row>
    <row r="8538" spans="1:6" x14ac:dyDescent="0.3">
      <c r="A8538" t="s">
        <v>22</v>
      </c>
      <c r="B8538" s="1">
        <v>46013</v>
      </c>
      <c r="C8538">
        <v>17</v>
      </c>
      <c r="D8538">
        <v>3.9790000000000001</v>
      </c>
      <c r="E8538" t="s">
        <v>6</v>
      </c>
      <c r="F8538">
        <v>0.15262000000000001</v>
      </c>
    </row>
    <row r="8539" spans="1:6" x14ac:dyDescent="0.3">
      <c r="A8539" t="s">
        <v>22</v>
      </c>
      <c r="B8539" s="1">
        <v>46013</v>
      </c>
      <c r="C8539">
        <v>18</v>
      </c>
      <c r="D8539">
        <v>2.819</v>
      </c>
      <c r="E8539" t="s">
        <v>6</v>
      </c>
      <c r="F8539">
        <v>0.17165</v>
      </c>
    </row>
    <row r="8540" spans="1:6" x14ac:dyDescent="0.3">
      <c r="A8540" t="s">
        <v>22</v>
      </c>
      <c r="B8540" s="1">
        <v>46013</v>
      </c>
      <c r="C8540">
        <v>19</v>
      </c>
      <c r="D8540">
        <v>2.2280000000000002</v>
      </c>
      <c r="E8540" t="s">
        <v>6</v>
      </c>
      <c r="F8540">
        <v>0.24675</v>
      </c>
    </row>
    <row r="8541" spans="1:6" x14ac:dyDescent="0.3">
      <c r="A8541" t="s">
        <v>22</v>
      </c>
      <c r="B8541" s="1">
        <v>46013</v>
      </c>
      <c r="C8541">
        <v>20</v>
      </c>
      <c r="D8541">
        <v>2.2170000000000001</v>
      </c>
      <c r="E8541" t="s">
        <v>6</v>
      </c>
      <c r="F8541">
        <v>0.24481</v>
      </c>
    </row>
    <row r="8542" spans="1:6" x14ac:dyDescent="0.3">
      <c r="A8542" t="s">
        <v>22</v>
      </c>
      <c r="B8542" s="1">
        <v>46013</v>
      </c>
      <c r="C8542">
        <v>21</v>
      </c>
      <c r="D8542">
        <v>2.68</v>
      </c>
      <c r="E8542" t="s">
        <v>6</v>
      </c>
      <c r="F8542">
        <v>0.23849999999999999</v>
      </c>
    </row>
    <row r="8543" spans="1:6" x14ac:dyDescent="0.3">
      <c r="A8543" t="s">
        <v>22</v>
      </c>
      <c r="B8543" s="1">
        <v>46013</v>
      </c>
      <c r="C8543">
        <v>22</v>
      </c>
      <c r="D8543">
        <v>2.798</v>
      </c>
      <c r="E8543" t="s">
        <v>6</v>
      </c>
      <c r="F8543">
        <v>0.22472</v>
      </c>
    </row>
    <row r="8544" spans="1:6" x14ac:dyDescent="0.3">
      <c r="A8544" t="s">
        <v>22</v>
      </c>
      <c r="B8544" s="1">
        <v>46013</v>
      </c>
      <c r="C8544">
        <v>23</v>
      </c>
      <c r="D8544">
        <v>2.5750000000000002</v>
      </c>
      <c r="E8544" t="s">
        <v>6</v>
      </c>
      <c r="F8544">
        <v>0.15674000000000002</v>
      </c>
    </row>
    <row r="8545" spans="1:6" x14ac:dyDescent="0.3">
      <c r="A8545" t="s">
        <v>22</v>
      </c>
      <c r="B8545" s="1">
        <v>46013</v>
      </c>
      <c r="C8545">
        <v>24</v>
      </c>
      <c r="D8545">
        <v>2.4180000000000001</v>
      </c>
      <c r="E8545" t="s">
        <v>6</v>
      </c>
      <c r="F8545">
        <v>0.14782000000000001</v>
      </c>
    </row>
    <row r="8546" spans="1:6" x14ac:dyDescent="0.3">
      <c r="A8546" t="s">
        <v>22</v>
      </c>
      <c r="B8546" s="1">
        <v>46014</v>
      </c>
      <c r="C8546">
        <v>1</v>
      </c>
      <c r="D8546">
        <v>2.3290000000000002</v>
      </c>
      <c r="E8546" t="s">
        <v>6</v>
      </c>
      <c r="F8546">
        <v>0.11231999999999999</v>
      </c>
    </row>
    <row r="8547" spans="1:6" x14ac:dyDescent="0.3">
      <c r="A8547" t="s">
        <v>22</v>
      </c>
      <c r="B8547" s="1">
        <v>46014</v>
      </c>
      <c r="C8547">
        <v>2</v>
      </c>
      <c r="D8547">
        <v>2.1509999999999998</v>
      </c>
      <c r="E8547" t="s">
        <v>6</v>
      </c>
      <c r="F8547">
        <v>0.1038</v>
      </c>
    </row>
    <row r="8548" spans="1:6" x14ac:dyDescent="0.3">
      <c r="A8548" t="s">
        <v>22</v>
      </c>
      <c r="B8548" s="1">
        <v>46014</v>
      </c>
      <c r="C8548">
        <v>3</v>
      </c>
      <c r="D8548">
        <v>2.319</v>
      </c>
      <c r="E8548" t="s">
        <v>6</v>
      </c>
      <c r="F8548">
        <v>0.10468999999999999</v>
      </c>
    </row>
    <row r="8549" spans="1:6" x14ac:dyDescent="0.3">
      <c r="A8549" t="s">
        <v>22</v>
      </c>
      <c r="B8549" s="1">
        <v>46014</v>
      </c>
      <c r="C8549">
        <v>4</v>
      </c>
      <c r="D8549">
        <v>2.133</v>
      </c>
      <c r="E8549" t="s">
        <v>6</v>
      </c>
      <c r="F8549">
        <v>9.9519999999999997E-2</v>
      </c>
    </row>
    <row r="8550" spans="1:6" x14ac:dyDescent="0.3">
      <c r="A8550" t="s">
        <v>22</v>
      </c>
      <c r="B8550" s="1">
        <v>46014</v>
      </c>
      <c r="C8550">
        <v>5</v>
      </c>
      <c r="D8550">
        <v>2.0379999999999998</v>
      </c>
      <c r="E8550" t="s">
        <v>6</v>
      </c>
      <c r="F8550">
        <v>9.6250000000000002E-2</v>
      </c>
    </row>
    <row r="8551" spans="1:6" x14ac:dyDescent="0.3">
      <c r="A8551" t="s">
        <v>22</v>
      </c>
      <c r="B8551" s="1">
        <v>46014</v>
      </c>
      <c r="C8551">
        <v>6</v>
      </c>
      <c r="D8551">
        <v>2.0169999999999999</v>
      </c>
      <c r="E8551" t="s">
        <v>6</v>
      </c>
      <c r="F8551">
        <v>0.10017</v>
      </c>
    </row>
    <row r="8552" spans="1:6" x14ac:dyDescent="0.3">
      <c r="A8552" t="s">
        <v>22</v>
      </c>
      <c r="B8552" s="1">
        <v>46014</v>
      </c>
      <c r="C8552">
        <v>7</v>
      </c>
      <c r="D8552">
        <v>2.032</v>
      </c>
      <c r="E8552" t="s">
        <v>6</v>
      </c>
      <c r="F8552">
        <v>0.11193</v>
      </c>
    </row>
    <row r="8553" spans="1:6" x14ac:dyDescent="0.3">
      <c r="A8553" t="s">
        <v>22</v>
      </c>
      <c r="B8553" s="1">
        <v>46014</v>
      </c>
      <c r="C8553">
        <v>8</v>
      </c>
      <c r="D8553">
        <v>2.4940000000000002</v>
      </c>
      <c r="E8553" t="s">
        <v>6</v>
      </c>
      <c r="F8553">
        <v>0.11788999999999999</v>
      </c>
    </row>
    <row r="8554" spans="1:6" x14ac:dyDescent="0.3">
      <c r="A8554" t="s">
        <v>22</v>
      </c>
      <c r="B8554" s="1">
        <v>46014</v>
      </c>
      <c r="C8554">
        <v>9</v>
      </c>
      <c r="D8554">
        <v>2.4460000000000002</v>
      </c>
      <c r="E8554" t="s">
        <v>6</v>
      </c>
      <c r="F8554">
        <v>0.1603</v>
      </c>
    </row>
    <row r="8555" spans="1:6" x14ac:dyDescent="0.3">
      <c r="A8555" t="s">
        <v>22</v>
      </c>
      <c r="B8555" s="1">
        <v>46014</v>
      </c>
      <c r="C8555">
        <v>10</v>
      </c>
      <c r="D8555">
        <v>2.3140000000000001</v>
      </c>
      <c r="E8555" t="s">
        <v>6</v>
      </c>
      <c r="F8555">
        <v>0.16053000000000001</v>
      </c>
    </row>
    <row r="8556" spans="1:6" x14ac:dyDescent="0.3">
      <c r="A8556" t="s">
        <v>22</v>
      </c>
      <c r="B8556" s="1">
        <v>46014</v>
      </c>
      <c r="C8556">
        <v>11</v>
      </c>
      <c r="D8556">
        <v>2.5459999999999998</v>
      </c>
      <c r="E8556" t="s">
        <v>6</v>
      </c>
      <c r="F8556">
        <v>0.21681999999999998</v>
      </c>
    </row>
    <row r="8557" spans="1:6" x14ac:dyDescent="0.3">
      <c r="A8557" t="s">
        <v>22</v>
      </c>
      <c r="B8557" s="1">
        <v>46014</v>
      </c>
      <c r="C8557">
        <v>12</v>
      </c>
      <c r="D8557">
        <v>2.1539999999999999</v>
      </c>
      <c r="E8557" t="s">
        <v>6</v>
      </c>
      <c r="F8557">
        <v>0.20908000000000002</v>
      </c>
    </row>
    <row r="8558" spans="1:6" x14ac:dyDescent="0.3">
      <c r="A8558" t="s">
        <v>22</v>
      </c>
      <c r="B8558" s="1">
        <v>46014</v>
      </c>
      <c r="C8558">
        <v>13</v>
      </c>
      <c r="D8558">
        <v>2.6869999999999998</v>
      </c>
      <c r="E8558" t="s">
        <v>6</v>
      </c>
      <c r="F8558">
        <v>0.21018000000000001</v>
      </c>
    </row>
    <row r="8559" spans="1:6" x14ac:dyDescent="0.3">
      <c r="A8559" t="s">
        <v>22</v>
      </c>
      <c r="B8559" s="1">
        <v>46014</v>
      </c>
      <c r="C8559">
        <v>14</v>
      </c>
      <c r="D8559">
        <v>2.5720000000000001</v>
      </c>
      <c r="E8559" t="s">
        <v>6</v>
      </c>
      <c r="F8559">
        <v>0.20449999999999999</v>
      </c>
    </row>
    <row r="8560" spans="1:6" x14ac:dyDescent="0.3">
      <c r="A8560" t="s">
        <v>22</v>
      </c>
      <c r="B8560" s="1">
        <v>46014</v>
      </c>
      <c r="C8560">
        <v>15</v>
      </c>
      <c r="D8560">
        <v>2.218</v>
      </c>
      <c r="E8560" t="s">
        <v>6</v>
      </c>
      <c r="F8560">
        <v>0.13888999999999999</v>
      </c>
    </row>
    <row r="8561" spans="1:6" x14ac:dyDescent="0.3">
      <c r="A8561" t="s">
        <v>22</v>
      </c>
      <c r="B8561" s="1">
        <v>46014</v>
      </c>
      <c r="C8561">
        <v>16</v>
      </c>
      <c r="D8561">
        <v>1.3280000000000001</v>
      </c>
      <c r="E8561" t="s">
        <v>6</v>
      </c>
      <c r="F8561">
        <v>0.14784999999999998</v>
      </c>
    </row>
    <row r="8562" spans="1:6" x14ac:dyDescent="0.3">
      <c r="A8562" t="s">
        <v>22</v>
      </c>
      <c r="B8562" s="1">
        <v>46014</v>
      </c>
      <c r="C8562">
        <v>17</v>
      </c>
      <c r="D8562">
        <v>2.6720000000000002</v>
      </c>
      <c r="E8562" t="s">
        <v>6</v>
      </c>
      <c r="F8562">
        <v>0.15081</v>
      </c>
    </row>
    <row r="8563" spans="1:6" x14ac:dyDescent="0.3">
      <c r="A8563" t="s">
        <v>22</v>
      </c>
      <c r="B8563" s="1">
        <v>46014</v>
      </c>
      <c r="C8563">
        <v>18</v>
      </c>
      <c r="D8563">
        <v>2.8769999999999998</v>
      </c>
      <c r="E8563" t="s">
        <v>6</v>
      </c>
      <c r="F8563">
        <v>0.15572</v>
      </c>
    </row>
    <row r="8564" spans="1:6" x14ac:dyDescent="0.3">
      <c r="A8564" t="s">
        <v>22</v>
      </c>
      <c r="B8564" s="1">
        <v>46014</v>
      </c>
      <c r="C8564">
        <v>19</v>
      </c>
      <c r="D8564">
        <v>2.8340000000000001</v>
      </c>
      <c r="E8564" t="s">
        <v>6</v>
      </c>
      <c r="F8564">
        <v>0.22555</v>
      </c>
    </row>
    <row r="8565" spans="1:6" x14ac:dyDescent="0.3">
      <c r="A8565" t="s">
        <v>22</v>
      </c>
      <c r="B8565" s="1">
        <v>46014</v>
      </c>
      <c r="C8565">
        <v>20</v>
      </c>
      <c r="D8565">
        <v>2.2559999999999998</v>
      </c>
      <c r="E8565" t="s">
        <v>6</v>
      </c>
      <c r="F8565">
        <v>0.22481999999999999</v>
      </c>
    </row>
    <row r="8566" spans="1:6" x14ac:dyDescent="0.3">
      <c r="A8566" t="s">
        <v>22</v>
      </c>
      <c r="B8566" s="1">
        <v>46014</v>
      </c>
      <c r="C8566">
        <v>21</v>
      </c>
      <c r="D8566">
        <v>2.895</v>
      </c>
      <c r="E8566" t="s">
        <v>6</v>
      </c>
      <c r="F8566">
        <v>0.22908000000000001</v>
      </c>
    </row>
    <row r="8567" spans="1:6" x14ac:dyDescent="0.3">
      <c r="A8567" t="s">
        <v>22</v>
      </c>
      <c r="B8567" s="1">
        <v>46014</v>
      </c>
      <c r="C8567">
        <v>22</v>
      </c>
      <c r="D8567">
        <v>2.6760000000000002</v>
      </c>
      <c r="E8567" t="s">
        <v>6</v>
      </c>
      <c r="F8567">
        <v>0.22788999999999998</v>
      </c>
    </row>
    <row r="8568" spans="1:6" x14ac:dyDescent="0.3">
      <c r="A8568" t="s">
        <v>22</v>
      </c>
      <c r="B8568" s="1">
        <v>46014</v>
      </c>
      <c r="C8568">
        <v>23</v>
      </c>
      <c r="D8568">
        <v>2.4700000000000002</v>
      </c>
      <c r="E8568" t="s">
        <v>6</v>
      </c>
      <c r="F8568">
        <v>0.15605000000000002</v>
      </c>
    </row>
    <row r="8569" spans="1:6" x14ac:dyDescent="0.3">
      <c r="A8569" t="s">
        <v>22</v>
      </c>
      <c r="B8569" s="1">
        <v>46014</v>
      </c>
      <c r="C8569">
        <v>24</v>
      </c>
      <c r="D8569">
        <v>2.7919999999999998</v>
      </c>
      <c r="E8569" t="s">
        <v>6</v>
      </c>
      <c r="F8569">
        <v>0.13821</v>
      </c>
    </row>
    <row r="8570" spans="1:6" x14ac:dyDescent="0.3">
      <c r="A8570" t="s">
        <v>22</v>
      </c>
      <c r="B8570" s="1">
        <v>46015</v>
      </c>
      <c r="C8570">
        <v>1</v>
      </c>
      <c r="D8570">
        <v>2.3239999999999998</v>
      </c>
      <c r="E8570" t="s">
        <v>6</v>
      </c>
      <c r="F8570">
        <v>0.12798999999999999</v>
      </c>
    </row>
    <row r="8571" spans="1:6" x14ac:dyDescent="0.3">
      <c r="A8571" t="s">
        <v>22</v>
      </c>
      <c r="B8571" s="1">
        <v>46015</v>
      </c>
      <c r="C8571">
        <v>2</v>
      </c>
      <c r="D8571">
        <v>2.2959999999999998</v>
      </c>
      <c r="E8571" t="s">
        <v>6</v>
      </c>
      <c r="F8571">
        <v>0.10784000000000001</v>
      </c>
    </row>
    <row r="8572" spans="1:6" x14ac:dyDescent="0.3">
      <c r="A8572" t="s">
        <v>22</v>
      </c>
      <c r="B8572" s="1">
        <v>46015</v>
      </c>
      <c r="C8572">
        <v>3</v>
      </c>
      <c r="D8572">
        <v>2.2530000000000001</v>
      </c>
      <c r="E8572" t="s">
        <v>6</v>
      </c>
      <c r="F8572">
        <v>9.1310000000000002E-2</v>
      </c>
    </row>
    <row r="8573" spans="1:6" x14ac:dyDescent="0.3">
      <c r="A8573" t="s">
        <v>22</v>
      </c>
      <c r="B8573" s="1">
        <v>46015</v>
      </c>
      <c r="C8573">
        <v>4</v>
      </c>
      <c r="D8573">
        <v>2.0190000000000001</v>
      </c>
      <c r="E8573" t="s">
        <v>6</v>
      </c>
      <c r="F8573">
        <v>8.8200000000000001E-2</v>
      </c>
    </row>
    <row r="8574" spans="1:6" x14ac:dyDescent="0.3">
      <c r="A8574" t="s">
        <v>22</v>
      </c>
      <c r="B8574" s="1">
        <v>46015</v>
      </c>
      <c r="C8574">
        <v>5</v>
      </c>
      <c r="D8574">
        <v>1.81</v>
      </c>
      <c r="E8574" t="s">
        <v>6</v>
      </c>
      <c r="F8574">
        <v>8.3900000000000002E-2</v>
      </c>
    </row>
    <row r="8575" spans="1:6" x14ac:dyDescent="0.3">
      <c r="A8575" t="s">
        <v>22</v>
      </c>
      <c r="B8575" s="1">
        <v>46015</v>
      </c>
      <c r="C8575">
        <v>6</v>
      </c>
      <c r="D8575">
        <v>1.7330000000000001</v>
      </c>
      <c r="E8575" t="s">
        <v>6</v>
      </c>
      <c r="F8575">
        <v>8.1939999999999999E-2</v>
      </c>
    </row>
    <row r="8576" spans="1:6" x14ac:dyDescent="0.3">
      <c r="A8576" t="s">
        <v>22</v>
      </c>
      <c r="B8576" s="1">
        <v>46015</v>
      </c>
      <c r="C8576">
        <v>7</v>
      </c>
      <c r="D8576">
        <v>2.2570000000000001</v>
      </c>
      <c r="E8576" t="s">
        <v>6</v>
      </c>
      <c r="F8576">
        <v>8.2150000000000001E-2</v>
      </c>
    </row>
    <row r="8577" spans="1:6" x14ac:dyDescent="0.3">
      <c r="A8577" t="s">
        <v>22</v>
      </c>
      <c r="B8577" s="1">
        <v>46015</v>
      </c>
      <c r="C8577">
        <v>8</v>
      </c>
      <c r="D8577">
        <v>2.5150000000000001</v>
      </c>
      <c r="E8577" t="s">
        <v>6</v>
      </c>
      <c r="F8577">
        <v>8.7969999999999993E-2</v>
      </c>
    </row>
    <row r="8578" spans="1:6" x14ac:dyDescent="0.3">
      <c r="A8578" t="s">
        <v>22</v>
      </c>
      <c r="B8578" s="1">
        <v>46015</v>
      </c>
      <c r="C8578">
        <v>9</v>
      </c>
      <c r="D8578">
        <v>2.2719999999999998</v>
      </c>
      <c r="E8578" t="s">
        <v>6</v>
      </c>
      <c r="F8578">
        <v>0.13869000000000001</v>
      </c>
    </row>
    <row r="8579" spans="1:6" x14ac:dyDescent="0.3">
      <c r="A8579" t="s">
        <v>22</v>
      </c>
      <c r="B8579" s="1">
        <v>46015</v>
      </c>
      <c r="C8579">
        <v>10</v>
      </c>
      <c r="D8579">
        <v>0.69899999999999995</v>
      </c>
      <c r="E8579" t="s">
        <v>6</v>
      </c>
      <c r="F8579">
        <v>0.13084000000000001</v>
      </c>
    </row>
    <row r="8580" spans="1:6" x14ac:dyDescent="0.3">
      <c r="A8580" t="s">
        <v>22</v>
      </c>
      <c r="B8580" s="1">
        <v>46015</v>
      </c>
      <c r="C8580">
        <v>11</v>
      </c>
      <c r="D8580">
        <v>0</v>
      </c>
      <c r="E8580" t="s">
        <v>6</v>
      </c>
      <c r="F8580">
        <v>0.17737999999999998</v>
      </c>
    </row>
    <row r="8581" spans="1:6" x14ac:dyDescent="0.3">
      <c r="A8581" t="s">
        <v>22</v>
      </c>
      <c r="B8581" s="1">
        <v>46015</v>
      </c>
      <c r="C8581">
        <v>12</v>
      </c>
      <c r="D8581">
        <v>1.131</v>
      </c>
      <c r="E8581" t="s">
        <v>6</v>
      </c>
      <c r="F8581">
        <v>0.16105</v>
      </c>
    </row>
    <row r="8582" spans="1:6" x14ac:dyDescent="0.3">
      <c r="A8582" t="s">
        <v>22</v>
      </c>
      <c r="B8582" s="1">
        <v>46015</v>
      </c>
      <c r="C8582">
        <v>13</v>
      </c>
      <c r="D8582">
        <v>2.1190000000000002</v>
      </c>
      <c r="E8582" t="s">
        <v>6</v>
      </c>
      <c r="F8582">
        <v>0.15272999999999998</v>
      </c>
    </row>
    <row r="8583" spans="1:6" x14ac:dyDescent="0.3">
      <c r="A8583" t="s">
        <v>22</v>
      </c>
      <c r="B8583" s="1">
        <v>46015</v>
      </c>
      <c r="C8583">
        <v>14</v>
      </c>
      <c r="D8583">
        <v>0</v>
      </c>
      <c r="E8583" t="s">
        <v>6</v>
      </c>
      <c r="F8583">
        <v>0.14899000000000001</v>
      </c>
    </row>
    <row r="8584" spans="1:6" x14ac:dyDescent="0.3">
      <c r="A8584" t="s">
        <v>22</v>
      </c>
      <c r="B8584" s="1">
        <v>46015</v>
      </c>
      <c r="C8584">
        <v>15</v>
      </c>
      <c r="D8584">
        <v>0</v>
      </c>
      <c r="E8584" t="s">
        <v>6</v>
      </c>
      <c r="F8584">
        <v>8.4989999999999996E-2</v>
      </c>
    </row>
    <row r="8585" spans="1:6" x14ac:dyDescent="0.3">
      <c r="A8585" t="s">
        <v>22</v>
      </c>
      <c r="B8585" s="1">
        <v>46015</v>
      </c>
      <c r="C8585">
        <v>16</v>
      </c>
      <c r="D8585">
        <v>0</v>
      </c>
      <c r="E8585" t="s">
        <v>6</v>
      </c>
      <c r="F8585">
        <v>9.3939999999999996E-2</v>
      </c>
    </row>
    <row r="8586" spans="1:6" x14ac:dyDescent="0.3">
      <c r="A8586" t="s">
        <v>22</v>
      </c>
      <c r="B8586" s="1">
        <v>46015</v>
      </c>
      <c r="C8586">
        <v>17</v>
      </c>
      <c r="D8586">
        <v>2.35</v>
      </c>
      <c r="E8586" t="s">
        <v>6</v>
      </c>
      <c r="F8586">
        <v>0.11001999999999999</v>
      </c>
    </row>
    <row r="8587" spans="1:6" x14ac:dyDescent="0.3">
      <c r="A8587" t="s">
        <v>22</v>
      </c>
      <c r="B8587" s="1">
        <v>46015</v>
      </c>
      <c r="C8587">
        <v>18</v>
      </c>
      <c r="D8587">
        <v>2.181</v>
      </c>
      <c r="E8587" t="s">
        <v>6</v>
      </c>
      <c r="F8587">
        <v>0.1293</v>
      </c>
    </row>
    <row r="8588" spans="1:6" x14ac:dyDescent="0.3">
      <c r="A8588" t="s">
        <v>22</v>
      </c>
      <c r="B8588" s="1">
        <v>46015</v>
      </c>
      <c r="C8588">
        <v>19</v>
      </c>
      <c r="D8588">
        <v>4.0380000000000003</v>
      </c>
      <c r="E8588" t="s">
        <v>6</v>
      </c>
      <c r="F8588">
        <v>0.21240999999999999</v>
      </c>
    </row>
    <row r="8589" spans="1:6" x14ac:dyDescent="0.3">
      <c r="A8589" t="s">
        <v>22</v>
      </c>
      <c r="B8589" s="1">
        <v>46015</v>
      </c>
      <c r="C8589">
        <v>20</v>
      </c>
      <c r="D8589">
        <v>4.5010000000000003</v>
      </c>
      <c r="E8589" t="s">
        <v>6</v>
      </c>
      <c r="F8589">
        <v>0.20877000000000001</v>
      </c>
    </row>
    <row r="8590" spans="1:6" x14ac:dyDescent="0.3">
      <c r="A8590" t="s">
        <v>22</v>
      </c>
      <c r="B8590" s="1">
        <v>46015</v>
      </c>
      <c r="C8590">
        <v>21</v>
      </c>
      <c r="D8590">
        <v>2.7959999999999998</v>
      </c>
      <c r="E8590" t="s">
        <v>6</v>
      </c>
      <c r="F8590">
        <v>0.20277999999999999</v>
      </c>
    </row>
    <row r="8591" spans="1:6" x14ac:dyDescent="0.3">
      <c r="A8591" t="s">
        <v>22</v>
      </c>
      <c r="B8591" s="1">
        <v>46015</v>
      </c>
      <c r="C8591">
        <v>22</v>
      </c>
      <c r="D8591">
        <v>2.0539999999999998</v>
      </c>
      <c r="E8591" t="s">
        <v>6</v>
      </c>
      <c r="F8591">
        <v>0.19449</v>
      </c>
    </row>
    <row r="8592" spans="1:6" x14ac:dyDescent="0.3">
      <c r="A8592" t="s">
        <v>22</v>
      </c>
      <c r="B8592" s="1">
        <v>46015</v>
      </c>
      <c r="C8592">
        <v>23</v>
      </c>
      <c r="D8592">
        <v>2.298</v>
      </c>
      <c r="E8592" t="s">
        <v>6</v>
      </c>
      <c r="F8592">
        <v>0.11604</v>
      </c>
    </row>
    <row r="8593" spans="1:6" x14ac:dyDescent="0.3">
      <c r="A8593" t="s">
        <v>22</v>
      </c>
      <c r="B8593" s="1">
        <v>46015</v>
      </c>
      <c r="C8593">
        <v>24</v>
      </c>
      <c r="D8593">
        <v>1.919</v>
      </c>
      <c r="E8593" t="s">
        <v>6</v>
      </c>
      <c r="F8593">
        <v>0.11006000000000001</v>
      </c>
    </row>
    <row r="8594" spans="1:6" x14ac:dyDescent="0.3">
      <c r="A8594" t="s">
        <v>22</v>
      </c>
      <c r="B8594" s="1">
        <v>46016</v>
      </c>
      <c r="C8594">
        <v>1</v>
      </c>
      <c r="D8594">
        <v>1.8080000000000001</v>
      </c>
      <c r="E8594" t="s">
        <v>6</v>
      </c>
      <c r="F8594">
        <v>9.2909999999999993E-2</v>
      </c>
    </row>
    <row r="8595" spans="1:6" x14ac:dyDescent="0.3">
      <c r="A8595" t="s">
        <v>22</v>
      </c>
      <c r="B8595" s="1">
        <v>46016</v>
      </c>
      <c r="C8595">
        <v>2</v>
      </c>
      <c r="D8595">
        <v>1.645</v>
      </c>
      <c r="E8595" t="s">
        <v>6</v>
      </c>
      <c r="F8595">
        <v>9.1359999999999997E-2</v>
      </c>
    </row>
    <row r="8596" spans="1:6" x14ac:dyDescent="0.3">
      <c r="A8596" t="s">
        <v>22</v>
      </c>
      <c r="B8596" s="1">
        <v>46016</v>
      </c>
      <c r="C8596">
        <v>3</v>
      </c>
      <c r="D8596">
        <v>1.522</v>
      </c>
      <c r="E8596" t="s">
        <v>6</v>
      </c>
      <c r="F8596">
        <v>8.7410000000000002E-2</v>
      </c>
    </row>
    <row r="8597" spans="1:6" x14ac:dyDescent="0.3">
      <c r="A8597" t="s">
        <v>22</v>
      </c>
      <c r="B8597" s="1">
        <v>46016</v>
      </c>
      <c r="C8597">
        <v>4</v>
      </c>
      <c r="D8597">
        <v>1.635</v>
      </c>
      <c r="E8597" t="s">
        <v>6</v>
      </c>
      <c r="F8597">
        <v>7.7480000000000007E-2</v>
      </c>
    </row>
    <row r="8598" spans="1:6" x14ac:dyDescent="0.3">
      <c r="A8598" t="s">
        <v>22</v>
      </c>
      <c r="B8598" s="1">
        <v>46016</v>
      </c>
      <c r="C8598">
        <v>5</v>
      </c>
      <c r="D8598">
        <v>1.534</v>
      </c>
      <c r="E8598" t="s">
        <v>6</v>
      </c>
      <c r="F8598">
        <v>7.3650000000000007E-2</v>
      </c>
    </row>
    <row r="8599" spans="1:6" x14ac:dyDescent="0.3">
      <c r="A8599" t="s">
        <v>22</v>
      </c>
      <c r="B8599" s="1">
        <v>46016</v>
      </c>
      <c r="C8599">
        <v>6</v>
      </c>
      <c r="D8599">
        <v>1.7809999999999999</v>
      </c>
      <c r="E8599" t="s">
        <v>6</v>
      </c>
      <c r="F8599">
        <v>8.095999999999999E-2</v>
      </c>
    </row>
    <row r="8600" spans="1:6" x14ac:dyDescent="0.3">
      <c r="A8600" t="s">
        <v>22</v>
      </c>
      <c r="B8600" s="1">
        <v>46016</v>
      </c>
      <c r="C8600">
        <v>7</v>
      </c>
      <c r="D8600">
        <v>2.6829999999999998</v>
      </c>
      <c r="E8600" t="s">
        <v>6</v>
      </c>
      <c r="F8600">
        <v>8.7849999999999998E-2</v>
      </c>
    </row>
    <row r="8601" spans="1:6" x14ac:dyDescent="0.3">
      <c r="A8601" t="s">
        <v>22</v>
      </c>
      <c r="B8601" s="1">
        <v>46016</v>
      </c>
      <c r="C8601">
        <v>8</v>
      </c>
      <c r="D8601">
        <v>2.282</v>
      </c>
      <c r="E8601" t="s">
        <v>6</v>
      </c>
      <c r="F8601">
        <v>0.10298</v>
      </c>
    </row>
    <row r="8602" spans="1:6" x14ac:dyDescent="0.3">
      <c r="A8602" t="s">
        <v>22</v>
      </c>
      <c r="B8602" s="1">
        <v>46016</v>
      </c>
      <c r="C8602">
        <v>9</v>
      </c>
      <c r="D8602">
        <v>2.3570000000000002</v>
      </c>
      <c r="E8602" t="s">
        <v>6</v>
      </c>
      <c r="F8602">
        <v>0.11143</v>
      </c>
    </row>
    <row r="8603" spans="1:6" x14ac:dyDescent="0.3">
      <c r="A8603" t="s">
        <v>22</v>
      </c>
      <c r="B8603" s="1">
        <v>46016</v>
      </c>
      <c r="C8603">
        <v>10</v>
      </c>
      <c r="D8603">
        <v>2.0230000000000001</v>
      </c>
      <c r="E8603" t="s">
        <v>6</v>
      </c>
      <c r="F8603">
        <v>0.10273</v>
      </c>
    </row>
    <row r="8604" spans="1:6" x14ac:dyDescent="0.3">
      <c r="A8604" t="s">
        <v>22</v>
      </c>
      <c r="B8604" s="1">
        <v>46016</v>
      </c>
      <c r="C8604">
        <v>11</v>
      </c>
      <c r="D8604">
        <v>1.5980000000000001</v>
      </c>
      <c r="E8604" t="s">
        <v>6</v>
      </c>
      <c r="F8604">
        <v>8.6389999999999995E-2</v>
      </c>
    </row>
    <row r="8605" spans="1:6" x14ac:dyDescent="0.3">
      <c r="A8605" t="s">
        <v>22</v>
      </c>
      <c r="B8605" s="1">
        <v>46016</v>
      </c>
      <c r="C8605">
        <v>12</v>
      </c>
      <c r="D8605">
        <v>2.375</v>
      </c>
      <c r="E8605" t="s">
        <v>6</v>
      </c>
      <c r="F8605">
        <v>7.4980000000000005E-2</v>
      </c>
    </row>
    <row r="8606" spans="1:6" x14ac:dyDescent="0.3">
      <c r="A8606" t="s">
        <v>22</v>
      </c>
      <c r="B8606" s="1">
        <v>46016</v>
      </c>
      <c r="C8606">
        <v>13</v>
      </c>
      <c r="D8606">
        <v>2.0979999999999999</v>
      </c>
      <c r="E8606" t="s">
        <v>6</v>
      </c>
      <c r="F8606">
        <v>8.1890000000000004E-2</v>
      </c>
    </row>
    <row r="8607" spans="1:6" x14ac:dyDescent="0.3">
      <c r="A8607" t="s">
        <v>22</v>
      </c>
      <c r="B8607" s="1">
        <v>46016</v>
      </c>
      <c r="C8607">
        <v>14</v>
      </c>
      <c r="D8607">
        <v>2.9449999999999998</v>
      </c>
      <c r="E8607" t="s">
        <v>6</v>
      </c>
      <c r="F8607">
        <v>8.0909999999999996E-2</v>
      </c>
    </row>
    <row r="8608" spans="1:6" x14ac:dyDescent="0.3">
      <c r="A8608" t="s">
        <v>22</v>
      </c>
      <c r="B8608" s="1">
        <v>46016</v>
      </c>
      <c r="C8608">
        <v>15</v>
      </c>
      <c r="D8608">
        <v>3.5550000000000002</v>
      </c>
      <c r="E8608" t="s">
        <v>6</v>
      </c>
      <c r="F8608">
        <v>7.3790000000000008E-2</v>
      </c>
    </row>
    <row r="8609" spans="1:6" x14ac:dyDescent="0.3">
      <c r="A8609" t="s">
        <v>22</v>
      </c>
      <c r="B8609" s="1">
        <v>46016</v>
      </c>
      <c r="C8609">
        <v>16</v>
      </c>
      <c r="D8609">
        <v>1.46</v>
      </c>
      <c r="E8609" t="s">
        <v>6</v>
      </c>
      <c r="F8609">
        <v>9.0659999999999991E-2</v>
      </c>
    </row>
    <row r="8610" spans="1:6" x14ac:dyDescent="0.3">
      <c r="A8610" t="s">
        <v>22</v>
      </c>
      <c r="B8610" s="1">
        <v>46016</v>
      </c>
      <c r="C8610">
        <v>17</v>
      </c>
      <c r="D8610">
        <v>3.5680000000000001</v>
      </c>
      <c r="E8610" t="s">
        <v>6</v>
      </c>
      <c r="F8610">
        <v>0.12178</v>
      </c>
    </row>
    <row r="8611" spans="1:6" x14ac:dyDescent="0.3">
      <c r="A8611" t="s">
        <v>22</v>
      </c>
      <c r="B8611" s="1">
        <v>46016</v>
      </c>
      <c r="C8611">
        <v>18</v>
      </c>
      <c r="D8611">
        <v>2.63</v>
      </c>
      <c r="E8611" t="s">
        <v>6</v>
      </c>
      <c r="F8611">
        <v>0.15249000000000001</v>
      </c>
    </row>
    <row r="8612" spans="1:6" x14ac:dyDescent="0.3">
      <c r="A8612" t="s">
        <v>22</v>
      </c>
      <c r="B8612" s="1">
        <v>46016</v>
      </c>
      <c r="C8612">
        <v>19</v>
      </c>
      <c r="D8612">
        <v>2.0710000000000002</v>
      </c>
      <c r="E8612" t="s">
        <v>6</v>
      </c>
      <c r="F8612">
        <v>0.15556999999999999</v>
      </c>
    </row>
    <row r="8613" spans="1:6" x14ac:dyDescent="0.3">
      <c r="A8613" t="s">
        <v>22</v>
      </c>
      <c r="B8613" s="1">
        <v>46016</v>
      </c>
      <c r="C8613">
        <v>20</v>
      </c>
      <c r="D8613">
        <v>1.8819999999999999</v>
      </c>
      <c r="E8613" t="s">
        <v>6</v>
      </c>
      <c r="F8613">
        <v>0.15777000000000002</v>
      </c>
    </row>
    <row r="8614" spans="1:6" x14ac:dyDescent="0.3">
      <c r="A8614" t="s">
        <v>22</v>
      </c>
      <c r="B8614" s="1">
        <v>46016</v>
      </c>
      <c r="C8614">
        <v>21</v>
      </c>
      <c r="D8614">
        <v>1.897</v>
      </c>
      <c r="E8614" t="s">
        <v>6</v>
      </c>
      <c r="F8614">
        <v>0.16159999999999999</v>
      </c>
    </row>
    <row r="8615" spans="1:6" x14ac:dyDescent="0.3">
      <c r="A8615" t="s">
        <v>22</v>
      </c>
      <c r="B8615" s="1">
        <v>46016</v>
      </c>
      <c r="C8615">
        <v>22</v>
      </c>
      <c r="D8615">
        <v>1.6060000000000001</v>
      </c>
      <c r="E8615" t="s">
        <v>6</v>
      </c>
      <c r="F8615">
        <v>0.16256999999999999</v>
      </c>
    </row>
    <row r="8616" spans="1:6" x14ac:dyDescent="0.3">
      <c r="A8616" t="s">
        <v>22</v>
      </c>
      <c r="B8616" s="1">
        <v>46016</v>
      </c>
      <c r="C8616">
        <v>23</v>
      </c>
      <c r="D8616">
        <v>1.841</v>
      </c>
      <c r="E8616" t="s">
        <v>6</v>
      </c>
      <c r="F8616">
        <v>0.15240999999999999</v>
      </c>
    </row>
    <row r="8617" spans="1:6" x14ac:dyDescent="0.3">
      <c r="A8617" t="s">
        <v>22</v>
      </c>
      <c r="B8617" s="1">
        <v>46016</v>
      </c>
      <c r="C8617">
        <v>24</v>
      </c>
      <c r="D8617">
        <v>1.44</v>
      </c>
      <c r="E8617" t="s">
        <v>6</v>
      </c>
      <c r="F8617">
        <v>0.15089</v>
      </c>
    </row>
    <row r="8618" spans="1:6" x14ac:dyDescent="0.3">
      <c r="A8618" t="s">
        <v>22</v>
      </c>
      <c r="B8618" s="1">
        <v>46017</v>
      </c>
      <c r="C8618">
        <v>1</v>
      </c>
      <c r="D8618">
        <v>1.696</v>
      </c>
      <c r="E8618" t="s">
        <v>6</v>
      </c>
      <c r="F8618">
        <v>0.1409</v>
      </c>
    </row>
    <row r="8619" spans="1:6" x14ac:dyDescent="0.3">
      <c r="A8619" t="s">
        <v>22</v>
      </c>
      <c r="B8619" s="1">
        <v>46017</v>
      </c>
      <c r="C8619">
        <v>2</v>
      </c>
      <c r="D8619">
        <v>1.6339999999999999</v>
      </c>
      <c r="E8619" t="s">
        <v>6</v>
      </c>
      <c r="F8619">
        <v>0.1368</v>
      </c>
    </row>
    <row r="8620" spans="1:6" x14ac:dyDescent="0.3">
      <c r="A8620" t="s">
        <v>22</v>
      </c>
      <c r="B8620" s="1">
        <v>46017</v>
      </c>
      <c r="C8620">
        <v>3</v>
      </c>
      <c r="D8620">
        <v>1.163</v>
      </c>
      <c r="E8620" t="s">
        <v>6</v>
      </c>
      <c r="F8620">
        <v>0.13269999999999998</v>
      </c>
    </row>
    <row r="8621" spans="1:6" x14ac:dyDescent="0.3">
      <c r="A8621" t="s">
        <v>22</v>
      </c>
      <c r="B8621" s="1">
        <v>46017</v>
      </c>
      <c r="C8621">
        <v>4</v>
      </c>
      <c r="D8621">
        <v>1.8480000000000001</v>
      </c>
      <c r="E8621" t="s">
        <v>6</v>
      </c>
      <c r="F8621">
        <v>0.12913999999999998</v>
      </c>
    </row>
    <row r="8622" spans="1:6" x14ac:dyDescent="0.3">
      <c r="A8622" t="s">
        <v>22</v>
      </c>
      <c r="B8622" s="1">
        <v>46017</v>
      </c>
      <c r="C8622">
        <v>5</v>
      </c>
      <c r="D8622">
        <v>1.4750000000000001</v>
      </c>
      <c r="E8622" t="s">
        <v>6</v>
      </c>
      <c r="F8622">
        <v>0.12492</v>
      </c>
    </row>
    <row r="8623" spans="1:6" x14ac:dyDescent="0.3">
      <c r="A8623" t="s">
        <v>22</v>
      </c>
      <c r="B8623" s="1">
        <v>46017</v>
      </c>
      <c r="C8623">
        <v>6</v>
      </c>
      <c r="D8623">
        <v>2.41</v>
      </c>
      <c r="E8623" t="s">
        <v>6</v>
      </c>
      <c r="F8623">
        <v>0.12371</v>
      </c>
    </row>
    <row r="8624" spans="1:6" x14ac:dyDescent="0.3">
      <c r="A8624" t="s">
        <v>22</v>
      </c>
      <c r="B8624" s="1">
        <v>46017</v>
      </c>
      <c r="C8624">
        <v>7</v>
      </c>
      <c r="D8624">
        <v>2.0699999999999998</v>
      </c>
      <c r="E8624" t="s">
        <v>6</v>
      </c>
      <c r="F8624">
        <v>0.13181000000000001</v>
      </c>
    </row>
    <row r="8625" spans="1:6" x14ac:dyDescent="0.3">
      <c r="A8625" t="s">
        <v>22</v>
      </c>
      <c r="B8625" s="1">
        <v>46017</v>
      </c>
      <c r="C8625">
        <v>8</v>
      </c>
      <c r="D8625">
        <v>1.764</v>
      </c>
      <c r="E8625" t="s">
        <v>6</v>
      </c>
      <c r="F8625">
        <v>0.13452</v>
      </c>
    </row>
    <row r="8626" spans="1:6" x14ac:dyDescent="0.3">
      <c r="A8626" t="s">
        <v>22</v>
      </c>
      <c r="B8626" s="1">
        <v>46017</v>
      </c>
      <c r="C8626">
        <v>9</v>
      </c>
      <c r="D8626">
        <v>1.518</v>
      </c>
      <c r="E8626" t="s">
        <v>6</v>
      </c>
      <c r="F8626">
        <v>0.16315000000000002</v>
      </c>
    </row>
    <row r="8627" spans="1:6" x14ac:dyDescent="0.3">
      <c r="A8627" t="s">
        <v>22</v>
      </c>
      <c r="B8627" s="1">
        <v>46017</v>
      </c>
      <c r="C8627">
        <v>10</v>
      </c>
      <c r="D8627">
        <v>1.3839999999999999</v>
      </c>
      <c r="E8627" t="s">
        <v>6</v>
      </c>
      <c r="F8627">
        <v>0.16087000000000001</v>
      </c>
    </row>
    <row r="8628" spans="1:6" x14ac:dyDescent="0.3">
      <c r="A8628" t="s">
        <v>22</v>
      </c>
      <c r="B8628" s="1">
        <v>46017</v>
      </c>
      <c r="C8628">
        <v>11</v>
      </c>
      <c r="D8628">
        <v>1.2689999999999999</v>
      </c>
      <c r="E8628" t="s">
        <v>6</v>
      </c>
      <c r="F8628">
        <v>0.21375999999999998</v>
      </c>
    </row>
    <row r="8629" spans="1:6" x14ac:dyDescent="0.3">
      <c r="A8629" t="s">
        <v>22</v>
      </c>
      <c r="B8629" s="1">
        <v>46017</v>
      </c>
      <c r="C8629">
        <v>12</v>
      </c>
      <c r="D8629">
        <v>1.7669999999999999</v>
      </c>
      <c r="E8629" t="s">
        <v>6</v>
      </c>
      <c r="F8629">
        <v>0.20812999999999998</v>
      </c>
    </row>
    <row r="8630" spans="1:6" x14ac:dyDescent="0.3">
      <c r="A8630" t="s">
        <v>22</v>
      </c>
      <c r="B8630" s="1">
        <v>46017</v>
      </c>
      <c r="C8630">
        <v>13</v>
      </c>
      <c r="D8630">
        <v>2.82</v>
      </c>
      <c r="E8630" t="s">
        <v>6</v>
      </c>
      <c r="F8630">
        <v>0.20558000000000001</v>
      </c>
    </row>
    <row r="8631" spans="1:6" x14ac:dyDescent="0.3">
      <c r="A8631" t="s">
        <v>22</v>
      </c>
      <c r="B8631" s="1">
        <v>46017</v>
      </c>
      <c r="C8631">
        <v>14</v>
      </c>
      <c r="D8631">
        <v>3.4049999999999998</v>
      </c>
      <c r="E8631" t="s">
        <v>6</v>
      </c>
      <c r="F8631">
        <v>0.20093</v>
      </c>
    </row>
    <row r="8632" spans="1:6" x14ac:dyDescent="0.3">
      <c r="A8632" t="s">
        <v>22</v>
      </c>
      <c r="B8632" s="1">
        <v>46017</v>
      </c>
      <c r="C8632">
        <v>15</v>
      </c>
      <c r="D8632">
        <v>6.0190000000000001</v>
      </c>
      <c r="E8632" t="s">
        <v>6</v>
      </c>
      <c r="F8632">
        <v>0.1328</v>
      </c>
    </row>
    <row r="8633" spans="1:6" x14ac:dyDescent="0.3">
      <c r="A8633" t="s">
        <v>22</v>
      </c>
      <c r="B8633" s="1">
        <v>46017</v>
      </c>
      <c r="C8633">
        <v>16</v>
      </c>
      <c r="D8633">
        <v>1.7609999999999999</v>
      </c>
      <c r="E8633" t="s">
        <v>6</v>
      </c>
      <c r="F8633">
        <v>0.13597000000000001</v>
      </c>
    </row>
    <row r="8634" spans="1:6" x14ac:dyDescent="0.3">
      <c r="A8634" t="s">
        <v>22</v>
      </c>
      <c r="B8634" s="1">
        <v>46017</v>
      </c>
      <c r="C8634">
        <v>17</v>
      </c>
      <c r="D8634">
        <v>3.4649999999999999</v>
      </c>
      <c r="E8634" t="s">
        <v>6</v>
      </c>
      <c r="F8634">
        <v>0.14683000000000002</v>
      </c>
    </row>
    <row r="8635" spans="1:6" x14ac:dyDescent="0.3">
      <c r="A8635" t="s">
        <v>22</v>
      </c>
      <c r="B8635" s="1">
        <v>46017</v>
      </c>
      <c r="C8635">
        <v>18</v>
      </c>
      <c r="D8635">
        <v>2.0110000000000001</v>
      </c>
      <c r="E8635" t="s">
        <v>6</v>
      </c>
      <c r="F8635">
        <v>0.16284000000000001</v>
      </c>
    </row>
    <row r="8636" spans="1:6" x14ac:dyDescent="0.3">
      <c r="A8636" t="s">
        <v>22</v>
      </c>
      <c r="B8636" s="1">
        <v>46017</v>
      </c>
      <c r="C8636">
        <v>19</v>
      </c>
      <c r="D8636">
        <v>1.925</v>
      </c>
      <c r="E8636" t="s">
        <v>6</v>
      </c>
      <c r="F8636">
        <v>0.23707</v>
      </c>
    </row>
    <row r="8637" spans="1:6" x14ac:dyDescent="0.3">
      <c r="A8637" t="s">
        <v>22</v>
      </c>
      <c r="B8637" s="1">
        <v>46017</v>
      </c>
      <c r="C8637">
        <v>20</v>
      </c>
      <c r="D8637">
        <v>1.6439999999999999</v>
      </c>
      <c r="E8637" t="s">
        <v>6</v>
      </c>
      <c r="F8637">
        <v>0.23936000000000002</v>
      </c>
    </row>
    <row r="8638" spans="1:6" x14ac:dyDescent="0.3">
      <c r="A8638" t="s">
        <v>22</v>
      </c>
      <c r="B8638" s="1">
        <v>46017</v>
      </c>
      <c r="C8638">
        <v>21</v>
      </c>
      <c r="D8638">
        <v>2.2639999999999998</v>
      </c>
      <c r="E8638" t="s">
        <v>6</v>
      </c>
      <c r="F8638">
        <v>0.25136999999999998</v>
      </c>
    </row>
    <row r="8639" spans="1:6" x14ac:dyDescent="0.3">
      <c r="A8639" t="s">
        <v>22</v>
      </c>
      <c r="B8639" s="1">
        <v>46017</v>
      </c>
      <c r="C8639">
        <v>22</v>
      </c>
      <c r="D8639">
        <v>1.4730000000000001</v>
      </c>
      <c r="E8639" t="s">
        <v>6</v>
      </c>
      <c r="F8639">
        <v>0.24934000000000001</v>
      </c>
    </row>
    <row r="8640" spans="1:6" x14ac:dyDescent="0.3">
      <c r="A8640" t="s">
        <v>22</v>
      </c>
      <c r="B8640" s="1">
        <v>46017</v>
      </c>
      <c r="C8640">
        <v>23</v>
      </c>
      <c r="D8640">
        <v>1.288</v>
      </c>
      <c r="E8640" t="s">
        <v>6</v>
      </c>
      <c r="F8640">
        <v>0.17530000000000001</v>
      </c>
    </row>
    <row r="8641" spans="1:6" x14ac:dyDescent="0.3">
      <c r="A8641" t="s">
        <v>22</v>
      </c>
      <c r="B8641" s="1">
        <v>46017</v>
      </c>
      <c r="C8641">
        <v>24</v>
      </c>
      <c r="D8641">
        <v>1.609</v>
      </c>
      <c r="E8641" t="s">
        <v>6</v>
      </c>
      <c r="F8641">
        <v>0.15934000000000001</v>
      </c>
    </row>
    <row r="8642" spans="1:6" x14ac:dyDescent="0.3">
      <c r="A8642" t="s">
        <v>22</v>
      </c>
      <c r="B8642" s="1">
        <v>46018</v>
      </c>
      <c r="C8642">
        <v>1</v>
      </c>
      <c r="D8642">
        <v>1.171</v>
      </c>
      <c r="E8642" t="s">
        <v>6</v>
      </c>
      <c r="F8642">
        <v>0.14311000000000001</v>
      </c>
    </row>
    <row r="8643" spans="1:6" x14ac:dyDescent="0.3">
      <c r="A8643" t="s">
        <v>22</v>
      </c>
      <c r="B8643" s="1">
        <v>46018</v>
      </c>
      <c r="C8643">
        <v>2</v>
      </c>
      <c r="D8643">
        <v>1.3859999999999999</v>
      </c>
      <c r="E8643" t="s">
        <v>6</v>
      </c>
      <c r="F8643">
        <v>0.14158999999999999</v>
      </c>
    </row>
    <row r="8644" spans="1:6" x14ac:dyDescent="0.3">
      <c r="A8644" t="s">
        <v>22</v>
      </c>
      <c r="B8644" s="1">
        <v>46018</v>
      </c>
      <c r="C8644">
        <v>3</v>
      </c>
      <c r="D8644">
        <v>1.41</v>
      </c>
      <c r="E8644" t="s">
        <v>6</v>
      </c>
      <c r="F8644">
        <v>0.1371</v>
      </c>
    </row>
    <row r="8645" spans="1:6" x14ac:dyDescent="0.3">
      <c r="A8645" t="s">
        <v>22</v>
      </c>
      <c r="B8645" s="1">
        <v>46018</v>
      </c>
      <c r="C8645">
        <v>4</v>
      </c>
      <c r="D8645">
        <v>1.2410000000000001</v>
      </c>
      <c r="E8645" t="s">
        <v>6</v>
      </c>
      <c r="F8645">
        <v>0.12484000000000001</v>
      </c>
    </row>
    <row r="8646" spans="1:6" x14ac:dyDescent="0.3">
      <c r="A8646" t="s">
        <v>22</v>
      </c>
      <c r="B8646" s="1">
        <v>46018</v>
      </c>
      <c r="C8646">
        <v>5</v>
      </c>
      <c r="D8646">
        <v>1.9810000000000001</v>
      </c>
      <c r="E8646" t="s">
        <v>6</v>
      </c>
      <c r="F8646">
        <v>0.12398999999999999</v>
      </c>
    </row>
    <row r="8647" spans="1:6" x14ac:dyDescent="0.3">
      <c r="A8647" t="s">
        <v>22</v>
      </c>
      <c r="B8647" s="1">
        <v>46018</v>
      </c>
      <c r="C8647">
        <v>6</v>
      </c>
      <c r="D8647">
        <v>1.6359999999999999</v>
      </c>
      <c r="E8647" t="s">
        <v>6</v>
      </c>
      <c r="F8647">
        <v>0.12312999999999999</v>
      </c>
    </row>
    <row r="8648" spans="1:6" x14ac:dyDescent="0.3">
      <c r="A8648" t="s">
        <v>22</v>
      </c>
      <c r="B8648" s="1">
        <v>46018</v>
      </c>
      <c r="C8648">
        <v>7</v>
      </c>
      <c r="D8648">
        <v>1.6739999999999999</v>
      </c>
      <c r="E8648" t="s">
        <v>6</v>
      </c>
      <c r="F8648">
        <v>0.1205</v>
      </c>
    </row>
    <row r="8649" spans="1:6" x14ac:dyDescent="0.3">
      <c r="A8649" t="s">
        <v>22</v>
      </c>
      <c r="B8649" s="1">
        <v>46018</v>
      </c>
      <c r="C8649">
        <v>8</v>
      </c>
      <c r="D8649">
        <v>1.538</v>
      </c>
      <c r="E8649" t="s">
        <v>6</v>
      </c>
      <c r="F8649">
        <v>0.12132999999999999</v>
      </c>
    </row>
    <row r="8650" spans="1:6" x14ac:dyDescent="0.3">
      <c r="A8650" t="s">
        <v>22</v>
      </c>
      <c r="B8650" s="1">
        <v>46018</v>
      </c>
      <c r="C8650">
        <v>9</v>
      </c>
      <c r="D8650">
        <v>1.7250000000000001</v>
      </c>
      <c r="E8650" t="s">
        <v>6</v>
      </c>
      <c r="F8650">
        <v>0.12605</v>
      </c>
    </row>
    <row r="8651" spans="1:6" x14ac:dyDescent="0.3">
      <c r="A8651" t="s">
        <v>22</v>
      </c>
      <c r="B8651" s="1">
        <v>46018</v>
      </c>
      <c r="C8651">
        <v>10</v>
      </c>
      <c r="D8651">
        <v>1.022</v>
      </c>
      <c r="E8651" t="s">
        <v>6</v>
      </c>
      <c r="F8651">
        <v>0.12824000000000002</v>
      </c>
    </row>
    <row r="8652" spans="1:6" x14ac:dyDescent="0.3">
      <c r="A8652" t="s">
        <v>22</v>
      </c>
      <c r="B8652" s="1">
        <v>46018</v>
      </c>
      <c r="C8652">
        <v>11</v>
      </c>
      <c r="D8652">
        <v>1.1870000000000001</v>
      </c>
      <c r="E8652" t="s">
        <v>6</v>
      </c>
      <c r="F8652">
        <v>0.11001000000000001</v>
      </c>
    </row>
    <row r="8653" spans="1:6" x14ac:dyDescent="0.3">
      <c r="A8653" t="s">
        <v>22</v>
      </c>
      <c r="B8653" s="1">
        <v>46018</v>
      </c>
      <c r="C8653">
        <v>12</v>
      </c>
      <c r="D8653">
        <v>1.329</v>
      </c>
      <c r="E8653" t="s">
        <v>6</v>
      </c>
      <c r="F8653">
        <v>0.10321999999999999</v>
      </c>
    </row>
    <row r="8654" spans="1:6" x14ac:dyDescent="0.3">
      <c r="A8654" t="s">
        <v>22</v>
      </c>
      <c r="B8654" s="1">
        <v>46018</v>
      </c>
      <c r="C8654">
        <v>13</v>
      </c>
      <c r="D8654">
        <v>2.42</v>
      </c>
      <c r="E8654" t="s">
        <v>6</v>
      </c>
      <c r="F8654">
        <v>0.10290000000000001</v>
      </c>
    </row>
    <row r="8655" spans="1:6" x14ac:dyDescent="0.3">
      <c r="A8655" t="s">
        <v>22</v>
      </c>
      <c r="B8655" s="1">
        <v>46018</v>
      </c>
      <c r="C8655">
        <v>14</v>
      </c>
      <c r="D8655">
        <v>2.629</v>
      </c>
      <c r="E8655" t="s">
        <v>6</v>
      </c>
      <c r="F8655">
        <v>0.10302</v>
      </c>
    </row>
    <row r="8656" spans="1:6" x14ac:dyDescent="0.3">
      <c r="A8656" t="s">
        <v>22</v>
      </c>
      <c r="B8656" s="1">
        <v>46018</v>
      </c>
      <c r="C8656">
        <v>15</v>
      </c>
      <c r="D8656">
        <v>2.4710000000000001</v>
      </c>
      <c r="E8656" t="s">
        <v>6</v>
      </c>
      <c r="F8656">
        <v>0.10324</v>
      </c>
    </row>
    <row r="8657" spans="1:6" x14ac:dyDescent="0.3">
      <c r="A8657" t="s">
        <v>22</v>
      </c>
      <c r="B8657" s="1">
        <v>46018</v>
      </c>
      <c r="C8657">
        <v>16</v>
      </c>
      <c r="D8657">
        <v>2.089</v>
      </c>
      <c r="E8657" t="s">
        <v>6</v>
      </c>
      <c r="F8657">
        <v>0.10613</v>
      </c>
    </row>
    <row r="8658" spans="1:6" x14ac:dyDescent="0.3">
      <c r="A8658" t="s">
        <v>22</v>
      </c>
      <c r="B8658" s="1">
        <v>46018</v>
      </c>
      <c r="C8658">
        <v>17</v>
      </c>
      <c r="D8658">
        <v>2.758</v>
      </c>
      <c r="E8658" t="s">
        <v>6</v>
      </c>
      <c r="F8658">
        <v>0.12087000000000001</v>
      </c>
    </row>
    <row r="8659" spans="1:6" x14ac:dyDescent="0.3">
      <c r="A8659" t="s">
        <v>22</v>
      </c>
      <c r="B8659" s="1">
        <v>46018</v>
      </c>
      <c r="C8659">
        <v>18</v>
      </c>
      <c r="D8659">
        <v>3.09</v>
      </c>
      <c r="E8659" t="s">
        <v>6</v>
      </c>
      <c r="F8659">
        <v>0.13212000000000002</v>
      </c>
    </row>
    <row r="8660" spans="1:6" x14ac:dyDescent="0.3">
      <c r="A8660" t="s">
        <v>22</v>
      </c>
      <c r="B8660" s="1">
        <v>46018</v>
      </c>
      <c r="C8660">
        <v>19</v>
      </c>
      <c r="D8660">
        <v>2.7570000000000001</v>
      </c>
      <c r="E8660" t="s">
        <v>6</v>
      </c>
      <c r="F8660">
        <v>0.14277000000000001</v>
      </c>
    </row>
    <row r="8661" spans="1:6" x14ac:dyDescent="0.3">
      <c r="A8661" t="s">
        <v>22</v>
      </c>
      <c r="B8661" s="1">
        <v>46018</v>
      </c>
      <c r="C8661">
        <v>20</v>
      </c>
      <c r="D8661">
        <v>2.012</v>
      </c>
      <c r="E8661" t="s">
        <v>6</v>
      </c>
      <c r="F8661">
        <v>0.14673</v>
      </c>
    </row>
    <row r="8662" spans="1:6" x14ac:dyDescent="0.3">
      <c r="A8662" t="s">
        <v>22</v>
      </c>
      <c r="B8662" s="1">
        <v>46018</v>
      </c>
      <c r="C8662">
        <v>21</v>
      </c>
      <c r="D8662">
        <v>2.202</v>
      </c>
      <c r="E8662" t="s">
        <v>6</v>
      </c>
      <c r="F8662">
        <v>0.13941999999999999</v>
      </c>
    </row>
    <row r="8663" spans="1:6" x14ac:dyDescent="0.3">
      <c r="A8663" t="s">
        <v>22</v>
      </c>
      <c r="B8663" s="1">
        <v>46018</v>
      </c>
      <c r="C8663">
        <v>22</v>
      </c>
      <c r="D8663">
        <v>1.681</v>
      </c>
      <c r="E8663" t="s">
        <v>6</v>
      </c>
      <c r="F8663">
        <v>0.13097</v>
      </c>
    </row>
    <row r="8664" spans="1:6" x14ac:dyDescent="0.3">
      <c r="A8664" t="s">
        <v>22</v>
      </c>
      <c r="B8664" s="1">
        <v>46018</v>
      </c>
      <c r="C8664">
        <v>23</v>
      </c>
      <c r="D8664">
        <v>1.589</v>
      </c>
      <c r="E8664" t="s">
        <v>6</v>
      </c>
      <c r="F8664">
        <v>0.12617</v>
      </c>
    </row>
    <row r="8665" spans="1:6" x14ac:dyDescent="0.3">
      <c r="A8665" t="s">
        <v>22</v>
      </c>
      <c r="B8665" s="1">
        <v>46018</v>
      </c>
      <c r="C8665">
        <v>24</v>
      </c>
      <c r="D8665">
        <v>1.6120000000000001</v>
      </c>
      <c r="E8665" t="s">
        <v>6</v>
      </c>
      <c r="F8665">
        <v>0.11907999999999999</v>
      </c>
    </row>
    <row r="8666" spans="1:6" x14ac:dyDescent="0.3">
      <c r="A8666" t="s">
        <v>22</v>
      </c>
      <c r="B8666" s="1">
        <v>46019</v>
      </c>
      <c r="C8666">
        <v>1</v>
      </c>
      <c r="D8666">
        <v>1.143</v>
      </c>
      <c r="E8666" t="s">
        <v>6</v>
      </c>
      <c r="F8666">
        <v>0.10836</v>
      </c>
    </row>
    <row r="8667" spans="1:6" x14ac:dyDescent="0.3">
      <c r="A8667" t="s">
        <v>22</v>
      </c>
      <c r="B8667" s="1">
        <v>46019</v>
      </c>
      <c r="C8667">
        <v>2</v>
      </c>
      <c r="D8667">
        <v>1.0840000000000001</v>
      </c>
      <c r="E8667" t="s">
        <v>6</v>
      </c>
      <c r="F8667">
        <v>0.11264</v>
      </c>
    </row>
    <row r="8668" spans="1:6" x14ac:dyDescent="0.3">
      <c r="A8668" t="s">
        <v>22</v>
      </c>
      <c r="B8668" s="1">
        <v>46019</v>
      </c>
      <c r="C8668">
        <v>3</v>
      </c>
      <c r="D8668">
        <v>0.96899999999999997</v>
      </c>
      <c r="E8668" t="s">
        <v>6</v>
      </c>
      <c r="F8668">
        <v>0.10496</v>
      </c>
    </row>
    <row r="8669" spans="1:6" x14ac:dyDescent="0.3">
      <c r="A8669" t="s">
        <v>22</v>
      </c>
      <c r="B8669" s="1">
        <v>46019</v>
      </c>
      <c r="C8669">
        <v>4</v>
      </c>
      <c r="D8669">
        <v>1.5840000000000001</v>
      </c>
      <c r="E8669" t="s">
        <v>6</v>
      </c>
      <c r="F8669">
        <v>9.9709999999999993E-2</v>
      </c>
    </row>
    <row r="8670" spans="1:6" x14ac:dyDescent="0.3">
      <c r="A8670" t="s">
        <v>22</v>
      </c>
      <c r="B8670" s="1">
        <v>46019</v>
      </c>
      <c r="C8670">
        <v>5</v>
      </c>
      <c r="D8670">
        <v>1.5649999999999999</v>
      </c>
      <c r="E8670" t="s">
        <v>6</v>
      </c>
      <c r="F8670">
        <v>0.10405</v>
      </c>
    </row>
    <row r="8671" spans="1:6" x14ac:dyDescent="0.3">
      <c r="A8671" t="s">
        <v>22</v>
      </c>
      <c r="B8671" s="1">
        <v>46019</v>
      </c>
      <c r="C8671">
        <v>6</v>
      </c>
      <c r="D8671">
        <v>1.3819999999999999</v>
      </c>
      <c r="E8671" t="s">
        <v>6</v>
      </c>
      <c r="F8671">
        <v>0.10787999999999999</v>
      </c>
    </row>
    <row r="8672" spans="1:6" x14ac:dyDescent="0.3">
      <c r="A8672" t="s">
        <v>22</v>
      </c>
      <c r="B8672" s="1">
        <v>46019</v>
      </c>
      <c r="C8672">
        <v>7</v>
      </c>
      <c r="D8672">
        <v>1.375</v>
      </c>
      <c r="E8672" t="s">
        <v>6</v>
      </c>
      <c r="F8672">
        <v>0.11856999999999999</v>
      </c>
    </row>
    <row r="8673" spans="1:6" x14ac:dyDescent="0.3">
      <c r="A8673" t="s">
        <v>22</v>
      </c>
      <c r="B8673" s="1">
        <v>46019</v>
      </c>
      <c r="C8673">
        <v>8</v>
      </c>
      <c r="D8673">
        <v>2.2120000000000002</v>
      </c>
      <c r="E8673" t="s">
        <v>6</v>
      </c>
      <c r="F8673">
        <v>0.12156</v>
      </c>
    </row>
    <row r="8674" spans="1:6" x14ac:dyDescent="0.3">
      <c r="A8674" t="s">
        <v>22</v>
      </c>
      <c r="B8674" s="1">
        <v>46019</v>
      </c>
      <c r="C8674">
        <v>9</v>
      </c>
      <c r="D8674">
        <v>2.38</v>
      </c>
      <c r="E8674" t="s">
        <v>6</v>
      </c>
      <c r="F8674">
        <v>0.13342999999999999</v>
      </c>
    </row>
    <row r="8675" spans="1:6" x14ac:dyDescent="0.3">
      <c r="A8675" t="s">
        <v>22</v>
      </c>
      <c r="B8675" s="1">
        <v>46019</v>
      </c>
      <c r="C8675">
        <v>10</v>
      </c>
      <c r="D8675">
        <v>0.27900000000000003</v>
      </c>
      <c r="E8675" t="s">
        <v>6</v>
      </c>
      <c r="F8675">
        <v>0.13158</v>
      </c>
    </row>
    <row r="8676" spans="1:6" x14ac:dyDescent="0.3">
      <c r="A8676" t="s">
        <v>22</v>
      </c>
      <c r="B8676" s="1">
        <v>46019</v>
      </c>
      <c r="C8676">
        <v>11</v>
      </c>
      <c r="D8676">
        <v>4.37</v>
      </c>
      <c r="E8676" t="s">
        <v>6</v>
      </c>
      <c r="F8676">
        <v>0.11944</v>
      </c>
    </row>
    <row r="8677" spans="1:6" x14ac:dyDescent="0.3">
      <c r="A8677" t="s">
        <v>22</v>
      </c>
      <c r="B8677" s="1">
        <v>46019</v>
      </c>
      <c r="C8677">
        <v>12</v>
      </c>
      <c r="D8677">
        <v>2.3660000000000001</v>
      </c>
      <c r="E8677" t="s">
        <v>6</v>
      </c>
      <c r="F8677">
        <v>0.11126000000000001</v>
      </c>
    </row>
    <row r="8678" spans="1:6" x14ac:dyDescent="0.3">
      <c r="A8678" t="s">
        <v>22</v>
      </c>
      <c r="B8678" s="1">
        <v>46019</v>
      </c>
      <c r="C8678">
        <v>13</v>
      </c>
      <c r="D8678">
        <v>2.0670000000000002</v>
      </c>
      <c r="E8678" t="s">
        <v>6</v>
      </c>
      <c r="F8678">
        <v>0.11754000000000001</v>
      </c>
    </row>
    <row r="8679" spans="1:6" x14ac:dyDescent="0.3">
      <c r="A8679" t="s">
        <v>22</v>
      </c>
      <c r="B8679" s="1">
        <v>46019</v>
      </c>
      <c r="C8679">
        <v>14</v>
      </c>
      <c r="D8679">
        <v>0</v>
      </c>
      <c r="E8679" t="s">
        <v>6</v>
      </c>
      <c r="F8679">
        <v>0.11373999999999999</v>
      </c>
    </row>
    <row r="8680" spans="1:6" x14ac:dyDescent="0.3">
      <c r="A8680" t="s">
        <v>22</v>
      </c>
      <c r="B8680" s="1">
        <v>46019</v>
      </c>
      <c r="C8680">
        <v>15</v>
      </c>
      <c r="D8680">
        <v>0.55900000000000005</v>
      </c>
      <c r="E8680" t="s">
        <v>6</v>
      </c>
      <c r="F8680">
        <v>0.11522</v>
      </c>
    </row>
    <row r="8681" spans="1:6" x14ac:dyDescent="0.3">
      <c r="A8681" t="s">
        <v>22</v>
      </c>
      <c r="B8681" s="1">
        <v>46019</v>
      </c>
      <c r="C8681">
        <v>16</v>
      </c>
      <c r="D8681">
        <v>0</v>
      </c>
      <c r="E8681" t="s">
        <v>6</v>
      </c>
      <c r="F8681">
        <v>0.12203</v>
      </c>
    </row>
    <row r="8682" spans="1:6" x14ac:dyDescent="0.3">
      <c r="A8682" t="s">
        <v>22</v>
      </c>
      <c r="B8682" s="1">
        <v>46019</v>
      </c>
      <c r="C8682">
        <v>17</v>
      </c>
      <c r="D8682">
        <v>2.0880000000000001</v>
      </c>
      <c r="E8682" t="s">
        <v>6</v>
      </c>
      <c r="F8682">
        <v>0.13350000000000001</v>
      </c>
    </row>
    <row r="8683" spans="1:6" x14ac:dyDescent="0.3">
      <c r="A8683" t="s">
        <v>22</v>
      </c>
      <c r="B8683" s="1">
        <v>46019</v>
      </c>
      <c r="C8683">
        <v>18</v>
      </c>
      <c r="D8683">
        <v>1.9419999999999999</v>
      </c>
      <c r="E8683" t="s">
        <v>6</v>
      </c>
      <c r="F8683">
        <v>0.14507</v>
      </c>
    </row>
    <row r="8684" spans="1:6" x14ac:dyDescent="0.3">
      <c r="A8684" t="s">
        <v>22</v>
      </c>
      <c r="B8684" s="1">
        <v>46019</v>
      </c>
      <c r="C8684">
        <v>19</v>
      </c>
      <c r="D8684">
        <v>2.92</v>
      </c>
      <c r="E8684" t="s">
        <v>6</v>
      </c>
      <c r="F8684">
        <v>0.15289</v>
      </c>
    </row>
    <row r="8685" spans="1:6" x14ac:dyDescent="0.3">
      <c r="A8685" t="s">
        <v>22</v>
      </c>
      <c r="B8685" s="1">
        <v>46019</v>
      </c>
      <c r="C8685">
        <v>20</v>
      </c>
      <c r="D8685">
        <v>1.2849999999999999</v>
      </c>
      <c r="E8685" t="s">
        <v>6</v>
      </c>
      <c r="F8685">
        <v>0.15711000000000003</v>
      </c>
    </row>
    <row r="8686" spans="1:6" x14ac:dyDescent="0.3">
      <c r="A8686" t="s">
        <v>22</v>
      </c>
      <c r="B8686" s="1">
        <v>46019</v>
      </c>
      <c r="C8686">
        <v>21</v>
      </c>
      <c r="D8686">
        <v>1.778</v>
      </c>
      <c r="E8686" t="s">
        <v>6</v>
      </c>
      <c r="F8686">
        <v>0.15702000000000002</v>
      </c>
    </row>
    <row r="8687" spans="1:6" x14ac:dyDescent="0.3">
      <c r="A8687" t="s">
        <v>22</v>
      </c>
      <c r="B8687" s="1">
        <v>46019</v>
      </c>
      <c r="C8687">
        <v>22</v>
      </c>
      <c r="D8687">
        <v>2.4580000000000002</v>
      </c>
      <c r="E8687" t="s">
        <v>6</v>
      </c>
      <c r="F8687">
        <v>0.15049000000000001</v>
      </c>
    </row>
    <row r="8688" spans="1:6" x14ac:dyDescent="0.3">
      <c r="A8688" t="s">
        <v>22</v>
      </c>
      <c r="B8688" s="1">
        <v>46019</v>
      </c>
      <c r="C8688">
        <v>23</v>
      </c>
      <c r="D8688">
        <v>2.3279999999999998</v>
      </c>
      <c r="E8688" t="s">
        <v>6</v>
      </c>
      <c r="F8688">
        <v>0.14396999999999999</v>
      </c>
    </row>
    <row r="8689" spans="1:6" x14ac:dyDescent="0.3">
      <c r="A8689" t="s">
        <v>22</v>
      </c>
      <c r="B8689" s="1">
        <v>46019</v>
      </c>
      <c r="C8689">
        <v>24</v>
      </c>
      <c r="D8689">
        <v>2.0299999999999998</v>
      </c>
      <c r="E8689" t="s">
        <v>6</v>
      </c>
      <c r="F8689">
        <v>0.13383</v>
      </c>
    </row>
    <row r="8690" spans="1:6" x14ac:dyDescent="0.3">
      <c r="A8690" t="s">
        <v>22</v>
      </c>
      <c r="B8690" s="1">
        <v>46020</v>
      </c>
      <c r="C8690">
        <v>1</v>
      </c>
      <c r="D8690">
        <v>1.849</v>
      </c>
      <c r="E8690" t="s">
        <v>6</v>
      </c>
      <c r="F8690">
        <v>0.14119999999999999</v>
      </c>
    </row>
    <row r="8691" spans="1:6" x14ac:dyDescent="0.3">
      <c r="A8691" t="s">
        <v>22</v>
      </c>
      <c r="B8691" s="1">
        <v>46020</v>
      </c>
      <c r="C8691">
        <v>2</v>
      </c>
      <c r="D8691">
        <v>1.708</v>
      </c>
      <c r="E8691" t="s">
        <v>6</v>
      </c>
      <c r="F8691">
        <v>0.13525000000000001</v>
      </c>
    </row>
    <row r="8692" spans="1:6" x14ac:dyDescent="0.3">
      <c r="A8692" t="s">
        <v>22</v>
      </c>
      <c r="B8692" s="1">
        <v>46020</v>
      </c>
      <c r="C8692">
        <v>3</v>
      </c>
      <c r="D8692">
        <v>1.6930000000000001</v>
      </c>
      <c r="E8692" t="s">
        <v>6</v>
      </c>
      <c r="F8692">
        <v>0.13416</v>
      </c>
    </row>
    <row r="8693" spans="1:6" x14ac:dyDescent="0.3">
      <c r="A8693" t="s">
        <v>22</v>
      </c>
      <c r="B8693" s="1">
        <v>46020</v>
      </c>
      <c r="C8693">
        <v>4</v>
      </c>
      <c r="D8693">
        <v>1.633</v>
      </c>
      <c r="E8693" t="s">
        <v>6</v>
      </c>
      <c r="F8693">
        <v>0.13327</v>
      </c>
    </row>
    <row r="8694" spans="1:6" x14ac:dyDescent="0.3">
      <c r="A8694" t="s">
        <v>22</v>
      </c>
      <c r="B8694" s="1">
        <v>46020</v>
      </c>
      <c r="C8694">
        <v>5</v>
      </c>
      <c r="D8694">
        <v>1.6759999999999999</v>
      </c>
      <c r="E8694" t="s">
        <v>6</v>
      </c>
      <c r="F8694">
        <v>0.13483000000000001</v>
      </c>
    </row>
    <row r="8695" spans="1:6" x14ac:dyDescent="0.3">
      <c r="A8695" t="s">
        <v>22</v>
      </c>
      <c r="B8695" s="1">
        <v>46020</v>
      </c>
      <c r="C8695">
        <v>6</v>
      </c>
      <c r="D8695">
        <v>1.6259999999999999</v>
      </c>
      <c r="E8695" t="s">
        <v>6</v>
      </c>
      <c r="F8695">
        <v>0.13624</v>
      </c>
    </row>
    <row r="8696" spans="1:6" x14ac:dyDescent="0.3">
      <c r="A8696" t="s">
        <v>22</v>
      </c>
      <c r="B8696" s="1">
        <v>46020</v>
      </c>
      <c r="C8696">
        <v>7</v>
      </c>
      <c r="D8696">
        <v>1.597</v>
      </c>
      <c r="E8696" t="s">
        <v>6</v>
      </c>
      <c r="F8696">
        <v>0.14583000000000002</v>
      </c>
    </row>
    <row r="8697" spans="1:6" x14ac:dyDescent="0.3">
      <c r="A8697" t="s">
        <v>22</v>
      </c>
      <c r="B8697" s="1">
        <v>46020</v>
      </c>
      <c r="C8697">
        <v>8</v>
      </c>
      <c r="D8697">
        <v>1.9259999999999999</v>
      </c>
      <c r="E8697" t="s">
        <v>6</v>
      </c>
      <c r="F8697">
        <v>0.15828</v>
      </c>
    </row>
    <row r="8698" spans="1:6" x14ac:dyDescent="0.3">
      <c r="A8698" t="s">
        <v>22</v>
      </c>
      <c r="B8698" s="1">
        <v>46020</v>
      </c>
      <c r="C8698">
        <v>9</v>
      </c>
      <c r="D8698">
        <v>2.1190000000000002</v>
      </c>
      <c r="E8698" t="s">
        <v>6</v>
      </c>
      <c r="F8698">
        <v>0.19628000000000001</v>
      </c>
    </row>
    <row r="8699" spans="1:6" x14ac:dyDescent="0.3">
      <c r="A8699" t="s">
        <v>22</v>
      </c>
      <c r="B8699" s="1">
        <v>46020</v>
      </c>
      <c r="C8699">
        <v>10</v>
      </c>
      <c r="D8699">
        <v>1.9470000000000001</v>
      </c>
      <c r="E8699" t="s">
        <v>6</v>
      </c>
      <c r="F8699">
        <v>0.18049000000000001</v>
      </c>
    </row>
    <row r="8700" spans="1:6" x14ac:dyDescent="0.3">
      <c r="A8700" t="s">
        <v>22</v>
      </c>
      <c r="B8700" s="1">
        <v>46020</v>
      </c>
      <c r="C8700">
        <v>11</v>
      </c>
      <c r="D8700">
        <v>1.657</v>
      </c>
      <c r="E8700" t="s">
        <v>6</v>
      </c>
      <c r="F8700">
        <v>0.22446000000000002</v>
      </c>
    </row>
    <row r="8701" spans="1:6" x14ac:dyDescent="0.3">
      <c r="A8701" t="s">
        <v>22</v>
      </c>
      <c r="B8701" s="1">
        <v>46020</v>
      </c>
      <c r="C8701">
        <v>12</v>
      </c>
      <c r="D8701">
        <v>1.27</v>
      </c>
      <c r="E8701" t="s">
        <v>6</v>
      </c>
      <c r="F8701">
        <v>0.20862999999999998</v>
      </c>
    </row>
    <row r="8702" spans="1:6" x14ac:dyDescent="0.3">
      <c r="A8702" t="s">
        <v>22</v>
      </c>
      <c r="B8702" s="1">
        <v>46020</v>
      </c>
      <c r="C8702">
        <v>13</v>
      </c>
      <c r="D8702">
        <v>2.3130000000000002</v>
      </c>
      <c r="E8702" t="s">
        <v>6</v>
      </c>
      <c r="F8702">
        <v>0.20449999999999999</v>
      </c>
    </row>
    <row r="8703" spans="1:6" x14ac:dyDescent="0.3">
      <c r="A8703" t="s">
        <v>22</v>
      </c>
      <c r="B8703" s="1">
        <v>46020</v>
      </c>
      <c r="C8703">
        <v>14</v>
      </c>
      <c r="D8703">
        <v>1.875</v>
      </c>
      <c r="E8703" t="s">
        <v>6</v>
      </c>
      <c r="F8703">
        <v>0.20169000000000001</v>
      </c>
    </row>
    <row r="8704" spans="1:6" x14ac:dyDescent="0.3">
      <c r="A8704" t="s">
        <v>22</v>
      </c>
      <c r="B8704" s="1">
        <v>46020</v>
      </c>
      <c r="C8704">
        <v>15</v>
      </c>
      <c r="D8704">
        <v>1.389</v>
      </c>
      <c r="E8704" t="s">
        <v>6</v>
      </c>
      <c r="F8704">
        <v>0.14298</v>
      </c>
    </row>
    <row r="8705" spans="1:6" x14ac:dyDescent="0.3">
      <c r="A8705" t="s">
        <v>22</v>
      </c>
      <c r="B8705" s="1">
        <v>46020</v>
      </c>
      <c r="C8705">
        <v>16</v>
      </c>
      <c r="D8705">
        <v>1.163</v>
      </c>
      <c r="E8705" t="s">
        <v>6</v>
      </c>
      <c r="F8705">
        <v>0.15546000000000001</v>
      </c>
    </row>
    <row r="8706" spans="1:6" x14ac:dyDescent="0.3">
      <c r="A8706" t="s">
        <v>22</v>
      </c>
      <c r="B8706" s="1">
        <v>46020</v>
      </c>
      <c r="C8706">
        <v>17</v>
      </c>
      <c r="D8706">
        <v>2.556</v>
      </c>
      <c r="E8706" t="s">
        <v>6</v>
      </c>
      <c r="F8706">
        <v>0.16203999999999999</v>
      </c>
    </row>
    <row r="8707" spans="1:6" x14ac:dyDescent="0.3">
      <c r="A8707" t="s">
        <v>22</v>
      </c>
      <c r="B8707" s="1">
        <v>46020</v>
      </c>
      <c r="C8707">
        <v>18</v>
      </c>
      <c r="D8707">
        <v>2.6059999999999999</v>
      </c>
      <c r="E8707" t="s">
        <v>6</v>
      </c>
      <c r="F8707">
        <v>0.17758000000000002</v>
      </c>
    </row>
    <row r="8708" spans="1:6" x14ac:dyDescent="0.3">
      <c r="A8708" t="s">
        <v>22</v>
      </c>
      <c r="B8708" s="1">
        <v>46020</v>
      </c>
      <c r="C8708">
        <v>19</v>
      </c>
      <c r="D8708">
        <v>2.1840000000000002</v>
      </c>
      <c r="E8708" t="s">
        <v>6</v>
      </c>
      <c r="F8708">
        <v>0.26550000000000001</v>
      </c>
    </row>
    <row r="8709" spans="1:6" x14ac:dyDescent="0.3">
      <c r="A8709" t="s">
        <v>22</v>
      </c>
      <c r="B8709" s="1">
        <v>46020</v>
      </c>
      <c r="C8709">
        <v>20</v>
      </c>
      <c r="D8709">
        <v>2.0659999999999998</v>
      </c>
      <c r="E8709" t="s">
        <v>6</v>
      </c>
      <c r="F8709">
        <v>0.26891000000000004</v>
      </c>
    </row>
    <row r="8710" spans="1:6" x14ac:dyDescent="0.3">
      <c r="A8710" t="s">
        <v>22</v>
      </c>
      <c r="B8710" s="1">
        <v>46020</v>
      </c>
      <c r="C8710">
        <v>21</v>
      </c>
      <c r="D8710">
        <v>1.879</v>
      </c>
      <c r="E8710" t="s">
        <v>6</v>
      </c>
      <c r="F8710">
        <v>0.29847000000000001</v>
      </c>
    </row>
    <row r="8711" spans="1:6" x14ac:dyDescent="0.3">
      <c r="A8711" t="s">
        <v>22</v>
      </c>
      <c r="B8711" s="1">
        <v>46020</v>
      </c>
      <c r="C8711">
        <v>22</v>
      </c>
      <c r="D8711">
        <v>1.958</v>
      </c>
      <c r="E8711" t="s">
        <v>6</v>
      </c>
      <c r="F8711">
        <v>0.28558</v>
      </c>
    </row>
    <row r="8712" spans="1:6" x14ac:dyDescent="0.3">
      <c r="A8712" t="s">
        <v>22</v>
      </c>
      <c r="B8712" s="1">
        <v>46020</v>
      </c>
      <c r="C8712">
        <v>23</v>
      </c>
      <c r="D8712">
        <v>2.0089999999999999</v>
      </c>
      <c r="E8712" t="s">
        <v>6</v>
      </c>
      <c r="F8712">
        <v>0.18975999999999998</v>
      </c>
    </row>
    <row r="8713" spans="1:6" x14ac:dyDescent="0.3">
      <c r="A8713" t="s">
        <v>22</v>
      </c>
      <c r="B8713" s="1">
        <v>46020</v>
      </c>
      <c r="C8713">
        <v>24</v>
      </c>
      <c r="D8713">
        <v>1.899</v>
      </c>
      <c r="E8713" t="s">
        <v>6</v>
      </c>
      <c r="F8713">
        <v>0.16950999999999999</v>
      </c>
    </row>
    <row r="8714" spans="1:6" x14ac:dyDescent="0.3">
      <c r="A8714" t="s">
        <v>22</v>
      </c>
      <c r="B8714" s="1">
        <v>46021</v>
      </c>
      <c r="C8714">
        <v>1</v>
      </c>
      <c r="D8714">
        <v>1.849</v>
      </c>
      <c r="E8714" t="s">
        <v>6</v>
      </c>
      <c r="F8714">
        <v>0.14762999999999998</v>
      </c>
    </row>
    <row r="8715" spans="1:6" x14ac:dyDescent="0.3">
      <c r="A8715" t="s">
        <v>22</v>
      </c>
      <c r="B8715" s="1">
        <v>46021</v>
      </c>
      <c r="C8715">
        <v>2</v>
      </c>
      <c r="D8715">
        <v>1.7649999999999999</v>
      </c>
      <c r="E8715" t="s">
        <v>6</v>
      </c>
      <c r="F8715">
        <v>0.14332</v>
      </c>
    </row>
    <row r="8716" spans="1:6" x14ac:dyDescent="0.3">
      <c r="A8716" t="s">
        <v>22</v>
      </c>
      <c r="B8716" s="1">
        <v>46021</v>
      </c>
      <c r="C8716">
        <v>3</v>
      </c>
      <c r="D8716">
        <v>1.5569999999999999</v>
      </c>
      <c r="E8716" t="s">
        <v>6</v>
      </c>
      <c r="F8716">
        <v>0.13472000000000001</v>
      </c>
    </row>
    <row r="8717" spans="1:6" x14ac:dyDescent="0.3">
      <c r="A8717" t="s">
        <v>22</v>
      </c>
      <c r="B8717" s="1">
        <v>46021</v>
      </c>
      <c r="C8717">
        <v>4</v>
      </c>
      <c r="D8717">
        <v>1.645</v>
      </c>
      <c r="E8717" t="s">
        <v>6</v>
      </c>
      <c r="F8717">
        <v>0.13108</v>
      </c>
    </row>
    <row r="8718" spans="1:6" x14ac:dyDescent="0.3">
      <c r="A8718" t="s">
        <v>22</v>
      </c>
      <c r="B8718" s="1">
        <v>46021</v>
      </c>
      <c r="C8718">
        <v>5</v>
      </c>
      <c r="D8718">
        <v>1.6140000000000001</v>
      </c>
      <c r="E8718" t="s">
        <v>6</v>
      </c>
      <c r="F8718">
        <v>0.12797</v>
      </c>
    </row>
    <row r="8719" spans="1:6" x14ac:dyDescent="0.3">
      <c r="A8719" t="s">
        <v>22</v>
      </c>
      <c r="B8719" s="1">
        <v>46021</v>
      </c>
      <c r="C8719">
        <v>6</v>
      </c>
      <c r="D8719">
        <v>1.6579999999999999</v>
      </c>
      <c r="E8719" t="s">
        <v>6</v>
      </c>
      <c r="F8719">
        <v>0.12693000000000002</v>
      </c>
    </row>
    <row r="8720" spans="1:6" x14ac:dyDescent="0.3">
      <c r="A8720" t="s">
        <v>22</v>
      </c>
      <c r="B8720" s="1">
        <v>46021</v>
      </c>
      <c r="C8720">
        <v>7</v>
      </c>
      <c r="D8720">
        <v>2.012</v>
      </c>
      <c r="E8720" t="s">
        <v>6</v>
      </c>
      <c r="F8720">
        <v>0.12809000000000001</v>
      </c>
    </row>
    <row r="8721" spans="1:6" x14ac:dyDescent="0.3">
      <c r="A8721" t="s">
        <v>22</v>
      </c>
      <c r="B8721" s="1">
        <v>46021</v>
      </c>
      <c r="C8721">
        <v>8</v>
      </c>
      <c r="D8721">
        <v>1.9570000000000001</v>
      </c>
      <c r="E8721" t="s">
        <v>6</v>
      </c>
      <c r="F8721">
        <v>0.12812000000000001</v>
      </c>
    </row>
    <row r="8722" spans="1:6" x14ac:dyDescent="0.3">
      <c r="A8722" t="s">
        <v>22</v>
      </c>
      <c r="B8722" s="1">
        <v>46021</v>
      </c>
      <c r="C8722">
        <v>9</v>
      </c>
      <c r="D8722">
        <v>1.9670000000000001</v>
      </c>
      <c r="E8722" t="s">
        <v>6</v>
      </c>
      <c r="F8722">
        <v>0.1661</v>
      </c>
    </row>
    <row r="8723" spans="1:6" x14ac:dyDescent="0.3">
      <c r="A8723" t="s">
        <v>22</v>
      </c>
      <c r="B8723" s="1">
        <v>46021</v>
      </c>
      <c r="C8723">
        <v>10</v>
      </c>
      <c r="D8723">
        <v>1.8979999999999999</v>
      </c>
      <c r="E8723" t="s">
        <v>6</v>
      </c>
      <c r="F8723">
        <v>0.158</v>
      </c>
    </row>
    <row r="8724" spans="1:6" x14ac:dyDescent="0.3">
      <c r="A8724" t="s">
        <v>22</v>
      </c>
      <c r="B8724" s="1">
        <v>46021</v>
      </c>
      <c r="C8724">
        <v>11</v>
      </c>
      <c r="D8724">
        <v>1.6559999999999999</v>
      </c>
      <c r="E8724" t="s">
        <v>6</v>
      </c>
      <c r="F8724">
        <v>0.20674000000000001</v>
      </c>
    </row>
    <row r="8725" spans="1:6" x14ac:dyDescent="0.3">
      <c r="A8725" t="s">
        <v>22</v>
      </c>
      <c r="B8725" s="1">
        <v>46021</v>
      </c>
      <c r="C8725">
        <v>12</v>
      </c>
      <c r="D8725">
        <v>1.41</v>
      </c>
      <c r="E8725" t="s">
        <v>6</v>
      </c>
      <c r="F8725">
        <v>0.19922999999999999</v>
      </c>
    </row>
    <row r="8726" spans="1:6" x14ac:dyDescent="0.3">
      <c r="A8726" t="s">
        <v>22</v>
      </c>
      <c r="B8726" s="1">
        <v>46021</v>
      </c>
      <c r="C8726">
        <v>13</v>
      </c>
      <c r="D8726">
        <v>2.5190000000000001</v>
      </c>
      <c r="E8726" t="s">
        <v>6</v>
      </c>
      <c r="F8726">
        <v>0.19587000000000002</v>
      </c>
    </row>
    <row r="8727" spans="1:6" x14ac:dyDescent="0.3">
      <c r="A8727" t="s">
        <v>22</v>
      </c>
      <c r="B8727" s="1">
        <v>46021</v>
      </c>
      <c r="C8727">
        <v>14</v>
      </c>
      <c r="D8727">
        <v>3.9630000000000001</v>
      </c>
      <c r="E8727" t="s">
        <v>6</v>
      </c>
      <c r="F8727">
        <v>0.19002000000000002</v>
      </c>
    </row>
    <row r="8728" spans="1:6" x14ac:dyDescent="0.3">
      <c r="A8728" t="s">
        <v>22</v>
      </c>
      <c r="B8728" s="1">
        <v>46021</v>
      </c>
      <c r="C8728">
        <v>15</v>
      </c>
      <c r="D8728">
        <v>2.1030000000000002</v>
      </c>
      <c r="E8728" t="s">
        <v>6</v>
      </c>
      <c r="F8728">
        <v>0.12490999999999999</v>
      </c>
    </row>
    <row r="8729" spans="1:6" x14ac:dyDescent="0.3">
      <c r="A8729" t="s">
        <v>22</v>
      </c>
      <c r="B8729" s="1">
        <v>46021</v>
      </c>
      <c r="C8729">
        <v>16</v>
      </c>
      <c r="D8729">
        <v>2.5680000000000001</v>
      </c>
      <c r="E8729" t="s">
        <v>6</v>
      </c>
      <c r="F8729">
        <v>0.12878999999999999</v>
      </c>
    </row>
    <row r="8730" spans="1:6" x14ac:dyDescent="0.3">
      <c r="A8730" t="s">
        <v>22</v>
      </c>
      <c r="B8730" s="1">
        <v>46021</v>
      </c>
      <c r="C8730">
        <v>17</v>
      </c>
      <c r="D8730">
        <v>4.6630000000000003</v>
      </c>
      <c r="E8730" t="s">
        <v>6</v>
      </c>
      <c r="F8730">
        <v>0.14238000000000001</v>
      </c>
    </row>
    <row r="8731" spans="1:6" x14ac:dyDescent="0.3">
      <c r="A8731" t="s">
        <v>22</v>
      </c>
      <c r="B8731" s="1">
        <v>46021</v>
      </c>
      <c r="C8731">
        <v>18</v>
      </c>
      <c r="D8731">
        <v>3.7429999999999999</v>
      </c>
      <c r="E8731" t="s">
        <v>6</v>
      </c>
      <c r="F8731">
        <v>0.15941</v>
      </c>
    </row>
    <row r="8732" spans="1:6" x14ac:dyDescent="0.3">
      <c r="A8732" t="s">
        <v>22</v>
      </c>
      <c r="B8732" s="1">
        <v>46021</v>
      </c>
      <c r="C8732">
        <v>19</v>
      </c>
      <c r="D8732">
        <v>3.9590000000000001</v>
      </c>
      <c r="E8732" t="s">
        <v>6</v>
      </c>
      <c r="F8732">
        <v>0.23707</v>
      </c>
    </row>
    <row r="8733" spans="1:6" x14ac:dyDescent="0.3">
      <c r="A8733" t="s">
        <v>22</v>
      </c>
      <c r="B8733" s="1">
        <v>46021</v>
      </c>
      <c r="C8733">
        <v>20</v>
      </c>
      <c r="D8733">
        <v>1.9850000000000001</v>
      </c>
      <c r="E8733" t="s">
        <v>6</v>
      </c>
      <c r="F8733">
        <v>0.23830000000000001</v>
      </c>
    </row>
    <row r="8734" spans="1:6" x14ac:dyDescent="0.3">
      <c r="A8734" t="s">
        <v>22</v>
      </c>
      <c r="B8734" s="1">
        <v>46021</v>
      </c>
      <c r="C8734">
        <v>21</v>
      </c>
      <c r="D8734">
        <v>2.669</v>
      </c>
      <c r="E8734" t="s">
        <v>6</v>
      </c>
      <c r="F8734">
        <v>0.23749000000000001</v>
      </c>
    </row>
    <row r="8735" spans="1:6" x14ac:dyDescent="0.3">
      <c r="A8735" t="s">
        <v>22</v>
      </c>
      <c r="B8735" s="1">
        <v>46021</v>
      </c>
      <c r="C8735">
        <v>22</v>
      </c>
      <c r="D8735">
        <v>2.702</v>
      </c>
      <c r="E8735" t="s">
        <v>6</v>
      </c>
      <c r="F8735">
        <v>0.23865999999999998</v>
      </c>
    </row>
    <row r="8736" spans="1:6" x14ac:dyDescent="0.3">
      <c r="A8736" t="s">
        <v>22</v>
      </c>
      <c r="B8736" s="1">
        <v>46021</v>
      </c>
      <c r="C8736">
        <v>23</v>
      </c>
      <c r="D8736">
        <v>2.7519999999999998</v>
      </c>
      <c r="E8736" t="s">
        <v>6</v>
      </c>
      <c r="F8736">
        <v>0.16922000000000001</v>
      </c>
    </row>
    <row r="8737" spans="1:6" x14ac:dyDescent="0.3">
      <c r="A8737" t="s">
        <v>22</v>
      </c>
      <c r="B8737" s="1">
        <v>46021</v>
      </c>
      <c r="C8737">
        <v>24</v>
      </c>
      <c r="D8737">
        <v>2.7970000000000002</v>
      </c>
      <c r="E8737" t="s">
        <v>6</v>
      </c>
      <c r="F8737">
        <v>0.17002</v>
      </c>
    </row>
    <row r="8738" spans="1:6" x14ac:dyDescent="0.3">
      <c r="A8738" t="s">
        <v>22</v>
      </c>
      <c r="B8738" s="1">
        <v>46022</v>
      </c>
      <c r="C8738">
        <v>1</v>
      </c>
      <c r="D8738">
        <v>2.9940000000000002</v>
      </c>
      <c r="E8738" t="s">
        <v>6</v>
      </c>
      <c r="F8738">
        <v>0.14077000000000001</v>
      </c>
    </row>
    <row r="8739" spans="1:6" x14ac:dyDescent="0.3">
      <c r="A8739" t="s">
        <v>22</v>
      </c>
      <c r="B8739" s="1">
        <v>46022</v>
      </c>
      <c r="C8739">
        <v>2</v>
      </c>
      <c r="D8739">
        <v>2.504</v>
      </c>
      <c r="E8739" t="s">
        <v>6</v>
      </c>
      <c r="F8739">
        <v>0.12751999999999999</v>
      </c>
    </row>
    <row r="8740" spans="1:6" x14ac:dyDescent="0.3">
      <c r="A8740" t="s">
        <v>22</v>
      </c>
      <c r="B8740" s="1">
        <v>46022</v>
      </c>
      <c r="C8740">
        <v>3</v>
      </c>
      <c r="D8740">
        <v>2.2250000000000001</v>
      </c>
      <c r="E8740" t="s">
        <v>6</v>
      </c>
      <c r="F8740">
        <v>0.12523000000000001</v>
      </c>
    </row>
    <row r="8741" spans="1:6" x14ac:dyDescent="0.3">
      <c r="A8741" t="s">
        <v>22</v>
      </c>
      <c r="B8741" s="1">
        <v>46022</v>
      </c>
      <c r="C8741">
        <v>4</v>
      </c>
      <c r="D8741">
        <v>2.331</v>
      </c>
      <c r="E8741" t="s">
        <v>6</v>
      </c>
      <c r="F8741">
        <v>0.11756</v>
      </c>
    </row>
    <row r="8742" spans="1:6" x14ac:dyDescent="0.3">
      <c r="A8742" t="s">
        <v>22</v>
      </c>
      <c r="B8742" s="1">
        <v>46022</v>
      </c>
      <c r="C8742">
        <v>5</v>
      </c>
      <c r="D8742">
        <v>2.87</v>
      </c>
      <c r="E8742" t="s">
        <v>6</v>
      </c>
      <c r="F8742">
        <v>0.11647</v>
      </c>
    </row>
    <row r="8743" spans="1:6" x14ac:dyDescent="0.3">
      <c r="A8743" t="s">
        <v>22</v>
      </c>
      <c r="B8743" s="1">
        <v>46022</v>
      </c>
      <c r="C8743">
        <v>6</v>
      </c>
      <c r="D8743">
        <v>2.3650000000000002</v>
      </c>
      <c r="E8743" t="s">
        <v>6</v>
      </c>
      <c r="F8743">
        <v>0.11816</v>
      </c>
    </row>
    <row r="8744" spans="1:6" x14ac:dyDescent="0.3">
      <c r="A8744" t="s">
        <v>22</v>
      </c>
      <c r="B8744" s="1">
        <v>46022</v>
      </c>
      <c r="C8744">
        <v>7</v>
      </c>
      <c r="D8744">
        <v>2.3860000000000001</v>
      </c>
      <c r="E8744" t="s">
        <v>6</v>
      </c>
      <c r="F8744">
        <v>0.12623000000000001</v>
      </c>
    </row>
    <row r="8745" spans="1:6" x14ac:dyDescent="0.3">
      <c r="A8745" t="s">
        <v>22</v>
      </c>
      <c r="B8745" s="1">
        <v>46022</v>
      </c>
      <c r="C8745">
        <v>8</v>
      </c>
      <c r="D8745">
        <v>2.3969999999999998</v>
      </c>
      <c r="E8745" t="s">
        <v>6</v>
      </c>
      <c r="F8745">
        <v>0.13093000000000002</v>
      </c>
    </row>
    <row r="8746" spans="1:6" x14ac:dyDescent="0.3">
      <c r="A8746" t="s">
        <v>22</v>
      </c>
      <c r="B8746" s="1">
        <v>46022</v>
      </c>
      <c r="C8746">
        <v>9</v>
      </c>
      <c r="D8746">
        <v>2.3769999999999998</v>
      </c>
      <c r="E8746" t="s">
        <v>6</v>
      </c>
      <c r="F8746">
        <v>0.17044000000000001</v>
      </c>
    </row>
    <row r="8747" spans="1:6" x14ac:dyDescent="0.3">
      <c r="A8747" t="s">
        <v>22</v>
      </c>
      <c r="B8747" s="1">
        <v>46022</v>
      </c>
      <c r="C8747">
        <v>10</v>
      </c>
      <c r="D8747">
        <v>2.5070000000000001</v>
      </c>
      <c r="E8747" t="s">
        <v>6</v>
      </c>
      <c r="F8747">
        <v>0.16911000000000001</v>
      </c>
    </row>
    <row r="8748" spans="1:6" x14ac:dyDescent="0.3">
      <c r="A8748" t="s">
        <v>22</v>
      </c>
      <c r="B8748" s="1">
        <v>46022</v>
      </c>
      <c r="C8748">
        <v>11</v>
      </c>
      <c r="D8748">
        <v>2.2120000000000002</v>
      </c>
      <c r="E8748" t="s">
        <v>6</v>
      </c>
      <c r="F8748">
        <v>0.22233</v>
      </c>
    </row>
    <row r="8749" spans="1:6" x14ac:dyDescent="0.3">
      <c r="A8749" t="s">
        <v>22</v>
      </c>
      <c r="B8749" s="1">
        <v>46022</v>
      </c>
      <c r="C8749">
        <v>12</v>
      </c>
      <c r="D8749">
        <v>1.228</v>
      </c>
      <c r="E8749" t="s">
        <v>6</v>
      </c>
      <c r="F8749">
        <v>0.20746999999999999</v>
      </c>
    </row>
    <row r="8750" spans="1:6" x14ac:dyDescent="0.3">
      <c r="A8750" t="s">
        <v>22</v>
      </c>
      <c r="B8750" s="1">
        <v>46022</v>
      </c>
      <c r="C8750">
        <v>13</v>
      </c>
      <c r="D8750">
        <v>0.52600000000000002</v>
      </c>
      <c r="E8750" t="s">
        <v>6</v>
      </c>
      <c r="F8750">
        <v>0.20327999999999999</v>
      </c>
    </row>
    <row r="8751" spans="1:6" x14ac:dyDescent="0.3">
      <c r="A8751" t="s">
        <v>22</v>
      </c>
      <c r="B8751" s="1">
        <v>46022</v>
      </c>
      <c r="C8751">
        <v>14</v>
      </c>
      <c r="D8751">
        <v>1.012</v>
      </c>
      <c r="E8751" t="s">
        <v>6</v>
      </c>
      <c r="F8751">
        <v>0.20313000000000001</v>
      </c>
    </row>
    <row r="8752" spans="1:6" x14ac:dyDescent="0.3">
      <c r="A8752" t="s">
        <v>22</v>
      </c>
      <c r="B8752" s="1">
        <v>46022</v>
      </c>
      <c r="C8752">
        <v>15</v>
      </c>
      <c r="D8752">
        <v>2.34</v>
      </c>
      <c r="E8752" t="s">
        <v>6</v>
      </c>
      <c r="F8752">
        <v>0.14119999999999999</v>
      </c>
    </row>
    <row r="8753" spans="1:6" x14ac:dyDescent="0.3">
      <c r="A8753" t="s">
        <v>22</v>
      </c>
      <c r="B8753" s="1">
        <v>46022</v>
      </c>
      <c r="C8753">
        <v>16</v>
      </c>
      <c r="D8753">
        <v>3.2909999999999999</v>
      </c>
      <c r="E8753" t="s">
        <v>6</v>
      </c>
      <c r="F8753">
        <v>0.15209999999999999</v>
      </c>
    </row>
    <row r="8754" spans="1:6" x14ac:dyDescent="0.3">
      <c r="A8754" t="s">
        <v>22</v>
      </c>
      <c r="B8754" s="1">
        <v>46022</v>
      </c>
      <c r="C8754">
        <v>17</v>
      </c>
      <c r="D8754">
        <v>6.4530000000000003</v>
      </c>
      <c r="E8754" t="s">
        <v>6</v>
      </c>
      <c r="F8754">
        <v>0.16465000000000002</v>
      </c>
    </row>
    <row r="8755" spans="1:6" x14ac:dyDescent="0.3">
      <c r="A8755" t="s">
        <v>22</v>
      </c>
      <c r="B8755" s="1">
        <v>46022</v>
      </c>
      <c r="C8755">
        <v>18</v>
      </c>
      <c r="D8755">
        <v>4.9580000000000002</v>
      </c>
      <c r="E8755" t="s">
        <v>6</v>
      </c>
      <c r="F8755">
        <v>0.17138999999999999</v>
      </c>
    </row>
    <row r="8756" spans="1:6" x14ac:dyDescent="0.3">
      <c r="A8756" t="s">
        <v>22</v>
      </c>
      <c r="B8756" s="1">
        <v>46022</v>
      </c>
      <c r="C8756">
        <v>19</v>
      </c>
      <c r="D8756">
        <v>2.7250000000000001</v>
      </c>
      <c r="E8756" t="s">
        <v>6</v>
      </c>
      <c r="F8756">
        <v>0.25802999999999998</v>
      </c>
    </row>
    <row r="8757" spans="1:6" x14ac:dyDescent="0.3">
      <c r="A8757" t="s">
        <v>22</v>
      </c>
      <c r="B8757" s="1">
        <v>46022</v>
      </c>
      <c r="C8757">
        <v>20</v>
      </c>
      <c r="D8757">
        <v>2.577</v>
      </c>
      <c r="E8757" t="s">
        <v>6</v>
      </c>
      <c r="F8757">
        <v>0.26657999999999998</v>
      </c>
    </row>
    <row r="8758" spans="1:6" x14ac:dyDescent="0.3">
      <c r="A8758" t="s">
        <v>22</v>
      </c>
      <c r="B8758" s="1">
        <v>46022</v>
      </c>
      <c r="C8758">
        <v>21</v>
      </c>
      <c r="D8758">
        <v>2.9670000000000001</v>
      </c>
      <c r="E8758" t="s">
        <v>6</v>
      </c>
      <c r="F8758">
        <v>0.26371</v>
      </c>
    </row>
    <row r="8759" spans="1:6" x14ac:dyDescent="0.3">
      <c r="A8759" t="s">
        <v>22</v>
      </c>
      <c r="B8759" s="1">
        <v>46022</v>
      </c>
      <c r="C8759">
        <v>22</v>
      </c>
      <c r="D8759">
        <v>3.327</v>
      </c>
      <c r="E8759" t="s">
        <v>6</v>
      </c>
      <c r="F8759">
        <v>0.24521000000000001</v>
      </c>
    </row>
    <row r="8760" spans="1:6" x14ac:dyDescent="0.3">
      <c r="A8760" t="s">
        <v>22</v>
      </c>
      <c r="B8760" s="1">
        <v>46022</v>
      </c>
      <c r="C8760">
        <v>23</v>
      </c>
      <c r="D8760">
        <v>1.97</v>
      </c>
      <c r="E8760" t="s">
        <v>6</v>
      </c>
      <c r="F8760">
        <v>0.16722000000000001</v>
      </c>
    </row>
    <row r="8761" spans="1:6" x14ac:dyDescent="0.3">
      <c r="A8761" t="s">
        <v>22</v>
      </c>
      <c r="B8761" s="1">
        <v>46022</v>
      </c>
      <c r="C8761">
        <v>24</v>
      </c>
      <c r="D8761">
        <v>1.8859999999999999</v>
      </c>
      <c r="E8761" t="s">
        <v>6</v>
      </c>
      <c r="F8761">
        <v>0.16059000000000001</v>
      </c>
    </row>
  </sheetData>
  <conditionalFormatting sqref="L2:W25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53:AC7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2</vt:i4>
      </vt:variant>
    </vt:vector>
  </HeadingPairs>
  <TitlesOfParts>
    <vt:vector size="2" baseType="lpstr">
      <vt:lpstr>ConsumPis25</vt:lpstr>
      <vt:lpstr>ConsumCasa25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Gil Canadell</cp:lastModifiedBy>
  <dcterms:created xsi:type="dcterms:W3CDTF">2026-04-21T16:42:26Z</dcterms:created>
  <dcterms:modified xsi:type="dcterms:W3CDTF">2026-05-15T10:26:57Z</dcterms:modified>
</cp:coreProperties>
</file>